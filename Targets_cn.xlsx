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1" autoFilterDateGrouping="1"/>
  </bookViews>
  <sheets>
    <sheet xmlns:r="http://schemas.openxmlformats.org/officeDocument/2006/relationships" name="说明" sheetId="1" state="visible" r:id="rId1"/>
    <sheet xmlns:r="http://schemas.openxmlformats.org/officeDocument/2006/relationships" name="概览" sheetId="2" state="visible" r:id="rId2"/>
    <sheet xmlns:r="http://schemas.openxmlformats.org/officeDocument/2006/relationships" name="温室气体排放" sheetId="3" state="visible" r:id="rId3"/>
    <sheet xmlns:r="http://schemas.openxmlformats.org/officeDocument/2006/relationships" name="能源|电力" sheetId="4" state="visible" r:id="rId4"/>
    <sheet xmlns:r="http://schemas.openxmlformats.org/officeDocument/2006/relationships" name="工业" sheetId="5" state="visible" r:id="rId5"/>
    <sheet xmlns:r="http://schemas.openxmlformats.org/officeDocument/2006/relationships" name="建筑" sheetId="6" state="visible" r:id="rId6"/>
    <sheet xmlns:r="http://schemas.openxmlformats.org/officeDocument/2006/relationships" name="交通" sheetId="7" state="visible" r:id="rId7"/>
    <sheet xmlns:r="http://schemas.openxmlformats.org/officeDocument/2006/relationships" name="土地利用、土地利用变化和林业" sheetId="8" state="visible" r:id="rId8"/>
    <sheet xmlns:r="http://schemas.openxmlformats.org/officeDocument/2006/relationships" name="循环经济" sheetId="9" state="visible" r:id="rId9"/>
    <sheet xmlns:r="http://schemas.openxmlformats.org/officeDocument/2006/relationships" name="污染" sheetId="10" state="visible" r:id="rId10"/>
    <sheet xmlns:r="http://schemas.openxmlformats.org/officeDocument/2006/relationships" name="金融" sheetId="11" state="visible" r:id="rId11"/>
    <sheet xmlns:r="http://schemas.openxmlformats.org/officeDocument/2006/relationships" name="来源" sheetId="12" state="visible" r:id="rId12"/>
  </sheets>
  <definedNames/>
  <calcPr calcId="191029" fullCalcOnLoad="1"/>
</workbook>
</file>

<file path=xl/styles.xml><?xml version="1.0" encoding="utf-8"?>
<styleSheet xmlns="http://schemas.openxmlformats.org/spreadsheetml/2006/main">
  <numFmts count="0"/>
  <fonts count="23">
    <font>
      <name val="Calibri"/>
      <color theme="1"/>
      <sz val="10"/>
      <scheme val="minor"/>
    </font>
    <font>
      <name val="Calibri"/>
      <color indexed="4"/>
      <sz val="11"/>
      <u val="single"/>
    </font>
    <font>
      <name val="Calibri"/>
      <sz val="11"/>
    </font>
    <font>
      <name val="Arial Narrow"/>
      <sz val="11"/>
    </font>
    <font>
      <name val="Arial Narrow"/>
      <b val="1"/>
      <color indexed="65"/>
      <sz val="11"/>
    </font>
    <font>
      <name val="Arial Narrow"/>
      <color indexed="65"/>
      <sz val="11"/>
    </font>
    <font>
      <name val="Arial Narrow"/>
      <b val="1"/>
      <sz val="11"/>
    </font>
    <font>
      <name val="Arial Narrow"/>
      <i val="1"/>
      <sz val="11"/>
    </font>
    <font>
      <name val="Arial Narrow"/>
      <color indexed="2"/>
      <sz val="11"/>
    </font>
    <font>
      <name val="Arial Narrow"/>
      <color indexed="4"/>
      <sz val="11"/>
      <u val="single"/>
    </font>
    <font>
      <name val="Arial Narrow"/>
      <b val="1"/>
      <sz val="12"/>
    </font>
    <font>
      <name val="Arial Narrow"/>
      <b val="1"/>
      <color indexed="2"/>
      <sz val="12"/>
    </font>
    <font>
      <name val="Arial Narrow"/>
      <sz val="12"/>
    </font>
    <font>
      <name val="Arial Narrow"/>
      <color theme="1"/>
      <sz val="11"/>
    </font>
    <font>
      <name val="Arial Narrow"/>
      <color theme="1"/>
      <sz val="8"/>
    </font>
    <font>
      <name val="Arial Narrow"/>
      <b val="1"/>
      <color theme="0"/>
      <sz val="11"/>
    </font>
    <font>
      <name val="Arial Narrow"/>
      <b val="1"/>
      <color theme="0"/>
      <sz val="8"/>
    </font>
    <font>
      <name val="Arial Narrow"/>
      <b val="1"/>
      <sz val="9"/>
    </font>
    <font>
      <name val="Arial Narrow"/>
      <b val="1"/>
      <sz val="8"/>
    </font>
    <font>
      <name val="Arial Narrow"/>
      <b val="1"/>
      <color theme="1"/>
      <sz val="11"/>
    </font>
    <font>
      <name val="Arial Narrow"/>
      <b val="1"/>
      <color theme="1"/>
      <sz val="8"/>
    </font>
    <font>
      <name val="Arial Narrow"/>
      <color theme="10"/>
      <sz val="11"/>
      <u val="single"/>
    </font>
    <font>
      <name val="Arial Narrow"/>
      <sz val="8"/>
    </font>
  </fonts>
  <fills count="19">
    <fill>
      <patternFill/>
    </fill>
    <fill>
      <patternFill patternType="gray125"/>
    </fill>
    <fill>
      <patternFill patternType="solid">
        <fgColor rgb="FF595959"/>
      </patternFill>
    </fill>
    <fill>
      <patternFill patternType="solid">
        <fgColor rgb="FFDBE5F1"/>
      </patternFill>
    </fill>
    <fill>
      <patternFill patternType="solid">
        <fgColor rgb="FF4F81BD"/>
      </patternFill>
    </fill>
    <fill>
      <patternFill patternType="solid">
        <fgColor rgb="FF92CDDC"/>
      </patternFill>
    </fill>
    <fill>
      <patternFill patternType="solid">
        <fgColor theme="4" tint="0.7999816888943144"/>
        <bgColor indexed="65"/>
      </patternFill>
    </fill>
    <fill>
      <patternFill patternType="solid">
        <fgColor rgb="FFFBD4B4"/>
      </patternFill>
    </fill>
    <fill>
      <patternFill patternType="solid">
        <fgColor rgb="FFF2DBDB"/>
      </patternFill>
    </fill>
    <fill>
      <patternFill patternType="solid">
        <fgColor rgb="FFD6E3BC"/>
      </patternFill>
    </fill>
    <fill>
      <patternFill patternType="solid">
        <fgColor rgb="FFC2D69B"/>
      </patternFill>
    </fill>
    <fill>
      <patternFill patternType="solid">
        <fgColor rgb="FFCCC0D9"/>
      </patternFill>
    </fill>
    <fill>
      <patternFill patternType="solid">
        <fgColor rgb="FFD6D4CA"/>
      </patternFill>
    </fill>
    <fill>
      <patternFill patternType="solid">
        <fgColor theme="2" tint="-0.09997863704336681"/>
        <bgColor indexed="65"/>
      </patternFill>
    </fill>
    <fill>
      <patternFill patternType="solid">
        <fgColor theme="1" tint="0.249977111117893"/>
        <bgColor indexed="65"/>
      </patternFill>
    </fill>
    <fill>
      <patternFill patternType="solid">
        <fgColor theme="0"/>
      </patternFill>
    </fill>
    <fill>
      <patternFill patternType="solid">
        <fgColor theme="0" tint="-0.1499984740745262"/>
        <bgColor indexed="65"/>
      </patternFill>
    </fill>
    <fill>
      <patternFill patternType="solid">
        <fgColor theme="2"/>
      </patternFill>
    </fill>
    <fill>
      <patternFill patternType="solid">
        <fgColor theme="0" tint="-0.249977111117893"/>
        <bgColor indexed="65"/>
      </patternFill>
    </fill>
  </fills>
  <borders count="36">
    <border>
      <left/>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style="thin">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5"/>
      </left>
      <right style="thin">
        <color indexed="65"/>
      </right>
      <top style="thin">
        <color indexed="65"/>
      </top>
      <bottom style="thin">
        <color indexed="65"/>
      </bottom>
      <diagonal/>
    </border>
    <border>
      <left/>
      <right style="thin">
        <color indexed="65"/>
      </right>
      <top style="thin">
        <color indexed="65"/>
      </top>
      <bottom style="thin">
        <color indexed="65"/>
      </bottom>
      <diagonal/>
    </border>
    <border>
      <left style="thin">
        <color indexed="65"/>
      </left>
      <right/>
      <top style="thin">
        <color indexed="65"/>
      </top>
      <bottom style="thin">
        <color indexed="65"/>
      </bottom>
      <diagonal/>
    </border>
    <border>
      <left style="thin">
        <color indexed="65"/>
      </left>
      <right style="thin">
        <color indexed="65"/>
      </right>
      <top style="thin">
        <color indexed="65"/>
      </top>
      <bottom/>
      <diagonal/>
    </border>
    <border>
      <left/>
      <right style="thin">
        <color indexed="65"/>
      </right>
      <top style="thin">
        <color indexed="65"/>
      </top>
      <bottom/>
      <diagonal/>
    </border>
    <border>
      <left style="thin">
        <color indexed="65"/>
      </left>
      <right style="thin">
        <color indexed="65"/>
      </right>
      <top/>
      <bottom/>
      <diagonal/>
    </border>
    <border>
      <left style="thin">
        <color auto="1"/>
      </left>
      <right style="thin">
        <color auto="1"/>
      </right>
      <top style="thin">
        <color auto="1"/>
      </top>
      <bottom/>
      <diagonal/>
    </border>
    <border>
      <left/>
      <right/>
      <top style="medium">
        <color auto="1"/>
      </top>
      <bottom/>
      <diagonal/>
    </border>
    <border>
      <left/>
      <right style="medium">
        <color auto="1"/>
      </right>
      <top style="medium">
        <color auto="1"/>
      </top>
      <bottom/>
      <diagonal/>
    </border>
  </borders>
  <cellStyleXfs count="3">
    <xf numFmtId="0" fontId="0" fillId="0" borderId="0"/>
    <xf numFmtId="0" fontId="1" fillId="0" borderId="0"/>
    <xf numFmtId="0" fontId="2" fillId="0" borderId="0"/>
  </cellStyleXfs>
  <cellXfs count="243">
    <xf numFmtId="0" fontId="0" fillId="0" borderId="0" applyAlignment="1" pivotButton="0" quotePrefix="0" xfId="0">
      <alignment vertical="center"/>
    </xf>
    <xf numFmtId="0" fontId="0" fillId="0" borderId="0" pivotButton="0" quotePrefix="0" xfId="0"/>
    <xf numFmtId="0" fontId="3" fillId="0" borderId="0" applyAlignment="1" pivotButton="0" quotePrefix="0" xfId="2">
      <alignment horizontal="left"/>
    </xf>
    <xf numFmtId="0" fontId="4" fillId="2" borderId="0" applyAlignment="1" pivotButton="0" quotePrefix="0" xfId="0">
      <alignment horizontal="left" vertical="center"/>
    </xf>
    <xf numFmtId="0" fontId="5" fillId="2" borderId="1" applyAlignment="1" pivotButton="0" quotePrefix="0" xfId="2">
      <alignment horizontal="left"/>
    </xf>
    <xf numFmtId="0" fontId="4" fillId="2" borderId="1" applyAlignment="1" pivotButton="0" quotePrefix="0" xfId="2">
      <alignment horizontal="left"/>
    </xf>
    <xf numFmtId="0" fontId="4" fillId="2" borderId="2" applyAlignment="1" pivotButton="0" quotePrefix="0" xfId="2">
      <alignment horizontal="right" vertical="center"/>
    </xf>
    <xf numFmtId="0" fontId="3" fillId="0" borderId="0" pivotButton="0" quotePrefix="0" xfId="2"/>
    <xf numFmtId="0" fontId="3" fillId="0" borderId="0" applyAlignment="1" pivotButton="0" quotePrefix="0" xfId="2">
      <alignment vertical="center"/>
    </xf>
    <xf numFmtId="0" fontId="3" fillId="0" borderId="3" applyAlignment="1" pivotButton="0" quotePrefix="0" xfId="2">
      <alignment vertical="center"/>
    </xf>
    <xf numFmtId="0" fontId="6" fillId="0" borderId="4" applyAlignment="1" pivotButton="0" quotePrefix="0" xfId="2">
      <alignment horizontal="center" vertical="center"/>
    </xf>
    <xf numFmtId="0" fontId="3" fillId="0" borderId="2" applyAlignment="1" pivotButton="0" quotePrefix="0" xfId="2">
      <alignment vertical="center"/>
    </xf>
    <xf numFmtId="0" fontId="3" fillId="0" borderId="5" pivotButton="0" quotePrefix="0" xfId="2"/>
    <xf numFmtId="0" fontId="7" fillId="0" borderId="6" pivotButton="0" quotePrefix="0" xfId="2"/>
    <xf numFmtId="17" fontId="3" fillId="0" borderId="6" pivotButton="0" quotePrefix="0" xfId="2"/>
    <xf numFmtId="0" fontId="3" fillId="0" borderId="7" pivotButton="0" quotePrefix="0" xfId="2"/>
    <xf numFmtId="0" fontId="3" fillId="0" borderId="8" applyAlignment="1" pivotButton="0" quotePrefix="0" xfId="2">
      <alignment horizontal="right"/>
    </xf>
    <xf numFmtId="0" fontId="3" fillId="0" borderId="9" pivotButton="0" quotePrefix="0" xfId="2"/>
    <xf numFmtId="0" fontId="3" fillId="0" borderId="8" pivotButton="0" quotePrefix="0" xfId="2"/>
    <xf numFmtId="0" fontId="7" fillId="0" borderId="0" pivotButton="0" quotePrefix="0" xfId="2"/>
    <xf numFmtId="17" fontId="3" fillId="0" borderId="0" pivotButton="0" quotePrefix="0" xfId="2"/>
    <xf numFmtId="0" fontId="3" fillId="0" borderId="0" applyAlignment="1" pivotButton="0" quotePrefix="0" xfId="2">
      <alignment horizontal="right"/>
    </xf>
    <xf numFmtId="0" fontId="6" fillId="3" borderId="4" pivotButton="0" quotePrefix="0" xfId="2"/>
    <xf numFmtId="17" fontId="3" fillId="3" borderId="1" pivotButton="0" quotePrefix="0" xfId="2"/>
    <xf numFmtId="0" fontId="3" fillId="3" borderId="1" pivotButton="0" quotePrefix="0" xfId="2"/>
    <xf numFmtId="0" fontId="3" fillId="3" borderId="2" pivotButton="0" quotePrefix="0" xfId="2"/>
    <xf numFmtId="0" fontId="3" fillId="0" borderId="9" applyAlignment="1" pivotButton="0" quotePrefix="0" xfId="2">
      <alignment vertical="center"/>
    </xf>
    <xf numFmtId="17" fontId="3" fillId="0" borderId="7" applyAlignment="1" pivotButton="0" quotePrefix="0" xfId="2">
      <alignment vertical="center"/>
    </xf>
    <xf numFmtId="0" fontId="3" fillId="0" borderId="7" applyAlignment="1" pivotButton="0" quotePrefix="0" xfId="2">
      <alignment vertical="center"/>
    </xf>
    <xf numFmtId="0" fontId="3" fillId="0" borderId="8" applyAlignment="1" pivotButton="0" quotePrefix="0" xfId="2">
      <alignment vertical="center"/>
    </xf>
    <xf numFmtId="17" fontId="3" fillId="0" borderId="0" applyAlignment="1" pivotButton="0" quotePrefix="0" xfId="2">
      <alignment vertical="center"/>
    </xf>
    <xf numFmtId="0" fontId="3" fillId="0" borderId="5" applyAlignment="1" pivotButton="0" quotePrefix="0" xfId="2">
      <alignment vertical="center"/>
    </xf>
    <xf numFmtId="0" fontId="7" fillId="0" borderId="3" applyAlignment="1" pivotButton="0" quotePrefix="0" xfId="2">
      <alignment vertical="top"/>
    </xf>
    <xf numFmtId="0" fontId="3" fillId="0" borderId="10" applyAlignment="1" pivotButton="0" quotePrefix="0" xfId="2">
      <alignment vertical="top"/>
    </xf>
    <xf numFmtId="0" fontId="3" fillId="0" borderId="4" applyAlignment="1" pivotButton="0" quotePrefix="0" xfId="2">
      <alignment horizontal="left" vertical="center"/>
    </xf>
    <xf numFmtId="0" fontId="7" fillId="0" borderId="1" applyAlignment="1" pivotButton="0" quotePrefix="0" xfId="2">
      <alignment horizontal="left" vertical="center"/>
    </xf>
    <xf numFmtId="0" fontId="7" fillId="0" borderId="2" applyAlignment="1" pivotButton="0" quotePrefix="0" xfId="2">
      <alignment horizontal="left" vertical="center"/>
    </xf>
    <xf numFmtId="0" fontId="3" fillId="0" borderId="3" applyAlignment="1" pivotButton="0" quotePrefix="0" xfId="2">
      <alignment vertical="top"/>
    </xf>
    <xf numFmtId="0" fontId="3" fillId="0" borderId="9" applyAlignment="1" pivotButton="0" quotePrefix="0" xfId="2">
      <alignment vertical="top"/>
    </xf>
    <xf numFmtId="0" fontId="3" fillId="0" borderId="0" applyAlignment="1" pivotButton="0" quotePrefix="0" xfId="2">
      <alignment vertical="top"/>
    </xf>
    <xf numFmtId="0" fontId="3" fillId="0" borderId="6" applyAlignment="1" pivotButton="0" quotePrefix="0" xfId="0">
      <alignment horizontal="left" vertical="top"/>
    </xf>
    <xf numFmtId="0" fontId="3" fillId="0" borderId="10" pivotButton="0" quotePrefix="0" xfId="2"/>
    <xf numFmtId="0" fontId="3" fillId="0" borderId="11" pivotButton="0" quotePrefix="0" xfId="2"/>
    <xf numFmtId="0" fontId="3" fillId="0" borderId="12" pivotButton="0" quotePrefix="0" xfId="2"/>
    <xf numFmtId="0" fontId="3" fillId="0" borderId="3" pivotButton="0" quotePrefix="0" xfId="2"/>
    <xf numFmtId="0" fontId="8" fillId="0" borderId="0" pivotButton="0" quotePrefix="0" xfId="2"/>
    <xf numFmtId="0" fontId="8" fillId="0" borderId="7" pivotButton="0" quotePrefix="0" xfId="2"/>
    <xf numFmtId="0" fontId="3" fillId="0" borderId="4" pivotButton="0" quotePrefix="0" xfId="2"/>
    <xf numFmtId="0" fontId="3" fillId="0" borderId="1" pivotButton="0" quotePrefix="0" xfId="2"/>
    <xf numFmtId="0" fontId="8" fillId="0" borderId="1" pivotButton="0" quotePrefix="0" xfId="2"/>
    <xf numFmtId="0" fontId="3" fillId="0" borderId="2" pivotButton="0" quotePrefix="0" xfId="2"/>
    <xf numFmtId="0" fontId="3" fillId="0" borderId="0" applyAlignment="1" pivotButton="0" quotePrefix="0" xfId="0">
      <alignment horizontal="left" vertical="top"/>
    </xf>
    <xf numFmtId="0" fontId="8" fillId="0" borderId="0" applyAlignment="1" pivotButton="0" quotePrefix="0" xfId="0">
      <alignment horizontal="left" vertical="top"/>
    </xf>
    <xf numFmtId="0" fontId="8" fillId="0" borderId="0" applyAlignment="1" pivotButton="0" quotePrefix="0" xfId="2">
      <alignment horizontal="left"/>
    </xf>
    <xf numFmtId="0" fontId="9" fillId="0" borderId="0" pivotButton="0" quotePrefix="0" xfId="1"/>
    <xf numFmtId="0" fontId="6" fillId="0" borderId="0" applyAlignment="1" pivotButton="0" quotePrefix="0" xfId="2">
      <alignment vertical="center"/>
    </xf>
    <xf numFmtId="0" fontId="6" fillId="0" borderId="0" applyAlignment="1" pivotButton="0" quotePrefix="0" xfId="2">
      <alignment horizontal="center" vertical="center"/>
    </xf>
    <xf numFmtId="0" fontId="3" fillId="0" borderId="17" applyAlignment="1" pivotButton="0" quotePrefix="0" xfId="2">
      <alignment vertical="center"/>
    </xf>
    <xf numFmtId="0" fontId="3" fillId="0" borderId="18" applyAlignment="1" pivotButton="0" quotePrefix="0" xfId="2">
      <alignment horizontal="center" vertical="center"/>
    </xf>
    <xf numFmtId="0" fontId="3" fillId="0" borderId="0" applyAlignment="1" pivotButton="0" quotePrefix="0" xfId="2">
      <alignment horizontal="center" vertical="center"/>
    </xf>
    <xf numFmtId="0" fontId="3" fillId="0" borderId="17" applyAlignment="1" pivotButton="0" quotePrefix="0" xfId="2">
      <alignment vertical="top"/>
    </xf>
    <xf numFmtId="0" fontId="3" fillId="0" borderId="18" applyAlignment="1" pivotButton="0" quotePrefix="0" xfId="2">
      <alignment vertical="top"/>
    </xf>
    <xf numFmtId="0" fontId="3" fillId="0" borderId="19" applyAlignment="1" pivotButton="0" quotePrefix="0" xfId="2">
      <alignment vertical="center"/>
    </xf>
    <xf numFmtId="0" fontId="3" fillId="0" borderId="20" applyAlignment="1" pivotButton="0" quotePrefix="0" xfId="2">
      <alignment horizontal="center" vertical="center"/>
    </xf>
    <xf numFmtId="0" fontId="3" fillId="0" borderId="17" applyAlignment="1" pivotButton="0" quotePrefix="0" xfId="2">
      <alignment horizontal="center" vertical="center"/>
    </xf>
    <xf numFmtId="0" fontId="3" fillId="0" borderId="18" applyAlignment="1" pivotButton="0" quotePrefix="0" xfId="2">
      <alignment horizontal="center" vertical="center" wrapText="1"/>
    </xf>
    <xf numFmtId="0" fontId="3" fillId="0" borderId="17" pivotButton="0" quotePrefix="0" xfId="2"/>
    <xf numFmtId="0" fontId="3" fillId="0" borderId="21" applyAlignment="1" pivotButton="0" quotePrefix="0" xfId="2">
      <alignment vertical="center"/>
    </xf>
    <xf numFmtId="0" fontId="3" fillId="0" borderId="22" applyAlignment="1" pivotButton="0" quotePrefix="0" xfId="2">
      <alignment horizontal="center" vertical="center"/>
    </xf>
    <xf numFmtId="0" fontId="3" fillId="0" borderId="21" applyAlignment="1" pivotButton="0" quotePrefix="0" xfId="2">
      <alignment vertical="top"/>
    </xf>
    <xf numFmtId="0" fontId="3" fillId="0" borderId="22" applyAlignment="1" pivotButton="0" quotePrefix="0" xfId="2">
      <alignment vertical="top"/>
    </xf>
    <xf numFmtId="0" fontId="3" fillId="0" borderId="23" applyAlignment="1" pivotButton="0" quotePrefix="0" xfId="2">
      <alignment vertical="center"/>
    </xf>
    <xf numFmtId="0" fontId="3" fillId="0" borderId="24" applyAlignment="1" pivotButton="0" quotePrefix="0" xfId="2">
      <alignment horizontal="center" vertical="center"/>
    </xf>
    <xf numFmtId="0" fontId="3" fillId="0" borderId="21" applyAlignment="1" pivotButton="0" quotePrefix="0" xfId="2">
      <alignment horizontal="center" vertical="center"/>
    </xf>
    <xf numFmtId="0" fontId="3" fillId="0" borderId="22" applyAlignment="1" pivotButton="0" quotePrefix="0" xfId="2">
      <alignment horizontal="center" vertical="center" wrapText="1"/>
    </xf>
    <xf numFmtId="0" fontId="3" fillId="0" borderId="21" pivotButton="0" quotePrefix="0" xfId="2"/>
    <xf numFmtId="0" fontId="3" fillId="0" borderId="25" applyAlignment="1" pivotButton="0" quotePrefix="0" xfId="2">
      <alignment vertical="center"/>
    </xf>
    <xf numFmtId="0" fontId="3" fillId="0" borderId="26" applyAlignment="1" pivotButton="0" quotePrefix="0" xfId="2">
      <alignment horizontal="center" vertical="center"/>
    </xf>
    <xf numFmtId="0" fontId="3" fillId="0" borderId="0" applyAlignment="1" pivotButton="0" quotePrefix="0" xfId="2">
      <alignment horizontal="center"/>
    </xf>
    <xf numFmtId="0" fontId="3" fillId="0" borderId="25" pivotButton="0" quotePrefix="0" xfId="2"/>
    <xf numFmtId="0" fontId="3" fillId="0" borderId="26" applyAlignment="1" pivotButton="0" quotePrefix="0" xfId="2">
      <alignment vertical="top"/>
    </xf>
    <xf numFmtId="0" fontId="3" fillId="0" borderId="25" applyAlignment="1" pivotButton="0" quotePrefix="0" xfId="2">
      <alignment vertical="top"/>
    </xf>
    <xf numFmtId="0" fontId="10" fillId="0" borderId="19" applyAlignment="1" pivotButton="0" quotePrefix="0" xfId="2">
      <alignment vertical="center"/>
    </xf>
    <xf numFmtId="0" fontId="10" fillId="0" borderId="16" applyAlignment="1" pivotButton="0" quotePrefix="0" xfId="2">
      <alignment horizontal="center" vertical="center"/>
    </xf>
    <xf numFmtId="0" fontId="10" fillId="0" borderId="0" applyAlignment="1" pivotButton="0" quotePrefix="0" xfId="2">
      <alignment horizontal="center" vertical="center"/>
    </xf>
    <xf numFmtId="0" fontId="11" fillId="0" borderId="0" applyAlignment="1" pivotButton="0" quotePrefix="0" xfId="2">
      <alignment horizontal="center" vertical="center"/>
    </xf>
    <xf numFmtId="0" fontId="3" fillId="0" borderId="0" applyAlignment="1" pivotButton="0" quotePrefix="0" xfId="2">
      <alignment horizontal="center" vertical="top"/>
    </xf>
    <xf numFmtId="0" fontId="3" fillId="0" borderId="26" applyAlignment="1" pivotButton="0" quotePrefix="0" xfId="2">
      <alignment horizontal="center" vertical="center" wrapText="1"/>
    </xf>
    <xf numFmtId="0" fontId="3" fillId="0" borderId="25" applyAlignment="1" pivotButton="0" quotePrefix="0" xfId="2">
      <alignment horizontal="center" vertical="center"/>
    </xf>
    <xf numFmtId="0" fontId="6" fillId="4" borderId="14" applyAlignment="1" pivotButton="0" quotePrefix="0" xfId="0">
      <alignment horizontal="left" vertical="top"/>
    </xf>
    <xf numFmtId="0" fontId="3" fillId="5" borderId="27" pivotButton="0" quotePrefix="0" xfId="0"/>
    <xf numFmtId="0" fontId="3" fillId="5" borderId="27" applyAlignment="1" pivotButton="0" quotePrefix="0" xfId="0">
      <alignment horizontal="left"/>
    </xf>
    <xf numFmtId="0" fontId="3" fillId="5" borderId="28" pivotButton="0" quotePrefix="0" xfId="0"/>
    <xf numFmtId="0" fontId="3" fillId="5" borderId="29" pivotButton="0" quotePrefix="0" xfId="0"/>
    <xf numFmtId="0" fontId="12" fillId="5" borderId="27" pivotButton="0" quotePrefix="0" xfId="0"/>
    <xf numFmtId="0" fontId="12" fillId="5" borderId="27" applyAlignment="1" pivotButton="0" quotePrefix="0" xfId="0">
      <alignment horizontal="left"/>
    </xf>
    <xf numFmtId="0" fontId="3" fillId="5" borderId="28" applyAlignment="1" pivotButton="0" quotePrefix="0" xfId="0">
      <alignment horizontal="left"/>
    </xf>
    <xf numFmtId="0" fontId="3" fillId="5" borderId="30" pivotButton="0" quotePrefix="0" xfId="0"/>
    <xf numFmtId="0" fontId="3" fillId="5" borderId="30" applyAlignment="1" pivotButton="0" quotePrefix="0" xfId="0">
      <alignment horizontal="left"/>
    </xf>
    <xf numFmtId="0" fontId="3" fillId="5" borderId="31" pivotButton="0" quotePrefix="0" xfId="0"/>
    <xf numFmtId="0" fontId="12" fillId="5" borderId="30" pivotButton="0" quotePrefix="0" xfId="0"/>
    <xf numFmtId="0" fontId="12" fillId="5" borderId="28" pivotButton="0" quotePrefix="0" xfId="0"/>
    <xf numFmtId="0" fontId="3" fillId="5" borderId="30" applyAlignment="1" pivotButton="0" quotePrefix="0" xfId="0">
      <alignment vertical="center"/>
    </xf>
    <xf numFmtId="0" fontId="3" fillId="5" borderId="27" applyAlignment="1" pivotButton="0" quotePrefix="0" xfId="0">
      <alignment vertical="center"/>
    </xf>
    <xf numFmtId="0" fontId="3" fillId="5" borderId="30" applyAlignment="1" pivotButton="0" quotePrefix="0" xfId="0">
      <alignment horizontal="left" vertical="center"/>
    </xf>
    <xf numFmtId="0" fontId="3" fillId="5" borderId="30" applyAlignment="1" pivotButton="0" quotePrefix="0" xfId="2">
      <alignment horizontal="left"/>
    </xf>
    <xf numFmtId="0" fontId="3" fillId="5" borderId="30" pivotButton="0" quotePrefix="0" xfId="2"/>
    <xf numFmtId="0" fontId="3" fillId="5" borderId="31" applyAlignment="1" pivotButton="0" quotePrefix="0" xfId="2">
      <alignment horizontal="left"/>
    </xf>
    <xf numFmtId="0" fontId="3" fillId="5" borderId="27" applyAlignment="1" pivotButton="0" quotePrefix="0" xfId="0">
      <alignment horizontal="left" vertical="center"/>
    </xf>
    <xf numFmtId="0" fontId="3" fillId="5" borderId="27" applyAlignment="1" pivotButton="0" quotePrefix="0" xfId="2">
      <alignment horizontal="left"/>
    </xf>
    <xf numFmtId="0" fontId="3" fillId="5" borderId="27" pivotButton="0" quotePrefix="0" xfId="2"/>
    <xf numFmtId="0" fontId="3" fillId="5" borderId="28" applyAlignment="1" pivotButton="0" quotePrefix="0" xfId="2">
      <alignment horizontal="left"/>
    </xf>
    <xf numFmtId="0" fontId="0" fillId="0" borderId="0" applyAlignment="1" pivotButton="0" quotePrefix="0" xfId="0">
      <alignment horizontal="left" vertical="center"/>
    </xf>
    <xf numFmtId="0" fontId="3" fillId="6" borderId="27" pivotButton="0" quotePrefix="0" xfId="0"/>
    <xf numFmtId="0" fontId="3" fillId="6" borderId="27" applyAlignment="1" pivotButton="0" quotePrefix="0" xfId="0">
      <alignment horizontal="left"/>
    </xf>
    <xf numFmtId="9" fontId="3" fillId="6" borderId="27" pivotButton="0" quotePrefix="0" xfId="0"/>
    <xf numFmtId="0" fontId="3" fillId="0" borderId="27" pivotButton="0" quotePrefix="0" xfId="0"/>
    <xf numFmtId="0" fontId="3" fillId="6" borderId="30" pivotButton="0" quotePrefix="0" xfId="0"/>
    <xf numFmtId="0" fontId="3" fillId="6" borderId="30" applyAlignment="1" pivotButton="0" quotePrefix="0" xfId="0">
      <alignment horizontal="left"/>
    </xf>
    <xf numFmtId="0" fontId="12" fillId="7" borderId="27" pivotButton="0" quotePrefix="0" xfId="0"/>
    <xf numFmtId="0" fontId="12" fillId="7" borderId="27" applyAlignment="1" pivotButton="0" quotePrefix="0" xfId="0">
      <alignment horizontal="left"/>
    </xf>
    <xf numFmtId="0" fontId="12" fillId="7" borderId="30" pivotButton="0" quotePrefix="0" xfId="0"/>
    <xf numFmtId="0" fontId="12" fillId="7" borderId="30" applyAlignment="1" pivotButton="0" quotePrefix="0" xfId="0">
      <alignment horizontal="left"/>
    </xf>
    <xf numFmtId="0" fontId="3" fillId="8" borderId="27" pivotButton="0" quotePrefix="0" xfId="0"/>
    <xf numFmtId="0" fontId="3" fillId="8" borderId="28" pivotButton="0" quotePrefix="0" xfId="0"/>
    <xf numFmtId="0" fontId="3" fillId="8" borderId="27" applyAlignment="1" pivotButton="0" quotePrefix="0" xfId="0">
      <alignment horizontal="left"/>
    </xf>
    <xf numFmtId="0" fontId="3" fillId="8" borderId="27" applyAlignment="1" pivotButton="0" quotePrefix="0" xfId="0">
      <alignment horizontal="right"/>
    </xf>
    <xf numFmtId="9" fontId="3" fillId="8" borderId="27" pivotButton="0" quotePrefix="0" xfId="0"/>
    <xf numFmtId="0" fontId="3" fillId="8" borderId="0" pivotButton="0" quotePrefix="0" xfId="0"/>
    <xf numFmtId="0" fontId="3" fillId="8" borderId="30" pivotButton="0" quotePrefix="0" xfId="0"/>
    <xf numFmtId="0" fontId="3" fillId="8" borderId="31" pivotButton="0" quotePrefix="0" xfId="0"/>
    <xf numFmtId="0" fontId="3" fillId="9" borderId="27" pivotButton="0" quotePrefix="0" xfId="0"/>
    <xf numFmtId="0" fontId="3" fillId="9" borderId="28" pivotButton="0" quotePrefix="0" xfId="0"/>
    <xf numFmtId="0" fontId="3" fillId="9" borderId="29" pivotButton="0" quotePrefix="0" xfId="0"/>
    <xf numFmtId="0" fontId="3" fillId="9" borderId="27" applyAlignment="1" pivotButton="0" quotePrefix="0" xfId="0">
      <alignment horizontal="left"/>
    </xf>
    <xf numFmtId="0" fontId="3" fillId="9" borderId="30" pivotButton="0" quotePrefix="0" xfId="0"/>
    <xf numFmtId="0" fontId="3" fillId="9" borderId="31" pivotButton="0" quotePrefix="0" xfId="0"/>
    <xf numFmtId="0" fontId="3" fillId="9" borderId="27" applyAlignment="1" pivotButton="0" quotePrefix="0" xfId="0">
      <alignment horizontal="right"/>
    </xf>
    <xf numFmtId="0" fontId="12" fillId="9" borderId="27" applyAlignment="1" pivotButton="0" quotePrefix="0" xfId="0">
      <alignment horizontal="left"/>
    </xf>
    <xf numFmtId="0" fontId="3" fillId="10" borderId="27" pivotButton="0" quotePrefix="0" xfId="0"/>
    <xf numFmtId="0" fontId="3" fillId="10" borderId="27" applyAlignment="1" pivotButton="0" quotePrefix="0" xfId="0">
      <alignment horizontal="left"/>
    </xf>
    <xf numFmtId="0" fontId="3" fillId="10" borderId="28" pivotButton="0" quotePrefix="0" xfId="0"/>
    <xf numFmtId="9" fontId="3" fillId="10" borderId="27" pivotButton="0" quotePrefix="0" xfId="0"/>
    <xf numFmtId="10" fontId="3" fillId="10" borderId="27" pivotButton="0" quotePrefix="0" xfId="0"/>
    <xf numFmtId="0" fontId="3" fillId="10" borderId="30" pivotButton="0" quotePrefix="0" xfId="0"/>
    <xf numFmtId="0" fontId="3" fillId="10" borderId="30" applyAlignment="1" pivotButton="0" quotePrefix="0" xfId="0">
      <alignment horizontal="left"/>
    </xf>
    <xf numFmtId="0" fontId="3" fillId="10" borderId="31" pivotButton="0" quotePrefix="0" xfId="0"/>
    <xf numFmtId="0" fontId="3" fillId="11" borderId="27" pivotButton="0" quotePrefix="0" xfId="0"/>
    <xf numFmtId="0" fontId="3" fillId="11" borderId="30" pivotButton="0" quotePrefix="0" xfId="0"/>
    <xf numFmtId="0" fontId="3" fillId="11" borderId="28" pivotButton="0" quotePrefix="0" xfId="0"/>
    <xf numFmtId="0" fontId="3" fillId="11" borderId="31" pivotButton="0" quotePrefix="0" xfId="0"/>
    <xf numFmtId="0" fontId="3" fillId="11" borderId="27" applyAlignment="1" pivotButton="0" quotePrefix="0" xfId="0">
      <alignment horizontal="left"/>
    </xf>
    <xf numFmtId="0" fontId="3" fillId="11" borderId="27" pivotButton="0" quotePrefix="0" xfId="2"/>
    <xf numFmtId="0" fontId="3" fillId="11" borderId="28" pivotButton="0" quotePrefix="0" xfId="2"/>
    <xf numFmtId="0" fontId="3" fillId="11" borderId="30" applyAlignment="1" pivotButton="0" quotePrefix="0" xfId="0">
      <alignment horizontal="left"/>
    </xf>
    <xf numFmtId="0" fontId="3" fillId="11" borderId="27" applyAlignment="1" pivotButton="0" quotePrefix="0" xfId="2">
      <alignment horizontal="left"/>
    </xf>
    <xf numFmtId="0" fontId="3" fillId="11" borderId="30" pivotButton="0" quotePrefix="0" xfId="2"/>
    <xf numFmtId="0" fontId="3" fillId="11" borderId="31" pivotButton="0" quotePrefix="0" xfId="2"/>
    <xf numFmtId="0" fontId="3" fillId="11" borderId="32" pivotButton="0" quotePrefix="0" xfId="0"/>
    <xf numFmtId="0" fontId="3" fillId="12" borderId="27" pivotButton="0" quotePrefix="0" xfId="0"/>
    <xf numFmtId="0" fontId="3" fillId="12" borderId="27" applyAlignment="1" pivotButton="0" quotePrefix="0" xfId="0">
      <alignment horizontal="left"/>
    </xf>
    <xf numFmtId="0" fontId="3" fillId="12" borderId="28" pivotButton="0" quotePrefix="0" xfId="0"/>
    <xf numFmtId="0" fontId="3" fillId="12" borderId="29" pivotButton="0" quotePrefix="0" xfId="0"/>
    <xf numFmtId="0" fontId="3" fillId="12" borderId="30" pivotButton="0" quotePrefix="0" xfId="0"/>
    <xf numFmtId="0" fontId="3" fillId="12" borderId="31" pivotButton="0" quotePrefix="0" xfId="0"/>
    <xf numFmtId="0" fontId="3" fillId="12" borderId="30" applyAlignment="1" pivotButton="0" quotePrefix="0" xfId="0">
      <alignment horizontal="left"/>
    </xf>
    <xf numFmtId="0" fontId="12" fillId="12" borderId="27" pivotButton="0" quotePrefix="0" xfId="0"/>
    <xf numFmtId="0" fontId="12" fillId="12" borderId="30" pivotButton="0" quotePrefix="0" xfId="0"/>
    <xf numFmtId="0" fontId="12" fillId="12" borderId="28" pivotButton="0" quotePrefix="0" xfId="0"/>
    <xf numFmtId="0" fontId="6" fillId="4" borderId="0" applyAlignment="1" pivotButton="0" quotePrefix="0" xfId="0">
      <alignment horizontal="left" vertical="top"/>
    </xf>
    <xf numFmtId="0" fontId="3" fillId="13" borderId="27" pivotButton="0" quotePrefix="0" xfId="0"/>
    <xf numFmtId="0" fontId="13"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vertical="center"/>
    </xf>
    <xf numFmtId="0" fontId="14" fillId="0" borderId="0" applyAlignment="1" pivotButton="0" quotePrefix="0" xfId="0">
      <alignment horizontal="left" vertical="center"/>
    </xf>
    <xf numFmtId="0" fontId="15" fillId="14" borderId="0" applyAlignment="1" pivotButton="0" quotePrefix="0" xfId="0">
      <alignment horizontal="left" vertical="center" indent="1"/>
    </xf>
    <xf numFmtId="0" fontId="15" fillId="14" borderId="0" applyAlignment="1" pivotButton="0" quotePrefix="0" xfId="0">
      <alignment horizontal="left" vertical="center"/>
    </xf>
    <xf numFmtId="0" fontId="15" fillId="14" borderId="0" applyAlignment="1" pivotButton="0" quotePrefix="0" xfId="0">
      <alignment vertical="center"/>
    </xf>
    <xf numFmtId="0" fontId="16" fillId="14" borderId="0" applyAlignment="1" pivotButton="0" quotePrefix="0" xfId="0">
      <alignment vertical="center"/>
    </xf>
    <xf numFmtId="0" fontId="16" fillId="14" borderId="0" applyAlignment="1" pivotButton="0" quotePrefix="0" xfId="0">
      <alignment horizontal="left" vertical="center"/>
    </xf>
    <xf numFmtId="0" fontId="3" fillId="0" borderId="0" applyAlignment="1" pivotButton="0" quotePrefix="0" xfId="0">
      <alignment vertical="center"/>
    </xf>
    <xf numFmtId="0" fontId="17" fillId="0" borderId="0" applyAlignment="1" pivotButton="0" quotePrefix="0" xfId="0">
      <alignment horizontal="left" vertical="center" indent="1"/>
    </xf>
    <xf numFmtId="0" fontId="6" fillId="0" borderId="0" applyAlignment="1" pivotButton="0" quotePrefix="0" xfId="0">
      <alignment horizontal="left" vertical="center"/>
    </xf>
    <xf numFmtId="0" fontId="6" fillId="0" borderId="0" applyAlignment="1" pivotButton="0" quotePrefix="0" xfId="0">
      <alignment vertical="center"/>
    </xf>
    <xf numFmtId="0" fontId="18" fillId="0" borderId="0" applyAlignment="1" pivotButton="0" quotePrefix="0" xfId="0">
      <alignment vertical="center"/>
    </xf>
    <xf numFmtId="0" fontId="18" fillId="0" borderId="0" applyAlignment="1" pivotButton="0" quotePrefix="0" xfId="0">
      <alignment horizontal="left" vertical="center"/>
    </xf>
    <xf numFmtId="0" fontId="19" fillId="15" borderId="10" applyAlignment="1" pivotButton="0" quotePrefix="0" xfId="0">
      <alignment horizontal="left" vertical="center" indent="1"/>
    </xf>
    <xf numFmtId="0" fontId="19" fillId="15" borderId="11" applyAlignment="1" pivotButton="0" quotePrefix="0" xfId="0">
      <alignment vertical="center" wrapText="1"/>
    </xf>
    <xf numFmtId="0" fontId="19" fillId="15" borderId="11" applyAlignment="1" pivotButton="0" quotePrefix="0" xfId="0">
      <alignment vertical="center"/>
    </xf>
    <xf numFmtId="0" fontId="19" fillId="15" borderId="11" applyAlignment="1" pivotButton="0" quotePrefix="0" xfId="0">
      <alignment horizontal="left" vertical="center"/>
    </xf>
    <xf numFmtId="0" fontId="19" fillId="15" borderId="12" applyAlignment="1" pivotButton="0" quotePrefix="0" xfId="0">
      <alignment vertical="center"/>
    </xf>
    <xf numFmtId="0" fontId="19" fillId="0" borderId="0" applyAlignment="1" pivotButton="0" quotePrefix="0" xfId="0">
      <alignment vertical="center"/>
    </xf>
    <xf numFmtId="0" fontId="19" fillId="0" borderId="0" applyAlignment="1" pivotButton="0" quotePrefix="0" xfId="0">
      <alignment horizontal="left" vertical="center"/>
    </xf>
    <xf numFmtId="0" fontId="19" fillId="0" borderId="6" applyAlignment="1" pivotButton="0" quotePrefix="0" xfId="0">
      <alignment vertical="center"/>
    </xf>
    <xf numFmtId="0" fontId="19" fillId="0" borderId="6" applyAlignment="1" pivotButton="0" quotePrefix="0" xfId="0">
      <alignment horizontal="left" vertical="center"/>
    </xf>
    <xf numFmtId="0" fontId="20" fillId="16" borderId="10" applyAlignment="1" pivotButton="0" quotePrefix="0" xfId="0">
      <alignment vertical="center"/>
    </xf>
    <xf numFmtId="0" fontId="20" fillId="16" borderId="11" applyAlignment="1" pivotButton="0" quotePrefix="0" xfId="0">
      <alignment vertical="center"/>
    </xf>
    <xf numFmtId="0" fontId="20" fillId="16" borderId="12" applyAlignment="1" pivotButton="0" quotePrefix="0" xfId="0">
      <alignment vertical="center"/>
    </xf>
    <xf numFmtId="0" fontId="13" fillId="0" borderId="6" applyAlignment="1" pivotButton="0" quotePrefix="0" xfId="0">
      <alignment vertical="center"/>
    </xf>
    <xf numFmtId="0" fontId="13" fillId="17" borderId="6" applyAlignment="1" pivotButton="0" quotePrefix="0" xfId="0">
      <alignment horizontal="left" vertical="center"/>
    </xf>
    <xf numFmtId="0" fontId="14" fillId="17" borderId="6" applyAlignment="1" pivotButton="0" quotePrefix="0" xfId="0">
      <alignment vertical="center"/>
    </xf>
    <xf numFmtId="0" fontId="14" fillId="17" borderId="6" applyAlignment="1" pivotButton="0" quotePrefix="0" xfId="0">
      <alignment horizontal="left" vertical="center"/>
    </xf>
    <xf numFmtId="0" fontId="13" fillId="17" borderId="6" applyAlignment="1" pivotButton="0" quotePrefix="0" xfId="0">
      <alignment vertical="center"/>
    </xf>
    <xf numFmtId="0" fontId="21" fillId="0" borderId="6" applyAlignment="1" pivotButton="0" quotePrefix="0" xfId="1">
      <alignment vertical="center"/>
    </xf>
    <xf numFmtId="0" fontId="13" fillId="17" borderId="11" applyAlignment="1" pivotButton="0" quotePrefix="0" xfId="0">
      <alignment horizontal="left" vertical="center"/>
    </xf>
    <xf numFmtId="0" fontId="20" fillId="18" borderId="10" applyAlignment="1" pivotButton="0" quotePrefix="0" xfId="0">
      <alignment vertical="center"/>
    </xf>
    <xf numFmtId="0" fontId="20" fillId="18" borderId="11" applyAlignment="1" pivotButton="0" quotePrefix="0" xfId="0">
      <alignment vertical="center"/>
    </xf>
    <xf numFmtId="0" fontId="20" fillId="18" borderId="12" applyAlignment="1" pivotButton="0" quotePrefix="0" xfId="0">
      <alignment vertical="center"/>
    </xf>
    <xf numFmtId="0" fontId="13" fillId="16" borderId="6" applyAlignment="1" pivotButton="0" quotePrefix="0" xfId="0">
      <alignment horizontal="left" vertical="center"/>
    </xf>
    <xf numFmtId="0" fontId="14" fillId="16" borderId="6" applyAlignment="1" pivotButton="0" quotePrefix="0" xfId="0">
      <alignment vertical="center"/>
    </xf>
    <xf numFmtId="0" fontId="14" fillId="16" borderId="6" applyAlignment="1" pivotButton="0" quotePrefix="0" xfId="0">
      <alignment horizontal="left" vertical="center"/>
    </xf>
    <xf numFmtId="0" fontId="13" fillId="16" borderId="6" applyAlignment="1" pivotButton="0" quotePrefix="0" xfId="0">
      <alignment vertical="center"/>
    </xf>
    <xf numFmtId="0" fontId="14" fillId="16" borderId="6" applyAlignment="1" pivotButton="0" quotePrefix="0" xfId="0">
      <alignment vertical="center" wrapText="1"/>
    </xf>
    <xf numFmtId="0" fontId="1" fillId="0" borderId="0" applyAlignment="1" pivotButton="0" quotePrefix="0" xfId="1">
      <alignment vertical="center"/>
    </xf>
    <xf numFmtId="0" fontId="1" fillId="0" borderId="0" pivotButton="0" quotePrefix="0" xfId="1"/>
    <xf numFmtId="0" fontId="13" fillId="0" borderId="33" applyAlignment="1" pivotButton="0" quotePrefix="0" xfId="0">
      <alignment vertical="center"/>
    </xf>
    <xf numFmtId="0" fontId="13" fillId="16" borderId="33" applyAlignment="1" pivotButton="0" quotePrefix="0" xfId="0">
      <alignment horizontal="left" vertical="center"/>
    </xf>
    <xf numFmtId="0" fontId="14" fillId="16" borderId="33" applyAlignment="1" pivotButton="0" quotePrefix="0" xfId="0">
      <alignment vertical="center"/>
    </xf>
    <xf numFmtId="0" fontId="14" fillId="16" borderId="33" applyAlignment="1" pivotButton="0" quotePrefix="0" xfId="0">
      <alignment horizontal="left" vertical="center"/>
    </xf>
    <xf numFmtId="0" fontId="13" fillId="16" borderId="33" applyAlignment="1" pivotButton="0" quotePrefix="0" xfId="0">
      <alignment vertical="center"/>
    </xf>
    <xf numFmtId="0" fontId="21" fillId="0" borderId="33" applyAlignment="1" pivotButton="0" quotePrefix="0" xfId="1">
      <alignment vertical="center"/>
    </xf>
    <xf numFmtId="0" fontId="20" fillId="18" borderId="9" applyAlignment="1" pivotButton="0" quotePrefix="0" xfId="0">
      <alignment vertical="center"/>
    </xf>
    <xf numFmtId="0" fontId="20" fillId="18" borderId="7" applyAlignment="1" pivotButton="0" quotePrefix="0" xfId="0">
      <alignment vertical="center"/>
    </xf>
    <xf numFmtId="0" fontId="20" fillId="18" borderId="8" applyAlignment="1" pivotButton="0" quotePrefix="0" xfId="0">
      <alignment vertical="center"/>
    </xf>
    <xf numFmtId="0" fontId="13" fillId="0" borderId="10" applyAlignment="1" pivotButton="0" quotePrefix="0" xfId="0">
      <alignment vertical="center"/>
    </xf>
    <xf numFmtId="0" fontId="22" fillId="16" borderId="6" applyAlignment="1" pivotButton="0" quotePrefix="0" xfId="0">
      <alignment horizontal="left" vertical="center"/>
    </xf>
    <xf numFmtId="0" fontId="14" fillId="16" borderId="6" applyAlignment="1" pivotButton="0" quotePrefix="0" xfId="0">
      <alignment horizontal="left" vertical="center" wrapText="1"/>
    </xf>
    <xf numFmtId="0" fontId="13" fillId="0" borderId="0" applyAlignment="1" pivotButton="0" quotePrefix="0" xfId="0">
      <alignment horizontal="left" vertical="top"/>
    </xf>
    <xf numFmtId="0" fontId="3" fillId="0" borderId="6" applyAlignment="1" pivotButton="0" quotePrefix="0" xfId="0">
      <alignment horizontal="left" vertical="top"/>
    </xf>
    <xf numFmtId="0" fontId="0" fillId="0" borderId="13" pivotButton="0" quotePrefix="0" xfId="0"/>
    <xf numFmtId="0" fontId="0" fillId="0" borderId="14" pivotButton="0" quotePrefix="0" xfId="0"/>
    <xf numFmtId="0" fontId="3" fillId="0" borderId="10" applyAlignment="1" pivotButton="0" quotePrefix="0" xfId="0">
      <alignment horizontal="left" vertical="top"/>
    </xf>
    <xf numFmtId="0" fontId="0" fillId="0" borderId="3" pivotButton="0" quotePrefix="0" xfId="0"/>
    <xf numFmtId="0" fontId="0" fillId="0" borderId="9" pivotButton="0" quotePrefix="0" xfId="0"/>
    <xf numFmtId="0" fontId="7" fillId="0" borderId="5" applyAlignment="1" pivotButton="0" quotePrefix="0" xfId="2">
      <alignment horizontal="left" vertical="center"/>
    </xf>
    <xf numFmtId="0" fontId="0" fillId="0" borderId="0" pivotButton="0" quotePrefix="0" xfId="0"/>
    <xf numFmtId="0" fontId="0" fillId="0" borderId="5" pivotButton="0" quotePrefix="0" xfId="0"/>
    <xf numFmtId="0" fontId="6" fillId="0" borderId="15" applyAlignment="1" pivotButton="0" quotePrefix="0" xfId="2">
      <alignment horizontal="center" vertical="center"/>
    </xf>
    <xf numFmtId="0" fontId="0" fillId="0" borderId="16" pivotButton="0" quotePrefix="0" xfId="0"/>
    <xf numFmtId="0" fontId="7" fillId="0" borderId="0" pivotButton="0" quotePrefix="0" xfId="0"/>
    <xf numFmtId="17" fontId="3" fillId="3" borderId="2" pivotButton="0" quotePrefix="0" xfId="2"/>
    <xf numFmtId="0" fontId="0" fillId="0" borderId="1" pivotButton="0" quotePrefix="0" xfId="0"/>
    <xf numFmtId="0" fontId="0" fillId="0" borderId="2" pivotButton="0" quotePrefix="0" xfId="0"/>
  </cellXfs>
  <cellStyles count="3">
    <cellStyle name="Normal" xfId="0" builtinId="0"/>
    <cellStyle name="Hyperlink" xfId="1" builtinId="8"/>
    <cellStyle name="Normal 2" xfId="2"/>
  </cellStyles>
  <dxfs count="109">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D4CA"/>
          <bgColor rgb="FFD6D4CA"/>
        </patternFill>
      </fill>
      <border>
        <left style="thin">
          <color indexed="65"/>
        </left>
        <right/>
        <top style="thin">
          <color indexed="65"/>
        </top>
        <bottom style="thin">
          <color indexed="65"/>
        </bottom>
        <vertical/>
        <horizontal/>
      </border>
    </dxf>
    <dxf>
      <font>
        <name val="Arial Narrow"/>
        <strike val="0"/>
        <sz val="11"/>
        <vertAlign val="baseline"/>
      </font>
      <fill>
        <patternFill patternType="solid">
          <fgColor rgb="FFD6D4CA"/>
          <bgColor rgb="FFD6D4CA"/>
        </patternFill>
      </fill>
      <border>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CC0D9"/>
          <bgColor rgb="FFCCC0D9"/>
        </patternFill>
      </fill>
      <border>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alignment horizontal="left" vertical="bottom"/>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alignment horizontal="left" vertical="bottom"/>
      <border>
        <left style="thin">
          <color indexed="65"/>
        </left>
        <right style="thin">
          <color indexed="65"/>
        </right>
        <top style="thin">
          <color indexed="65"/>
        </top>
        <bottom style="thin">
          <color indexed="65"/>
        </bottom>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92CDDC"/>
          <bgColor rgb="FF92CDDC"/>
        </patternFill>
      </fill>
      <alignment horizontal="left" vertical="bottom"/>
      <border>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horizontal="lef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Table2" displayName="Table2" ref="A1:L116" headerRowCount="1">
  <autoFilter ref="A1:L116"/>
  <sortState ref="A2:L116">
    <sortCondition ref="B1:B116"/>
  </sortState>
  <tableColumns count="12">
    <tableColumn id="1" name="Announcement_Year" dataDxfId="108"/>
    <tableColumn id="2" name="Metric" dataDxfId="107"/>
    <tableColumn id="3" name="Direction" dataDxfId="106"/>
    <tableColumn id="4" name="Target_Magnitude" dataDxfId="105"/>
    <tableColumn id="5" name="Baseline" dataDxfId="104"/>
    <tableColumn id="6" name="Target_Year_or_Period" dataDxfId="103"/>
    <tableColumn id="7" name="Count" dataDxfId="102"/>
    <tableColumn id="8" name="Target_Category" dataDxfId="101"/>
    <tableColumn id="9" name="Accountability" dataDxfId="100"/>
    <tableColumn id="10" name="Sentence" dataDxfId="99"/>
    <tableColumn id="11" name="Document" dataDxfId="98"/>
    <tableColumn id="12" name="Topic_Label" dataDxfId="97"/>
  </tableColumns>
  <tableStyleInfo name="TableStyleMedium2" showFirstColumn="0" showLastColumn="0" showRowStripes="1" showColumnStripes="0"/>
</table>
</file>

<file path=xl/tables/table2.xml><?xml version="1.0" encoding="utf-8"?>
<table xmlns="http://schemas.openxmlformats.org/spreadsheetml/2006/main" id="2" name="Table3" displayName="Table3" ref="A1:M474" headerRowCount="1">
  <autoFilter ref="A1:M474"/>
  <sortState ref="A2:M474">
    <sortCondition ref="B1:B474"/>
  </sortState>
  <tableColumns count="13">
    <tableColumn id="1" name="Announcement_Year" dataDxfId="96"/>
    <tableColumn id="2" name="Metric" dataDxfId="95"/>
    <tableColumn id="3" name="Direction" dataDxfId="94"/>
    <tableColumn id="4" name="Target_Magnitude" dataDxfId="93"/>
    <tableColumn id="5" name="Baseline" dataDxfId="92"/>
    <tableColumn id="6" name="Target_Year_or_Period" dataDxfId="91"/>
    <tableColumn id="7" name="Count" dataDxfId="90"/>
    <tableColumn id="8" name="Target_Category" dataDxfId="89"/>
    <tableColumn id="9" name="Accountability" dataDxfId="88"/>
    <tableColumn id="10" name="Sentence" dataDxfId="87"/>
    <tableColumn id="11" name="Document" dataDxfId="86"/>
    <tableColumn id="12" name="Topic_Label" dataDxfId="85"/>
    <tableColumn id="13" name="Subtopic_Label" dataDxfId="84"/>
  </tableColumns>
  <tableStyleInfo name="TableStyleMedium2" showFirstColumn="0" showLastColumn="0" showRowStripes="1" showColumnStripes="0"/>
</table>
</file>

<file path=xl/tables/table3.xml><?xml version="1.0" encoding="utf-8"?>
<table xmlns="http://schemas.openxmlformats.org/spreadsheetml/2006/main" id="3" name="Table4" displayName="Table4" ref="A1:L184" headerRowCount="1">
  <autoFilter ref="A1:L184"/>
  <sortState ref="A2:L184">
    <sortCondition ref="B1:B184"/>
  </sortState>
  <tableColumns count="12">
    <tableColumn id="1" name="Announcement_Year" dataDxfId="83"/>
    <tableColumn id="2" name="Metric" dataDxfId="82"/>
    <tableColumn id="3" name="Direction" dataDxfId="81"/>
    <tableColumn id="4" name="Target_Magnitude" dataDxfId="80"/>
    <tableColumn id="5" name="Baseline" dataDxfId="79"/>
    <tableColumn id="6" name="Target_Year_or_Period" dataDxfId="78"/>
    <tableColumn id="7" name="Count" dataDxfId="77"/>
    <tableColumn id="8" name="Target_Category" dataDxfId="76"/>
    <tableColumn id="9" name="Accountability" dataDxfId="75"/>
    <tableColumn id="10" name="Sentence" dataDxfId="74"/>
    <tableColumn id="11" name="Document" dataDxfId="73"/>
    <tableColumn id="12" name="Topic_Label" dataDxfId="72"/>
  </tableColumns>
  <tableStyleInfo name="TableStyleMedium2" showFirstColumn="0" showLastColumn="0" showRowStripes="1" showColumnStripes="0"/>
</table>
</file>

<file path=xl/tables/table4.xml><?xml version="1.0" encoding="utf-8"?>
<table xmlns="http://schemas.openxmlformats.org/spreadsheetml/2006/main" id="4" name="Table5" displayName="Table5" ref="A1:L89" headerRowCount="1">
  <autoFilter ref="A1:L89"/>
  <sortState ref="A2:L89">
    <sortCondition ref="B1:B89"/>
  </sortState>
  <tableColumns count="12">
    <tableColumn id="1" name="Announcement_Year" dataDxfId="71"/>
    <tableColumn id="2" name="Metric" dataDxfId="70"/>
    <tableColumn id="3" name="Direction" dataDxfId="69"/>
    <tableColumn id="4" name="Target_Magnitude" dataDxfId="68"/>
    <tableColumn id="5" name="Baseline" dataDxfId="67"/>
    <tableColumn id="6" name="Target_Year_or_Period" dataDxfId="66"/>
    <tableColumn id="7" name="Count" dataDxfId="65"/>
    <tableColumn id="8" name="Target_Category" dataDxfId="64"/>
    <tableColumn id="9" name="Accountability" dataDxfId="63"/>
    <tableColumn id="10" name="Sentence" dataDxfId="62"/>
    <tableColumn id="11" name="Document" dataDxfId="61"/>
    <tableColumn id="12" name="Topic_Label" dataDxfId="60"/>
  </tableColumns>
  <tableStyleInfo name="TableStyleMedium2" showFirstColumn="0" showLastColumn="0" showRowStripes="1" showColumnStripes="0"/>
</table>
</file>

<file path=xl/tables/table5.xml><?xml version="1.0" encoding="utf-8"?>
<table xmlns="http://schemas.openxmlformats.org/spreadsheetml/2006/main" id="5" name="Table6" displayName="Table6" ref="A1:L84" headerRowCount="1">
  <autoFilter ref="A1:L84"/>
  <sortState ref="A2:L84">
    <sortCondition ref="B1:B84"/>
  </sortState>
  <tableColumns count="12">
    <tableColumn id="1" name="Announcement_Year" dataDxfId="59"/>
    <tableColumn id="2" name="Metric" dataDxfId="58"/>
    <tableColumn id="3" name="Direction" dataDxfId="57"/>
    <tableColumn id="4" name="Target_Magnitude" dataDxfId="56"/>
    <tableColumn id="5" name="Baseline" dataDxfId="55"/>
    <tableColumn id="6" name="Target_Year_or_Period" dataDxfId="54"/>
    <tableColumn id="7" name="Count" dataDxfId="53"/>
    <tableColumn id="8" name="Target_Category" dataDxfId="52"/>
    <tableColumn id="9" name="Accountability" dataDxfId="51"/>
    <tableColumn id="10" name="Sentence" dataDxfId="50"/>
    <tableColumn id="11" name="Document" dataDxfId="49"/>
    <tableColumn id="12" name="Topic_Label" dataDxfId="48"/>
  </tableColumns>
  <tableStyleInfo name="TableStyleMedium2" showFirstColumn="0" showLastColumn="0" showRowStripes="1" showColumnStripes="0"/>
</table>
</file>

<file path=xl/tables/table6.xml><?xml version="1.0" encoding="utf-8"?>
<table xmlns="http://schemas.openxmlformats.org/spreadsheetml/2006/main" id="6" name="Table7" displayName="Table7" ref="A1:L201" headerRowCount="1">
  <autoFilter ref="A1:L201"/>
  <sortState ref="A2:L201">
    <sortCondition ref="B1:B201"/>
  </sortState>
  <tableColumns count="12">
    <tableColumn id="1" name="Announcement_Year" dataDxfId="47"/>
    <tableColumn id="2" name="Metric" dataDxfId="46"/>
    <tableColumn id="3" name="Direction" dataDxfId="45"/>
    <tableColumn id="4" name="Target_Magnitude" dataDxfId="44"/>
    <tableColumn id="5" name="Baseline" dataDxfId="43"/>
    <tableColumn id="6" name="Target_Year_or_Period" dataDxfId="42"/>
    <tableColumn id="7" name="Count" dataDxfId="41"/>
    <tableColumn id="8" name="Target_Category" dataDxfId="40"/>
    <tableColumn id="9" name="Accountability" dataDxfId="39"/>
    <tableColumn id="10" name="Sentence" dataDxfId="38"/>
    <tableColumn id="11" name="Document" dataDxfId="37"/>
    <tableColumn id="12" name="Topic_Label" dataDxfId="36"/>
  </tableColumns>
  <tableStyleInfo name="TableStyleMedium2" showFirstColumn="0" showLastColumn="0" showRowStripes="1" showColumnStripes="0"/>
</table>
</file>

<file path=xl/tables/table7.xml><?xml version="1.0" encoding="utf-8"?>
<table xmlns="http://schemas.openxmlformats.org/spreadsheetml/2006/main" id="7" name="Table1" displayName="Table1" ref="A1:L182" headerRowCount="1">
  <autoFilter ref="A1:L182"/>
  <sortState ref="A2:L182">
    <sortCondition ref="B1:B182"/>
  </sortState>
  <tableColumns count="12">
    <tableColumn id="1" name="Announcement_Year" dataDxfId="35"/>
    <tableColumn id="2" name="Metric" dataDxfId="34"/>
    <tableColumn id="3" name="Direction" dataDxfId="33"/>
    <tableColumn id="4" name="Target_Magnitude" dataDxfId="32"/>
    <tableColumn id="5" name="Baseline" dataDxfId="31"/>
    <tableColumn id="6" name="Target_Year_or_Period" dataDxfId="30"/>
    <tableColumn id="7" name="Count" dataDxfId="29"/>
    <tableColumn id="8" name="Target_Category" dataDxfId="28"/>
    <tableColumn id="9" name="Accountability" dataDxfId="27"/>
    <tableColumn id="10" name="Sentence" dataDxfId="26"/>
    <tableColumn id="11" name="Document" dataDxfId="25"/>
    <tableColumn id="12" name="Topic_Label" dataDxfId="24"/>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L82" headerRowCount="1">
  <autoFilter ref="A1:L82"/>
  <sortState ref="A3:L82">
    <sortCondition ref="B1:B82"/>
  </sortState>
  <tableColumns count="12">
    <tableColumn id="1" name="Announcement_Year" dataDxfId="23"/>
    <tableColumn id="2" name="Metric" dataDxfId="22"/>
    <tableColumn id="3" name="Direction" dataDxfId="21"/>
    <tableColumn id="4" name="Target_Magnitude" dataDxfId="20"/>
    <tableColumn id="5" name="Baseline" dataDxfId="19"/>
    <tableColumn id="6" name="Target_Year_or_Period" dataDxfId="18"/>
    <tableColumn id="7" name="Count" dataDxfId="17"/>
    <tableColumn id="8" name="Target_Category" dataDxfId="16"/>
    <tableColumn id="9" name="Accountability" dataDxfId="15"/>
    <tableColumn id="10" name="Sentence" dataDxfId="14"/>
    <tableColumn id="11" name="Document" dataDxfId="13"/>
    <tableColumn id="12" name="Topic_Label" dataDxfId="12"/>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L22" headerRowCount="1">
  <autoFilter ref="A1:L22"/>
  <sortState ref="A2:L22">
    <sortCondition ref="B1:B22"/>
  </sortState>
  <tableColumns count="12">
    <tableColumn id="1" name="Announcement_Year" dataDxfId="11"/>
    <tableColumn id="2" name="Metric" dataDxfId="10"/>
    <tableColumn id="3" name="Direction" dataDxfId="9"/>
    <tableColumn id="4" name="Target_Magnitude" dataDxfId="8"/>
    <tableColumn id="5" name="Baseline" dataDxfId="7"/>
    <tableColumn id="6" name="Target_Year_or_Period" dataDxfId="6"/>
    <tableColumn id="7" name="Count" dataDxfId="5"/>
    <tableColumn id="8" name="Target_Category" dataDxfId="4"/>
    <tableColumn id="9" name="Accountability" dataDxfId="3"/>
    <tableColumn id="10" name="Sentence" dataDxfId="2"/>
    <tableColumn id="11" name="Document" dataDxfId="1"/>
    <tableColumn id="12" name="Topic_Label"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hyperlink" Target="https://www.adaptation-undp.org/sites/default/files/resources/chinas_national_climate_change_program.pdf" TargetMode="External" Id="rId1"/><Relationship Type="http://schemas.openxmlformats.org/officeDocument/2006/relationships/hyperlink" Target="https://zfxxgk.ndrc.gov.cn/web/iteminfo.jsp?id=298" TargetMode="External" Id="rId2"/><Relationship Type="http://schemas.openxmlformats.org/officeDocument/2006/relationships/hyperlink" Target="https://english.www.gov.cn/policies/latestreleases/202110/25/content_WS61760047c6d0df57f98e3c21.html" TargetMode="External" Id="rId3"/><Relationship Type="http://schemas.openxmlformats.org/officeDocument/2006/relationships/hyperlink" Target="https://english.www.gov.cn/policies/latestreleases/202110/27/content_WS6178a47ec6d0df57f98e3dfb.html" TargetMode="External" Id="rId4"/><Relationship Type="http://schemas.openxmlformats.org/officeDocument/2006/relationships/hyperlink" Target="https://unfccc.int/sites/default/files/resource/China%E2%80%99s%20Mid-Century%20Long-Term%20Low%20Greenhouse%20Gas%20Emission%20Development%20Strategy.pdf" TargetMode="External" Id="rId5"/><Relationship Type="http://schemas.openxmlformats.org/officeDocument/2006/relationships/hyperlink" Target="https://www.gov.cn/guowuyuan/2015-09/21/content_2936327.htm" TargetMode="External" Id="rId6"/><Relationship Type="http://schemas.openxmlformats.org/officeDocument/2006/relationships/hyperlink" Target="https://www.gov.cn/xinwen/2015-05/05/content_2857363.htm" TargetMode="External" Id="rId7"/><Relationship Type="http://schemas.openxmlformats.org/officeDocument/2006/relationships/hyperlink" Target="https://www.gov.cn/zhengce/content/2021-02/22/content_5588274.htm" TargetMode="External" Id="rId8"/><Relationship Type="http://schemas.openxmlformats.org/officeDocument/2006/relationships/hyperlink" Target="http://english.scio.gov.cn/m/whitepapers/2021-10/27/content_77836502_4.htm" TargetMode="External" Id="rId9"/><Relationship Type="http://schemas.openxmlformats.org/officeDocument/2006/relationships/hyperlink" Target="https://www.gov.cn/zhengce/202408/content_6967663.htm" TargetMode="External" Id="rId10"/><Relationship Type="http://schemas.openxmlformats.org/officeDocument/2006/relationships/hyperlink" Target="https://www.gov.cn/zhengce/202401/content_6925405.htm" TargetMode="External" Id="rId11"/><Relationship Type="http://schemas.openxmlformats.org/officeDocument/2006/relationships/hyperlink" Target="https://www.gov.cn/zhengce/content/202408/content_6966079.htm" TargetMode="External" Id="rId12"/><Relationship Type="http://schemas.openxmlformats.org/officeDocument/2006/relationships/hyperlink" Target="https://english.mee.gov.cn/News_service/media_news/202012/t20201216_813364.shtml?utm_source=chatgpt.com" TargetMode="External" Id="rId13"/><Relationship Type="http://schemas.openxmlformats.org/officeDocument/2006/relationships/hyperlink" Target="https://www.chinadaily.com.cn/a/202104/22/WS60819863a31024ad0bab9b58.html?utm_source=chatgpt.com" TargetMode="External" Id="rId14"/><Relationship Type="http://schemas.openxmlformats.org/officeDocument/2006/relationships/hyperlink" Target="https://english.www.gov.cn/news/202509/25/content_WS68d47dcac6d00ca5f9a066a5.html" TargetMode="External" Id="rId15"/><Relationship Type="http://schemas.openxmlformats.org/officeDocument/2006/relationships/hyperlink" Target="https://unfccc.int/resource/docs/natc/chnnc1c.pdf" TargetMode="External" Id="rId16"/><Relationship Type="http://schemas.openxmlformats.org/officeDocument/2006/relationships/hyperlink" Target="https://unfccc.int/resource/docs/natc/chnnc2e.pdf" TargetMode="External" Id="rId17"/><Relationship Type="http://schemas.openxmlformats.org/officeDocument/2006/relationships/hyperlink" Target="https://www.greenpolicyplatform.org/national-documents/peoples-republic-china-nationally-determined-contribution-ndc-chinese" TargetMode="External" Id="rId18"/><Relationship Type="http://schemas.openxmlformats.org/officeDocument/2006/relationships/hyperlink" Target="https://unfccc.int/sites/default/files/resource/The%20People%E2%80%99s%20Republic%20of%20China%20First%20Biennial%20Transparency%20Report%20on%20Climate%20Change.pdf" TargetMode="External" Id="rId19"/><Relationship Type="http://schemas.openxmlformats.org/officeDocument/2006/relationships/hyperlink" Target="https://unfccc.int/sites/default/files/resource/China%202BUR_English.pdf" TargetMode="External" Id="rId20"/><Relationship Type="http://schemas.openxmlformats.org/officeDocument/2006/relationships/hyperlink" Target="https://english.mee.gov.cn/Resources/Reports/reports/201907/P020190702566752327206.pdf" TargetMode="External" Id="rId21"/><Relationship Type="http://schemas.openxmlformats.org/officeDocument/2006/relationships/hyperlink" Target="https://unfccc.int/NDCREG" TargetMode="External" Id="rId22"/><Relationship Type="http://schemas.openxmlformats.org/officeDocument/2006/relationships/hyperlink" Target="https://unfccc.int/NDCREG" TargetMode="External" Id="rId23"/><Relationship Type="http://schemas.openxmlformats.org/officeDocument/2006/relationships/hyperlink" Target="https://unfccc.int/sites/default/files/resource/China_BUR3_English.pdf" TargetMode="External" Id="rId24"/><Relationship Type="http://schemas.openxmlformats.org/officeDocument/2006/relationships/hyperlink" Target="https://unfccc.int/sites/default/files/resource/China_NC4_English.pdf" TargetMode="External" Id="rId25"/><Relationship Type="http://schemas.openxmlformats.org/officeDocument/2006/relationships/hyperlink" Target="https://www.mee.gov.cn/ywdt/hjywnews/202312/t20231229_1060290.shtml" TargetMode="External" Id="rId26"/><Relationship Type="http://schemas.openxmlformats.org/officeDocument/2006/relationships/hyperlink" Target="https://unfccc.int/sites/default/files/2025-11/2035%E5%B9%B4%E4%B8%AD%E5%9B%BD%E5%9B%BD%E5%AE%B6%E8%87%AA%E4%B8%BB%E8%B4%A1%E7%8C%AE%E6%8A%A5%E5%91%8A.pdf" TargetMode="External" Id="rId27"/><Relationship Type="http://schemas.openxmlformats.org/officeDocument/2006/relationships/hyperlink" Target="http://bb.china-embassy.gov.cn/eng/sgxw/200811/P020210724224798219558.pdf" TargetMode="External" Id="rId28"/><Relationship Type="http://schemas.openxmlformats.org/officeDocument/2006/relationships/hyperlink" Target="https://www.ccchina.org.cn/WebSite/CCChina/UpFile/File571.pdf" TargetMode="External" Id="rId29"/><Relationship Type="http://schemas.openxmlformats.org/officeDocument/2006/relationships/hyperlink" Target="http://www.ncsc.org.cn/yjcg/cbw/201307/W020180920484673915021.pdf" TargetMode="External" Id="rId30"/><Relationship Type="http://schemas.openxmlformats.org/officeDocument/2006/relationships/hyperlink" Target="https://www.gov.cn/jrzg/2011-11/22/content_2000047.htm" TargetMode="External" Id="rId31"/><Relationship Type="http://schemas.openxmlformats.org/officeDocument/2006/relationships/hyperlink" Target="http://www.ncsc.org.cn/yjcg/cbw/201307/W020180920484675924333.pdf" TargetMode="External" Id="rId32"/><Relationship Type="http://schemas.openxmlformats.org/officeDocument/2006/relationships/hyperlink" Target="http://www.ncsc.org.cn/yjcg/cbw/201311/W020180920484676540025.pdf" TargetMode="External" Id="rId33"/><Relationship Type="http://schemas.openxmlformats.org/officeDocument/2006/relationships/hyperlink" Target="https://faolex.fao.org/docs/pdf/chn229788.pdf" TargetMode="External" Id="rId34"/><Relationship Type="http://schemas.openxmlformats.org/officeDocument/2006/relationships/hyperlink" Target="https://www.cma.gov.cn/en2014/climate/featutes/201511/P020151120633951236905.pdf" TargetMode="External" Id="rId35"/><Relationship Type="http://schemas.openxmlformats.org/officeDocument/2006/relationships/hyperlink" Target="http://english.mee.gov.cn/Resources/Reports/reports/201812/P020181203551911199524.pdf" TargetMode="External" Id="rId36"/><Relationship Type="http://schemas.openxmlformats.org/officeDocument/2006/relationships/hyperlink" Target="https://en.ndrc.gov.cn/news/pressreleases/202105/P020210527390986419589.pdf" TargetMode="External" Id="rId37"/><Relationship Type="http://schemas.openxmlformats.org/officeDocument/2006/relationships/hyperlink" Target="https://english.mee.gov.cn/News_service/news_release/201812/P020181203536441502157.pdf" TargetMode="External" Id="rId38"/><Relationship Type="http://schemas.openxmlformats.org/officeDocument/2006/relationships/hyperlink" Target="https://english.mee.gov.cn/Resources/Reports/reports/201912/P020191204495763994956.pdf" TargetMode="External" Id="rId39"/><Relationship Type="http://schemas.openxmlformats.org/officeDocument/2006/relationships/hyperlink" Target="http://www.ncsc.org.cn/yjcg/cbw/202111/P020211117418821628432.pdf" TargetMode="External" Id="rId40"/><Relationship Type="http://schemas.openxmlformats.org/officeDocument/2006/relationships/hyperlink" Target="https://english.mee.gov.cn/Resources/Reports/reports/202211/P020221110605466439270.pdf" TargetMode="External" Id="rId41"/><Relationship Type="http://schemas.openxmlformats.org/officeDocument/2006/relationships/hyperlink" Target="https://www.mee.gov.cn/ywgz/ydqhbh/wsqtkz/202310/W020231027674250657087.pdf" TargetMode="External" Id="rId42"/><Relationship Type="http://schemas.openxmlformats.org/officeDocument/2006/relationships/hyperlink" Target="https://english.mee.gov.cn/News_service/news_release/202501/P020250122370358250549.pdf" TargetMode="External" Id="rId43"/><Relationship Type="http://schemas.openxmlformats.org/officeDocument/2006/relationships/hyperlink" Target="https://www.gov.cn/lianbo/bumen/202510/content_7046295.htm" TargetMode="External" Id="rId44"/><Relationship Type="http://schemas.openxmlformats.org/officeDocument/2006/relationships/hyperlink" Target="https://policy.asiapacificenergy.org/sites/default/files/11th%20Five-Year%20Plan%20%282006-2010%29%20for%20National%20Economic%20and%20Social%20Development%20%28EN%29.pdf?utm_source=chatgpt.com" TargetMode="External" Id="rId45"/><Relationship Type="http://schemas.openxmlformats.org/officeDocument/2006/relationships/hyperlink" Target="https://policy.asiapacificenergy.org/node/37" TargetMode="External" Id="rId46"/><Relationship Type="http://schemas.openxmlformats.org/officeDocument/2006/relationships/hyperlink" Target="https://en.ndrc.gov.cn/policies/202105/P020210527785800103339.pdf?utm_source=chatgpt.com" TargetMode="External" Id="rId47"/><Relationship Type="http://schemas.openxmlformats.org/officeDocument/2006/relationships/hyperlink" Target="https://www.gov.cn/xinwen/2021-03/13/content_5592681.htm" TargetMode="External" Id="rId48"/><Relationship Type="http://schemas.openxmlformats.org/officeDocument/2006/relationships/hyperlink" Target="https://www.ndrc.gov.cn/fggz/fzzlgh/gjfzgh/202603/U020260317369114704096.pdf" TargetMode="External" Id="rId49"/><Relationship Type="http://schemas.openxmlformats.org/officeDocument/2006/relationships/hyperlink" Target="https://www.gov.cn/test/2006-02/16/content_201193.htm" TargetMode="External" Id="rId50"/><Relationship Type="http://schemas.openxmlformats.org/officeDocument/2006/relationships/hyperlink" Target="https://www.gov.cn/test/2006-02/16/content_201218.htm" TargetMode="External" Id="rId51"/><Relationship Type="http://schemas.openxmlformats.org/officeDocument/2006/relationships/hyperlink" Target="https://www.gov.cn/test/2009-03/16/content_1260216.htm" TargetMode="External" Id="rId52"/><Relationship Type="http://schemas.openxmlformats.org/officeDocument/2006/relationships/hyperlink" Target="https://baike.baidu.com/item/2007%E5%B9%B4%E5%9B%BD%E5%8A%A1%E9%99%A2%E6%94%BF%E5%BA%9C%E5%B7%A5%E4%BD%9C%E6%8A%A5%E5%91%8A/23324579?svcp_stk=1_MKwirz1vv4tNwJFmio_uUop4XWwiEISBAqnODFVnKpoAz-EiVMShmrtRb2f9WNliJ8JxnxqnK-jq_R7JOOQWf9FbR2BCRywc3PGi3mRcDxm-2zK5k3tOs_qk_XF9DQa4mTT4ADjyAlbL5n-QPRHE4aLJOJu-np5irKqXAmrEFPnrU1bFztdOEKyUoQqfgvY3oetREA_yfEMg-6LyeV0dj6L7FqkXf2jkOq71kI-cYEI%3D" TargetMode="External" Id="rId53"/><Relationship Type="http://schemas.openxmlformats.org/officeDocument/2006/relationships/hyperlink" Target="https://www.gov.cn/test/2009-03/16/content_1260198.htm" TargetMode="External" Id="rId54"/><Relationship Type="http://schemas.openxmlformats.org/officeDocument/2006/relationships/hyperlink" Target="https://www.gov.cn/test/2009-03/16/content_1260221.htm" TargetMode="External" Id="rId55"/><Relationship Type="http://schemas.openxmlformats.org/officeDocument/2006/relationships/hyperlink" Target="https://www.most.gov.cn/ztzl/lhzt/lhzt2010/zxdtlhzt2010/201003/t20100316_76307.html" TargetMode="External" Id="rId56"/><Relationship Type="http://schemas.openxmlformats.org/officeDocument/2006/relationships/hyperlink" Target="https://www.ndrc.gov.cn/xwdt/gdzt/2009gmjj2010gmjj/gy2010jjsh/201009/t20100909_1198236.html" TargetMode="External" Id="rId57"/><Relationship Type="http://schemas.openxmlformats.org/officeDocument/2006/relationships/hyperlink" Target="https://www.gov.cn/test/2011-03/15/content_1825270.htm" TargetMode="External" Id="rId58"/><Relationship Type="http://schemas.openxmlformats.org/officeDocument/2006/relationships/hyperlink" Target="https://www.12371.cn/2013/02/21/ARTI1361412057772396_all.shtml" TargetMode="External" Id="rId59"/><Relationship Type="http://schemas.openxmlformats.org/officeDocument/2006/relationships/hyperlink" Target="https://www.gov.cn/test/2012-03/15/content_2067314.htm" TargetMode="External" Id="rId60"/><Relationship Type="http://schemas.openxmlformats.org/officeDocument/2006/relationships/hyperlink" Target="https://epaper.gmw.cn/gmrb/html/2012-03/17/nw.D110000gmrb_20120317_1-04.htm" TargetMode="External" Id="rId61"/><Relationship Type="http://schemas.openxmlformats.org/officeDocument/2006/relationships/hyperlink" Target="https://www.gov.cn/test/2013-03/19/content_2357136.htm" TargetMode="External" Id="rId62"/><Relationship Type="http://schemas.openxmlformats.org/officeDocument/2006/relationships/hyperlink" Target="https://www.gov.cn/guowuyuan/2014-03/14/content_2638989.htm" TargetMode="External" Id="rId63"/><Relationship Type="http://schemas.openxmlformats.org/officeDocument/2006/relationships/hyperlink" Target="https://www.gov.cn/guowuyuan/2015-03/16/content_2835101.htm" TargetMode="External" Id="rId64"/><Relationship Type="http://schemas.openxmlformats.org/officeDocument/2006/relationships/hyperlink" Target="https://www.gov.cn/guowuyuan/2016-03/17/content_5054901.htm" TargetMode="External" Id="rId65"/><Relationship Type="http://schemas.openxmlformats.org/officeDocument/2006/relationships/hyperlink" Target="https://english.www.gov.cn/news/top_news/2016/03/19/content_281475310332486.htm" TargetMode="External" Id="rId66"/><Relationship Type="http://schemas.openxmlformats.org/officeDocument/2006/relationships/hyperlink" Target="http://lianghui.people.com.cn/2017/n1/2017/0316/c410899-29150065.html" TargetMode="External" Id="rId67"/><Relationship Type="http://schemas.openxmlformats.org/officeDocument/2006/relationships/hyperlink" Target="https://www.gov.cn/zhuanti/2018lh/2018zfgzbg/zfgzbg.htm" TargetMode="External" Id="rId68"/><Relationship Type="http://schemas.openxmlformats.org/officeDocument/2006/relationships/hyperlink" Target="https://www.xinhuanet.com/politics/2018lh/2018-03/23/c_1122583261.htm" TargetMode="External" Id="rId69"/><Relationship Type="http://schemas.openxmlformats.org/officeDocument/2006/relationships/hyperlink" Target="https://www.gov.cn/zhuanti/2019qglh/2019lhzfgzbg/index.htm" TargetMode="External" Id="rId70"/><Relationship Type="http://schemas.openxmlformats.org/officeDocument/2006/relationships/hyperlink" Target="https://www.gov.cn/gongbao/content/2020/content_5517495.htm" TargetMode="External" Id="rId71"/><Relationship Type="http://schemas.openxmlformats.org/officeDocument/2006/relationships/hyperlink" Target="https://english.www.gov.cn/news/topnews/202005/30/content_WS5ed24e81c6d0b3f0e9499215.html" TargetMode="External" Id="rId72"/><Relationship Type="http://schemas.openxmlformats.org/officeDocument/2006/relationships/hyperlink" Target="https://www.gov.cn/gongbao/content/2021/content_5593438.htm" TargetMode="External" Id="rId73"/><Relationship Type="http://schemas.openxmlformats.org/officeDocument/2006/relationships/hyperlink" Target="https://www.gov.cn/gongbao/content/2022/content_5679681.htm" TargetMode="External" Id="rId74"/><Relationship Type="http://schemas.openxmlformats.org/officeDocument/2006/relationships/hyperlink" Target="https://www.gov.cn/gongbao/content/2023/content_5747260.htm" TargetMode="External" Id="rId75"/><Relationship Type="http://schemas.openxmlformats.org/officeDocument/2006/relationships/hyperlink" Target="https://www.gov.cn/gongbao/2024/issue_11246/202403/content_6941846.html" TargetMode="External" Id="rId76"/><Relationship Type="http://schemas.openxmlformats.org/officeDocument/2006/relationships/hyperlink" Target="https://www.gov.cn/gongbao/2025/issue_11946/202503/content_7015861.html" TargetMode="External" Id="rId77"/><Relationship Type="http://schemas.openxmlformats.org/officeDocument/2006/relationships/hyperlink" Target="https://www.spp.gov.cn/spp/tt/202603/t20260313_723952.shtml" TargetMode="External" Id="rId78"/><Relationship Type="http://schemas.openxmlformats.org/officeDocument/2006/relationships/hyperlink" Target="https://www.renrendoc.com/paper/132337830.html" TargetMode="External" Id="rId79"/><Relationship Type="http://schemas.openxmlformats.org/officeDocument/2006/relationships/hyperlink" Target="https://policy.asiapacificenergy.org/sites/default/files/China_Energy_Saving_Plan.pdf?utm_source=chatgpt.com" TargetMode="External" Id="rId80"/><Relationship Type="http://schemas.openxmlformats.org/officeDocument/2006/relationships/hyperlink" Target="https://www.nea.gov.cn/131215784_11n.pdf" TargetMode="External" Id="rId81"/><Relationship Type="http://schemas.openxmlformats.org/officeDocument/2006/relationships/hyperlink" Target="https://baike.baidu.com/item/%E5%9B%BD%E5%AE%B6%E9%87%8D%E5%A4%A7%E7%A7%91%E6%8A%80%E5%9F%BA%E7%A1%80%E8%AE%BE%E6%96%BD%E5%BB%BA%E8%AE%BE%E4%B8%AD%E9%95%BF%E6%9C%9F%E8%A7%84%E5%88%92%EF%BC%882012%E2%80%942030%E5%B9%B4%EF%BC%89/7276618" TargetMode="External" Id="rId82"/><Relationship Type="http://schemas.openxmlformats.org/officeDocument/2006/relationships/hyperlink" Target="https://www.gov.cn/zhengce/zhengceku/2015-05/19/content_9784.htm" TargetMode="External" Id="rId83"/><Relationship Type="http://schemas.openxmlformats.org/officeDocument/2006/relationships/hyperlink" Target="https://www.gov.cn/gongbao/content/2017/content_5230289.htm" TargetMode="External" Id="rId84"/><Relationship Type="http://schemas.openxmlformats.org/officeDocument/2006/relationships/hyperlink" Target="http://zfxxgk.nea.gov.cn/2021-09/17/c_1310193456.htm" TargetMode="External" Id="rId85"/><Relationship Type="http://schemas.openxmlformats.org/officeDocument/2006/relationships/hyperlink" Target="https://www.ndrc.gov.cn/xxgk/zcfb/ghwb/202203/P020220323314396580505.pdf" TargetMode="External" Id="rId86"/><Relationship Type="http://schemas.openxmlformats.org/officeDocument/2006/relationships/hyperlink" Target="https://xxgk.mot.gov.cn/jigou/kjs/202203/t20220325_3647752.html" TargetMode="External" Id="rId87"/><Relationship Type="http://schemas.openxmlformats.org/officeDocument/2006/relationships/hyperlink" Target="https://baike.baidu.com/item/%E7%85%A4%E7%82%AD%E5%B7%A5%E4%B8%9A%E5%8F%91%E5%B1%95%E2%80%9C%E5%8D%81%E4%B8%80%E4%BA%94%E2%80%9D%E8%A7%84%E5%88%92/4073357" TargetMode="External" Id="rId88"/><Relationship Type="http://schemas.openxmlformats.org/officeDocument/2006/relationships/hyperlink" Target="https://zfxxgk.nea.gov.cn/auto79/201109/P020110921527315023013.pdf" TargetMode="External" Id="rId89"/><Relationship Type="http://schemas.openxmlformats.org/officeDocument/2006/relationships/hyperlink" Target="https://www.nea.gov.cn/2006-06/28/c_131215308.htm" TargetMode="External" Id="rId90"/><Relationship Type="http://schemas.openxmlformats.org/officeDocument/2006/relationships/hyperlink" Target="https://www.gov.cn/zhengce/zhengceku/2012-01/13/content_1294.htm" TargetMode="External" Id="rId91"/><Relationship Type="http://schemas.openxmlformats.org/officeDocument/2006/relationships/hyperlink" Target="https://baike.baidu.com/item/%E5%85%AC%E8%B7%AF%E6%B0%B4%E8%B7%AF%E4%BA%A4%E9%80%9A%E8%BF%90%E8%BE%93%E8%8A%82%E8%83%BD%E5%87%8F%E6%8E%92%E2%80%9C%E5%8D%81%E4%BA%8C%E4%BA%94%E2%80%9D%E8%A7%84%E5%88%92/3380241" TargetMode="External" Id="rId92"/><Relationship Type="http://schemas.openxmlformats.org/officeDocument/2006/relationships/hyperlink" Target="https://baike.baidu.com/item/%E7%85%A4%E5%B1%82%E6%B0%94%EF%BC%88%E7%85%A4%E7%9F%BF%E7%93%A6%E6%96%AF%EF%BC%89%E5%BC%80%E5%8F%91%E5%88%A9%E7%94%A8%E2%80%9C%E5%8D%81%E4%BA%8C%E4%BA%94%E2%80%9D%E8%A7%84%E5%88%92/5838983?fromModule=search-result_lemma" TargetMode="External" Id="rId93"/><Relationship Type="http://schemas.openxmlformats.org/officeDocument/2006/relationships/hyperlink" Target="https://www.gov.cn/zwgk/2012-08/21/content_2207867.htm" TargetMode="External" Id="rId94"/><Relationship Type="http://schemas.openxmlformats.org/officeDocument/2006/relationships/hyperlink" Target="https://www.most.gov.cn/xxgk/xinxifenlei/fdzdgknr/fgzc/gfxwj/gfxwj2012/201211/t20121101_97552.html" TargetMode="External" Id="rId95"/><Relationship Type="http://schemas.openxmlformats.org/officeDocument/2006/relationships/hyperlink" Target="https://www.gov.cn/gongbao/content/2012/content_2192397.htm" TargetMode="External" Id="rId96"/><Relationship Type="http://schemas.openxmlformats.org/officeDocument/2006/relationships/hyperlink" Target="https://zfxxgk.nea.gov.cn/auto87/201209/t20120912_1510.htm" TargetMode="External" Id="rId97"/><Relationship Type="http://schemas.openxmlformats.org/officeDocument/2006/relationships/hyperlink" Target="https://www.nea.gov.cn/2012-04/26/c_131551940.htm" TargetMode="External" Id="rId98"/><Relationship Type="http://schemas.openxmlformats.org/officeDocument/2006/relationships/hyperlink" Target="https://www.iea.org/policies/5471-wind-power-technology-development-12th-five-year-special-planning" TargetMode="External" Id="rId99"/><Relationship Type="http://schemas.openxmlformats.org/officeDocument/2006/relationships/hyperlink" Target="https://policy.asiapacificenergy.org/sites/default/files/12th%20Five%20Year%20Plan%20of%20Renewable%20Energy%20Development%20%28CH%29.pdf" TargetMode="External" Id="rId100"/><Relationship Type="http://schemas.openxmlformats.org/officeDocument/2006/relationships/hyperlink" Target="https://baike.baidu.com/item/%E7%85%A4%E7%82%AD%E5%B7%A5%E4%B8%9A%E5%8F%91%E5%B1%95%E2%80%9C%E5%8D%81%E4%BA%8C%E4%BA%94%E2%80%9D%E8%A7%84%E5%88%92?fromModule=lemma_search-box" TargetMode="External" Id="rId101"/><Relationship Type="http://schemas.openxmlformats.org/officeDocument/2006/relationships/hyperlink" Target="https://www.most.gov.cn/xxgk/xinxifenlei/fdzdgknr/fgzc/gfxwj/gfxwj2013/201303/t20130315_100225.html" TargetMode="External" Id="rId102"/><Relationship Type="http://schemas.openxmlformats.org/officeDocument/2006/relationships/hyperlink" Target="https://www.gov.cn/zwgk/2013-01/23/content_2318554.htm" TargetMode="External" Id="rId103"/><Relationship Type="http://schemas.openxmlformats.org/officeDocument/2006/relationships/hyperlink" Target="https://www.gov.cn/zhengce/zhengceku/2017-01/05/content_5156789.htm" TargetMode="External" Id="rId104"/><Relationship Type="http://schemas.openxmlformats.org/officeDocument/2006/relationships/hyperlink" Target="https://www.ndrc.gov.cn/fggz/fzzlgh/gjjzxgh/201708/t20170809_1196881.html?code=&amp;state=123" TargetMode="External" Id="rId105"/><Relationship Type="http://schemas.openxmlformats.org/officeDocument/2006/relationships/hyperlink" Target="https://www.ndrc.gov.cn/xxgk/zcfb/tz/201701/t20170117_962873.html?code=&amp;state=123" TargetMode="External" Id="rId106"/><Relationship Type="http://schemas.openxmlformats.org/officeDocument/2006/relationships/hyperlink" Target="https://www.ndrc.gov.cn/xxgk/zcfb/tz/201612/t20161230_962836.html" TargetMode="External" Id="rId107"/><Relationship Type="http://schemas.openxmlformats.org/officeDocument/2006/relationships/hyperlink" Target="https://fjb.nea.gov.cn/xxgk/zcfg/202311/t20231114_217580.html" TargetMode="External" Id="rId108"/><Relationship Type="http://schemas.openxmlformats.org/officeDocument/2006/relationships/hyperlink" Target="http://www.gov.cn/xinwen/2016-12/06/content_5143612.htm" TargetMode="External" Id="rId109"/><Relationship Type="http://schemas.openxmlformats.org/officeDocument/2006/relationships/hyperlink" Target="https://zfxxgk.ndrc.gov.cn/web/iteminfo.jsp?id=398" TargetMode="External" Id="rId110"/><Relationship Type="http://schemas.openxmlformats.org/officeDocument/2006/relationships/hyperlink" Target="http://www.nea.gov.cn/2016-11/29/c_135867633.htm" TargetMode="External" Id="rId111"/><Relationship Type="http://schemas.openxmlformats.org/officeDocument/2006/relationships/hyperlink" Target="http://zfxxgk.nea.gov.cn/auto87/201612/t20161216_2358.htm" TargetMode="External" Id="rId112"/><Relationship Type="http://schemas.openxmlformats.org/officeDocument/2006/relationships/hyperlink" Target="http://www.gov.cn/xinwen/2016-05/20/content_5074981.htm" TargetMode="External" Id="rId113"/><Relationship Type="http://schemas.openxmlformats.org/officeDocument/2006/relationships/hyperlink" Target="https://www.ndrc.gov.cn/xxgk/zcfb/ghwb/201701/t20170122_962224.html" TargetMode="External" Id="rId114"/><Relationship Type="http://schemas.openxmlformats.org/officeDocument/2006/relationships/hyperlink" Target="https://www.gov.cn/zhengce/content/2016-12/19/content_5150090.htm" TargetMode="External" Id="rId115"/><Relationship Type="http://schemas.openxmlformats.org/officeDocument/2006/relationships/hyperlink" Target="http://www.gov.cn/xinwen/2016-09/30/content_5114313.htm" TargetMode="External" Id="rId116"/><Relationship Type="http://schemas.openxmlformats.org/officeDocument/2006/relationships/hyperlink" Target="https://www.mee.gov.cn/ywgz/ydqhbh/wsqtkz/201904/t20190419_700360.shtml" TargetMode="External" Id="rId117"/><Relationship Type="http://schemas.openxmlformats.org/officeDocument/2006/relationships/hyperlink" Target="https://www.ndrc.gov.cn/xxgk/zcfb/ghwb/201612/t20161216_962211.html" TargetMode="External" Id="rId118"/><Relationship Type="http://schemas.openxmlformats.org/officeDocument/2006/relationships/hyperlink" Target="https://zjjcmspublic.oss-cn-hangzhou-zwynet-d01-a.internet.cloud.zj.gov.cn/jcms_files/jcms1/web3234/site/attach/0/562db9fdbf644a6996c8e7dc97c18dfc.pdf" TargetMode="External" Id="rId119"/><Relationship Type="http://schemas.openxmlformats.org/officeDocument/2006/relationships/hyperlink" Target="https://baike.baidu.com/item/%E5%85%AC%E5%85%B1%E6%9C%BA%E6%9E%84%E8%8A%82%E7%BA%A6%E8%83%BD%E6%BA%90%E8%B5%84%E6%BA%90%E5%8D%81%E4%B8%89%E4%BA%94%E8%A7%84%E5%88%92/19879514" TargetMode="External" Id="rId120"/><Relationship Type="http://schemas.openxmlformats.org/officeDocument/2006/relationships/hyperlink" Target="https://xxgk.mot.gov.cn/jigou/fgs/202006/t20200623_3307639.html" TargetMode="External" Id="rId121"/><Relationship Type="http://schemas.openxmlformats.org/officeDocument/2006/relationships/hyperlink" Target="https://gc.mnr.gov.cn/201806/t20180614_1796496.html" TargetMode="External" Id="rId122"/><Relationship Type="http://schemas.openxmlformats.org/officeDocument/2006/relationships/hyperlink" Target="https://en.gem.com.cn/upload/2017-01/06/6guanyuyinfashisanwujienenghuanbaochanyefazhanguihuadetongzhi.pdf" TargetMode="External" Id="rId123"/><Relationship Type="http://schemas.openxmlformats.org/officeDocument/2006/relationships/hyperlink" Target="https://www.ndrc.gov.cn/fggz/hjyzy/jnhnx/201701/t20170105_1134128.html?code=&amp;state=123" TargetMode="External" Id="rId124"/><Relationship Type="http://schemas.openxmlformats.org/officeDocument/2006/relationships/hyperlink" Target="https://www.ndrc.gov.cn/xxgk/zcfb/tz/201701/t20170119_962876.html?code=&amp;state=123" TargetMode="External" Id="rId125"/><Relationship Type="http://schemas.openxmlformats.org/officeDocument/2006/relationships/hyperlink" Target="https://www.ndrc.gov.cn/fggz/fzzlgh/gjjzxgh/201706/t20170621_1196816.html" TargetMode="External" Id="rId126"/><Relationship Type="http://schemas.openxmlformats.org/officeDocument/2006/relationships/hyperlink" Target="https://ccnt.igdp.cn/en/action-database/details/39e0200d00a3f18ff35701521411b80549eb9ab764543c50978e38d3fa57e438" TargetMode="External" Id="rId127"/><Relationship Type="http://schemas.openxmlformats.org/officeDocument/2006/relationships/hyperlink" Target="http://www.nea.gov.cn/2017-02/06/c_136035635.htm" TargetMode="External" Id="rId128"/><Relationship Type="http://schemas.openxmlformats.org/officeDocument/2006/relationships/hyperlink" Target="https://www.most.gov.cn/xxgk/xinxifenlei/fdzdgknr/fgzc/gfxwj/gfxwj2017/201705/t20170517_132850.html" TargetMode="External" Id="rId129"/><Relationship Type="http://schemas.openxmlformats.org/officeDocument/2006/relationships/hyperlink" Target="https://baike.baidu.com/item/%E2%80%9C%E5%8D%81%E4%B8%89%E4%BA%94%E2%80%9D%E7%8E%B0%E4%BB%A3%E7%BB%BC%E5%90%88%E4%BA%A4%E9%80%9A%E8%BF%90%E8%BE%93%E4%BD%93%E7%B3%BB%E5%8F%91%E5%B1%95%E8%A7%84%E5%88%92/20457990" TargetMode="External" Id="rId130"/><Relationship Type="http://schemas.openxmlformats.org/officeDocument/2006/relationships/hyperlink" Target="https://www.chinanecc.cn/upload/File/1489627753056.pdf" TargetMode="External" Id="rId131"/><Relationship Type="http://schemas.openxmlformats.org/officeDocument/2006/relationships/hyperlink" Target="http://www.gov.cn/zhengce/zhengceku/2021-12/03/content_5655701.htm" TargetMode="External" Id="rId132"/><Relationship Type="http://schemas.openxmlformats.org/officeDocument/2006/relationships/hyperlink" Target="https://www.gov.cn/zhengce/zhengceku/2021-12/29/5665166/files/90c1c79a00b44c67b59c29392476c862.pdf" TargetMode="External" Id="rId133"/><Relationship Type="http://schemas.openxmlformats.org/officeDocument/2006/relationships/hyperlink" Target="https://www.gov.cn/zhengce/content/2022-01/18/content_5669049.htm" TargetMode="External" Id="rId134"/><Relationship Type="http://schemas.openxmlformats.org/officeDocument/2006/relationships/hyperlink" Target="https://www.gov.cn/zhengce/zhengceku/2022-01/21/content_5669662.htm" TargetMode="External" Id="rId135"/><Relationship Type="http://schemas.openxmlformats.org/officeDocument/2006/relationships/hyperlink" Target="https://www.ndrc.gov.cn/xxgk/zcfb/ghwb/202206/t20220601_1326719.html" TargetMode="External" Id="rId136"/><Relationship Type="http://schemas.openxmlformats.org/officeDocument/2006/relationships/hyperlink" Target="https://www.gov.cn/zhengce/content/2022-01/24/content_5670202.htm" TargetMode="External" Id="rId137"/><Relationship Type="http://schemas.openxmlformats.org/officeDocument/2006/relationships/hyperlink" Target="https://www.gov.cn/zhengce/zhengceku/2021-11/14/content_5650830.htm" TargetMode="External" Id="rId138"/><Relationship Type="http://schemas.openxmlformats.org/officeDocument/2006/relationships/hyperlink" Target="http://www.forestry.gov.cn/c/www/lczc/44287.jhtml" TargetMode="External" Id="rId139"/><Relationship Type="http://schemas.openxmlformats.org/officeDocument/2006/relationships/hyperlink" Target="http://www.moa.gov.cn/govpublic/FZJHS/202109/t20210907_6375844.htm" TargetMode="External" Id="rId140"/><Relationship Type="http://schemas.openxmlformats.org/officeDocument/2006/relationships/hyperlink" Target="http://zfxxgk.nea.gov.cn/1310540453_16488637054861n.pdf" TargetMode="External" Id="rId141"/><Relationship Type="http://schemas.openxmlformats.org/officeDocument/2006/relationships/hyperlink" Target="https://www.gov.cn/zhengce/content/2021-12/12/content_5660244.htm" TargetMode="External" Id="rId142"/><Relationship Type="http://schemas.openxmlformats.org/officeDocument/2006/relationships/hyperlink" Target="http://www.greenfood.agri.cn/tzgg/202306/t20230612_7995081.htm" TargetMode="External" Id="rId143"/><Relationship Type="http://schemas.openxmlformats.org/officeDocument/2006/relationships/hyperlink" Target="https://www.ndrc.gov.cn/xxgk/zcfb/ghwb/202107/t20210707_1285527.html?code=&amp;state=123" TargetMode="External" Id="rId144"/><Relationship Type="http://schemas.openxmlformats.org/officeDocument/2006/relationships/hyperlink" Target="https://www.ndrc.gov.cn/xxgk/zcfb/tz/202111/t20211109_1303467.html?code=&amp;state=123" TargetMode="External" Id="rId145"/><Relationship Type="http://schemas.openxmlformats.org/officeDocument/2006/relationships/hyperlink" Target="https://www.ggj.gov.cn/tzgg/202106/t20210604_32593.htm" TargetMode="External" Id="rId146"/><Relationship Type="http://schemas.openxmlformats.org/officeDocument/2006/relationships/hyperlink" Target="https://www.mee.gov.cn/xxgk2018/xxgk/xxgk03/202112/t20211215_964275.html" TargetMode="External" Id="rId147"/><Relationship Type="http://schemas.openxmlformats.org/officeDocument/2006/relationships/hyperlink" Target="https://www.sac.gov.cn/xxgk/zcwj/art/2021/art_51ab9411394a44d78985f6f5efdc80a7.html" TargetMode="External" Id="rId148"/><Relationship Type="http://schemas.openxmlformats.org/officeDocument/2006/relationships/hyperlink" Target="https://www.ndrc.gov.cn/xxgk/zcfb/ghwb/202203/t20220322_1320016.html?code=&amp;state=123" TargetMode="External" Id="rId149"/><Relationship Type="http://schemas.openxmlformats.org/officeDocument/2006/relationships/hyperlink" Target="https://www.gov.cn/zhengce/zhengceku/2022-01/27/5670687/files/12d50c613b344165afb21bc596a190fc.pdf" TargetMode="External" Id="rId150"/><Relationship Type="http://schemas.openxmlformats.org/officeDocument/2006/relationships/hyperlink" Target="http://zfxxgk.nea.gov.cn/2022-01/29/c_1310523208.htm" TargetMode="External" Id="rId151"/><Relationship Type="http://schemas.openxmlformats.org/officeDocument/2006/relationships/hyperlink" Target="https://www.gov.cn/zhengce/content/2022-02/11/content_5673082.htm" TargetMode="External" Id="rId152"/><Relationship Type="http://schemas.openxmlformats.org/officeDocument/2006/relationships/hyperlink" Target="https://www.ndrc.gov.cn/xwdt/tzgg/202205/P020220510324283427632.pdf" TargetMode="External" Id="rId153"/><Relationship Type="http://schemas.openxmlformats.org/officeDocument/2006/relationships/hyperlink" Target="https://www.mee.gov.cn/xxgk2018/xxgk/xxgk10/202211/t20221102_999489.html" TargetMode="External" Id="rId154"/><Relationship Type="http://schemas.openxmlformats.org/officeDocument/2006/relationships/hyperlink" Target="https://www.gov.cn/zhengce/zhengceku/2022-03/12/content_5678698.htm" TargetMode="External" Id="rId155"/><Relationship Type="http://schemas.openxmlformats.org/officeDocument/2006/relationships/hyperlink" Target="https://www.gov.cn/zhengce/content/202605/content_7070539.htm" TargetMode="External" Id="rId156"/><Relationship Type="http://schemas.openxmlformats.org/officeDocument/2006/relationships/hyperlink" Target="https://www.gov.cn/gongbao/content/2012/content_2182749.htm" TargetMode="External" Id="rId157"/><Relationship Type="http://schemas.openxmlformats.org/officeDocument/2006/relationships/hyperlink" Target="https://www.gov.cn/gongbao/content/2013/content_2339517.htm" TargetMode="External" Id="rId158"/><Relationship Type="http://schemas.openxmlformats.org/officeDocument/2006/relationships/hyperlink" Target="https://fjb.nea.gov.cn/xxgk/zcfg/202311/t20231114_217452.html" TargetMode="External" Id="rId159"/><Relationship Type="http://schemas.openxmlformats.org/officeDocument/2006/relationships/hyperlink" Target="https://www.gov.cn/xinwen/2015-05/28/content_2869902.htm" TargetMode="External" Id="rId160"/><Relationship Type="http://schemas.openxmlformats.org/officeDocument/2006/relationships/hyperlink" Target="http://www.scio.gov.cn/xwfbh/xwbfbh/wqfbh/33978/34888/xgzc34894/Document/1484864/1484864.htm" TargetMode="External" Id="rId161"/><Relationship Type="http://schemas.openxmlformats.org/officeDocument/2006/relationships/hyperlink" Target="https://www.gov.cn/gongbao/content/2020/content_5560291.htm" TargetMode="External" Id="rId162"/><Relationship Type="http://schemas.openxmlformats.org/officeDocument/2006/relationships/hyperlink" Target="https://www.ndrc.gov.cn/xxgk/zcfb/tz/202109/t20210916_1296856.html" TargetMode="External" Id="rId163"/><Relationship Type="http://schemas.openxmlformats.org/officeDocument/2006/relationships/hyperlink" Target="https://wenku.baidu.com/view/56f0541afc4ffe473368aba4?fr=xueshu&amp;_wkts_=1745936543293&amp;needWelcomeRecommand=1" TargetMode="External" Id="rId164"/><Relationship Type="http://schemas.openxmlformats.org/officeDocument/2006/relationships/hyperlink" Target="https://wenku.baidu.com/view/a9808ddee309581b6bd97f19227916888486b9ad.html?fr=aladdin266&amp;ind=1&amp;aigcsid=0&amp;qtype=0&amp;lcid=1&amp;queryKey=&#24314;&#35774;&#20302;&#30899;&#20132;&#36890;&#31995;&#32479;&#25351;&#23548;&#24847;&#35265;+2011&amp;verifyType=undefined&amp;_wkts_=1745936736044&amp;bdQuery=&#24314;&#35774;&#20302;&#30899;&#20132;&#36890;&#31995;&#32479;&#25351;&#23548;&#24847;&#35265;+2011" TargetMode="External" Id="rId165"/><Relationship Type="http://schemas.openxmlformats.org/officeDocument/2006/relationships/hyperlink" Target="https://www.gov.cn/gongbao/content/2013/content_2466586.htm" TargetMode="External" Id="rId166"/><Relationship Type="http://schemas.openxmlformats.org/officeDocument/2006/relationships/hyperlink" Target="https://www.gov.cn/zhengce/content/2013-10/18/content_4854.htm" TargetMode="External" Id="rId167"/><Relationship Type="http://schemas.openxmlformats.org/officeDocument/2006/relationships/hyperlink" Target="https://wenku.baidu.com/view/d47e12424b2fb4daa58da0116c175f0e7cd119d4.html?fr=aladdin266&amp;ind=1&amp;aigcsid=0&amp;qtype=0&amp;lcid=1&amp;queryKey=&#21152;&#24555;&#29983;&#20135;&#24615;&#26381;&#21153;&#19994;&#21457;&#23637;&#25512;&#21160;&#20135;&#19994;&#32467;&#26500;&#35843;&#25972;&#21319;&#32423;&#30340;&#25351;&#23548;&#24847;&#35265;+2014&amp;verifyType=undefined&amp;_wkts_=1745937405223&amp;bdQuery=&#21152;&#24555;&#29983;&#20135;&#24615;&#26381;&#21153;&#19994;&#21457;&#23637;&#25512;&#21160;&#20135;&#19994;&#32467;&#26500;&#35843;&#25972;&#21319;&#32423;&#30340;&#25351;&#23548;&#24847;&#35265;+2014" TargetMode="External" Id="rId168"/><Relationship Type="http://schemas.openxmlformats.org/officeDocument/2006/relationships/hyperlink" Target="https://www.gov.cn/gongbao/content/2014/content_2723629.htm" TargetMode="External" Id="rId169"/><Relationship Type="http://schemas.openxmlformats.org/officeDocument/2006/relationships/hyperlink" Target="https://www.forestry.gov.cn/uploadfile/gfxwj/201419/4880f0ef-74d4-4458-a4a6-2c57c5536b73.pdf" TargetMode="External" Id="rId170"/><Relationship Type="http://schemas.openxmlformats.org/officeDocument/2006/relationships/hyperlink" Target="https://zfxxgk.nea.gov.cn/auto82/201401/t20140124_1756.htm" TargetMode="External" Id="rId171"/><Relationship Type="http://schemas.openxmlformats.org/officeDocument/2006/relationships/hyperlink" Target="https://zfxxgk.nea.gov.cn/auto85/201503/t20150325_1894.htm" TargetMode="External" Id="rId172"/><Relationship Type="http://schemas.openxmlformats.org/officeDocument/2006/relationships/hyperlink" Target="https://www.mee.gov.cn/gkml/hbb/gwy/201611/t20161124_368163.htm" TargetMode="External" Id="rId173"/><Relationship Type="http://schemas.openxmlformats.org/officeDocument/2006/relationships/hyperlink" Target="http://zfxxgk.nea.gov.cn/auto87/201603/t20160303_2205.htm" TargetMode="External" Id="rId174"/><Relationship Type="http://schemas.openxmlformats.org/officeDocument/2006/relationships/hyperlink" Target="http://www.hrcshp.org/cn/onews.asp?id=1552" TargetMode="External" Id="rId175"/><Relationship Type="http://schemas.openxmlformats.org/officeDocument/2006/relationships/hyperlink" Target="http://zfxxgk.nea.gov.cn/auto87/201707/t20170728_2835.htm" TargetMode="External" Id="rId176"/><Relationship Type="http://schemas.openxmlformats.org/officeDocument/2006/relationships/hyperlink" Target="https://www.gov.cn/xinwen/2017-09/20/content_5226347.htm" TargetMode="External" Id="rId177"/><Relationship Type="http://schemas.openxmlformats.org/officeDocument/2006/relationships/hyperlink" Target="http://zfxxgk.nea.gov.cn/auto87/201707/t20170728_2835.htm" TargetMode="External" Id="rId178"/><Relationship Type="http://schemas.openxmlformats.org/officeDocument/2006/relationships/hyperlink" Target="https://www.nea.gov.cn/2017-10/11/c_136672015.htm" TargetMode="External" Id="rId179"/><Relationship Type="http://schemas.openxmlformats.org/officeDocument/2006/relationships/hyperlink" Target="http://zfxxgk.nea.gov.cn/auto87/201712/t20171228_3085.htm" TargetMode="External" Id="rId180"/><Relationship Type="http://schemas.openxmlformats.org/officeDocument/2006/relationships/hyperlink" Target="https://www.ndrc.gov.cn/xxgk/zcfb/tz/201803/t20180323_962694.html?code=&amp;state=123" TargetMode="External" Id="rId181"/><Relationship Type="http://schemas.openxmlformats.org/officeDocument/2006/relationships/hyperlink" Target="https://www.most.gov.cn/xxgk/xinxifenlei/fdzdgknr/fgzc/gfxwj/gfxwj2019/201905/t20190514_146515.html" TargetMode="External" Id="rId182"/><Relationship Type="http://schemas.openxmlformats.org/officeDocument/2006/relationships/hyperlink" Target="https://www.gov.cn/zhengce/2019-06/26/content_5403497.htm" TargetMode="External" Id="rId183"/><Relationship Type="http://schemas.openxmlformats.org/officeDocument/2006/relationships/hyperlink" Target="https://www.gov.cn/gongbao/content/2019/content_5407670.htm" TargetMode="External" Id="rId184"/><Relationship Type="http://schemas.openxmlformats.org/officeDocument/2006/relationships/hyperlink" Target="https://www.gov.cn/xinwen/2019-02/14/content_5365516.htm" TargetMode="External" Id="rId185"/><Relationship Type="http://schemas.openxmlformats.org/officeDocument/2006/relationships/hyperlink" Target="https://www.mee.gov.cn/xxgk2018/xxgk/xxgk03/202010/t20201026_804792.html" TargetMode="External" Id="rId186"/><Relationship Type="http://schemas.openxmlformats.org/officeDocument/2006/relationships/hyperlink" Target="http://zfxxgk.nea.gov.cn/2020-09/29/c_139629966.htm" TargetMode="External" Id="rId187"/><Relationship Type="http://schemas.openxmlformats.org/officeDocument/2006/relationships/hyperlink" Target="http://www.nea.gov.cn/2020-06/22/c_139158412.htm" TargetMode="External" Id="rId188"/><Relationship Type="http://schemas.openxmlformats.org/officeDocument/2006/relationships/hyperlink" Target="https://www.ndrc.gov.cn/xxgk/zcfb/ghxwj/202107/t20210723_1291321.html?code=&amp;state=123" TargetMode="External" Id="rId189"/><Relationship Type="http://schemas.openxmlformats.org/officeDocument/2006/relationships/hyperlink" Target="https://www.mee.gov.cn/xxgk2018/xxgk/xxgk03/202101/t20210113_817221.html" TargetMode="External" Id="rId190"/><Relationship Type="http://schemas.openxmlformats.org/officeDocument/2006/relationships/hyperlink" Target="https://www.gov.cn/zhengce/content/2021-02/22/content_5588274.htm" TargetMode="External" Id="rId191"/><Relationship Type="http://schemas.openxmlformats.org/officeDocument/2006/relationships/hyperlink" Target="http://www.gov.cn/zhengce/content/2021-06/02/content_5614922.htm" TargetMode="External" Id="rId192"/><Relationship Type="http://schemas.openxmlformats.org/officeDocument/2006/relationships/hyperlink" Target="https://www.ndrc.gov.cn/xxgk/zcfb/ghxwj/202103/t20210305_1269046.html?code=&amp;state=123" TargetMode="External" Id="rId193"/><Relationship Type="http://schemas.openxmlformats.org/officeDocument/2006/relationships/hyperlink" Target="https://www.miit.gov.cn/jgsj/cws/wjfb/art/2021/art_cd604c71686e4f18a15c5c966fe32b13.html" TargetMode="External" Id="rId194"/><Relationship Type="http://schemas.openxmlformats.org/officeDocument/2006/relationships/hyperlink" Target="https://www.gov.cn/zhengce/zhengceku/2021-06/01/content_5614531.htm" TargetMode="External" Id="rId195"/><Relationship Type="http://schemas.openxmlformats.org/officeDocument/2006/relationships/hyperlink" Target="https://www.gov.cn/zhengce/zhengceku/2021-03/25/content_5595566.htm" TargetMode="External" Id="rId196"/><Relationship Type="http://schemas.openxmlformats.org/officeDocument/2006/relationships/hyperlink" Target="https://www.gov.cn/zhengce/zhengceku/2022-01/15/content_5668321.htm" TargetMode="External" Id="rId197"/><Relationship Type="http://schemas.openxmlformats.org/officeDocument/2006/relationships/hyperlink" Target="http://www.sasac.gov.cn/n2588035/c22499825/content.html" TargetMode="External" Id="rId198"/><Relationship Type="http://schemas.openxmlformats.org/officeDocument/2006/relationships/hyperlink" Target="https://www.mee.gov.cn/xxgk2018/xxgk/xxgk03/202105/t20210531_835481.html" TargetMode="External" Id="rId199"/><Relationship Type="http://schemas.openxmlformats.org/officeDocument/2006/relationships/hyperlink" Target="https://wap.miit.gov.cn/zwgk/zcwj/wjfb/yj/art/2021/art_77c69053e7174d63920c1406fa0567c7.html" TargetMode="External" Id="rId200"/><Relationship Type="http://schemas.openxmlformats.org/officeDocument/2006/relationships/hyperlink" Target="https://www.ndrc.gov.cn/xxgk/zcfb/tz/202201/t20220128_1313653.html?code=&amp;state=123" TargetMode="External" Id="rId201"/><Relationship Type="http://schemas.openxmlformats.org/officeDocument/2006/relationships/hyperlink" Target="https://www.ndrc.gov.cn/xxgk/zcfb/tz/202201/t20220121_1312656.html?code=&amp;state=123" TargetMode="External" Id="rId202"/><Relationship Type="http://schemas.openxmlformats.org/officeDocument/2006/relationships/hyperlink" Target="http://zfxxgk.nea.gov.cn/2022-03/17/c_1310534134.htm" TargetMode="External" Id="rId203"/><Relationship Type="http://schemas.openxmlformats.org/officeDocument/2006/relationships/hyperlink" Target="https://www.gov.cn/zhengce/zhengceku/2022-02/08/content_5672513.htm" TargetMode="External" Id="rId204"/><Relationship Type="http://schemas.openxmlformats.org/officeDocument/2006/relationships/hyperlink" Target="https://www.gov.cn/gongbao/content/2022/content_5696258.htm" TargetMode="External" Id="rId205"/><Relationship Type="http://schemas.openxmlformats.org/officeDocument/2006/relationships/hyperlink" Target="http://fzzx.shiyan.gov.cn/index.php?a=show&amp;catid=14&amp;id=791" TargetMode="External" Id="rId206"/><Relationship Type="http://schemas.openxmlformats.org/officeDocument/2006/relationships/hyperlink" Target="https://www.miit.gov.cn/jgsj/xfpgys/wjfb/art/2022/art_e35a9d4e01434af6b10ef17c5e177d37.html" TargetMode="External" Id="rId207"/><Relationship Type="http://schemas.openxmlformats.org/officeDocument/2006/relationships/hyperlink" Target="https://www.gov.cn/zhengce/zhengceku/2022-06/19/content_5696665.htm" TargetMode="External" Id="rId208"/><Relationship Type="http://schemas.openxmlformats.org/officeDocument/2006/relationships/hyperlink" Target="https://www.ndrc.gov.cn/xxgk/zcfb/tz/202302/t20230224_1349405.html" TargetMode="External" Id="rId209"/><Relationship Type="http://schemas.openxmlformats.org/officeDocument/2006/relationships/hyperlink" Target="https://www.ndrc.gov.cn/xxgk/zcfb/tz/202308/t20230817_1359879.html" TargetMode="External" Id="rId210"/><Relationship Type="http://schemas.openxmlformats.org/officeDocument/2006/relationships/hyperlink" Target="https://www.miit.gov.cn/zwgk/zcwj/wjfb/yj/art/2023/art_5fe76c58f263450ebc92c903427a6d12.html" TargetMode="External" Id="rId211"/><Relationship Type="http://schemas.openxmlformats.org/officeDocument/2006/relationships/hyperlink" Target="https://www.ndrc.gov.cn/xxgk/zcfb/tz/202310/t20231025_1361500_ext.html" TargetMode="External" Id="rId212"/><Relationship Type="http://schemas.openxmlformats.org/officeDocument/2006/relationships/hyperlink" Target="https://www.ndrc.gov.cn/xxgk/zcfb/tz/202310/t20231025_1361514_ext.html" TargetMode="External" Id="rId213"/><Relationship Type="http://schemas.openxmlformats.org/officeDocument/2006/relationships/hyperlink" Target="https://www.gov.cn/zhengce/content/202306/content_6887167.htm" TargetMode="External" Id="rId214"/><Relationship Type="http://schemas.openxmlformats.org/officeDocument/2006/relationships/hyperlink" Target="https://www.gov.cn/zhengce/zhengceku/202312/content_6923270.htm" TargetMode="External" Id="rId215"/><Relationship Type="http://schemas.openxmlformats.org/officeDocument/2006/relationships/hyperlink" Target="https://baike.baidu.com/item/2023%E5%B9%B4%E8%83%BD%E6%BA%90%E5%B7%A5%E4%BD%9C%E6%8C%87%E5%AF%BC%E6%84%8F%E8%A7%81/62882234" TargetMode="External" Id="rId216"/><Relationship Type="http://schemas.openxmlformats.org/officeDocument/2006/relationships/hyperlink" Target="https://www.miit.gov.cn/jgsj/jns/gzdt/art/2024/art_9fe98a60fb3546a8b3d11f0d70e00401.html" TargetMode="External" Id="rId217"/><Relationship Type="http://schemas.openxmlformats.org/officeDocument/2006/relationships/hyperlink" Target="https://www.ndrc.gov.cn/xxgk/zcfb/tz/202403/t20240301_1364313.html" TargetMode="External" Id="rId218"/><Relationship Type="http://schemas.openxmlformats.org/officeDocument/2006/relationships/hyperlink" Target="https://www.ndrc.gov.cn/xxgk/zcfb/tz/202410/t20241030_1394119.html" TargetMode="External" Id="rId219"/><Relationship Type="http://schemas.openxmlformats.org/officeDocument/2006/relationships/hyperlink" Target="http://www.moa.gov.cn/govpublic/FZJHS/202412/t20241230_6468640.htm" TargetMode="External" Id="rId220"/><Relationship Type="http://schemas.openxmlformats.org/officeDocument/2006/relationships/hyperlink" Target="https://zfxxgk.nea.gov.cn/2024-11/28/c_1212408354.htm" TargetMode="External" Id="rId221"/><Relationship Type="http://schemas.openxmlformats.org/officeDocument/2006/relationships/hyperlink" Target="https://www.gov.cn/zhengce/zhengceku/202504/content_7018244.htm" TargetMode="External" Id="rId222"/><Relationship Type="http://schemas.openxmlformats.org/officeDocument/2006/relationships/hyperlink" Target="https://xxgk.mot.gov.cn/2020/jigou/zhghs/202504/t20250425_4167770.html" TargetMode="External" Id="rId223"/><Relationship Type="http://schemas.openxmlformats.org/officeDocument/2006/relationships/hyperlink" Target="https://www.nea.gov.cn/20250227/105a07a9be2c4727b7fe12c11c7b84cf/c.html" TargetMode="External" Id="rId224"/><Relationship Type="http://schemas.openxmlformats.org/officeDocument/2006/relationships/hyperlink" Target="https://www.gov.cn/zhengce/zhengceku/202502/content_7005459.htm" TargetMode="External" Id="rId225"/><Relationship Type="http://schemas.openxmlformats.org/officeDocument/2006/relationships/hyperlink" Target="https://www.gov.cn/lianbo/bumen/202508/content_7035298.htm" TargetMode="External" Id="rId226"/><Relationship Type="http://schemas.openxmlformats.org/officeDocument/2006/relationships/hyperlink" Target="https://www.gov.cn/zhengce/content/202503/content_7010604.htm" TargetMode="External" Id="rId227"/><Relationship Type="http://schemas.openxmlformats.org/officeDocument/2006/relationships/hyperlink" Target="https://www.nea.gov.cn/20250922/32bc258f77744d408b2a7acca9aff818/c.html" TargetMode="External" Id="rId228"/><Relationship Type="http://schemas.openxmlformats.org/officeDocument/2006/relationships/hyperlink" Target="https://zfxxgk.ndrc.gov.cn/web/iteminfo.jsp?id=20561" TargetMode="External" Id="rId229"/><Relationship Type="http://schemas.openxmlformats.org/officeDocument/2006/relationships/hyperlink" Target="https://www.nea.gov.cn/20251107/8b990f43dc774fc88c643614205e383d/c.html" TargetMode="External" Id="rId230"/><Relationship Type="http://schemas.openxmlformats.org/officeDocument/2006/relationships/hyperlink" Target="https://wap.miit.gov.cn/jgsj/jns/wjfb/art/2026/art_b6741734dc864a7aaa323f7684aca743.html" TargetMode="External" Id="rId231"/><Relationship Type="http://schemas.openxmlformats.org/officeDocument/2006/relationships/hyperlink" Target="http://www.mwr.gov.cn/zwgk/gknr/202603/t20260319_2105135.html" TargetMode="External" Id="rId232"/><Relationship Type="http://schemas.openxmlformats.org/officeDocument/2006/relationships/hyperlink" Target="https://www.miit.gov.cn/zwgk/zcwj/wjfb/yj/art/2026/art_95cd611e3c664dfc96cd76ace1aa24d7.html" TargetMode="External" Id="rId233"/><Relationship Type="http://schemas.openxmlformats.org/officeDocument/2006/relationships/hyperlink" Target="https://www.gov.cn/gongbao/content/2005/content_64318.htm" TargetMode="External" Id="rId234"/><Relationship Type="http://schemas.openxmlformats.org/officeDocument/2006/relationships/hyperlink" Target="https://baike.baidu.com/item/&#22269;&#21153;&#38498;&#21150;&#20844;&#21381;&#20851;&#20110;&#21152;&#24555;&#29028;&#23618;&#27668;&#65288;&#29028;&#30719;&#29926;&#26031;&#65289;&#25277;&#37319;&#21033;&#29992;&#30340;&#33509;&#24178;&#24847;&#35265;/5239657?fr=aladdin" TargetMode="External" Id="rId235"/><Relationship Type="http://schemas.openxmlformats.org/officeDocument/2006/relationships/hyperlink" Target="https://www.gov.cn/gzdt/2007-10/16/content_777564.htm" TargetMode="External" Id="rId236"/><Relationship Type="http://schemas.openxmlformats.org/officeDocument/2006/relationships/hyperlink" Target="https://www.ndrc.gov.cn/fggz/hjyzy/jnhnx/201006/t20100601_1134361.html" TargetMode="External" Id="rId237"/><Relationship Type="http://schemas.openxmlformats.org/officeDocument/2006/relationships/hyperlink" Target="https://www.gov.cn/gongbao/content/2013/content_2339525.htm" TargetMode="External" Id="rId238"/><Relationship Type="http://schemas.openxmlformats.org/officeDocument/2006/relationships/hyperlink" Target="https://www.gov.cn/zwgk/2013-08/11/content_2464241.htm" TargetMode="External" Id="rId239"/><Relationship Type="http://schemas.openxmlformats.org/officeDocument/2006/relationships/hyperlink" Target="https://www.gov.cn/gongbao/content/2013/content_2455226.htm" TargetMode="External" Id="rId240"/><Relationship Type="http://schemas.openxmlformats.org/officeDocument/2006/relationships/hyperlink" Target="https://www.stats.gov.cn/xw/tjxw/tzgg/202302/t20230202_1893717.html" TargetMode="External" Id="rId241"/><Relationship Type="http://schemas.openxmlformats.org/officeDocument/2006/relationships/hyperlink" Target="https://fjb.nea.gov.cn/xxgk/zcfg/202311/t20231114_217455.html" TargetMode="External" Id="rId242"/><Relationship Type="http://schemas.openxmlformats.org/officeDocument/2006/relationships/hyperlink" Target="http://drc.gd.gov.cn/snyj/bmgl/content/mpost_3736970.html" TargetMode="External" Id="rId243"/><Relationship Type="http://schemas.openxmlformats.org/officeDocument/2006/relationships/hyperlink" Target="https://www.gov.cn/gongbao/content/2016/content_5045944.htm" TargetMode="External" Id="rId244"/><Relationship Type="http://schemas.openxmlformats.org/officeDocument/2006/relationships/hyperlink" Target="https://www.gov.cn/gongbao/content/2016/content_5045931.htm" TargetMode="External" Id="rId245"/><Relationship Type="http://schemas.openxmlformats.org/officeDocument/2006/relationships/hyperlink" Target="https://xxgk.mot.gov.cn/2020/jigou/zcyjs/202006/t20200623_3307286.html" TargetMode="External" Id="rId246"/><Relationship Type="http://schemas.openxmlformats.org/officeDocument/2006/relationships/hyperlink" Target="https://www.gov.cn/zhengce/2017-09/30/content_5228960.htm" TargetMode="External" Id="rId247"/><Relationship Type="http://schemas.openxmlformats.org/officeDocument/2006/relationships/hyperlink" Target="http://www.nea.gov.cn/2017-08/14/c_136525062.htm" TargetMode="External" Id="rId248"/><Relationship Type="http://schemas.openxmlformats.org/officeDocument/2006/relationships/hyperlink" Target="https://www.gov.cn/xinwen/2017-07/05/content_5207958.htm" TargetMode="External" Id="rId249"/><Relationship Type="http://schemas.openxmlformats.org/officeDocument/2006/relationships/hyperlink" Target="https://www.gov.cn/xinwen/2018-11/20/content_5341910.htm" TargetMode="External" Id="rId250"/><Relationship Type="http://schemas.openxmlformats.org/officeDocument/2006/relationships/hyperlink" Target="https://www.gov.cn/gongbao/content/2018/content_5303427.htm" TargetMode="External" Id="rId251"/><Relationship Type="http://schemas.openxmlformats.org/officeDocument/2006/relationships/hyperlink" Target="https://www.gov.cn/zhengce/zhengceku/2020-02/03/content_5474144.htm" TargetMode="External" Id="rId252"/><Relationship Type="http://schemas.openxmlformats.org/officeDocument/2006/relationships/hyperlink" Target="https://www.gov.cn/zhengce/zhengceku/2020-03/19/content_5493065.htm" TargetMode="External" Id="rId253"/><Relationship Type="http://schemas.openxmlformats.org/officeDocument/2006/relationships/hyperlink" Target="https://www.ndrc.gov.cn/xxgk/zcfb/tz/202103/t20210323_1270129.html?code=&amp;state=123" TargetMode="External" Id="rId254"/><Relationship Type="http://schemas.openxmlformats.org/officeDocument/2006/relationships/hyperlink" Target="https://www.gov.cn/zhengce/zhengceku/2021-10/22/content_5644224.htm" TargetMode="External" Id="rId255"/><Relationship Type="http://schemas.openxmlformats.org/officeDocument/2006/relationships/hyperlink" Target="https://www.gov.cn/gongbao/content/2021/content_5629600.htm" TargetMode="External" Id="rId256"/><Relationship Type="http://schemas.openxmlformats.org/officeDocument/2006/relationships/hyperlink" Target="https://www.gov.cn/zhengce/content/2021-03/30/content_5596791.htm" TargetMode="External" Id="rId257"/><Relationship Type="http://schemas.openxmlformats.org/officeDocument/2006/relationships/hyperlink" Target="https://www.gov.cn/zhengce/2021-10/21/content_5644083.htm" TargetMode="External" Id="rId258"/><Relationship Type="http://schemas.openxmlformats.org/officeDocument/2006/relationships/hyperlink" Target="https://www.gov.cn/zhengce/zhengceku/2021-06/08/content_5616290.htm?ivk_sa=1023197a" TargetMode="External" Id="rId259"/><Relationship Type="http://schemas.openxmlformats.org/officeDocument/2006/relationships/hyperlink" Target="https://www.gov.cn/gongbao/content/2021/content_5609079.htm" TargetMode="External" Id="rId260"/><Relationship Type="http://schemas.openxmlformats.org/officeDocument/2006/relationships/hyperlink" Target="https://www.gov.cn/gongbao/content/2021/content_5639830.htm" TargetMode="External" Id="rId261"/><Relationship Type="http://schemas.openxmlformats.org/officeDocument/2006/relationships/hyperlink" Target="https://www.gov.cn/zhengce/zhengceku/2021-11/10/content_5650075.htm" TargetMode="External" Id="rId262"/><Relationship Type="http://schemas.openxmlformats.org/officeDocument/2006/relationships/hyperlink" Target="http://zyhj.mof.gov.cn/zcfb/202205/t20220530_3814434.htm" TargetMode="External" Id="rId263"/><Relationship Type="http://schemas.openxmlformats.org/officeDocument/2006/relationships/hyperlink" Target="https://www.ndrc.gov.cn/xxgk/zcfb/tz/202202/t20220210_1314511.html?code=&amp;state=123" TargetMode="External" Id="rId264"/><Relationship Type="http://schemas.openxmlformats.org/officeDocument/2006/relationships/hyperlink" Target="https://www.gov.cn/zhengce/zhengceku/202310/content_6907977.htm" TargetMode="External" Id="rId265"/><Relationship Type="http://schemas.openxmlformats.org/officeDocument/2006/relationships/hyperlink" Target="https://www.gov.cn/zhengce/zhengceku/202410/content_6979595.htm" TargetMode="External" Id="rId266"/><Relationship Type="http://schemas.openxmlformats.org/officeDocument/2006/relationships/hyperlink" Target="https://www.gov.cn/zhengce/2021-10/21/content_5644083.htm" TargetMode="External" Id="rId267"/><Relationship Type="http://schemas.openxmlformats.org/officeDocument/2006/relationships/hyperlink" Target="https://www.ndrc.gov.cn/xxgk/zcfb/tz/202311/t20231124_1362231.html" TargetMode="External" Id="rId268"/><Relationship Type="http://schemas.openxmlformats.org/officeDocument/2006/relationships/hyperlink" Target="https://www.mee.gov.cn/xxgk2018/xxgk/xxgk03/202401/t20240119_1064243.html" TargetMode="External" Id="rId269"/><Relationship Type="http://schemas.openxmlformats.org/officeDocument/2006/relationships/hyperlink" Target="https://www.mee.gov.cn/zcwj/zyygwj/202401/t20240111_1063458.shtml" TargetMode="External" Id="rId270"/><Relationship Type="http://schemas.openxmlformats.org/officeDocument/2006/relationships/hyperlink" Target="https://www.mee.gov.cn/xxgk2018/xxgk/xxgk03/202401/t20240119_1064243.html" TargetMode="External" Id="rId271"/><Relationship Type="http://schemas.openxmlformats.org/officeDocument/2006/relationships/hyperlink" Target="https://www.gov.cn/zhengce/202408/content_6967663.htm" TargetMode="External" Id="rId272"/><Relationship Type="http://schemas.openxmlformats.org/officeDocument/2006/relationships/hyperlink" Target="https://www.gov.cn/zhengce/zhengceku/202503/content_7013158.htm" TargetMode="External" Id="rId273"/><Relationship Type="http://schemas.openxmlformats.org/officeDocument/2006/relationships/hyperlink" Target="https://www.gov.cn/gongbao/2025/issue_11906/202503/content_7011166.html" TargetMode="External" Id="rId274"/><Relationship Type="http://schemas.openxmlformats.org/officeDocument/2006/relationships/hyperlink" Target="https://xxgk.mot.gov.cn/2020/jigou/syj/202506/t20250627_4171424.html" TargetMode="External" Id="rId275"/><Relationship Type="http://schemas.openxmlformats.org/officeDocument/2006/relationships/hyperlink" Target="https://www.nea.gov.cn/20251017/7ea998503bad4d24bb2334cf41f300d9/c.html" TargetMode="External" Id="rId276"/><Relationship Type="http://schemas.openxmlformats.org/officeDocument/2006/relationships/hyperlink" Target="https://www.gov.cn/yaowen/liebiao/202604/content_7066615.htm" TargetMode="External" Id="rId277"/><Relationship Type="http://schemas.openxmlformats.org/officeDocument/2006/relationships/hyperlink" Target="https://www.msa.gov.cn/html/cnmsa/xxgk/article/2026/b096e4423f2947cab0db94c383b95c97.html?hav=6RvRN10hGunPXKr" TargetMode="External" Id="rId278"/><Relationship Type="http://schemas.openxmlformats.org/officeDocument/2006/relationships/hyperlink" Target="https://www.most.gov.cn/ztzl/jqjnjp/jnjptpxw/200707/W020130527384709847807.pdf" TargetMode="External" Id="rId279"/><Relationship Type="http://schemas.openxmlformats.org/officeDocument/2006/relationships/hyperlink" Target="https://www.tanjiaoyi.com/article-3014-1.html?" TargetMode="External" Id="rId280"/><Relationship Type="http://schemas.openxmlformats.org/officeDocument/2006/relationships/hyperlink" Target="https://baike.baidu.com/item/%E6%9E%97%E4%B8%9A%E5%BA%94%E5%AF%B9%E6%B0%94%E5%80%99%E5%8F%98%E5%8C%96%E2%80%9C%E5%8D%81%E4%BA%8C%E4%BA%94%E2%80%9D%E8%A1%8C%E5%8A%A8%E8%A6%81%E7%82%B9/9093983" TargetMode="External" Id="rId281"/><Relationship Type="http://schemas.openxmlformats.org/officeDocument/2006/relationships/hyperlink" Target="https://www.miit.gov.cn/cms_files/filemanager/oldfile/miit/n1146285/n1146352/n3054355/n3057542/n3057544/c3865061/part/3865062.pdf" TargetMode="External" Id="rId282"/><Relationship Type="http://schemas.openxmlformats.org/officeDocument/2006/relationships/hyperlink" Target="https://baike.baidu.com/item/%E7%BB%BF%E8%89%B2%E5%BB%BA%E7%AD%91%E8%A1%8C%E5%8A%A8%E6%96%B9%E6%A1%88/2910439" TargetMode="External" Id="rId283"/><Relationship Type="http://schemas.openxmlformats.org/officeDocument/2006/relationships/hyperlink" Target="http://www.gov.cn/zwgk/2013-09/12/content_2486773.htm" TargetMode="External" Id="rId284"/><Relationship Type="http://schemas.openxmlformats.org/officeDocument/2006/relationships/hyperlink" Target="http://www.nea.gov.cn/2014-12/03/c_133830458.htm" TargetMode="External" Id="rId285"/><Relationship Type="http://schemas.openxmlformats.org/officeDocument/2006/relationships/hyperlink" Target="https://www.gov.cn/zhengce/zhengceku/2014-05/26/content_8824.htm" TargetMode="External" Id="rId286"/><Relationship Type="http://schemas.openxmlformats.org/officeDocument/2006/relationships/hyperlink" Target="http://zfxxgk.nea.gov.cn/auto85/201505/t20150505_1917.htm" TargetMode="External" Id="rId287"/><Relationship Type="http://schemas.openxmlformats.org/officeDocument/2006/relationships/hyperlink" Target="https://baike.baidu.com/item/%E4%B8%A4%E9%83%A8%E9%97%A8%E5%87%BA%E5%8F%B0%E3%80%8A%E4%BF%83%E8%BF%9B%E7%BB%BF%E8%89%B2%E5%BB%BA%E6%9D%90%E7%94%9F%E4%BA%A7%E5%92%8C%E5%BA%94%E7%94%A8%E8%A1%8C%E5%8A%A8%E6%96%B9%E6%A1%88%E3%80%8B/18600087" TargetMode="External" Id="rId288"/><Relationship Type="http://schemas.openxmlformats.org/officeDocument/2006/relationships/hyperlink" Target="https://www.ndrc.gov.cn/xxgk/zcfb/tz/201606/t20160601_963080.html?code=&amp;state=123" TargetMode="External" Id="rId289"/><Relationship Type="http://schemas.openxmlformats.org/officeDocument/2006/relationships/hyperlink" Target="https://www.gov.cn/xinwen/2016-09/01/content_5104483.htm" TargetMode="External" Id="rId290"/><Relationship Type="http://schemas.openxmlformats.org/officeDocument/2006/relationships/hyperlink" Target="https://www.gov.cn/xinwen/2016-06/22/content_5084284.htm" TargetMode="External" Id="rId291"/><Relationship Type="http://schemas.openxmlformats.org/officeDocument/2006/relationships/hyperlink" Target="http://www.gov.cn/zhengce/zhengceku/2019-10/15/content_5440071.htm" TargetMode="External" Id="rId292"/><Relationship Type="http://schemas.openxmlformats.org/officeDocument/2006/relationships/hyperlink" Target="https://www.gov.cn/zhengce/content/2018-07/03/content_5303158.htm" TargetMode="External" Id="rId293"/><Relationship Type="http://schemas.openxmlformats.org/officeDocument/2006/relationships/hyperlink" Target="https://chinaenergyportal.org/en/action-plan-for-enhancing-the-guaranteed-charging-capacity-for-electric-vehicles/" TargetMode="External" Id="rId294"/><Relationship Type="http://schemas.openxmlformats.org/officeDocument/2006/relationships/hyperlink" Target="https://www.ndrc.gov.cn/xxgk/zcfb/ghxwj/201812/t20181204_960958.html" TargetMode="External" Id="rId295"/><Relationship Type="http://schemas.openxmlformats.org/officeDocument/2006/relationships/hyperlink" Target="https://www.ndrc.gov.cn/xxgk/zcfb/tz/201911/t20191105_1197738.html?code=&amp;state=123" TargetMode="External" Id="rId296"/><Relationship Type="http://schemas.openxmlformats.org/officeDocument/2006/relationships/hyperlink" Target="https://www.gov.cn/xinwen/2019-06/03/content_5397034.htm" TargetMode="External" Id="rId297"/><Relationship Type="http://schemas.openxmlformats.org/officeDocument/2006/relationships/hyperlink" Target="https://www.ndrc.gov.cn/xxgk/zcfb/tz/201906/t20190614_962461.html?code=&amp;state=123" TargetMode="External" Id="rId298"/><Relationship Type="http://schemas.openxmlformats.org/officeDocument/2006/relationships/hyperlink" Target="https://www.ndrc.gov.cn/xxgk/zcfb/tz/201907/t20190701_962470.html?code=&amp;state=123" TargetMode="External" Id="rId299"/><Relationship Type="http://schemas.openxmlformats.org/officeDocument/2006/relationships/hyperlink" Target="https://xxgk.mot.gov.cn/2020/jigou/ysfws/202007/t20200724_3437849.html" TargetMode="External" Id="rId300"/><Relationship Type="http://schemas.openxmlformats.org/officeDocument/2006/relationships/hyperlink" Target="https://www.gov.cn/zhengce/zhengceku/2020-07/24/content_5529745.htm" TargetMode="External" Id="rId301"/><Relationship Type="http://schemas.openxmlformats.org/officeDocument/2006/relationships/hyperlink" Target="https://www.gov.cn/zhengce/zhengceku/2020-08/29/content_5538354.htm" TargetMode="External" Id="rId302"/><Relationship Type="http://schemas.openxmlformats.org/officeDocument/2006/relationships/hyperlink" Target="http://www.moe.gov.cn/srcsite/A16/moe_784/202107/t20210728_547451.html" TargetMode="External" Id="rId303"/><Relationship Type="http://schemas.openxmlformats.org/officeDocument/2006/relationships/hyperlink" Target="https://www.mee.gov.cn/xxgk2018/xxgk/xxgk03/202102/t20210223_822116.html" TargetMode="External" Id="rId304"/><Relationship Type="http://schemas.openxmlformats.org/officeDocument/2006/relationships/hyperlink" Target="https://www.ndrc.gov.cn/xxgk/zcfb/tz/202110/P020211021702323037931.pdf" TargetMode="External" Id="rId305"/><Relationship Type="http://schemas.openxmlformats.org/officeDocument/2006/relationships/hyperlink" Target="https://www.ndrc.gov.cn/xxgk/zcfb/tz/202110/P020211021702322751485.pdf" TargetMode="External" Id="rId306"/><Relationship Type="http://schemas.openxmlformats.org/officeDocument/2006/relationships/hyperlink" Target="https://www.miit.gov.cn/zwgk/zcwj/wjfb/tz/art/2022/art_de86b26087844ebab5e886e954ca1453.html" TargetMode="External" Id="rId307"/><Relationship Type="http://schemas.openxmlformats.org/officeDocument/2006/relationships/hyperlink" Target="https://www.gov.cn/zhengce/zhengceku/2021-07/14/content_5624964.htm" TargetMode="External" Id="rId308"/><Relationship Type="http://schemas.openxmlformats.org/officeDocument/2006/relationships/hyperlink" Target="http://www.moe.gov.cn/srcsite/A08/s7056/202205/t20220506_625229.html" TargetMode="External" Id="rId309"/><Relationship Type="http://schemas.openxmlformats.org/officeDocument/2006/relationships/hyperlink" Target="https://www.nea.gov.cn/2022-10/09/c_1310668927.htm" TargetMode="External" Id="rId310"/><Relationship Type="http://schemas.openxmlformats.org/officeDocument/2006/relationships/hyperlink" Target="https://www.gov.cn/zhengce/content/2022-05/24/content_5692059.htm" TargetMode="External" Id="rId311"/><Relationship Type="http://schemas.openxmlformats.org/officeDocument/2006/relationships/hyperlink" Target="https://www.gov.cn/zhengce/zhengceku/2022-06/29/content_5698410.htm" TargetMode="External" Id="rId312"/><Relationship Type="http://schemas.openxmlformats.org/officeDocument/2006/relationships/hyperlink" Target="https://xxgk.mot.gov.cn/2020/jigou/glj/202208/t20220825_3670513.html" TargetMode="External" Id="rId313"/><Relationship Type="http://schemas.openxmlformats.org/officeDocument/2006/relationships/hyperlink" Target="http://www.cnljxh.com/news/show.php?id=470" TargetMode="External" Id="rId314"/><Relationship Type="http://schemas.openxmlformats.org/officeDocument/2006/relationships/hyperlink" Target="https://www.miit.gov.cn/zwgk/zcwj/wjfb/tz/art/2022/art_4ccbd89465cc4336b88b19a02bbf473b.html" TargetMode="External" Id="rId315"/><Relationship Type="http://schemas.openxmlformats.org/officeDocument/2006/relationships/hyperlink" Target="https://www.miit.gov.cn/zwgk/zcwj/wjfb/tz/art/2022/art_a6e264bf71ed44549904c9e27aeba472.html" TargetMode="External" Id="rId316"/><Relationship Type="http://schemas.openxmlformats.org/officeDocument/2006/relationships/hyperlink" Target="http://www.moa.gov.cn/govpublic/ZZYGLS/202212/t20221201_6416398.htm" TargetMode="External" Id="rId317"/><Relationship Type="http://schemas.openxmlformats.org/officeDocument/2006/relationships/hyperlink" Target="https://www.mee.gov.cn/xxgk2018/xxgk/xxgk03/202211/t20221116_1005042.html" TargetMode="External" Id="rId318"/><Relationship Type="http://schemas.openxmlformats.org/officeDocument/2006/relationships/hyperlink" Target="https://wap.miit.gov.cn/zwgk/zcwj/wjfb/tz/art/2022/art_cf9ca7196df7467394e580b84f82d957.html" TargetMode="External" Id="rId319"/><Relationship Type="http://schemas.openxmlformats.org/officeDocument/2006/relationships/hyperlink" Target="http://www.moa.gov.cn/govpublic/ZZYGLS/202212/t20221201_6416398.htm" TargetMode="External" Id="rId320"/><Relationship Type="http://schemas.openxmlformats.org/officeDocument/2006/relationships/hyperlink" Target="http://zfxxgk.nea.gov.cn/2023-02/27/c_1310704758.htm" TargetMode="External" Id="rId321"/><Relationship Type="http://schemas.openxmlformats.org/officeDocument/2006/relationships/hyperlink" Target="https://www.gov.cn/zhengce/zhengceku/202310/content_6908243.htm" TargetMode="External" Id="rId322"/><Relationship Type="http://schemas.openxmlformats.org/officeDocument/2006/relationships/hyperlink" Target="https://news.cctv.com/2023/12/07/ARTI5j8uPTZp7Wao7t5jeCg0231207.shtml" TargetMode="External" Id="rId323"/><Relationship Type="http://schemas.openxmlformats.org/officeDocument/2006/relationships/hyperlink" Target="https://www.mee.gov.cn/xxgk2018/xxgk/xxgk03/202311/t20231107_1055437.html" TargetMode="External" Id="rId324"/><Relationship Type="http://schemas.openxmlformats.org/officeDocument/2006/relationships/hyperlink" Target="https://www.ndrc.gov.cn/xxgk/zcfb/tz/202312/t20231215_1362653.html" TargetMode="External" Id="rId325"/><Relationship Type="http://schemas.openxmlformats.org/officeDocument/2006/relationships/hyperlink" Target="https://www.gov.cn/zhengce/zhengceku/202312/content_6923175.htm" TargetMode="External" Id="rId326"/><Relationship Type="http://schemas.openxmlformats.org/officeDocument/2006/relationships/hyperlink" Target="https://www.kczg.org.cn/rules/detail?id=6241327" TargetMode="External" Id="rId327"/><Relationship Type="http://schemas.openxmlformats.org/officeDocument/2006/relationships/hyperlink" Target="https://www.gov.cn/zhengce/content/202403/content_6939232.htm" TargetMode="External" Id="rId328"/><Relationship Type="http://schemas.openxmlformats.org/officeDocument/2006/relationships/hyperlink" Target="https://www.gov.cn/zhengce/zhengceku/202404/content_6945069.htm" TargetMode="External" Id="rId329"/><Relationship Type="http://schemas.openxmlformats.org/officeDocument/2006/relationships/hyperlink" Target="https://www.ndrc.gov.cn/xwdt/ztzl/tddgmsbgxhxfpyjhx/gzdt/202407/t20240718_1391800.html" TargetMode="External" Id="rId330"/><Relationship Type="http://schemas.openxmlformats.org/officeDocument/2006/relationships/hyperlink" Target="https://www.gov.cn/zhengce/content/202405/content_6954322.htm" TargetMode="External" Id="rId331"/><Relationship Type="http://schemas.openxmlformats.org/officeDocument/2006/relationships/hyperlink" Target="https://www.ndrc.gov.cn/xxgk/zcfb/tz/202407/t20240715_1391663.html" TargetMode="External" Id="rId332"/><Relationship Type="http://schemas.openxmlformats.org/officeDocument/2006/relationships/hyperlink" Target="https://www.ndrc.gov.cn/xwdt/tzgg/202408/t20240806_1392260.html" TargetMode="External" Id="rId333"/><Relationship Type="http://schemas.openxmlformats.org/officeDocument/2006/relationships/hyperlink" Target="https://www.gov.cn/zhengce/zhengceku/202412/P020241217518293168948.pdf" TargetMode="External" Id="rId334"/><Relationship Type="http://schemas.openxmlformats.org/officeDocument/2006/relationships/hyperlink" Target="https://www.gov.cn/zhengce/zhengceku/202406/content_6956307.htm" TargetMode="External" Id="rId335"/><Relationship Type="http://schemas.openxmlformats.org/officeDocument/2006/relationships/hyperlink" Target="https://www.gov.cn/zhengce/zhengceku/202406/content_6956304.htm" TargetMode="External" Id="rId336"/><Relationship Type="http://schemas.openxmlformats.org/officeDocument/2006/relationships/hyperlink" Target="https://www.gov.cn/zhengce/zhengceku/202406/content_6956306.htm" TargetMode="External" Id="rId337"/><Relationship Type="http://schemas.openxmlformats.org/officeDocument/2006/relationships/hyperlink" Target="https://www.ndrc.gov.cn/xxgk/zcfb/tz/202406/t20240607_1386763.html" TargetMode="External" Id="rId338"/><Relationship Type="http://schemas.openxmlformats.org/officeDocument/2006/relationships/hyperlink" Target="https://www.ndrc.gov.cn/xwdt/tzgg/202407/t20240723_1391888.html" TargetMode="External" Id="rId339"/><Relationship Type="http://schemas.openxmlformats.org/officeDocument/2006/relationships/hyperlink" Target="https://www.gov.cn/zhengce/zhengceku/202407/content_6964165.htm" TargetMode="External" Id="rId340"/><Relationship Type="http://schemas.openxmlformats.org/officeDocument/2006/relationships/hyperlink" Target="https://www.ndrc.gov.cn/xwdt/tzgg/202408/t20240808_1392292_ext.html" TargetMode="External" Id="rId341"/><Relationship Type="http://schemas.openxmlformats.org/officeDocument/2006/relationships/hyperlink" Target="https://www.mee.gov.cn/xxgk/hjyw/202401/t20240118_1064111.shtml" TargetMode="External" Id="rId342"/><Relationship Type="http://schemas.openxmlformats.org/officeDocument/2006/relationships/hyperlink" Target="https://www.gov.cn/zhengce/202411/content_6989264.htm" TargetMode="External" Id="rId343"/><Relationship Type="http://schemas.openxmlformats.org/officeDocument/2006/relationships/hyperlink" Target="https://www.ndrc.gov.cn/xxgk/zcfb/tz/202504/t20250402_1396954.html" TargetMode="External" Id="rId344"/><Relationship Type="http://schemas.openxmlformats.org/officeDocument/2006/relationships/hyperlink" Target="https://www.nea.gov.cn/20250218/8b14082a18c2423ba9779882d3791d30/c.html" TargetMode="External" Id="rId345"/><Relationship Type="http://schemas.openxmlformats.org/officeDocument/2006/relationships/hyperlink" Target="https://www.ndrc.gov.cn/xxgk/zcfb/tz/202509/t20250912_1400425.html" TargetMode="External" Id="rId346"/><Relationship Type="http://schemas.openxmlformats.org/officeDocument/2006/relationships/hyperlink" Target="https://www.mee.gov.cn/xxgk2018/xxgk/xxgk03/202508/t20250829_1126396.html?utm_source=cbnewsletter&amp;utm_medium=email&amp;utm_term=2025-09-25&amp;utm_campaign=China+Briefing+Shanghai+cooperation+summit+ETS+absolute+emissions+cap+China+s+heatwave+adaptation" TargetMode="External" Id="rId347"/><Relationship Type="http://schemas.openxmlformats.org/officeDocument/2006/relationships/hyperlink" Target="https://www.gov.cn/zhengce/zhengceku/202505/content_7024700.htm" TargetMode="External" Id="rId348"/><Relationship Type="http://schemas.openxmlformats.org/officeDocument/2006/relationships/hyperlink" Target="https://www.ndrc.gov.cn/xxgk/zcfb/tz/202510/P020251015595398499456.pdf" TargetMode="External" Id="rId349"/><Relationship Type="http://schemas.openxmlformats.org/officeDocument/2006/relationships/hyperlink" Target="https://www.ndrc.gov.cn/fggz/hjyzy/zyzhlyhxhjj/202601/t20260108_1403120.html" TargetMode="External" Id="rId350"/><Relationship Type="http://schemas.openxmlformats.org/officeDocument/2006/relationships/hyperlink" Target="https://www.gov.cn/zhengce/content/202601/content_7053807.htm" TargetMode="External" Id="rId351"/><Relationship Type="http://schemas.openxmlformats.org/officeDocument/2006/relationships/hyperlink" Target="https://www.nea.gov.cn/20260508/4dae97ca01d348e4871bb8654be34b3a/c.html" TargetMode="External" Id="rId352"/><Relationship Type="http://schemas.openxmlformats.org/officeDocument/2006/relationships/hyperlink" Target="https://www.miit.gov.cn/jgsj/ycls/gzdt/art/2026/art_d7f9d7930d3e406883e8afea6c9b3ab3.html" TargetMode="External" Id="rId353"/><Relationship Type="http://schemas.openxmlformats.org/officeDocument/2006/relationships/hyperlink" Target="https://www.gov.cn/zhengce/zhengceku/202603/P020260331708714713298.pdf" TargetMode="External" Id="rId354"/><Relationship Type="http://schemas.openxmlformats.org/officeDocument/2006/relationships/hyperlink" Target="https://baike.baidu.com/item/%E8%8A%82%E8%83%BD%E5%87%8F%E6%8E%92%E5%85%A8%E6%B0%91%E8%A1%8C%E5%8A%A8%E5%AE%9E%E6%96%BD%E6%96%B9%E6%A1%88/2726363" TargetMode="External" Id="rId355"/><Relationship Type="http://schemas.openxmlformats.org/officeDocument/2006/relationships/hyperlink" Target="https://xxgk.mot.gov.cn/2020/jigou/ysfws/202006/t20200623_3315133.html" TargetMode="External" Id="rId356"/><Relationship Type="http://schemas.openxmlformats.org/officeDocument/2006/relationships/hyperlink" Target="http://www.nea.gov.cn/2015-11/30/c_134867851.htm" TargetMode="External" Id="rId357"/><Relationship Type="http://schemas.openxmlformats.org/officeDocument/2006/relationships/hyperlink" Target="https://www.gov.cn/zhengce/zhengceku/2016-11/21/content_5135510.htm" TargetMode="External" Id="rId358"/><Relationship Type="http://schemas.openxmlformats.org/officeDocument/2006/relationships/hyperlink" Target="https://xxgk.mot.gov.cn/2020/jigou/zhghs/202006/t20200630_3319803.html" TargetMode="External" Id="rId359"/><Relationship Type="http://schemas.openxmlformats.org/officeDocument/2006/relationships/hyperlink" Target="https://www.gov.cn/xinwen/2017-11/14/content_5239536.htm" TargetMode="External" Id="rId360"/><Relationship Type="http://schemas.openxmlformats.org/officeDocument/2006/relationships/hyperlink" Target="https://www.gov.cn/gongbao/content/2019/content_5430516.htm" TargetMode="External" Id="rId361"/><Relationship Type="http://schemas.openxmlformats.org/officeDocument/2006/relationships/hyperlink" Target="https://www.cnca.gov.cn/zwxx/tz/2019/art/2019/art_afb18bd2c112466fa38c44838bdfe62d.html" TargetMode="External" Id="rId362"/><Relationship Type="http://schemas.openxmlformats.org/officeDocument/2006/relationships/hyperlink" Target="http://www.nea.gov.cn/2020-09/16/c_139372803.htm" TargetMode="External" Id="rId363"/><Relationship Type="http://schemas.openxmlformats.org/officeDocument/2006/relationships/hyperlink" Target="https://www.ndrc.gov.cn/xxgk/zcfb/tz/202005/t20200525_1228833.html?code=&amp;state=123" TargetMode="External" Id="rId364"/><Relationship Type="http://schemas.openxmlformats.org/officeDocument/2006/relationships/hyperlink" Target="https://www.ndrc.gov.cn/xxgk/zcfb/tz/202004/t20200414_1225639.html?code=&amp;state=123" TargetMode="External" Id="rId365"/><Relationship Type="http://schemas.openxmlformats.org/officeDocument/2006/relationships/hyperlink" Target="http://zfxxgk.nea.gov.cn/auto83/202001/t20200116_3972.htm" TargetMode="External" Id="rId366"/><Relationship Type="http://schemas.openxmlformats.org/officeDocument/2006/relationships/hyperlink" Target="https://www.ndrc.gov.cn/xwdt/tzgg/202112/t20211208_1307105.html?code=&amp;state=123" TargetMode="External" Id="rId367"/><Relationship Type="http://schemas.openxmlformats.org/officeDocument/2006/relationships/hyperlink" Target="https://www.most.gov.cn/xxgk/xinxifenlei/fdzdgknr/fgzc/gfxwj/gfxwj2021/202102/t20210202_172685.html" TargetMode="External" Id="rId368"/><Relationship Type="http://schemas.openxmlformats.org/officeDocument/2006/relationships/hyperlink" Target="https://www.ggj.gov.cn/tzgg/202111/t20211119_33936.htm" TargetMode="External" Id="rId369"/><Relationship Type="http://schemas.openxmlformats.org/officeDocument/2006/relationships/hyperlink" Target="https://www.ndrc.gov.cn/xxgk/zcfb/tz/202111/t20211130_1306223.html" TargetMode="External" Id="rId370"/><Relationship Type="http://schemas.openxmlformats.org/officeDocument/2006/relationships/hyperlink" Target="http://zfxxgk.nea.gov.cn/2021-12/29/c_1310411188.htm" TargetMode="External" Id="rId371"/><Relationship Type="http://schemas.openxmlformats.org/officeDocument/2006/relationships/hyperlink" Target="https://www.ndrc.gov.cn/xxgk/zcfb/tz/202111/P020211103333054582799.pdf" TargetMode="External" Id="rId372"/><Relationship Type="http://schemas.openxmlformats.org/officeDocument/2006/relationships/hyperlink" Target="https://baike.baidu.com/item/%E5%87%8F%E6%B1%A1%E9%99%8D%E7%A2%B3%E5%8D%8F%E5%90%8C%E5%A2%9E%E6%95%88%E5%AE%9E%E6%96%BD%E6%96%B9%E6%A1%88/59030016" TargetMode="External" Id="rId373"/><Relationship Type="http://schemas.openxmlformats.org/officeDocument/2006/relationships/hyperlink" Target="https://www.moa.gov.cn/govpublic/KJJYS/202206/P020220630331656855638.pdf" TargetMode="External" Id="rId374"/><Relationship Type="http://schemas.openxmlformats.org/officeDocument/2006/relationships/hyperlink" Target="https://www.ndrc.gov.cn/xwdt/tzgg/202201/t20220121_1312525.html?code=&amp;state=123" TargetMode="External" Id="rId375"/><Relationship Type="http://schemas.openxmlformats.org/officeDocument/2006/relationships/hyperlink" Target="https://www.gov.cn/zhengce/zhengceku/2022-08/19/content_5706074.htm" TargetMode="External" Id="rId376"/><Relationship Type="http://schemas.openxmlformats.org/officeDocument/2006/relationships/hyperlink" Target="https://baike.baidu.com/item/%E7%A7%91%E6%8A%80%E6%94%AF%E6%92%91%E7%A2%B3%E8%BE%BE%E5%B3%B0%E7%A2%B3%E4%B8%AD%E5%92%8C%E5%AE%9E%E6%96%BD%E6%96%B9%E6%A1%88%EF%BC%882022%E2%80%942030%E5%B9%B4%EF%BC%89/61878040" TargetMode="External" Id="rId377"/><Relationship Type="http://schemas.openxmlformats.org/officeDocument/2006/relationships/hyperlink" Target="https://wap.miit.gov.cn/jgsj/jns/wjfb/art/2022/art_9984665dbb904976a064a69be1b03f06.html" TargetMode="External" Id="rId378"/><Relationship Type="http://schemas.openxmlformats.org/officeDocument/2006/relationships/hyperlink" Target="https://www.ndrc.gov.cn/xxgk/zcfb/tz/202204/t20220411_1321822.html?code=&amp;state=123" TargetMode="External" Id="rId379"/><Relationship Type="http://schemas.openxmlformats.org/officeDocument/2006/relationships/hyperlink" Target="https://www.gov.cn/zhengce/content/2022-05/30/content_5693013.htm" TargetMode="External" Id="rId380"/><Relationship Type="http://schemas.openxmlformats.org/officeDocument/2006/relationships/hyperlink" Target="https://xxgk.mot.gov.cn/2020/jigou/ysfws/202204/t20220411_3650541.html" TargetMode="External" Id="rId381"/><Relationship Type="http://schemas.openxmlformats.org/officeDocument/2006/relationships/hyperlink" Target="https://www.ndrc.gov.cn/xwdt/tzgg/202212/t20221228_1344206_ext.html" TargetMode="External" Id="rId382"/><Relationship Type="http://schemas.openxmlformats.org/officeDocument/2006/relationships/hyperlink" Target="https://www.gov.cn/zhengce/zhengceku/2022-11/01/content_5723071.htm" TargetMode="External" Id="rId383"/><Relationship Type="http://schemas.openxmlformats.org/officeDocument/2006/relationships/hyperlink" Target="https://www.ndrc.gov.cn/xxgk/zcfb/ghxwj/202201/t20220121_1312634.html?code=&amp;state=123" TargetMode="External" Id="rId384"/><Relationship Type="http://schemas.openxmlformats.org/officeDocument/2006/relationships/hyperlink" Target="https://wap.miit.gov.cn/jgsj/jns/zhlyh/art/2022/art_c80aad4ef15b4864a42ba751c4c22119.html" TargetMode="External" Id="rId385"/><Relationship Type="http://schemas.openxmlformats.org/officeDocument/2006/relationships/hyperlink" Target="https://baike.baidu.com/item/%E5%9F%8E%E4%B9%A1%E5%BB%BA%E8%AE%BE%E9%A2%86%E5%9F%9F%E7%A2%B3%E8%BE%BE%E5%B3%B0%E5%AE%9E%E6%96%BD%E6%96%B9%E6%A1%88/61723326" TargetMode="External" Id="rId386"/><Relationship Type="http://schemas.openxmlformats.org/officeDocument/2006/relationships/hyperlink" Target="https://baike.baidu.com/item/%E5%BB%BA%E6%9D%90%E8%A1%8C%E4%B8%9A%E7%A2%B3%E8%BE%BE%E5%B3%B0%E5%AE%9E%E6%96%BD%E6%96%B9%E6%A1%88/62182581" TargetMode="External" Id="rId387"/><Relationship Type="http://schemas.openxmlformats.org/officeDocument/2006/relationships/hyperlink" Target="https://baike.baidu.com/item/%E6%9C%89%E8%89%B2%E9%87%91%E5%B1%9E%E8%A1%8C%E4%B8%9A%E7%A2%B3%E8%BE%BE%E5%B3%B0%E5%AE%9E%E6%96%BD%E6%96%B9%E6%A1%88/62254056" TargetMode="External" Id="rId388"/><Relationship Type="http://schemas.openxmlformats.org/officeDocument/2006/relationships/hyperlink" Target="https://www.ndrc.gov.cn/xxgk/zcfb/tz/202305/t20230517_1355814.html" TargetMode="External" Id="rId389"/><Relationship Type="http://schemas.openxmlformats.org/officeDocument/2006/relationships/hyperlink" Target="https://www.gov.cn/zhengce/zhengceku/202401/content_6925435.htm" TargetMode="External" Id="rId390"/><Relationship Type="http://schemas.openxmlformats.org/officeDocument/2006/relationships/hyperlink" Target="https://www.mee.gov.cn/xxgk2018/xxgk/xxgk05/202402/t20240222_1066647.html" TargetMode="External" Id="rId391"/><Relationship Type="http://schemas.openxmlformats.org/officeDocument/2006/relationships/hyperlink" Target="https://www.gov.cn/zhengce/zhengceku/202404/content_6944252.htm" TargetMode="External" Id="rId392"/><Relationship Type="http://schemas.openxmlformats.org/officeDocument/2006/relationships/hyperlink" Target="https://www.ndrc.gov.cn/xxgk/zcfb/tz/202408/t20240821_1392506.html" TargetMode="External" Id="rId393"/><Relationship Type="http://schemas.openxmlformats.org/officeDocument/2006/relationships/hyperlink" Target="https://zfxxgk.nea.gov.cn/2024-08/02/c_1310784260.htm" TargetMode="External" Id="rId394"/><Relationship Type="http://schemas.openxmlformats.org/officeDocument/2006/relationships/hyperlink" Target="https://www.mee.gov.cn/xxgk2018/xxgk/xxgk03/202406/t20240604_1074986.html" TargetMode="External" Id="rId395"/><Relationship Type="http://schemas.openxmlformats.org/officeDocument/2006/relationships/hyperlink" Target="https://www.gov.cn/zhengce/zhengceku/202501/content_6996643.htm" TargetMode="External" Id="rId396"/><Relationship Type="http://schemas.openxmlformats.org/officeDocument/2006/relationships/hyperlink" Target="https://www.nea.gov.cn/20241231/22b72793b0c946a4b9bfc2b06612b32e/c.html" TargetMode="External" Id="rId397"/><Relationship Type="http://schemas.openxmlformats.org/officeDocument/2006/relationships/hyperlink" Target="https://www.gov.cn/zhengce/zhengceku/202404/content_6944067.htm" TargetMode="External" Id="rId398"/><Relationship Type="http://schemas.openxmlformats.org/officeDocument/2006/relationships/hyperlink" Target="https://newenergy.in-en.com/html/newenergy-2440093.shtml?utm_source=cbnewsletter&amp;utm_medium=email&amp;utm_term=2025-04-07&amp;utm_campaign=China+Briefing+Solar+exports+Carbon+market+expansion+Leaders+climate+commitments" TargetMode="External" Id="rId399"/><Relationship Type="http://schemas.openxmlformats.org/officeDocument/2006/relationships/hyperlink" Target="https://www.moa.gov.cn/govpublic/xmsyj/202504/t20250429_6473633.htm" TargetMode="External" Id="rId400"/><Relationship Type="http://schemas.openxmlformats.org/officeDocument/2006/relationships/hyperlink" Target="https://www.gov.cn/zhengce/zhengceku/202504/content_7018738.htm" TargetMode="External" Id="rId401"/><Relationship Type="http://schemas.openxmlformats.org/officeDocument/2006/relationships/hyperlink" Target="https://www.gov.cn/zhengce/zhengceku/202503/content_7015987.htm" TargetMode="External" Id="rId402"/><Relationship Type="http://schemas.openxmlformats.org/officeDocument/2006/relationships/hyperlink" Target="https://www.nfra.gov.cn/cn/view/pages/ItemDetail.html?docId=1199877&amp;itemId=928" TargetMode="External" Id="rId403"/><Relationship Type="http://schemas.openxmlformats.org/officeDocument/2006/relationships/hyperlink" Target="https://www.mee.gov.cn/xxgk2018/xxgk/xxgk03/202502/t20250220_1102555.html" TargetMode="External" Id="rId404"/><Relationship Type="http://schemas.openxmlformats.org/officeDocument/2006/relationships/hyperlink" Target="https://www.mee.gov.cn/xxgk2018/xxgk/xxgk03/202501/t20250120_1100929.html" TargetMode="External" Id="rId405"/><Relationship Type="http://schemas.openxmlformats.org/officeDocument/2006/relationships/hyperlink" Target="https://www.gov.cn/zhengce/zhengceku/202501/content_7000079.htm" TargetMode="External" Id="rId406"/><Relationship Type="http://schemas.openxmlformats.org/officeDocument/2006/relationships/hyperlink" Target="https://www.nea.gov.cn/20250908/8a90bf7f17b141038fe7be0988a2c603/c.html" TargetMode="External" Id="rId407"/><Relationship Type="http://schemas.openxmlformats.org/officeDocument/2006/relationships/hyperlink" Target="https://www.miit.gov.cn/zwgk/zcwj/wjfb/tz/art/2025/art_e9123ba56ce74d74b09124019c7d509b.html" TargetMode="External" Id="rId408"/><Relationship Type="http://schemas.openxmlformats.org/officeDocument/2006/relationships/hyperlink" Target="https://www.miit.gov.cn/jgsj/jns/gzdt/art/2025/art_8eb5473a00b04635805511c2d61be046.html" TargetMode="External" Id="rId409"/><Relationship Type="http://schemas.openxmlformats.org/officeDocument/2006/relationships/hyperlink" Target="https://wms.mofcom.gov.cn/zcfb/wmzc/art/2025/art_65a91bb52e84415c88149c4f16c34a95.html" TargetMode="External" Id="rId410"/><Relationship Type="http://schemas.openxmlformats.org/officeDocument/2006/relationships/hyperlink" Target="https://wap.miit.gov.cn/zwgk/zcwj/wjfb/tz/art/2026/art_a3250eaa656845149b12615070009204.html" TargetMode="External" Id="rId411"/><Relationship Type="http://schemas.openxmlformats.org/officeDocument/2006/relationships/hyperlink" Target="https://www.gov.cn/gongbao/content/2005/content_64306.htm" TargetMode="External" Id="rId412"/><Relationship Type="http://schemas.openxmlformats.org/officeDocument/2006/relationships/hyperlink" Target="https://www.most.gov.cn/xxgk/xinxifenlei/fdzdgknr/qtwj/qtwj2010before/200811/t20081129_65726.html" TargetMode="External" Id="rId413"/><Relationship Type="http://schemas.openxmlformats.org/officeDocument/2006/relationships/hyperlink" Target="https://www.gov.cn/gzdt/2009-12/30/content_1500005.htm" TargetMode="External" Id="rId414"/><Relationship Type="http://schemas.openxmlformats.org/officeDocument/2006/relationships/hyperlink" Target="https://www.mee.gov.cn/gkml/hbb/bgt/201311/t20131104_262804.htm" TargetMode="External" Id="rId415"/><Relationship Type="http://schemas.openxmlformats.org/officeDocument/2006/relationships/hyperlink" Target="https://www.ndrc.gov.cn/xxgk/zcfb/tz/202006/t20200618_1231503.html?code=&amp;state=123" TargetMode="External" Id="rId416"/><Relationship Type="http://schemas.openxmlformats.org/officeDocument/2006/relationships/hyperlink" Target="https://www.ndrc.gov.cn/xwdt/tzgg/202107/t20210705_1285400.html?code=&amp;state=123" TargetMode="External" Id="rId417"/><Relationship Type="http://schemas.openxmlformats.org/officeDocument/2006/relationships/hyperlink" Target="https://www.gov.cn/zhengce/zhengceku/202601/content_7053876.htm" TargetMode="External" Id="rId418"/><Relationship Type="http://schemas.openxmlformats.org/officeDocument/2006/relationships/hyperlink" Target="https://www.gov.cn/zwgk/2007-06/03/content_634545.htm" TargetMode="External" Id="rId419"/><Relationship Type="http://schemas.openxmlformats.org/officeDocument/2006/relationships/hyperlink" Target="https://www.gov.cn/zhengce/zhengceku/2016-09/22/content_5110758.htm" TargetMode="External" Id="rId420"/><Relationship Type="http://schemas.openxmlformats.org/officeDocument/2006/relationships/hyperlink" Target="https://www.gov.cn/zhengce/zhengceku/2009-07/31/content_4899.htm" TargetMode="External" Id="rId421"/><Relationship Type="http://schemas.openxmlformats.org/officeDocument/2006/relationships/hyperlink" Target="https://www.mee.gov.cn/gkml/hbb/bwj/201512/t20151215_319170.htm" TargetMode="External" Id="rId422"/><Relationship Type="http://schemas.openxmlformats.org/officeDocument/2006/relationships/hyperlink" Target="https://www.ndrc.gov.cn/xxgk/zcfb/tz/202112/t20211217_1308233.html?code=&amp;state=123" TargetMode="External" Id="rId423"/><Relationship Type="http://schemas.openxmlformats.org/officeDocument/2006/relationships/hyperlink" Target="http://zfxxgk.nea.gov.cn/2021-03/17/c_139829878.htm" TargetMode="External" Id="rId424"/><Relationship Type="http://schemas.openxmlformats.org/officeDocument/2006/relationships/hyperlink" Target="https://www.gov.cn/zhengce/content/2022-01/07/content_5666914.htm" TargetMode="External" Id="rId425"/><Relationship Type="http://schemas.openxmlformats.org/officeDocument/2006/relationships/hyperlink" Target="https://www.gov.cn/zhengce/zhengceku/202410/content_6983052.htm" TargetMode="External" Id="rId426"/><Relationship Type="http://schemas.openxmlformats.org/officeDocument/2006/relationships/hyperlink" Target="https://www.gov.cn/zhengce/zhengceku/202403/content_6939607.htm" TargetMode="External" Id="rId427"/><Relationship Type="http://schemas.openxmlformats.org/officeDocument/2006/relationships/hyperlink" Target="https://www.mee.gov.cn/xxgk2018/xxgk/xxgk03/202504/t20250423_1117396.html" TargetMode="External" Id="rId428"/><Relationship Type="http://schemas.openxmlformats.org/officeDocument/2006/relationships/hyperlink" Target="https://www.gov.cn/zhengce/zhengceku/202509/content_7040552.htm" TargetMode="External" Id="rId429"/><Relationship Type="http://schemas.openxmlformats.org/officeDocument/2006/relationships/hyperlink" Target="https://www.miit.gov.cn/zwgk/zcwj/wjfb/tz/art/2025/art_5f72b18071ec49b5916bb9f99e58872e.html" TargetMode="External" Id="rId430"/><Relationship Type="http://schemas.openxmlformats.org/officeDocument/2006/relationships/hyperlink" Target="https://www.miit.gov.cn/zwgk/zcwj/wjfb/tz/art/2025/art_c73c2f6a0f20465aa92c360daa08619b.html" TargetMode="External" Id="rId431"/><Relationship Type="http://schemas.openxmlformats.org/officeDocument/2006/relationships/hyperlink" Target="https://www.miit.gov.cn/zwgk/zcwj/wjfb/tz/art/2025/art_e0b143ab438a4de4973ba9031c75b673.html" TargetMode="External" Id="rId432"/><Relationship Type="http://schemas.openxmlformats.org/officeDocument/2006/relationships/hyperlink" Target="https://www.miit.gov.cn/zwgk/zcwj/wjfb/tz/art/2025/art_fc1de65c987b44ab8560d2acf3b142a4.html" TargetMode="External" Id="rId433"/><Relationship Type="http://schemas.openxmlformats.org/officeDocument/2006/relationships/hyperlink" Target="https://www.miit.gov.cn/jgsj/xfpgys/wjfb/art/2025/art_7bd09ef20e60494aba48b36116118cbb.html" TargetMode="External" Id="rId434"/><Relationship Type="http://schemas.openxmlformats.org/officeDocument/2006/relationships/hyperlink" Target="https://www.miit.gov.cn/zwgk/zcwj/wjfb/tz/art/2025/art_e6fdc1fc198d4b3a86551a53c54b9491.html" TargetMode="External" Id="rId435"/><Relationship Type="http://schemas.openxmlformats.org/officeDocument/2006/relationships/hyperlink" Target="https://www.mee.gov.cn/xxgk2018/xxgk/xxgk03/202505/t20250530_1120372.html" TargetMode="External" Id="rId436"/><Relationship Type="http://schemas.openxmlformats.org/officeDocument/2006/relationships/hyperlink" Target="https://www.iea.org/policies/5479-china-energy-white-paper-2012" TargetMode="External" Id="rId437"/><Relationship Type="http://schemas.openxmlformats.org/officeDocument/2006/relationships/hyperlink" Target="https://www.gov.cn/xinwen/2014-03/06/content_2630690.htm" TargetMode="External" Id="rId438"/><Relationship Type="http://schemas.openxmlformats.org/officeDocument/2006/relationships/hyperlink" Target="https://lcj.tongliao.gov.cn/xwzx/bmdt/201709/t20170919_808361.html" TargetMode="External" Id="rId439"/><Relationship Type="http://schemas.openxmlformats.org/officeDocument/2006/relationships/hyperlink" Target="https://www.gov.cn/zhengce/zhengceku/2018-12/31/content_5437840.htm" TargetMode="External" Id="rId440"/><Relationship Type="http://schemas.openxmlformats.org/officeDocument/2006/relationships/hyperlink" Target="https://www.forestry.gov.cn/c/www/lczy/16087.jhtml" TargetMode="External" Id="rId441"/><Relationship Type="http://schemas.openxmlformats.org/officeDocument/2006/relationships/hyperlink" Target="https://www.gov.cn/zhengce/2020-12/21/content_5571916.htm" TargetMode="External" Id="rId442"/><Relationship Type="http://schemas.openxmlformats.org/officeDocument/2006/relationships/hyperlink" Target="https://english.mee.gov.cn/Resources/Plans/Plans/200801/t20080103_115879.shtml" TargetMode="External" Id="rId443"/><Relationship Type="http://schemas.openxmlformats.org/officeDocument/2006/relationships/hyperlink" Target="https://www.forestry.gov.cn/uploadfile/main/2011-7/file/2011-7-12-8920476e3e204817a8d33e821e5fdb44.pdf" TargetMode="External" Id="rId444"/><Relationship Type="http://schemas.openxmlformats.org/officeDocument/2006/relationships/hyperlink" Target="https://www.ndrc.gov.cn/xxgk/zcfb/tz/201704/t20170425_962953.html?code=&amp;state=123" TargetMode="External" Id="rId445"/><Relationship Type="http://schemas.openxmlformats.org/officeDocument/2006/relationships/hyperlink" Target="https://www.doc88.com/p-74659513278812.html" TargetMode="External" Id="rId446"/><Relationship Type="http://schemas.openxmlformats.org/officeDocument/2006/relationships/hyperlink" Target="https://www.gov.cn/xinwen/2017-12/20/5248855/files/7ed7d7cda8984ae39a4e9620a4660c7f.pdf" TargetMode="External" Id="rId447"/><Relationship Type="http://schemas.openxmlformats.org/officeDocument/2006/relationships/hyperlink" Target="https://www.gov.cn/zhengce/2019-09/19/content_5431432.htm" TargetMode="External" Id="rId448"/><Relationship Type="http://schemas.openxmlformats.org/officeDocument/2006/relationships/hyperlink" Target="https://www.gov.cn/zhengce/zhengceku/2020-06/12/content_5518982.htm" TargetMode="External" Id="rId449"/><Relationship Type="http://schemas.openxmlformats.org/officeDocument/2006/relationships/hyperlink" Target="https://www.gov.cn/zhengce/2021-02/24/content_5588654.htm" TargetMode="External" Id="rId450"/><Relationship Type="http://schemas.openxmlformats.org/officeDocument/2006/relationships/hyperlink" Target="https://www.miit.gov.cn/jgsj/jns/gzdt/art/2021/art_09b9a0f43de9496abff73b1954831e37.html" TargetMode="External" Id="rId451"/><Relationship Type="http://schemas.openxmlformats.org/officeDocument/2006/relationships/hyperlink" Target="https://www.ndrc.gov.cn/xxgk/zcfb/ghwb/202112/t20211222_1308922.html?code=&amp;state=123" TargetMode="External" Id="rId452"/><Relationship Type="http://schemas.openxmlformats.org/officeDocument/2006/relationships/hyperlink" Target="https://www.cac.gov.cn/2025-04/25/c_1747290376047340.htm" TargetMode="External" Id="rId453"/></Relationships>
</file>

<file path=xl/worksheets/sheet1.xml><?xml version="1.0" encoding="utf-8"?>
<worksheet xmlns="http://schemas.openxmlformats.org/spreadsheetml/2006/main">
  <sheetPr>
    <outlinePr summaryBelow="0" summaryRight="0"/>
    <pageSetUpPr/>
  </sheetPr>
  <dimension ref="A2:T81"/>
  <sheetViews>
    <sheetView topLeftCell="A2" workbookViewId="0">
      <selection activeCell="B31" sqref="B31"/>
    </sheetView>
  </sheetViews>
  <sheetFormatPr baseColWidth="8" defaultColWidth="14" defaultRowHeight="13"/>
  <cols>
    <col width="3" customWidth="1" style="235" min="1" max="1"/>
    <col width="22" customWidth="1" style="235" min="2" max="2"/>
    <col width="12" customWidth="1" style="235" min="3" max="3"/>
    <col width="13" customWidth="1" style="235" min="4" max="16"/>
    <col width="15" customWidth="1" style="235" min="17" max="17"/>
    <col width="10" customWidth="1" style="235" min="18" max="18"/>
    <col width="27" customWidth="1" style="235" min="19" max="19"/>
    <col width="6" customWidth="1" style="235" min="20" max="20"/>
  </cols>
  <sheetData>
    <row r="1" ht="15" customHeight="1" s="235"/>
    <row r="2" ht="26.15" customHeight="1" s="235">
      <c r="A2" s="2" t="n"/>
      <c r="B2" s="3" t="inlineStr">
        <is>
          <t>中国国家气候目标数据库 (v1.0.0)</t>
        </is>
      </c>
      <c r="C2" s="4" t="n"/>
      <c r="D2" s="4" t="n"/>
      <c r="E2" s="4" t="n"/>
      <c r="F2" s="4" t="n"/>
      <c r="G2" s="4" t="n"/>
      <c r="H2" s="4" t="n"/>
      <c r="I2" s="4" t="n"/>
      <c r="J2" s="4" t="n"/>
      <c r="K2" s="4" t="n"/>
      <c r="L2" s="4" t="n"/>
      <c r="M2" s="4" t="n"/>
      <c r="N2" s="4" t="n"/>
      <c r="O2" s="4" t="n"/>
      <c r="P2" s="4" t="n"/>
      <c r="Q2" s="4" t="n"/>
      <c r="R2" s="5" t="n"/>
      <c r="S2" s="6" t="inlineStr">
        <is>
          <t>CC BY 4.0</t>
        </is>
      </c>
      <c r="T2" s="7" t="n"/>
    </row>
    <row r="3" ht="17.15" customHeight="1" s="235">
      <c r="A3" s="8" t="n"/>
      <c r="B3" s="9" t="inlineStr">
        <is>
          <t>本数据集汇编了中国中央政府自2004年至2026年年中制定的量化气候相关目标，这些目标源自官方政策文件和政府网站条目，并按不同主题领域进行整理。</t>
        </is>
      </c>
      <c r="C3" s="8" t="n"/>
      <c r="D3" s="8" t="n"/>
      <c r="E3" s="8" t="n"/>
      <c r="F3" s="8" t="n"/>
      <c r="G3" s="8" t="n"/>
      <c r="H3" s="8" t="n"/>
      <c r="I3" s="8" t="n"/>
      <c r="J3" s="8" t="n"/>
      <c r="K3" s="8" t="n"/>
      <c r="L3" s="8" t="n"/>
      <c r="M3" s="8" t="n"/>
      <c r="N3" s="8" t="n"/>
      <c r="O3" s="8" t="n"/>
      <c r="P3" s="8" t="n"/>
      <c r="Q3" s="8" t="n"/>
      <c r="R3" s="10" t="inlineStr">
        <is>
          <t>作者</t>
        </is>
      </c>
      <c r="S3" s="11" t="inlineStr">
        <is>
          <t>Florian Wengel</t>
        </is>
      </c>
      <c r="T3" s="7" t="n"/>
    </row>
    <row r="4" ht="17.15" customHeight="1" s="235">
      <c r="A4" s="8" t="n"/>
      <c r="B4" s="9" t="inlineStr">
        <is>
          <t>在中国，目标在实践中具有指令性质，是政府机构的重要工作指引。</t>
        </is>
      </c>
      <c r="C4" s="8" t="n"/>
      <c r="D4" s="8" t="n"/>
      <c r="E4" s="8" t="n"/>
      <c r="F4" s="8" t="n"/>
      <c r="G4" s="8" t="n"/>
      <c r="H4" s="8" t="n"/>
      <c r="I4" s="8" t="n"/>
      <c r="J4" s="8" t="n"/>
      <c r="K4" s="8" t="n"/>
      <c r="L4" s="8" t="n"/>
      <c r="M4" s="8" t="n"/>
      <c r="N4" s="8" t="n"/>
      <c r="O4" s="8" t="n"/>
      <c r="P4" s="8" t="n"/>
      <c r="Q4" s="8" t="n"/>
      <c r="R4" s="9" t="n"/>
      <c r="S4" s="12" t="inlineStr">
        <is>
          <t>伦敦大学亚非学院</t>
        </is>
      </c>
      <c r="T4" s="7" t="n"/>
    </row>
    <row r="5" ht="18" customHeight="1" s="235">
      <c r="B5" s="13" t="inlineStr">
        <is>
          <t>最后更新</t>
        </is>
      </c>
      <c r="C5" s="14" t="n">
        <v>46272</v>
      </c>
      <c r="D5" s="15" t="n"/>
      <c r="E5" s="15" t="n"/>
      <c r="F5" s="15" t="n"/>
      <c r="G5" s="15" t="n"/>
      <c r="H5" s="15" t="n"/>
      <c r="I5" s="15" t="n"/>
      <c r="J5" s="15" t="n"/>
      <c r="K5" s="15" t="n"/>
      <c r="L5" s="15" t="n"/>
      <c r="M5" s="15" t="n"/>
      <c r="N5" s="15" t="n"/>
      <c r="O5" s="15" t="n"/>
      <c r="P5" s="15" t="n"/>
      <c r="Q5" s="16" t="inlineStr">
        <is>
          <t>免责声明：所有错误均由作者承担。</t>
        </is>
      </c>
      <c r="R5" s="17" t="n"/>
      <c r="S5" s="18" t="inlineStr">
        <is>
          <t>705404@soas.ac.uk</t>
        </is>
      </c>
    </row>
    <row r="6" ht="15" customHeight="1" s="235">
      <c r="B6" s="239" t="inlineStr">
        <is>
          <t>2026-09-07：根据《促进数字化绿色化协同转型发展实施方案（2026-2030年）》（IP2604）新增1条目标：算力设施等重点领域可再生能源电力消费水平达到所在省份可再生能源电力消纳责任权重水平（2030）。</t>
        </is>
      </c>
    </row>
    <row r="7" ht="15" customHeight="1" s="235">
      <c r="B7" s="239" t="inlineStr">
        <is>
          <t>2026-09-07：简化目标类别名称，删除“目标”后缀（如“可再生能源目标”→“可再生能源”），中英文同步。</t>
        </is>
      </c>
    </row>
    <row r="8" ht="17.15" customHeight="1" s="235">
      <c r="B8" s="19" t="inlineStr">
        <is>
          <t>2026-09-04：按收录口径（直接减排/间接促进减排/显著影响排放路径）筛查，删除62条与气候无直接关联的指标（出行便利、安检流程、车辆技术参数、就业营收、生物多样性等）。
2026-09-04：新增17份2026年政策文件的169条目标（新目标98条、重申目标63条、强化或放宽目标8条），并在「来源」表新增26份政策文件。</t>
        </is>
      </c>
      <c r="C8" s="20" t="n"/>
      <c r="S8" s="21" t="n"/>
    </row>
    <row r="9" ht="15" customHeight="1" s="235">
      <c r="B9" s="22" t="inlineStr">
        <is>
          <t>数据来源说明</t>
        </is>
      </c>
      <c r="C9" s="23" t="n"/>
      <c r="D9" s="24" t="n"/>
      <c r="E9" s="24" t="n"/>
      <c r="F9" s="24" t="n"/>
      <c r="G9" s="24" t="n"/>
      <c r="H9" s="24" t="n"/>
      <c r="I9" s="24" t="n"/>
      <c r="J9" s="24" t="n"/>
      <c r="K9" s="24" t="n"/>
      <c r="L9" s="24" t="n"/>
      <c r="M9" s="24" t="n"/>
      <c r="N9" s="24" t="n"/>
      <c r="O9" s="24" t="n"/>
      <c r="P9" s="24" t="n"/>
      <c r="Q9" s="24" t="n"/>
      <c r="R9" s="24" t="n"/>
      <c r="S9" s="25" t="n"/>
    </row>
    <row r="10" ht="15" customHeight="1" s="235">
      <c r="A10" s="8" t="n"/>
      <c r="B10" s="26" t="inlineStr">
        <is>
          <t>目标摘录自中国中央政府各部门发布的中国气候相关文件。这些文本文件来源于政府机构网站、在线百科全书百度百科、中国官方媒体或其他网站。</t>
        </is>
      </c>
      <c r="C10" s="27" t="n"/>
      <c r="D10" s="28" t="n"/>
      <c r="E10" s="28" t="n"/>
      <c r="F10" s="28" t="n"/>
      <c r="G10" s="28" t="n"/>
      <c r="H10" s="28" t="n"/>
      <c r="I10" s="28" t="n"/>
      <c r="J10" s="28" t="n"/>
      <c r="K10" s="28" t="n"/>
      <c r="L10" s="28" t="n"/>
      <c r="M10" s="28" t="n"/>
      <c r="N10" s="28" t="n"/>
      <c r="O10" s="28" t="n"/>
      <c r="P10" s="28" t="n"/>
      <c r="Q10" s="28" t="n"/>
      <c r="R10" s="28" t="n"/>
      <c r="S10" s="29" t="n"/>
    </row>
    <row r="11" ht="17.15" customHeight="1" s="235">
      <c r="B11" s="19" t="n"/>
      <c r="C11" s="20" t="n"/>
      <c r="S11" s="21" t="n"/>
    </row>
    <row r="12" ht="17.15" customHeight="1" s="235">
      <c r="B12" s="22" t="inlineStr">
        <is>
          <t>气候目标定义</t>
        </is>
      </c>
      <c r="C12" s="23" t="n"/>
      <c r="D12" s="24" t="n"/>
      <c r="E12" s="24" t="n"/>
      <c r="F12" s="24" t="n"/>
      <c r="G12" s="24" t="n"/>
      <c r="H12" s="24" t="n"/>
      <c r="I12" s="24" t="n"/>
      <c r="J12" s="24" t="n"/>
      <c r="K12" s="24" t="n"/>
      <c r="L12" s="24" t="n"/>
      <c r="M12" s="24" t="n"/>
      <c r="N12" s="24" t="n"/>
      <c r="O12" s="24" t="n"/>
      <c r="P12" s="24" t="n"/>
      <c r="Q12" s="24" t="n"/>
      <c r="R12" s="24" t="n"/>
      <c r="S12" s="25" t="n"/>
    </row>
    <row r="13" ht="15" customHeight="1" s="235">
      <c r="A13" s="8" t="n"/>
      <c r="B13" s="9" t="inlineStr">
        <is>
          <t>为编制本数据集之目的，我们将气候目标广义地定义为旨在直接减少温室气体排放、间接促进减排、或对温室气体排放路径产生重大影响的量化承诺。</t>
        </is>
      </c>
      <c r="C13" s="30" t="n"/>
      <c r="D13" s="8" t="n"/>
      <c r="E13" s="8" t="n"/>
      <c r="F13" s="8" t="n"/>
      <c r="G13" s="8" t="n"/>
      <c r="H13" s="8" t="n"/>
      <c r="I13" s="8" t="n"/>
      <c r="J13" s="8" t="n"/>
      <c r="K13" s="8" t="n"/>
      <c r="L13" s="8" t="n"/>
      <c r="M13" s="8" t="n"/>
      <c r="N13" s="8" t="n"/>
      <c r="O13" s="8" t="n"/>
      <c r="P13" s="8" t="n"/>
      <c r="Q13" s="8" t="n"/>
      <c r="R13" s="8" t="n"/>
      <c r="S13" s="31" t="n"/>
    </row>
    <row r="14" ht="15" customHeight="1" s="235">
      <c r="A14" s="8" t="n"/>
      <c r="B14" s="26" t="inlineStr">
        <is>
          <t>本数据集既包括硬性目标，也包括较为软性的指导性目标。</t>
        </is>
      </c>
      <c r="C14" s="27" t="n"/>
      <c r="D14" s="28" t="n"/>
      <c r="E14" s="28" t="n"/>
      <c r="F14" s="28" t="n"/>
      <c r="G14" s="28" t="n"/>
      <c r="H14" s="28" t="n"/>
      <c r="I14" s="28" t="n"/>
      <c r="J14" s="28" t="n"/>
      <c r="K14" s="28" t="n"/>
      <c r="L14" s="28" t="n"/>
      <c r="M14" s="28" t="n"/>
      <c r="N14" s="28" t="n"/>
      <c r="O14" s="28" t="n"/>
      <c r="P14" s="28" t="n"/>
      <c r="Q14" s="28" t="n"/>
      <c r="R14" s="28" t="n"/>
      <c r="S14" s="29" t="n"/>
    </row>
    <row r="15" ht="15" customHeight="1" s="235">
      <c r="B15" s="19" t="n"/>
      <c r="C15" s="20" t="n"/>
    </row>
    <row r="16" ht="15" customHeight="1" s="235">
      <c r="B16" s="22" t="inlineStr">
        <is>
          <t>范围与覆盖</t>
        </is>
      </c>
      <c r="C16" s="23" t="n"/>
      <c r="D16" s="24" t="n"/>
      <c r="E16" s="24" t="n"/>
      <c r="F16" s="24" t="n"/>
      <c r="G16" s="24" t="n"/>
      <c r="H16" s="24" t="n"/>
      <c r="I16" s="24" t="n"/>
      <c r="J16" s="24" t="n"/>
      <c r="K16" s="24" t="n"/>
      <c r="L16" s="24" t="n"/>
      <c r="M16" s="24" t="n"/>
      <c r="N16" s="24" t="n"/>
      <c r="O16" s="24" t="n"/>
      <c r="P16" s="24" t="n"/>
      <c r="Q16" s="24" t="n"/>
      <c r="R16" s="24" t="n"/>
      <c r="S16" s="25" t="n"/>
    </row>
    <row r="17" ht="15" customHeight="1" s="235">
      <c r="B17" s="9" t="inlineStr">
        <is>
          <t>本数据集仅涵盖国家级气候目标，不提供次国家级目标的信息。目标摘录自2004年以来发布的政策文件。</t>
        </is>
      </c>
      <c r="C17" s="30" t="n"/>
      <c r="D17" s="8" t="n"/>
      <c r="E17" s="8" t="n"/>
      <c r="F17" s="8" t="n"/>
      <c r="G17" s="8" t="n"/>
      <c r="H17" s="8" t="n"/>
      <c r="I17" s="8" t="n"/>
      <c r="J17" s="8" t="n"/>
      <c r="K17" s="8" t="n"/>
      <c r="L17" s="8" t="n"/>
      <c r="M17" s="8" t="n"/>
      <c r="N17" s="8" t="n"/>
      <c r="O17" s="8" t="n"/>
      <c r="P17" s="8" t="n"/>
      <c r="Q17" s="8" t="n"/>
      <c r="R17" s="8" t="n"/>
      <c r="S17" s="31" t="n"/>
    </row>
    <row r="18" ht="15" customHeight="1" s="235">
      <c r="B18" s="26" t="inlineStr">
        <is>
          <t>本数据集力求尽可能全面，但仍可能有部分目标未能收录。</t>
        </is>
      </c>
      <c r="C18" s="27" t="n"/>
      <c r="D18" s="28" t="n"/>
      <c r="E18" s="28" t="n"/>
      <c r="F18" s="28" t="n"/>
      <c r="G18" s="28" t="n"/>
      <c r="H18" s="28" t="n"/>
      <c r="I18" s="28" t="n"/>
      <c r="J18" s="28" t="n"/>
      <c r="K18" s="28" t="n"/>
      <c r="L18" s="28" t="n"/>
      <c r="M18" s="28" t="n"/>
      <c r="N18" s="28" t="n"/>
      <c r="O18" s="28" t="n"/>
      <c r="P18" s="28" t="n"/>
      <c r="Q18" s="28" t="n"/>
      <c r="R18" s="28" t="n"/>
      <c r="S18" s="29" t="n"/>
    </row>
    <row r="19" ht="15" customHeight="1" s="235">
      <c r="B19" s="19" t="n"/>
      <c r="C19" s="20" t="n"/>
    </row>
    <row r="20" ht="15" customHeight="1" s="235">
      <c r="B20" s="22" t="inlineStr">
        <is>
          <t>数据集结构</t>
        </is>
      </c>
      <c r="C20" s="240" t="n"/>
      <c r="D20" s="241" t="n"/>
      <c r="E20" s="241" t="n"/>
      <c r="F20" s="241" t="n"/>
      <c r="G20" s="241" t="n"/>
      <c r="H20" s="241" t="n"/>
      <c r="I20" s="241" t="n"/>
      <c r="J20" s="241" t="n"/>
      <c r="K20" s="241" t="n"/>
      <c r="L20" s="241" t="n"/>
      <c r="M20" s="241" t="n"/>
      <c r="N20" s="241" t="n"/>
      <c r="O20" s="241" t="n"/>
      <c r="P20" s="241" t="n"/>
      <c r="Q20" s="241" t="n"/>
      <c r="R20" s="241" t="n"/>
      <c r="S20" s="242" t="n"/>
    </row>
    <row r="21" ht="15" customHeight="1" s="235">
      <c r="B21" s="32" t="inlineStr">
        <is>
          <t>工作表</t>
        </is>
      </c>
      <c r="C21" s="234" t="inlineStr">
        <is>
          <t>说明</t>
        </is>
      </c>
      <c r="S21" s="236" t="n"/>
    </row>
    <row r="22" ht="15" customHeight="1" s="235">
      <c r="B22" s="33" t="inlineStr">
        <is>
          <t>概览</t>
        </is>
      </c>
      <c r="C22" s="34" t="inlineStr">
        <is>
          <t>汇总统计</t>
        </is>
      </c>
      <c r="D22" s="35" t="n"/>
      <c r="E22" s="35" t="n"/>
      <c r="F22" s="35" t="n"/>
      <c r="G22" s="35" t="n"/>
      <c r="H22" s="35" t="n"/>
      <c r="I22" s="35" t="n"/>
      <c r="J22" s="35" t="n"/>
      <c r="K22" s="35" t="n"/>
      <c r="L22" s="35" t="n"/>
      <c r="M22" s="35" t="n"/>
      <c r="N22" s="35" t="n"/>
      <c r="O22" s="35" t="n"/>
      <c r="P22" s="35" t="n"/>
      <c r="Q22" s="35" t="n"/>
      <c r="R22" s="35" t="n"/>
      <c r="S22" s="36" t="n"/>
    </row>
    <row r="23" ht="15" customHeight="1" s="235">
      <c r="B23" s="33" t="inlineStr">
        <is>
          <t>温室气体排放</t>
        </is>
      </c>
      <c r="C23" s="37" t="inlineStr">
        <is>
          <t>所有涉及温室气体排放的目标，涵盖全社会经济或特定行业、系统或过程</t>
        </is>
      </c>
      <c r="D23" s="8" t="n"/>
      <c r="E23" s="8" t="n"/>
      <c r="F23" s="8" t="n"/>
      <c r="G23" s="8" t="n"/>
      <c r="H23" s="8" t="n"/>
      <c r="I23" s="8" t="n"/>
      <c r="J23" s="8" t="n"/>
      <c r="K23" s="8" t="n"/>
      <c r="L23" s="8" t="n"/>
      <c r="M23" s="8" t="n"/>
      <c r="N23" s="8" t="n"/>
      <c r="O23" s="8" t="n"/>
      <c r="P23" s="8" t="n"/>
      <c r="Q23" s="8" t="n"/>
      <c r="R23" s="8" t="n"/>
      <c r="S23" s="31" t="n"/>
    </row>
    <row r="24" ht="15" customHeight="1" s="235">
      <c r="B24" s="33" t="inlineStr">
        <is>
          <t>能源|电力</t>
        </is>
      </c>
      <c r="C24" s="37" t="inlineStr">
        <is>
          <t>所有与能源供应（包括煤电相关目标）和消费相关的目标</t>
        </is>
      </c>
      <c r="D24" s="8" t="n"/>
      <c r="E24" s="8" t="n"/>
      <c r="F24" s="8" t="n"/>
      <c r="G24" s="8" t="n"/>
      <c r="H24" s="8" t="n"/>
      <c r="I24" s="8" t="n"/>
      <c r="J24" s="8" t="n"/>
      <c r="K24" s="8" t="n"/>
      <c r="L24" s="8" t="n"/>
      <c r="M24" s="8" t="n"/>
      <c r="N24" s="8" t="n"/>
      <c r="O24" s="8" t="n"/>
      <c r="P24" s="8" t="n"/>
      <c r="Q24" s="8" t="n"/>
      <c r="R24" s="8" t="n"/>
      <c r="S24" s="31" t="n"/>
    </row>
    <row r="25" ht="15" customHeight="1" s="235">
      <c r="B25" s="33" t="inlineStr">
        <is>
          <t>工业</t>
        </is>
      </c>
      <c r="C25" s="37" t="inlineStr">
        <is>
          <t>所有与工业部门相关的目标，特别是高碳工业过程</t>
        </is>
      </c>
      <c r="D25" s="8" t="n"/>
      <c r="E25" s="8" t="n"/>
      <c r="F25" s="8" t="n"/>
      <c r="G25" s="8" t="n"/>
      <c r="H25" s="8" t="n"/>
      <c r="I25" s="8" t="n"/>
      <c r="J25" s="8" t="n"/>
      <c r="K25" s="8" t="n"/>
      <c r="L25" s="8" t="n"/>
      <c r="M25" s="8" t="n"/>
      <c r="N25" s="8" t="n"/>
      <c r="O25" s="8" t="n"/>
      <c r="P25" s="8" t="n"/>
      <c r="Q25" s="8" t="n"/>
      <c r="R25" s="8" t="n"/>
      <c r="S25" s="31" t="n"/>
    </row>
    <row r="26" ht="15" customHeight="1" s="235">
      <c r="B26" s="33" t="inlineStr">
        <is>
          <t>建筑</t>
        </is>
      </c>
      <c r="C26" s="37" t="inlineStr">
        <is>
          <t>所有与建筑和基础设施相关的目标</t>
        </is>
      </c>
      <c r="D26" s="8" t="n"/>
      <c r="E26" s="8" t="n"/>
      <c r="F26" s="8" t="n"/>
      <c r="G26" s="8" t="n"/>
      <c r="H26" s="8" t="n"/>
      <c r="I26" s="8" t="n"/>
      <c r="J26" s="8" t="n"/>
      <c r="K26" s="8" t="n"/>
      <c r="L26" s="8" t="n"/>
      <c r="M26" s="8" t="n"/>
      <c r="N26" s="8" t="n"/>
      <c r="O26" s="8" t="n"/>
      <c r="P26" s="8" t="n"/>
      <c r="Q26" s="8" t="n"/>
      <c r="R26" s="8" t="n"/>
      <c r="S26" s="31" t="n"/>
    </row>
    <row r="27" ht="15" customHeight="1" s="235">
      <c r="B27" s="33" t="inlineStr">
        <is>
          <t>交通</t>
        </is>
      </c>
      <c r="C27" s="37" t="inlineStr">
        <is>
          <t>所有与交通运输和物流相关的目标</t>
        </is>
      </c>
      <c r="D27" s="8" t="n"/>
      <c r="E27" s="8" t="n"/>
      <c r="F27" s="8" t="n"/>
      <c r="G27" s="8" t="n"/>
      <c r="H27" s="8" t="n"/>
      <c r="I27" s="8" t="n"/>
      <c r="J27" s="8" t="n"/>
      <c r="K27" s="8" t="n"/>
      <c r="L27" s="8" t="n"/>
      <c r="M27" s="8" t="n"/>
      <c r="N27" s="8" t="n"/>
      <c r="O27" s="8" t="n"/>
      <c r="P27" s="8" t="n"/>
      <c r="Q27" s="8" t="n"/>
      <c r="R27" s="8" t="n"/>
      <c r="S27" s="31" t="n"/>
    </row>
    <row r="28" ht="15" customHeight="1" s="235">
      <c r="B28" s="33" t="inlineStr">
        <is>
          <t>土地利用、土地利用变化和林业</t>
        </is>
      </c>
      <c r="C28" s="37" t="inlineStr">
        <is>
          <t>所有与土地利用、农业和林业相关的目标</t>
        </is>
      </c>
      <c r="S28" s="12" t="n"/>
    </row>
    <row r="29" ht="15" customHeight="1" s="235">
      <c r="B29" s="33" t="inlineStr">
        <is>
          <t>循环经济</t>
        </is>
      </c>
      <c r="C29" s="37" t="inlineStr">
        <is>
          <t>所有与废弃物和水资源管理及循环利用相关的目标</t>
        </is>
      </c>
      <c r="S29" s="12" t="n"/>
    </row>
    <row r="30" ht="15" customHeight="1" s="235">
      <c r="B30" s="33" t="inlineStr">
        <is>
          <t>污染</t>
        </is>
      </c>
      <c r="C30" s="37" t="inlineStr">
        <is>
          <t>所有涉及空气或水污染物排放的目标，涵盖全社会经济或特定行业、系统或过程</t>
        </is>
      </c>
      <c r="D30" s="8" t="n"/>
      <c r="E30" s="8" t="n"/>
      <c r="F30" s="8" t="n"/>
      <c r="G30" s="8" t="n"/>
      <c r="H30" s="8" t="n"/>
      <c r="I30" s="8" t="n"/>
      <c r="J30" s="8" t="n"/>
      <c r="K30" s="8" t="n"/>
      <c r="L30" s="8" t="n"/>
      <c r="M30" s="8" t="n"/>
      <c r="N30" s="8" t="n"/>
      <c r="O30" s="8" t="n"/>
      <c r="P30" s="8" t="n"/>
      <c r="Q30" s="8" t="n"/>
      <c r="R30" s="8" t="n"/>
      <c r="S30" s="31" t="n"/>
    </row>
    <row r="31" ht="15" customHeight="1" s="235">
      <c r="B31" s="33" t="inlineStr">
        <is>
          <t>金融</t>
        </is>
      </c>
      <c r="C31" s="37" t="inlineStr">
        <is>
          <t>所有与实现脱碳目标融资相关的目标</t>
        </is>
      </c>
      <c r="S31" s="12" t="n"/>
    </row>
    <row r="32" ht="15" customHeight="1" s="235">
      <c r="B32" s="33" t="inlineStr">
        <is>
          <t>来源</t>
        </is>
      </c>
      <c r="C32" s="38" t="inlineStr">
        <is>
          <t>用于标识目标数据来源的政策文件代码。代码及其对应的政策文件完整标题可在「来源」工作表中找到。</t>
        </is>
      </c>
      <c r="D32" s="15" t="n"/>
      <c r="E32" s="15" t="n"/>
      <c r="F32" s="15" t="n"/>
      <c r="G32" s="15" t="n"/>
      <c r="H32" s="15" t="n"/>
      <c r="I32" s="15" t="n"/>
      <c r="J32" s="15" t="n"/>
      <c r="K32" s="15" t="n"/>
      <c r="L32" s="15" t="n"/>
      <c r="M32" s="15" t="n"/>
      <c r="N32" s="15" t="n"/>
      <c r="O32" s="15" t="n"/>
      <c r="P32" s="15" t="n"/>
      <c r="Q32" s="15" t="n"/>
      <c r="R32" s="15" t="n"/>
      <c r="S32" s="18" t="n"/>
    </row>
    <row r="33" ht="15" customHeight="1" s="235">
      <c r="B33" s="19" t="n"/>
      <c r="C33" s="39" t="n"/>
    </row>
    <row r="34" ht="15" customHeight="1" s="235">
      <c r="B34" s="22" t="inlineStr">
        <is>
          <t>列说明</t>
        </is>
      </c>
      <c r="C34" s="23" t="n"/>
      <c r="D34" s="24" t="n"/>
      <c r="E34" s="24" t="n"/>
      <c r="F34" s="24" t="n"/>
      <c r="G34" s="24" t="n"/>
      <c r="H34" s="24" t="n"/>
      <c r="I34" s="24" t="n"/>
      <c r="J34" s="24" t="n"/>
      <c r="K34" s="24" t="n"/>
      <c r="L34" s="24" t="n"/>
      <c r="M34" s="24" t="n"/>
      <c r="N34" s="24" t="n"/>
      <c r="O34" s="24" t="n"/>
      <c r="P34" s="24" t="n"/>
      <c r="Q34" s="24" t="n"/>
      <c r="R34" s="24" t="n"/>
      <c r="S34" s="25" t="n"/>
    </row>
    <row r="35" ht="15" customHeight="1" s="235">
      <c r="B35" s="228" t="inlineStr">
        <is>
          <t>发布年份</t>
        </is>
      </c>
      <c r="C35" s="41" t="inlineStr">
        <is>
          <t>目标所在源文件正式发布或出版的年份。</t>
        </is>
      </c>
      <c r="D35" s="42" t="n"/>
      <c r="E35" s="42" t="n"/>
      <c r="F35" s="42" t="n"/>
      <c r="G35" s="42" t="n"/>
      <c r="H35" s="42" t="n"/>
      <c r="I35" s="42" t="n"/>
      <c r="J35" s="42" t="n"/>
      <c r="K35" s="42" t="n"/>
      <c r="L35" s="42" t="n"/>
      <c r="M35" s="42" t="n"/>
      <c r="N35" s="42" t="n"/>
      <c r="O35" s="42" t="n"/>
      <c r="P35" s="42" t="n"/>
      <c r="Q35" s="42" t="n"/>
      <c r="R35" s="42" t="n"/>
      <c r="S35" s="43" t="n"/>
    </row>
    <row r="36" ht="15" customHeight="1" s="235">
      <c r="B36" s="228" t="inlineStr">
        <is>
          <t>指标</t>
        </is>
      </c>
      <c r="C36" s="41" t="inlineStr">
        <is>
          <t>目标所涉及的核心指标（衡量的内容）。</t>
        </is>
      </c>
      <c r="D36" s="42" t="n"/>
      <c r="E36" s="42" t="n"/>
      <c r="F36" s="42" t="n"/>
      <c r="G36" s="42" t="n"/>
      <c r="H36" s="42" t="n"/>
      <c r="I36" s="42" t="n"/>
      <c r="J36" s="42" t="n"/>
      <c r="K36" s="42" t="n"/>
      <c r="L36" s="42" t="n"/>
      <c r="M36" s="42" t="n"/>
      <c r="N36" s="42" t="n"/>
      <c r="O36" s="42" t="n"/>
      <c r="P36" s="42" t="n"/>
      <c r="Q36" s="42" t="n"/>
      <c r="R36" s="42" t="n"/>
      <c r="S36" s="43" t="n"/>
    </row>
    <row r="37" ht="15" customHeight="1" s="235">
      <c r="B37" s="228" t="inlineStr">
        <is>
          <t>方向</t>
        </is>
      </c>
      <c r="C37" s="41" t="inlineStr">
        <is>
          <t>目标所表达的预期变化方向或类型</t>
        </is>
      </c>
      <c r="D37" s="42" t="n"/>
      <c r="E37" s="42" t="n"/>
      <c r="F37" s="42" t="n"/>
      <c r="G37" s="42" t="n"/>
      <c r="H37" s="42" t="n"/>
      <c r="I37" s="42" t="n"/>
      <c r="J37" s="42" t="n"/>
      <c r="K37" s="42" t="n"/>
      <c r="L37" s="42" t="n"/>
      <c r="M37" s="42" t="n"/>
      <c r="N37" s="42" t="n"/>
      <c r="O37" s="42" t="n"/>
      <c r="P37" s="42" t="n"/>
      <c r="Q37" s="42" t="n"/>
      <c r="R37" s="42" t="n"/>
      <c r="S37" s="43" t="n"/>
    </row>
    <row r="38" ht="15" customHeight="1" s="235">
      <c r="B38" s="228" t="inlineStr">
        <is>
          <t>目标值</t>
        </is>
      </c>
      <c r="C38" s="41" t="inlineStr">
        <is>
          <t>目标水平或变化幅度（数值及其单位）</t>
        </is>
      </c>
      <c r="D38" s="42" t="n"/>
      <c r="E38" s="42" t="n"/>
      <c r="F38" s="42" t="n"/>
      <c r="G38" s="42" t="n"/>
      <c r="H38" s="42" t="n"/>
      <c r="I38" s="42" t="n"/>
      <c r="J38" s="42" t="n"/>
      <c r="K38" s="42" t="n"/>
      <c r="L38" s="42" t="n"/>
      <c r="M38" s="42" t="n"/>
      <c r="N38" s="42" t="n"/>
      <c r="O38" s="42" t="n"/>
      <c r="P38" s="42" t="n"/>
      <c r="Q38" s="42" t="n"/>
      <c r="R38" s="42" t="n"/>
      <c r="S38" s="43" t="n"/>
    </row>
    <row r="39" ht="16" customHeight="1" s="235">
      <c r="B39" s="228" t="inlineStr">
        <is>
          <t>基线</t>
        </is>
      </c>
      <c r="C39" s="41" t="inlineStr">
        <is>
          <t>衡量目标进展的基准水平或年份（如源文件中有说明）。这是变化幅度的起始参考年份。</t>
        </is>
      </c>
      <c r="D39" s="42" t="n"/>
      <c r="E39" s="42" t="n"/>
      <c r="F39" s="42" t="n"/>
      <c r="G39" s="42" t="n"/>
      <c r="H39" s="42" t="n"/>
      <c r="I39" s="42" t="n"/>
      <c r="J39" s="42" t="n"/>
      <c r="K39" s="42" t="n"/>
      <c r="L39" s="42" t="n"/>
      <c r="M39" s="42" t="n"/>
      <c r="N39" s="42" t="n"/>
      <c r="O39" s="42" t="n"/>
      <c r="P39" s="42" t="n"/>
      <c r="Q39" s="42" t="n"/>
      <c r="R39" s="42" t="n"/>
      <c r="S39" s="43" t="n"/>
    </row>
    <row r="40" ht="16" customHeight="1" s="235">
      <c r="B40" s="229" t="n"/>
      <c r="C40" s="41" t="inlineStr">
        <is>
          <t>目标预定实现的年份或时期。</t>
        </is>
      </c>
      <c r="D40" s="42" t="n"/>
      <c r="E40" s="42" t="n"/>
      <c r="F40" s="42" t="n"/>
      <c r="G40" s="42" t="n"/>
      <c r="H40" s="42" t="n"/>
      <c r="I40" s="42" t="n"/>
      <c r="J40" s="42" t="n"/>
      <c r="K40" s="42" t="n"/>
      <c r="L40" s="42" t="n"/>
      <c r="M40" s="42" t="n"/>
      <c r="N40" s="42" t="n"/>
      <c r="O40" s="42" t="n"/>
      <c r="P40" s="42" t="n"/>
      <c r="Q40" s="42" t="n"/>
      <c r="R40" s="42" t="n"/>
      <c r="S40" s="43" t="n"/>
    </row>
    <row r="41" ht="16" customHeight="1" s="235">
      <c r="B41" s="229" t="n"/>
      <c r="C41" s="44" t="inlineStr">
        <is>
          <t>表示目标是新增、重复、强化或放宽的代码：</t>
        </is>
      </c>
      <c r="S41" s="12" t="n"/>
    </row>
    <row r="42" ht="16" customHeight="1" s="235">
      <c r="B42" s="229" t="n"/>
      <c r="C42" s="44" t="inlineStr">
        <is>
          <t>n = 新目标（首次出现）</t>
        </is>
      </c>
      <c r="S42" s="12" t="n"/>
    </row>
    <row r="43" ht="16" customHeight="1" s="235">
      <c r="B43" s="229" t="n"/>
      <c r="C43" s="44" t="inlineStr">
        <is>
          <t>r = 重复目标（同一目标水平和目标年份在多个政策文件中出现）</t>
        </is>
      </c>
      <c r="S43" s="12" t="n"/>
    </row>
    <row r="44" ht="16" customHeight="1" s="235">
      <c r="B44" s="229" t="n"/>
      <c r="C44" s="44" t="inlineStr">
        <is>
          <t>s/l = 强化或放宽目标（相同目标年份或时期，但目标水平有所提高或降低）</t>
        </is>
      </c>
      <c r="J44" s="45" t="n"/>
      <c r="S44" s="12" t="n"/>
    </row>
    <row r="45" ht="16" customHeight="1" s="235">
      <c r="B45" s="230" t="n"/>
      <c r="C45" s="44" t="n"/>
      <c r="D45" s="7" t="inlineStr">
        <is>
          <t>s/l-UNC</t>
        </is>
      </c>
      <c r="E45" s="7" t="inlineStr">
        <is>
          <t>气候影响不明确的强化或放宽目标</t>
        </is>
      </c>
      <c r="J45" s="45" t="n"/>
      <c r="S45" s="12" t="n"/>
    </row>
    <row r="46" ht="16" customHeight="1" s="235">
      <c r="B46" s="230" t="n"/>
      <c r="C46" s="44" t="n"/>
      <c r="D46" s="7" t="inlineStr">
        <is>
          <t>s/l-POS</t>
        </is>
      </c>
      <c r="E46" s="7" t="inlineStr">
        <is>
          <t>具有积极气候影响的强化或放宽目标</t>
        </is>
      </c>
      <c r="J46" s="45" t="n"/>
      <c r="S46" s="12" t="n"/>
    </row>
    <row r="47" ht="16" customHeight="1" s="235">
      <c r="B47" s="229" t="n"/>
      <c r="C47" s="17" t="n"/>
      <c r="D47" s="15" t="inlineStr">
        <is>
          <t>s/l-NEG</t>
        </is>
      </c>
      <c r="E47" s="15" t="inlineStr">
        <is>
          <t>具有消极气候影响的强化或放宽目标</t>
        </is>
      </c>
      <c r="F47" s="15" t="n"/>
      <c r="G47" s="15" t="n"/>
      <c r="H47" s="15" t="n"/>
      <c r="I47" s="15" t="n"/>
      <c r="J47" s="46" t="n"/>
      <c r="K47" s="15" t="n"/>
      <c r="L47" s="15" t="n"/>
      <c r="M47" s="15" t="n"/>
      <c r="N47" s="15" t="n"/>
      <c r="O47" s="15" t="n"/>
      <c r="P47" s="15" t="n"/>
      <c r="Q47" s="15" t="n"/>
      <c r="R47" s="15" t="n"/>
      <c r="S47" s="18" t="n"/>
    </row>
    <row r="48" ht="16" customHeight="1" s="235">
      <c r="B48" s="229" t="n"/>
      <c r="C48" s="47" t="inlineStr">
        <is>
          <t>根据目标旨在促进气候减缓或环境成效的底层机制对目标进行分类的属性：</t>
        </is>
      </c>
      <c r="D48" s="48" t="n"/>
      <c r="E48" s="48" t="n"/>
      <c r="F48" s="48" t="n"/>
      <c r="G48" s="48" t="n"/>
      <c r="H48" s="48" t="n"/>
      <c r="I48" s="48" t="n"/>
      <c r="J48" s="49" t="n"/>
      <c r="K48" s="48" t="n"/>
      <c r="L48" s="48" t="n"/>
      <c r="M48" s="48" t="n"/>
      <c r="N48" s="48" t="n"/>
      <c r="O48" s="48" t="n"/>
      <c r="P48" s="48" t="n"/>
      <c r="Q48" s="48" t="n"/>
      <c r="R48" s="48" t="n"/>
      <c r="S48" s="50" t="n"/>
    </row>
    <row r="49" ht="16" customHeight="1" s="235">
      <c r="B49" s="229" t="n"/>
      <c r="C49" s="44" t="inlineStr">
        <is>
          <t>碳减排</t>
        </is>
      </c>
      <c r="E49" s="7" t="inlineStr">
        <is>
          <t>排放量的绝对减少</t>
        </is>
      </c>
      <c r="J49" s="45" t="n"/>
      <c r="S49" s="12" t="n"/>
    </row>
    <row r="50" ht="16" customHeight="1" s="235">
      <c r="B50" s="229" t="n"/>
      <c r="C50" s="44" t="inlineStr">
        <is>
          <t>碳强度</t>
        </is>
      </c>
      <c r="E50" s="7" t="inlineStr">
        <is>
          <t>单位产出排放量的相对减少</t>
        </is>
      </c>
      <c r="J50" s="45" t="n"/>
      <c r="S50" s="12" t="n"/>
    </row>
    <row r="51" ht="16" customHeight="1" s="235">
      <c r="B51" s="229" t="n"/>
      <c r="C51" s="44" t="inlineStr">
        <is>
          <t>碳汇</t>
        </is>
      </c>
      <c r="E51" s="7" t="inlineStr">
        <is>
          <t>森林覆盖率或碳汇能力的提高</t>
        </is>
      </c>
      <c r="J51" s="45" t="n"/>
      <c r="S51" s="12" t="n"/>
    </row>
    <row r="52" ht="16" customHeight="1" s="235">
      <c r="B52" s="229" t="n"/>
      <c r="C52" s="44" t="inlineStr">
        <is>
          <t>节能</t>
        </is>
      </c>
      <c r="E52" s="7" t="inlineStr">
        <is>
          <t>能源消耗的减少</t>
        </is>
      </c>
      <c r="J52" s="45" t="n"/>
      <c r="S52" s="12" t="n"/>
    </row>
    <row r="53" ht="16" customHeight="1" s="235">
      <c r="B53" s="229" t="n"/>
      <c r="C53" s="44" t="inlineStr">
        <is>
          <t>能源效率</t>
        </is>
      </c>
      <c r="E53" s="7" t="inlineStr">
        <is>
          <t>提高能源利用效率</t>
        </is>
      </c>
      <c r="J53" s="45" t="n"/>
      <c r="S53" s="12" t="n"/>
    </row>
    <row r="54" ht="16" customHeight="1" s="235">
      <c r="B54" s="229" t="n"/>
      <c r="C54" s="44" t="inlineStr">
        <is>
          <t>资源效率</t>
        </is>
      </c>
      <c r="E54" s="7" t="inlineStr">
        <is>
          <t>提高资源利用效率</t>
        </is>
      </c>
      <c r="J54" s="45" t="n"/>
      <c r="S54" s="12" t="n"/>
    </row>
    <row r="55" ht="16" customHeight="1" s="235">
      <c r="B55" s="229" t="n"/>
      <c r="C55" s="44" t="inlineStr">
        <is>
          <t>可再生能源</t>
        </is>
      </c>
      <c r="E55" s="7" t="inlineStr">
        <is>
          <t>扩大可再生能源</t>
        </is>
      </c>
      <c r="J55" s="45" t="n"/>
      <c r="S55" s="12" t="n"/>
    </row>
    <row r="56" ht="16" customHeight="1" s="235">
      <c r="B56" s="229" t="n"/>
      <c r="C56" s="44" t="inlineStr">
        <is>
          <t>电气化</t>
        </is>
      </c>
      <c r="E56" s="7" t="inlineStr">
        <is>
          <t>提高电气化水平</t>
        </is>
      </c>
      <c r="J56" s="45" t="n"/>
      <c r="S56" s="12" t="n"/>
    </row>
    <row r="57" ht="16" customHeight="1" s="235">
      <c r="B57" s="229" t="n"/>
      <c r="C57" s="44" t="inlineStr">
        <is>
          <t>过渡能源</t>
        </is>
      </c>
      <c r="E57" s="7" t="inlineStr">
        <is>
          <t>从煤炭向其他化石燃料和核能转变</t>
        </is>
      </c>
      <c r="J57" s="45" t="n"/>
      <c r="S57" s="12" t="n"/>
    </row>
    <row r="58" ht="16" customHeight="1" s="235">
      <c r="B58" s="229" t="n"/>
      <c r="C58" s="44" t="inlineStr">
        <is>
          <t>涉煤</t>
        </is>
      </c>
      <c r="E58" s="7" t="inlineStr">
        <is>
          <t>煤电的转型与淘汰</t>
        </is>
      </c>
      <c r="J58" s="45" t="n"/>
      <c r="S58" s="12" t="n"/>
    </row>
    <row r="59" ht="16" customHeight="1" s="235">
      <c r="B59" s="229" t="n"/>
      <c r="C59" s="44" t="inlineStr">
        <is>
          <t>生产导向</t>
        </is>
      </c>
      <c r="E59" s="7" t="inlineStr">
        <is>
          <t>绿色产业生产的扩大或高碳生产的限制</t>
        </is>
      </c>
      <c r="J59" s="45" t="n"/>
      <c r="S59" s="12" t="n"/>
    </row>
    <row r="60" ht="16" customHeight="1" s="235">
      <c r="B60" s="229" t="n"/>
      <c r="C60" s="44" t="inlineStr">
        <is>
          <t>工业转型</t>
        </is>
      </c>
      <c r="E60" s="7" t="inlineStr">
        <is>
          <t>高碳行业的脱碳</t>
        </is>
      </c>
      <c r="J60" s="45" t="n"/>
      <c r="S60" s="12" t="n"/>
    </row>
    <row r="61" ht="16" customHeight="1" s="235">
      <c r="B61" s="229" t="n"/>
      <c r="C61" s="44" t="inlineStr">
        <is>
          <t>技术创新</t>
        </is>
      </c>
      <c r="E61" s="7" t="inlineStr">
        <is>
          <t>通过绿色创新促进脱碳</t>
        </is>
      </c>
      <c r="J61" s="45" t="n"/>
      <c r="S61" s="12" t="n"/>
    </row>
    <row r="62" ht="16" customHeight="1" s="235">
      <c r="B62" s="229" t="n"/>
      <c r="C62" s="44" t="inlineStr">
        <is>
          <t>污染控制</t>
        </is>
      </c>
      <c r="E62" s="7" t="inlineStr">
        <is>
          <t>大气、水和土壤污染的减少</t>
        </is>
      </c>
      <c r="J62" s="45" t="n"/>
      <c r="S62" s="12" t="n"/>
    </row>
    <row r="63" ht="16" customHeight="1" s="235">
      <c r="B63" s="229" t="n"/>
      <c r="C63" s="44" t="inlineStr">
        <is>
          <t>环境质量</t>
        </is>
      </c>
      <c r="E63" s="7" t="inlineStr">
        <is>
          <t>自然环境和建成环境质量的改善</t>
        </is>
      </c>
      <c r="J63" s="45" t="n"/>
      <c r="S63" s="12" t="n"/>
    </row>
    <row r="64" ht="16" customHeight="1" s="235">
      <c r="B64" s="230" t="n"/>
      <c r="C64" s="44" t="inlineStr">
        <is>
          <t>循环利用</t>
        </is>
      </c>
      <c r="E64" s="7" t="inlineStr">
        <is>
          <t>材料回收、再利用和循环利用率的提高</t>
        </is>
      </c>
      <c r="J64" s="45" t="n"/>
      <c r="S64" s="12" t="n"/>
    </row>
    <row r="65" ht="16" customHeight="1" s="235">
      <c r="B65" s="230" t="n"/>
      <c r="C65" s="44" t="inlineStr">
        <is>
          <t>绿色交通</t>
        </is>
      </c>
      <c r="E65" s="7" t="inlineStr">
        <is>
          <t>推广低碳交通体系</t>
        </is>
      </c>
      <c r="J65" s="45" t="n"/>
      <c r="S65" s="12" t="n"/>
    </row>
    <row r="66" ht="16" customHeight="1" s="235">
      <c r="B66" s="229" t="n"/>
      <c r="C66" s="44" t="inlineStr">
        <is>
          <t>气候金融</t>
        </is>
      </c>
      <c r="E66" s="7" t="inlineStr">
        <is>
          <t>动员资金以减缓和适应气候变化</t>
        </is>
      </c>
      <c r="J66" s="45" t="n"/>
      <c r="S66" s="12" t="n"/>
    </row>
    <row r="67" ht="16" customHeight="1" s="235">
      <c r="B67" s="229" t="n"/>
      <c r="C67" s="47" t="inlineStr">
        <is>
          <t>表示目标所适用的责任实施单位的属性：</t>
        </is>
      </c>
      <c r="D67" s="48" t="n"/>
      <c r="E67" s="48" t="n"/>
      <c r="F67" s="48" t="n"/>
      <c r="G67" s="48" t="n"/>
      <c r="H67" s="48" t="n"/>
      <c r="I67" s="48" t="n"/>
      <c r="J67" s="49" t="n"/>
      <c r="K67" s="48" t="n"/>
      <c r="L67" s="48" t="n"/>
      <c r="M67" s="48" t="n"/>
      <c r="N67" s="48" t="n"/>
      <c r="O67" s="48" t="n"/>
      <c r="P67" s="48" t="n"/>
      <c r="Q67" s="48" t="n"/>
      <c r="R67" s="48" t="n"/>
      <c r="S67" s="50" t="n"/>
    </row>
    <row r="68" ht="16" customHeight="1" s="235">
      <c r="B68" s="229" t="n"/>
      <c r="C68" s="44" t="inlineStr">
        <is>
          <t>企事业单位</t>
        </is>
      </c>
      <c r="E68" s="7" t="inlineStr">
        <is>
          <t>适用于特定企业/工厂/机构</t>
        </is>
      </c>
      <c r="J68" s="45" t="n"/>
      <c r="S68" s="12" t="n"/>
    </row>
    <row r="69" ht="16" customHeight="1" s="235">
      <c r="B69" s="229" t="n"/>
      <c r="C69" s="44" t="inlineStr">
        <is>
          <t>城市与地区</t>
        </is>
      </c>
      <c r="E69" s="7" t="inlineStr">
        <is>
          <t>适用于特定城市/地区/区域</t>
        </is>
      </c>
      <c r="J69" s="45" t="n"/>
      <c r="S69" s="12" t="n"/>
    </row>
    <row r="70" ht="16" customHeight="1" s="235">
      <c r="B70" s="230" t="n"/>
      <c r="C70" s="44" t="inlineStr">
        <is>
          <t>行业</t>
        </is>
      </c>
      <c r="E70" s="7" t="inlineStr">
        <is>
          <t>适用于特定行业或经济活动（如钢铁）</t>
        </is>
      </c>
      <c r="J70" s="45" t="n"/>
      <c r="S70" s="12" t="n"/>
    </row>
    <row r="71" ht="15" customHeight="1" s="235">
      <c r="B71" s="230" t="n"/>
      <c r="C71" s="44" t="inlineStr">
        <is>
          <t>全社会经济</t>
        </is>
      </c>
      <c r="E71" s="7" t="inlineStr">
        <is>
          <t>全国范围内适用于所有经济活动</t>
        </is>
      </c>
      <c r="J71" s="45" t="n"/>
      <c r="S71" s="12" t="n"/>
    </row>
    <row r="72" ht="15" customHeight="1" s="235">
      <c r="B72" s="233" t="n"/>
      <c r="C72" s="17" t="inlineStr">
        <is>
          <t>不明确</t>
        </is>
      </c>
      <c r="D72" s="15" t="n"/>
      <c r="E72" s="15" t="inlineStr">
        <is>
          <t>范围/责任单位未明确说明</t>
        </is>
      </c>
      <c r="F72" s="15" t="n"/>
      <c r="G72" s="15" t="n"/>
      <c r="H72" s="15" t="n"/>
      <c r="I72" s="15" t="n"/>
      <c r="J72" s="46" t="n"/>
      <c r="K72" s="15" t="n"/>
      <c r="L72" s="15" t="n"/>
      <c r="M72" s="15" t="n"/>
      <c r="N72" s="15" t="n"/>
      <c r="O72" s="15" t="n"/>
      <c r="P72" s="15" t="n"/>
      <c r="Q72" s="15" t="n"/>
      <c r="R72" s="15" t="n"/>
      <c r="S72" s="18" t="n"/>
    </row>
    <row r="73" ht="15" customHeight="1" s="235">
      <c r="B73" s="228" t="inlineStr">
        <is>
          <t>原文句子</t>
        </is>
      </c>
      <c r="C73" s="17" t="inlineStr">
        <is>
          <t>源文件中包含量化目标的句子，部分经小幅编辑以提高清晰度或完整性但不改变原意。</t>
        </is>
      </c>
      <c r="D73" s="15" t="n"/>
      <c r="E73" s="15" t="n"/>
      <c r="F73" s="15" t="n"/>
      <c r="G73" s="15" t="n"/>
      <c r="H73" s="15" t="n"/>
      <c r="I73" s="15" t="n"/>
      <c r="J73" s="15" t="n"/>
      <c r="K73" s="15" t="n"/>
      <c r="L73" s="15" t="n"/>
      <c r="M73" s="15" t="n"/>
      <c r="N73" s="15" t="n"/>
      <c r="O73" s="15" t="n"/>
      <c r="P73" s="15" t="n"/>
      <c r="Q73" s="15" t="n"/>
      <c r="R73" s="15" t="n"/>
      <c r="S73" s="18" t="n"/>
    </row>
    <row r="74" ht="15" customHeight="1" s="235">
      <c r="B74" s="228" t="inlineStr">
        <is>
          <t>文件</t>
        </is>
      </c>
      <c r="C74" s="41" t="inlineStr">
        <is>
          <t>目标所摘录的源文件的文件名。前缀通常表示政策类型（如「AP」= 行动方案，「FYP」= 五年规划），后接发布年份（21 = 2021年）和内部编号。</t>
        </is>
      </c>
      <c r="D74" s="42" t="n"/>
      <c r="E74" s="42" t="n"/>
      <c r="F74" s="42" t="n"/>
      <c r="G74" s="42" t="n"/>
      <c r="H74" s="42" t="n"/>
      <c r="I74" s="42" t="n"/>
      <c r="J74" s="42" t="n"/>
      <c r="K74" s="42" t="n"/>
      <c r="L74" s="42" t="n"/>
      <c r="M74" s="42" t="n"/>
      <c r="N74" s="42" t="n"/>
      <c r="O74" s="42" t="n"/>
      <c r="P74" s="42" t="n"/>
      <c r="Q74" s="42" t="n"/>
      <c r="R74" s="42" t="n"/>
      <c r="S74" s="43" t="n"/>
    </row>
    <row r="75" ht="15" customHeight="1" s="235">
      <c r="B75" s="228" t="inlineStr">
        <is>
          <t>主题标签</t>
        </is>
      </c>
      <c r="C75" s="41" t="inlineStr">
        <is>
          <t>目标所属的主题类别。</t>
        </is>
      </c>
      <c r="D75" s="42" t="n"/>
      <c r="E75" s="42" t="n"/>
      <c r="F75" s="42" t="n"/>
      <c r="G75" s="42" t="n"/>
      <c r="H75" s="42" t="n"/>
      <c r="I75" s="42" t="n"/>
      <c r="J75" s="42" t="n"/>
      <c r="K75" s="42" t="n"/>
      <c r="L75" s="42" t="n"/>
      <c r="M75" s="42" t="n"/>
      <c r="N75" s="42" t="n"/>
      <c r="O75" s="42" t="n"/>
      <c r="P75" s="42" t="n"/>
      <c r="Q75" s="42" t="n"/>
      <c r="R75" s="42" t="n"/>
      <c r="S75" s="43" t="n"/>
    </row>
    <row r="76" hidden="1" ht="18" customHeight="1" s="235">
      <c r="B76" s="228" t="inlineStr">
        <is>
          <t>子主题标签（仅在「能源|电力」工作表中）</t>
        </is>
      </c>
      <c r="C76" s="15" t="inlineStr">
        <is>
          <t>主题标签内更细粒度的分类，用于精细化主题归类。</t>
        </is>
      </c>
      <c r="D76" s="15" t="n"/>
      <c r="E76" s="15" t="n"/>
      <c r="F76" s="15" t="n"/>
      <c r="G76" s="15" t="n"/>
      <c r="H76" s="15" t="n"/>
      <c r="I76" s="15" t="n"/>
      <c r="J76" s="15" t="n"/>
      <c r="K76" s="15" t="n"/>
      <c r="L76" s="15" t="n"/>
      <c r="M76" s="15" t="n"/>
      <c r="N76" s="15" t="n"/>
      <c r="O76" s="15" t="n"/>
      <c r="P76" s="15" t="n"/>
      <c r="Q76" s="15" t="n"/>
      <c r="R76" s="15" t="n"/>
      <c r="S76" s="18" t="n"/>
    </row>
    <row r="77" ht="15" customHeight="1" s="235">
      <c r="B77" s="51" t="n"/>
    </row>
    <row r="78" hidden="1" ht="15" customHeight="1" s="235">
      <c r="B78" s="52" t="n"/>
      <c r="C78" s="45" t="n"/>
    </row>
    <row r="79" hidden="1" ht="18" customHeight="1" s="235"/>
    <row r="80" ht="15" customHeight="1" s="235">
      <c r="B80" s="53" t="n"/>
    </row>
    <row r="81" ht="15" customHeight="1" s="235">
      <c r="C81" s="54" t="n"/>
    </row>
    <row r="82" ht="15" customHeight="1" s="235"/>
    <row r="83" ht="15" customHeight="1" s="235"/>
    <row r="84" ht="15" customHeight="1" s="235"/>
    <row r="85" ht="15" customHeight="1" s="235"/>
    <row r="86" ht="15" customHeight="1" s="235"/>
    <row r="87" ht="15" customHeight="1" s="235"/>
    <row r="88" ht="15" customHeight="1" s="235"/>
    <row r="89" ht="15" customHeight="1" s="235"/>
    <row r="90" ht="15" customHeight="1" s="235"/>
    <row r="91" ht="15" customHeight="1" s="235"/>
    <row r="92" ht="15" customHeight="1" s="235"/>
    <row r="93" ht="15" customHeight="1" s="235"/>
    <row r="94" ht="15" customHeight="1" s="235"/>
    <row r="95" ht="15" customHeight="1" s="235"/>
    <row r="96" ht="15" customHeight="1" s="235"/>
    <row r="97" ht="15" customHeight="1" s="235"/>
    <row r="98" ht="15" customHeight="1" s="235"/>
    <row r="99" ht="15" customHeight="1" s="235"/>
    <row r="100" ht="15" customHeight="1" s="235"/>
    <row r="101" ht="15" customHeight="1" s="235"/>
    <row r="102" ht="15" customHeight="1" s="235"/>
    <row r="103" ht="15" customHeight="1" s="235"/>
    <row r="104" ht="15" customHeight="1" s="235"/>
    <row r="105" ht="15" customHeight="1" s="235"/>
    <row r="106" ht="15" customHeight="1" s="235"/>
    <row r="107" ht="15" customHeight="1" s="235"/>
    <row r="108" ht="15" customHeight="1" s="235"/>
    <row r="109" ht="15" customHeight="1" s="235"/>
    <row r="110" ht="15" customHeight="1" s="235"/>
    <row r="111" ht="15" customHeight="1" s="235"/>
    <row r="112" ht="15" customHeight="1" s="235"/>
    <row r="113" ht="15" customHeight="1" s="235"/>
    <row r="114" ht="15" customHeight="1" s="235"/>
    <row r="115" ht="15" customHeight="1" s="235"/>
    <row r="116" ht="15" customHeight="1" s="235"/>
    <row r="117" ht="15" customHeight="1" s="235"/>
    <row r="118" ht="15" customHeight="1" s="235"/>
    <row r="119" ht="15" customHeight="1" s="235"/>
    <row r="120" ht="15" customHeight="1" s="235"/>
    <row r="121" ht="15" customHeight="1" s="235"/>
    <row r="122" ht="15" customHeight="1" s="235"/>
    <row r="123" ht="15" customHeight="1" s="235"/>
    <row r="124" ht="15" customHeight="1" s="235"/>
    <row r="125" ht="15" customHeight="1" s="235"/>
    <row r="126" ht="15" customHeight="1" s="235"/>
    <row r="127" ht="15" customHeight="1" s="235"/>
    <row r="128" ht="15" customHeight="1" s="235"/>
    <row r="129" ht="15" customHeight="1" s="235"/>
    <row r="130" ht="15" customHeight="1" s="235"/>
    <row r="131" ht="15" customHeight="1" s="235"/>
    <row r="132" ht="15" customHeight="1" s="235"/>
    <row r="133" ht="15" customHeight="1" s="235"/>
    <row r="134" ht="15" customHeight="1" s="235"/>
    <row r="135" ht="15" customHeight="1" s="235"/>
    <row r="136" ht="15" customHeight="1" s="235"/>
    <row r="137" ht="15" customHeight="1" s="235"/>
    <row r="138" ht="15" customHeight="1" s="235"/>
    <row r="139" ht="15" customHeight="1" s="235"/>
    <row r="140" ht="15" customHeight="1" s="235"/>
    <row r="141" ht="15" customHeight="1" s="235"/>
    <row r="142" ht="15" customHeight="1" s="235"/>
    <row r="143" ht="15" customHeight="1" s="235"/>
    <row r="144" ht="15" customHeight="1" s="235"/>
    <row r="145" ht="15" customHeight="1" s="235"/>
    <row r="146" ht="15" customHeight="1" s="235"/>
    <row r="147" ht="15" customHeight="1" s="235"/>
    <row r="148" ht="15" customHeight="1" s="235"/>
    <row r="149" ht="15" customHeight="1" s="235"/>
    <row r="150" ht="15" customHeight="1" s="235"/>
    <row r="151" ht="15" customHeight="1" s="235"/>
    <row r="152" ht="15" customHeight="1" s="235"/>
    <row r="153" ht="15" customHeight="1" s="235"/>
    <row r="154" ht="15" customHeight="1" s="235"/>
    <row r="155" ht="15" customHeight="1" s="235"/>
    <row r="156" ht="15" customHeight="1" s="235"/>
    <row r="157" ht="15" customHeight="1" s="235"/>
    <row r="158" ht="15" customHeight="1" s="235"/>
    <row r="159" ht="15" customHeight="1" s="235"/>
    <row r="160" ht="15" customHeight="1" s="235"/>
    <row r="161" ht="15" customHeight="1" s="235"/>
    <row r="162" ht="15" customHeight="1" s="235"/>
    <row r="163" ht="15" customHeight="1" s="235"/>
    <row r="164" ht="15" customHeight="1" s="235"/>
    <row r="165" ht="15" customHeight="1" s="235"/>
    <row r="166" ht="15" customHeight="1" s="235"/>
    <row r="167" ht="15" customHeight="1" s="235"/>
    <row r="168" ht="15" customHeight="1" s="235"/>
    <row r="169" ht="15" customHeight="1" s="235"/>
    <row r="170" ht="15" customHeight="1" s="235"/>
    <row r="171" ht="15" customHeight="1" s="235"/>
    <row r="172" ht="15" customHeight="1" s="235"/>
    <row r="173" ht="15" customHeight="1" s="235"/>
    <row r="174" ht="15" customHeight="1" s="235"/>
    <row r="175" ht="15" customHeight="1" s="235"/>
    <row r="176" ht="15" customHeight="1" s="235"/>
    <row r="177" ht="15" customHeight="1" s="235"/>
    <row r="178" ht="15" customHeight="1" s="235"/>
    <row r="179" ht="15" customHeight="1" s="235"/>
    <row r="180" ht="15" customHeight="1" s="235"/>
    <row r="181" ht="15" customHeight="1" s="235"/>
    <row r="182" ht="15" customHeight="1" s="235"/>
    <row r="183" ht="15" customHeight="1" s="235"/>
    <row r="184" ht="15" customHeight="1" s="235"/>
    <row r="185" ht="15" customHeight="1" s="235"/>
    <row r="186" ht="15" customHeight="1" s="235"/>
    <row r="187" ht="15" customHeight="1" s="235"/>
    <row r="188" ht="15" customHeight="1" s="235"/>
    <row r="189" ht="15" customHeight="1" s="235"/>
    <row r="190" ht="15" customHeight="1" s="235"/>
    <row r="191" ht="15" customHeight="1" s="235"/>
    <row r="192" ht="15" customHeight="1" s="235"/>
    <row r="193" ht="15" customHeight="1" s="235"/>
    <row r="194" ht="15" customHeight="1" s="235"/>
    <row r="195" ht="15" customHeight="1" s="235"/>
    <row r="196" ht="15" customHeight="1" s="235"/>
    <row r="197" ht="15" customHeight="1" s="235"/>
    <row r="198" ht="15" customHeight="1" s="235"/>
    <row r="199" ht="15" customHeight="1" s="235"/>
    <row r="200" ht="15" customHeight="1" s="235"/>
    <row r="201" ht="15" customHeight="1" s="235"/>
  </sheetData>
  <mergeCells count="4">
    <mergeCell ref="B39:B45"/>
    <mergeCell ref="B65:B70"/>
    <mergeCell ref="C19:S19"/>
    <mergeCell ref="B46:B64"/>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0" summaryRight="0"/>
    <pageSetUpPr/>
  </sheetPr>
  <dimension ref="A2:U48"/>
  <sheetViews>
    <sheetView workbookViewId="0">
      <selection activeCell="H24" sqref="H24"/>
    </sheetView>
  </sheetViews>
  <sheetFormatPr baseColWidth="8" defaultColWidth="14" defaultRowHeight="13"/>
  <cols>
    <col width="4.69921875" customWidth="1" style="235" min="1" max="1"/>
    <col width="27" customWidth="1" style="235" min="2" max="2"/>
    <col width="12" customWidth="1" style="235" min="3" max="3"/>
    <col width="7" customWidth="1" style="235" min="4" max="4"/>
    <col width="41" customWidth="1" style="235" min="5" max="5"/>
    <col width="12" customWidth="1" style="235" min="6" max="6"/>
    <col width="7" customWidth="1" style="235" min="7" max="7"/>
    <col width="59" customWidth="1" style="235" min="8" max="8"/>
    <col width="12" customWidth="1" style="235" min="9" max="9"/>
    <col width="7" customWidth="1" style="235" min="10" max="10"/>
    <col width="27" customWidth="1" style="235" min="11" max="11"/>
    <col width="12" customWidth="1" style="235" min="12" max="12"/>
    <col width="7" customWidth="1" style="235" min="13" max="13"/>
    <col width="27" customWidth="1" style="235" min="14" max="14"/>
    <col width="12" customWidth="1" style="235" min="15" max="15"/>
    <col width="7" customWidth="1" style="235" min="16" max="16"/>
    <col width="27" customWidth="1" style="235" min="17" max="17"/>
    <col width="12" customWidth="1" style="235" min="18" max="18"/>
    <col width="7" customWidth="1" style="235" min="19" max="19"/>
    <col width="36" customWidth="1" style="235" min="20" max="20"/>
    <col width="13" customWidth="1" style="235" min="21" max="21"/>
  </cols>
  <sheetData>
    <row r="1" ht="10" customHeight="1" s="235"/>
    <row r="2" ht="20.15" customHeight="1" s="235">
      <c r="B2" s="55" t="inlineStr">
        <is>
          <t>描述性统计</t>
        </is>
      </c>
      <c r="H2" s="55" t="n"/>
      <c r="K2" s="55" t="n"/>
      <c r="N2" s="55" t="n"/>
      <c r="Q2" s="55" t="n"/>
    </row>
    <row r="3" ht="10" customHeight="1" s="235"/>
    <row r="4" ht="19" customHeight="1" s="235">
      <c r="B4" s="237" t="inlineStr">
        <is>
          <t>按行业/主题分列的目标数量</t>
        </is>
      </c>
      <c r="C4" s="238" t="n"/>
      <c r="D4" s="56" t="n"/>
      <c r="E4" s="237" t="inlineStr">
        <is>
          <t>按子主题分列的"能源|电力"目标数量</t>
        </is>
      </c>
      <c r="F4" s="238" t="n"/>
      <c r="H4" s="237" t="inlineStr">
        <is>
          <t>按目标类型分列的目标数量</t>
        </is>
      </c>
      <c r="I4" s="238" t="n"/>
      <c r="K4" s="237" t="inlineStr">
        <is>
          <t>按公布年份分列的目标数量</t>
        </is>
      </c>
      <c r="L4" s="238" t="n"/>
      <c r="N4" s="237" t="inlineStr">
        <is>
          <t>按目标年份分列的目标数量</t>
        </is>
      </c>
      <c r="O4" s="238" t="n"/>
      <c r="Q4" s="237" t="inlineStr">
        <is>
          <t>按类别分列的目标数量</t>
        </is>
      </c>
      <c r="R4" s="238" t="n"/>
      <c r="T4" s="237" t="inlineStr">
        <is>
          <t>按责任主体分列的目标</t>
        </is>
      </c>
      <c r="U4" s="238" t="n"/>
    </row>
    <row r="5" ht="10" customHeight="1" s="235"/>
    <row r="6" ht="19" customHeight="1" s="235">
      <c r="A6" s="39" t="n"/>
      <c r="B6" s="57" t="inlineStr">
        <is>
          <t>温室气体排放</t>
        </is>
      </c>
      <c r="C6" s="58">
        <f>COUNTIFS(温室气体排放!G:G, "新目标") + COUNTIFS(温室气体排放!G:G, "强化或放宽目标（气候影响不明确）") + COUNTIFS(温室气体排放!G:G, "强化或放宽目标（积极气候影响）") + COUNTIFS(温室气体排放!G:G, "强化或放宽目标（消极气候影响）")</f>
        <v/>
      </c>
      <c r="D6" s="59" t="n"/>
      <c r="E6" s="60" t="inlineStr">
        <is>
          <t>能源消费</t>
        </is>
      </c>
      <c r="F6" s="61">
        <f>COUNTIFS('能源|电力'!M:M, "能源消费")</f>
        <v/>
      </c>
      <c r="G6" s="39" t="n"/>
      <c r="H6" s="62" t="inlineStr">
        <is>
          <t>新目标</t>
        </is>
      </c>
      <c r="I6" s="63">
        <f>COUNTIF(温室气体排放!G:G,"新目标")
+COUNTIF(污染!G:G,"新目标")
+COUNTIF('能源|电力'!G:G,"新目标")
+COUNTIF(工业!G:G,"新目标")
+COUNTIF(建筑!G:G,"新目标")
+COUNTIF(交通!G:G,"新目标")
+COUNTIF('土地利用、土地利用变化和林业'!G:G,"新目标")
+COUNTIF(循环经济!G:G,"新目标")
+COUNTIF(金融!G:G,"新目标")</f>
        <v/>
      </c>
      <c r="J6" s="39" t="n"/>
      <c r="K6" s="64" t="n">
        <v>2004</v>
      </c>
      <c r="L6" s="58">
        <f>COUNTIFS(温室气体排放!A:A, 2004, 温室气体排放!G:G, "新目标") +
COUNTIFS(温室气体排放!A:A, 2004, 温室气体排放!G:G, "强化或放宽目标（气候影响不明确）") +
COUNTIFS(温室气体排放!A:A, 2004, 温室气体排放!G:G, "强化或放宽目标（积极气候影响）") +
COUNTIFS(温室气体排放!A:A, 2004, 温室气体排放!G:G, "强化或放宽目标（消极气候影响）") +
COUNTIFS(污染!A:A, 2004, 污染!G:G, "新目标") +
COUNTIFS(污染!A:A, 2004, 污染!G:G, "强化或放宽目标（气候影响不明确）") +
COUNTIFS(污染!A:A, 2004, 污染!G:G, "强化或放宽目标（积极气候影响）") +
COUNTIFS(污染!A:A, 2004, 污染!G:G, "强化或放宽目标（消极气候影响）") +
COUNTIFS('能源|电力'!A:A, 2004, '能源|电力'!G:G, "新目标") +
COUNTIFS('能源|电力'!A:A, 2004, '能源|电力'!G:G, "强化或放宽目标（气候影响不明确）") +
COUNTIFS('能源|电力'!A:A, 2004, '能源|电力'!G:G, "强化或放宽目标（积极气候影响）") +
COUNTIFS('能源|电力'!A:A, 2004, '能源|电力'!G:G, "强化或放宽目标（消极气候影响）") +
COUNTIFS(工业!A:A, 2004, 工业!G:G, "新目标") +
COUNTIFS(工业!A:A, 2004, 工业!G:G, "强化或放宽目标（气候影响不明确）") +
COUNTIFS(工业!A:A, 2004, 工业!G:G, "强化或放宽目标（积极气候影响）") +
COUNTIFS(工业!A:A, 2004, 工业!G:G, "强化或放宽目标（消极气候影响）") +
COUNTIFS(建筑!A:A, 2004, 建筑!G:G, "新目标") +
COUNTIFS(建筑!A:A, 2004, 建筑!G:G, "强化或放宽目标（气候影响不明确）") +
COUNTIFS(建筑!A:A, 2004, 建筑!G:G, "强化或放宽目标（积极气候影响）") +
COUNTIFS(建筑!A:A, 2004, 建筑!G:G, "强化或放宽目标（消极气候影响）") +
COUNTIFS(交通!A:A, 2004, 交通!G:G, "新目标") +
COUNTIFS(交通!A:A, 2004, 交通!G:G, "强化或放宽目标（气候影响不明确）") +
COUNTIFS(交通!A:A, 2004, 交通!G:G, "强化或放宽目标（积极气候影响）") +
COUNTIFS(交通!A:A, 2004, 交通!G:G, "强化或放宽目标（消极气候影响）") +
COUNTIFS('土地利用、土地利用变化和林业'!A:A, 2004, '土地利用、土地利用变化和林业'!G:G, "新目标") +
COUNTIFS('土地利用、土地利用变化和林业'!A:A, 2004, '土地利用、土地利用变化和林业'!G:G, "强化或放宽目标（气候影响不明确）") +
COUNTIFS('土地利用、土地利用变化和林业'!A:A, 2004, '土地利用、土地利用变化和林业'!G:G, "强化或放宽目标（积极气候影响）") +
COUNTIFS('土地利用、土地利用变化和林业'!A:A, 2004, '土地利用、土地利用变化和林业'!G:G, "强化或放宽目标（消极气候影响）") +
COUNTIFS(循环经济!A:A, 2004, 循环经济!G:G, "新目标") +
COUNTIFS(循环经济!A:A, 2004, 循环经济!G:G, "强化或放宽目标（气候影响不明确）") +
COUNTIFS(循环经济!A:A, 2004, 循环经济!G:G, "强化或放宽目标（积极气候影响）") +
COUNTIFS(循环经济!A:A, 2004, 循环经济!G:G, "强化或放宽目标（消极气候影响）") +
COUNTIFS(金融!A:A, 2004, 金融!G:G, "新目标") +
COUNTIFS(金融!A:A, 2004, 金融!G:G, "强化或放宽目标（气候影响不明确）") +
COUNTIFS(金融!A:A, 2004, 金融!G:G, "强化或放宽目标（积极气候影响）") +
COUNTIFS(金融!A:A, 2004, 金融!G:G, "强化或放宽目标（消极气候影响）")</f>
        <v/>
      </c>
      <c r="M6" s="39" t="n"/>
      <c r="N6" s="64" t="n">
        <v>2007</v>
      </c>
      <c r="O6" s="65">
        <f>COUNTIFS(温室气体排放!F:F, 2007, 温室气体排放!G:G, "新目标") +
COUNTIFS(温室气体排放!F:F, 2007, 温室气体排放!G:G, "强化或放宽目标（气候影响不明确）") +
COUNTIFS(温室气体排放!F:F, 2007, 温室气体排放!G:G, "强化或放宽目标（积极气候影响）") +
COUNTIFS(温室气体排放!F:F, 2007, 温室气体排放!G:G, "强化或放宽目标（消极气候影响）") +
COUNTIFS(污染!F:F, 2007, 污染!G:G, "新目标") +
COUNTIFS(污染!F:F, 2007, 污染!G:G, "强化或放宽目标（气候影响不明确）") +
COUNTIFS(污染!F:F, 2007, 污染!G:G, "强化或放宽目标（积极气候影响）") +
COUNTIFS(污染!F:F, 2007, 污染!G:G, "强化或放宽目标（消极气候影响）") +
COUNTIFS('能源|电力'!F:F, 2007, '能源|电力'!G:G, "新目标") +
COUNTIFS('能源|电力'!F:F, 2007, '能源|电力'!G:G, "强化或放宽目标（气候影响不明确）") +
COUNTIFS('能源|电力'!F:F, 2007, '能源|电力'!G:G, "强化或放宽目标（积极气候影响）") +
COUNTIFS('能源|电力'!F:F, 2007, '能源|电力'!G:G, "强化或放宽目标（消极气候影响）") +
COUNTIFS(工业!F:F, 2007, 工业!G:G, "新目标") +
COUNTIFS(工业!F:F, 2007, 工业!G:G, "强化或放宽目标（气候影响不明确）") +
COUNTIFS(工业!F:F, 2007, 工业!G:G, "强化或放宽目标（积极气候影响）") +
COUNTIFS(工业!F:F, 2007, 工业!G:G, "强化或放宽目标（消极气候影响）") +
COUNTIFS(建筑!F:F, 2007, 建筑!G:G, "新目标") +
COUNTIFS(建筑!F:F, 2007, 建筑!G:G, "强化或放宽目标（气候影响不明确）") +
COUNTIFS(建筑!F:F, 2007, 建筑!G:G, "强化或放宽目标（积极气候影响）") +
COUNTIFS(建筑!F:F, 2007, 建筑!G:G, "强化或放宽目标（消极气候影响）") +
COUNTIFS(交通!F:F, 2007, 交通!G:G, "新目标") +
COUNTIFS(交通!F:F, 2007, 交通!G:G, "强化或放宽目标（气候影响不明确）") +
COUNTIFS(交通!F:F, 2007, 交通!G:G, "强化或放宽目标（积极气候影响）") +
COUNTIFS(交通!F:F, 2007, 交通!G:G, "强化或放宽目标（消极气候影响）") +
COUNTIFS('土地利用、土地利用变化和林业'!F:F, 2007, '土地利用、土地利用变化和林业'!G:G, "新目标") +
COUNTIFS('土地利用、土地利用变化和林业'!F:F, 2007, '土地利用、土地利用变化和林业'!G:G, "强化或放宽目标（气候影响不明确）") +
COUNTIFS('土地利用、土地利用变化和林业'!F:F, 2007, '土地利用、土地利用变化和林业'!G:G, "强化或放宽目标（积极气候影响）") +
COUNTIFS('土地利用、土地利用变化和林业'!F:F, 2007, '土地利用、土地利用变化和林业'!G:G, "强化或放宽目标（消极气候影响）") +
COUNTIFS(循环经济!F:F, 2007, 循环经济!G:G, "新目标") +
COUNTIFS(循环经济!F:F, 2007, 循环经济!G:G, "强化或放宽目标（气候影响不明确）") +
COUNTIFS(循环经济!F:F, 2007, 循环经济!G:G, "强化或放宽目标（积极气候影响）") +
COUNTIFS(循环经济!F:F, 2007, 循环经济!G:G, "强化或放宽目标（消极气候影响）") +
COUNTIFS(金融!F:F, 2007, 金融!G:G, "新目标") +
COUNTIFS(金融!F:F, 2007, 金融!G:G, "强化或放宽目标（气候影响不明确）") +
COUNTIFS(金融!F:F, 2007, 金融!G:G, "强化或放宽目标（积极气候影响）") +
COUNTIFS(金融!F:F, 2007, 金融!G:G, "强化或放宽目标（消极气候影响）")</f>
        <v/>
      </c>
      <c r="P6" s="39" t="n"/>
      <c r="Q6" s="66" t="inlineStr">
        <is>
          <t>碳减排</t>
        </is>
      </c>
      <c r="R6" s="65">
        <f>COUNTIFS(温室气体排放!H:H, "碳减排", 温室气体排放!G:G, "新目标") +
COUNTIFS(温室气体排放!H:H, "碳减排", 温室气体排放!G:G, "强化或放宽目标（气候影响不明确）") +
COUNTIFS(温室气体排放!H:H, "碳减排", 温室气体排放!G:G, "强化或放宽目标（积极气候影响）") +
COUNTIFS(温室气体排放!H:H, "碳减排", 温室气体排放!G:G, "强化或放宽目标（消极气候影响）") +
COUNTIFS(污染!H:H, "碳减排", 污染!G:G, "新目标") +
COUNTIFS(污染!H:H, "碳减排", 污染!G:G, "强化或放宽目标（气候影响不明确）") +
COUNTIFS(污染!H:H, "碳减排", 污染!G:G, "强化或放宽目标（积极气候影响）") +
COUNTIFS(污染!H:H, "碳减排", 污染!G:G, "强化或放宽目标（消极气候影响）") +
COUNTIFS('能源|电力'!H:H, "碳减排", '能源|电力'!G:G, "新目标") +
COUNTIFS('能源|电力'!H:H, "碳减排", '能源|电力'!G:G, "强化或放宽目标（气候影响不明确）") +
COUNTIFS('能源|电力'!H:H, "碳减排", '能源|电力'!G:G, "强化或放宽目标（积极气候影响）") +
COUNTIFS('能源|电力'!H:H, "碳减排", '能源|电力'!G:G, "强化或放宽目标（消极气候影响）") +
COUNTIFS(工业!H:H, "碳减排", 工业!G:G, "新目标") +
COUNTIFS(工业!H:H, "碳减排", 工业!G:G, "强化或放宽目标（气候影响不明确）") +
COUNTIFS(工业!H:H, "碳减排", 工业!G:G, "强化或放宽目标（积极气候影响）") +
COUNTIFS(工业!H:H, "碳减排", 工业!G:G, "强化或放宽目标（消极气候影响）") +
COUNTIFS(建筑!H:H, "碳减排", 建筑!G:G, "新目标") +
COUNTIFS(建筑!H:H, "碳减排", 建筑!G:G, "强化或放宽目标（气候影响不明确）") +
COUNTIFS(建筑!H:H, "碳减排", 建筑!G:G, "强化或放宽目标（积极气候影响）") +
COUNTIFS(建筑!H:H, "碳减排", 建筑!G:G, "强化或放宽目标（消极气候影响）") +
COUNTIFS(交通!H:H, "碳减排", 交通!G:G, "新目标") +
COUNTIFS(交通!H:H, "碳减排", 交通!G:G, "强化或放宽目标（气候影响不明确）") +
COUNTIFS(交通!H:H, "碳减排", 交通!G:G, "强化或放宽目标（积极气候影响）") +
COUNTIFS(交通!H:H, "碳减排", 交通!G:G, "强化或放宽目标（消极气候影响）") +
COUNTIFS('土地利用、土地利用变化和林业'!H:H, "碳减排", '土地利用、土地利用变化和林业'!G:G, "新目标") +
COUNTIFS('土地利用、土地利用变化和林业'!H:H, "碳减排", '土地利用、土地利用变化和林业'!G:G, "强化或放宽目标（气候影响不明确）") +
COUNTIFS('土地利用、土地利用变化和林业'!H:H, "碳减排", '土地利用、土地利用变化和林业'!G:G, "强化或放宽目标（积极气候影响）") +
COUNTIFS('土地利用、土地利用变化和林业'!H:H, "碳减排", '土地利用、土地利用变化和林业'!G:G, "强化或放宽目标（消极气候影响）") +
COUNTIFS(循环经济!H:H, "碳减排", 循环经济!G:G, "新目标") +
COUNTIFS(循环经济!H:H, "碳减排", 循环经济!G:G, "强化或放宽目标（气候影响不明确）") +
COUNTIFS(循环经济!H:H, "碳减排", 循环经济!G:G, "强化或放宽目标（积极气候影响）") +
COUNTIFS(循环经济!H:H, "碳减排", 循环经济!G:G, "强化或放宽目标（消极气候影响）") +
COUNTIFS(金融!H:H, "碳减排", 金融!G:G, "新目标") +
COUNTIFS(金融!H:H, "碳减排", 金融!G:G, "强化或放宽目标（气候影响不明确）") +
COUNTIFS(金融!H:H, "碳减排", 金融!G:G, "强化或放宽目标（积极气候影响）") +
COUNTIFS(金融!H:H, "碳减排", 金融!G:G, "强化或放宽目标（消极气候影响）")</f>
        <v/>
      </c>
      <c r="S6" s="39" t="n"/>
      <c r="T6" s="66" t="inlineStr">
        <is>
          <t>企事业单位</t>
        </is>
      </c>
      <c r="U6" s="61">
        <f>COUNTIFS(温室气体排放!I:I,"企业",温室气体排放!G:G,"新目标")
+COUNTIFS(温室气体排放!I:I,"企业",温室气体排放!G:G,"强化或放宽目标（气候影响不明确）")
+COUNTIFS(温室气体排放!I:I,"企业",温室气体排放!G:G,"强化或放宽目标（积极气候影响）")
+COUNTIFS(温室气体排放!I:I,"企业",温室气体排放!G:G,"强化或放宽目标（消极气候影响）")
+COUNTIFS(污染!I:I,"企业",污染!G:G,"新目标")
+COUNTIFS(污染!I:I,"企业",污染!G:G,"强化或放宽目标（气候影响不明确）")
+COUNTIFS(污染!I:I,"企业",污染!G:G,"强化或放宽目标（积极气候影响）")
+COUNTIFS(污染!I:I,"企业",污染!G:G,"强化或放宽目标（消极气候影响）")
+COUNTIFS('能源|电力'!I:I,"企业",'能源|电力'!G:G,"新目标")
+COUNTIFS('能源|电力'!I:I,"企业",'能源|电力'!G:G,"强化或放宽目标（气候影响不明确）")
+COUNTIFS('能源|电力'!I:I,"企业",'能源|电力'!G:G,"强化或放宽目标（积极气候影响）")
+COUNTIFS('能源|电力'!I:I,"企业",'能源|电力'!G:G,"强化或放宽目标（消极气候影响）")
+COUNTIFS(工业!I:I,"企业",工业!G:G,"新目标")
+COUNTIFS(工业!I:I,"企业",工业!G:G,"强化或放宽目标（气候影响不明确）")
+COUNTIFS(工业!I:I,"企业",工业!G:G,"强化或放宽目标（积极气候影响）")
+COUNTIFS(工业!I:I,"企业",工业!G:G,"强化或放宽目标（消极气候影响）")
+COUNTIFS(建筑!I:I,"企业",建筑!G:G,"新目标")
+COUNTIFS(建筑!I:I,"企业",建筑!G:G,"强化或放宽目标（气候影响不明确）")
+COUNTIFS(建筑!I:I,"企业",建筑!G:G,"强化或放宽目标（积极气候影响）")
+COUNTIFS(建筑!I:I,"企业",建筑!G:G,"强化或放宽目标（消极气候影响）")
+COUNTIFS(交通!I:I,"企业",交通!G:G,"新目标")
+COUNTIFS(交通!I:I,"企业",交通!G:G,"强化或放宽目标（气候影响不明确）")
+COUNTIFS(交通!I:I,"企业",交通!G:G,"强化或放宽目标（积极气候影响）")
+COUNTIFS(交通!I:I,"企业",交通!G:G,"强化或放宽目标（消极气候影响）")
+COUNTIFS('土地利用、土地利用变化和林业'!I:I,"企业",'土地利用、土地利用变化和林业'!G:G,"新目标")
+COUNTIFS('土地利用、土地利用变化和林业'!I:I,"企业",'土地利用、土地利用变化和林业'!G:G,"强化或放宽目标（气候影响不明确）")
+COUNTIFS('土地利用、土地利用变化和林业'!I:I,"企业",'土地利用、土地利用变化和林业'!G:G,"强化或放宽目标（积极气候影响）")
+COUNTIFS('土地利用、土地利用变化和林业'!I:I,"企业",'土地利用、土地利用变化和林业'!G:G,"强化或放宽目标（消极气候影响）")
+COUNTIFS(循环经济!I:I,"企业",循环经济!G:G,"新目标")
+COUNTIFS(循环经济!I:I,"企业",循环经济!G:G,"强化或放宽目标（气候影响不明确）")
+COUNTIFS(循环经济!I:I,"企业",循环经济!G:G,"强化或放宽目标（积极气候影响）")
+COUNTIFS(循环经济!I:I,"企业",循环经济!G:G,"强化或放宽目标（消极气候影响）")
+COUNTIFS(金融!I:I,"企业",金融!G:G,"新目标")
+COUNTIFS(金融!I:I,"企业",金融!G:G,"强化或放宽目标（气候影响不明确）")
+COUNTIFS(金融!I:I,"企业",金融!G:G,"强化或放宽目标（积极气候影响）")
+COUNTIFS(金融!I:I,"企业",金融!G:G,"强化或放宽目标（消极气候影响）")</f>
        <v/>
      </c>
    </row>
    <row r="7" ht="19" customHeight="1" s="235">
      <c r="A7" s="39" t="n"/>
      <c r="B7" s="67" t="inlineStr">
        <is>
          <t>污染</t>
        </is>
      </c>
      <c r="C7" s="68">
        <f>COUNTIFS(污染!G:G, "新目标") + COUNTIFS(污染!G:G, "强化或放宽目标（气候影响不明确）") + COUNTIFS(污染!G:G, "强化或放宽目标（积极气候影响）") + COUNTIFS(污染!G:G, "强化或放宽目标（消极气候影响）")</f>
        <v/>
      </c>
      <c r="D7" s="59" t="n"/>
      <c r="E7" s="69" t="inlineStr">
        <is>
          <t>电力供应</t>
        </is>
      </c>
      <c r="F7" s="70">
        <f>COUNTIFS('能源|电力'!M:M, "电力供应")</f>
        <v/>
      </c>
      <c r="G7" s="39" t="n"/>
      <c r="H7" s="71" t="inlineStr">
        <is>
          <t>气候影响不明确的强化或放宽目标</t>
        </is>
      </c>
      <c r="I7" s="72">
        <f>COUNTIF(温室气体排放!G:G,"强化或放宽目标（气候影响不明确）")
+COUNTIF(污染!G:G,"强化或放宽目标（气候影响不明确）")
+COUNTIF('能源|电力'!G:G,"强化或放宽目标（气候影响不明确）")
+COUNTIF(工业!G:G,"强化或放宽目标（气候影响不明确）")
+COUNTIF(建筑!G:G,"强化或放宽目标（气候影响不明确）")
+COUNTIF(交通!G:G,"强化或放宽目标（气候影响不明确）")
+COUNTIF('土地利用、土地利用变化和林业'!G:G,"强化或放宽目标（气候影响不明确）")
+COUNTIF(循环经济!G:G,"强化或放宽目标（气候影响不明确）")
+COUNTIF(金融!G:G,"强化或放宽目标（气候影响不明确）")</f>
        <v/>
      </c>
      <c r="J7" s="39" t="n"/>
      <c r="K7" s="73" t="n">
        <v>2005</v>
      </c>
      <c r="L7" s="68">
        <f>COUNTIFS(温室气体排放!A:A, 2005, 温室气体排放!G:G, "新目标") +
COUNTIFS(温室气体排放!A:A, 2005, 温室气体排放!G:G, "强化或放宽目标（气候影响不明确）") +
COUNTIFS(温室气体排放!A:A, 2005, 温室气体排放!G:G, "强化或放宽目标（积极气候影响）") +
COUNTIFS(温室气体排放!A:A, 2005, 温室气体排放!G:G, "强化或放宽目标（消极气候影响）") +
COUNTIFS(污染!A:A, 2005, 污染!G:G, "新目标") +
COUNTIFS(污染!A:A, 2005, 污染!G:G, "强化或放宽目标（气候影响不明确）") +
COUNTIFS(污染!A:A, 2005, 污染!G:G, "强化或放宽目标（积极气候影响）") +
COUNTIFS(污染!A:A, 2005, 污染!G:G, "强化或放宽目标（消极气候影响）") +
COUNTIFS('能源|电力'!A:A, 2005, '能源|电力'!G:G, "新目标") +
COUNTIFS('能源|电力'!A:A, 2005, '能源|电力'!G:G, "强化或放宽目标（气候影响不明确）") +
COUNTIFS('能源|电力'!A:A, 2005, '能源|电力'!G:G, "强化或放宽目标（积极气候影响）") +
COUNTIFS('能源|电力'!A:A, 2005, '能源|电力'!G:G, "强化或放宽目标（消极气候影响）") +
COUNTIFS(工业!A:A, 2005, 工业!G:G, "新目标") +
COUNTIFS(工业!A:A, 2005, 工业!G:G, "强化或放宽目标（气候影响不明确）") +
COUNTIFS(工业!A:A, 2005, 工业!G:G, "强化或放宽目标（积极气候影响）") +
COUNTIFS(工业!A:A, 2005, 工业!G:G, "强化或放宽目标（消极气候影响）") +
COUNTIFS(建筑!A:A, 2005, 建筑!G:G, "新目标") +
COUNTIFS(建筑!A:A, 2005, 建筑!G:G, "强化或放宽目标（气候影响不明确）") +
COUNTIFS(建筑!A:A, 2005, 建筑!G:G, "强化或放宽目标（积极气候影响）") +
COUNTIFS(建筑!A:A, 2005, 建筑!G:G, "强化或放宽目标（消极气候影响）") +
COUNTIFS(交通!A:A, 2005, 交通!G:G, "新目标") +
COUNTIFS(交通!A:A, 2005, 交通!G:G, "强化或放宽目标（气候影响不明确）") +
COUNTIFS(交通!A:A, 2005, 交通!G:G, "强化或放宽目标（积极气候影响）") +
COUNTIFS(交通!A:A, 2005, 交通!G:G, "强化或放宽目标（消极气候影响）") +
COUNTIFS('土地利用、土地利用变化和林业'!A:A, 2005, '土地利用、土地利用变化和林业'!G:G, "新目标") +
COUNTIFS('土地利用、土地利用变化和林业'!A:A, 2005, '土地利用、土地利用变化和林业'!G:G, "强化或放宽目标（气候影响不明确）") +
COUNTIFS('土地利用、土地利用变化和林业'!A:A, 2005, '土地利用、土地利用变化和林业'!G:G, "强化或放宽目标（积极气候影响）") +
COUNTIFS('土地利用、土地利用变化和林业'!A:A, 2005, '土地利用、土地利用变化和林业'!G:G, "强化或放宽目标（消极气候影响）") +
COUNTIFS(循环经济!A:A, 2005, 循环经济!G:G, "新目标") +
COUNTIFS(循环经济!A:A, 2005, 循环经济!G:G, "强化或放宽目标（气候影响不明确）") +
COUNTIFS(循环经济!A:A, 2005, 循环经济!G:G, "强化或放宽目标（积极气候影响）") +
COUNTIFS(循环经济!A:A, 2005, 循环经济!G:G, "强化或放宽目标（消极气候影响）") +
COUNTIFS(金融!A:A, 2005, 金融!G:G, "新目标") +
COUNTIFS(金融!A:A, 2005, 金融!G:G, "强化或放宽目标（气候影响不明确）") +
COUNTIFS(金融!A:A, 2005, 金融!G:G, "强化或放宽目标（积极气候影响）") +
COUNTIFS(金融!A:A, 2005, 金融!G:G, "强化或放宽目标（消极气候影响）")</f>
        <v/>
      </c>
      <c r="M7" s="39" t="n"/>
      <c r="N7" s="73" t="n">
        <v>2008</v>
      </c>
      <c r="O7" s="74">
        <f>COUNTIFS(温室气体排放!F:F, 2008, 温室气体排放!G:G, "新目标") +
COUNTIFS(温室气体排放!F:F, 2008, 温室气体排放!G:G, "强化或放宽目标（气候影响不明确）") +
COUNTIFS(温室气体排放!F:F, 2008, 温室气体排放!G:G, "强化或放宽目标（积极气候影响）") +
COUNTIFS(温室气体排放!F:F, 2008, 温室气体排放!G:G, "强化或放宽目标（消极气候影响）") +
COUNTIFS(污染!F:F, 2008, 污染!G:G, "新目标") +
COUNTIFS(污染!F:F, 2008, 污染!G:G, "强化或放宽目标（气候影响不明确）") +
COUNTIFS(污染!F:F, 2008, 污染!G:G, "强化或放宽目标（积极气候影响）") +
COUNTIFS(污染!F:F, 2008, 污染!G:G, "强化或放宽目标（消极气候影响）") +
COUNTIFS('能源|电力'!F:F, 2008, '能源|电力'!G:G, "新目标") +
COUNTIFS('能源|电力'!F:F, 2008, '能源|电力'!G:G, "强化或放宽目标（气候影响不明确）") +
COUNTIFS('能源|电力'!F:F, 2008, '能源|电力'!G:G, "强化或放宽目标（积极气候影响）") +
COUNTIFS('能源|电力'!F:F, 2008, '能源|电力'!G:G, "强化或放宽目标（消极气候影响）") +
COUNTIFS(工业!F:F, 2008, 工业!G:G, "新目标") +
COUNTIFS(工业!F:F, 2008, 工业!G:G, "强化或放宽目标（气候影响不明确）") +
COUNTIFS(工业!F:F, 2008, 工业!G:G, "强化或放宽目标（积极气候影响）") +
COUNTIFS(工业!F:F, 2008, 工业!G:G, "强化或放宽目标（消极气候影响）") +
COUNTIFS(建筑!F:F, 2008, 建筑!G:G, "新目标") +
COUNTIFS(建筑!F:F, 2008, 建筑!G:G, "强化或放宽目标（气候影响不明确）") +
COUNTIFS(建筑!F:F, 2008, 建筑!G:G, "强化或放宽目标（积极气候影响）") +
COUNTIFS(建筑!F:F, 2008, 建筑!G:G, "强化或放宽目标（消极气候影响）") +
COUNTIFS(交通!F:F, 2008, 交通!G:G, "新目标") +
COUNTIFS(交通!F:F, 2008, 交通!G:G, "强化或放宽目标（气候影响不明确）") +
COUNTIFS(交通!F:F, 2008, 交通!G:G, "强化或放宽目标（积极气候影响）") +
COUNTIFS(交通!F:F, 2008, 交通!G:G, "强化或放宽目标（消极气候影响）") +
COUNTIFS('土地利用、土地利用变化和林业'!F:F, 2008, '土地利用、土地利用变化和林业'!G:G, "新目标") +
COUNTIFS('土地利用、土地利用变化和林业'!F:F, 2008, '土地利用、土地利用变化和林业'!G:G, "强化或放宽目标（气候影响不明确）") +
COUNTIFS('土地利用、土地利用变化和林业'!F:F, 2008, '土地利用、土地利用变化和林业'!G:G, "强化或放宽目标（积极气候影响）") +
COUNTIFS('土地利用、土地利用变化和林业'!F:F, 2008, '土地利用、土地利用变化和林业'!G:G, "强化或放宽目标（消极气候影响）") +
COUNTIFS(循环经济!F:F, 2008, 循环经济!G:G, "新目标") +
COUNTIFS(循环经济!F:F, 2008, 循环经济!G:G, "强化或放宽目标（气候影响不明确）") +
COUNTIFS(循环经济!F:F, 2008, 循环经济!G:G, "强化或放宽目标（积极气候影响）") +
COUNTIFS(循环经济!F:F, 2008, 循环经济!G:G, "强化或放宽目标（消极气候影响）") +
COUNTIFS(金融!F:F, 2008, 金融!G:G, "新目标") +
COUNTIFS(金融!F:F, 2008, 金融!G:G, "强化或放宽目标（气候影响不明确）") +
COUNTIFS(金融!F:F, 2008, 金融!G:G, "强化或放宽目标（积极气候影响）") +
COUNTIFS(金融!F:F, 2008, 金融!G:G, "强化或放宽目标（消极气候影响）")</f>
        <v/>
      </c>
      <c r="P7" s="39" t="n"/>
      <c r="Q7" s="75" t="inlineStr">
        <is>
          <t>碳强度</t>
        </is>
      </c>
      <c r="R7" s="74">
        <f>COUNTIFS(温室气体排放!H:H, "碳强度", 温室气体排放!G:G, "新目标") +
COUNTIFS(温室气体排放!H:H, "碳强度", 温室气体排放!G:G, "强化或放宽目标（气候影响不明确）") +
COUNTIFS(温室气体排放!H:H, "碳强度", 温室气体排放!G:G, "强化或放宽目标（积极气候影响）") +
COUNTIFS(温室气体排放!H:H, "碳强度", 温室气体排放!G:G, "强化或放宽目标（消极气候影响）") +
COUNTIFS(污染!H:H, "碳强度", 污染!G:G, "新目标") +
COUNTIFS(污染!H:H, "碳强度", 污染!G:G, "强化或放宽目标（气候影响不明确）") +
COUNTIFS(污染!H:H, "碳强度", 污染!G:G, "强化或放宽目标（积极气候影响）") +
COUNTIFS(污染!H:H, "碳强度", 污染!G:G, "强化或放宽目标（消极气候影响）") +
COUNTIFS('能源|电力'!H:H, "碳强度", '能源|电力'!G:G, "新目标") +
COUNTIFS('能源|电力'!H:H, "碳强度", '能源|电力'!G:G, "强化或放宽目标（气候影响不明确）") +
COUNTIFS('能源|电力'!H:H, "碳强度", '能源|电力'!G:G, "强化或放宽目标（积极气候影响）") +
COUNTIFS('能源|电力'!H:H, "碳强度", '能源|电力'!G:G, "强化或放宽目标（消极气候影响）") +
COUNTIFS(工业!H:H, "碳强度", 工业!G:G, "新目标") +
COUNTIFS(工业!H:H, "碳强度", 工业!G:G, "强化或放宽目标（气候影响不明确）") +
COUNTIFS(工业!H:H, "碳强度", 工业!G:G, "强化或放宽目标（积极气候影响）") +
COUNTIFS(工业!H:H, "碳强度", 工业!G:G, "强化或放宽目标（消极气候影响）") +
COUNTIFS(建筑!H:H, "碳强度", 建筑!G:G, "新目标") +
COUNTIFS(建筑!H:H, "碳强度", 建筑!G:G, "强化或放宽目标（气候影响不明确）") +
COUNTIFS(建筑!H:H, "碳强度", 建筑!G:G, "强化或放宽目标（积极气候影响）") +
COUNTIFS(建筑!H:H, "碳强度", 建筑!G:G, "强化或放宽目标（消极气候影响）") +
COUNTIFS(交通!H:H, "碳强度", 交通!G:G, "新目标") +
COUNTIFS(交通!H:H, "碳强度", 交通!G:G, "强化或放宽目标（气候影响不明确）") +
COUNTIFS(交通!H:H, "碳强度", 交通!G:G, "强化或放宽目标（积极气候影响）") +
COUNTIFS(交通!H:H, "碳强度", 交通!G:G, "强化或放宽目标（消极气候影响）") +
COUNTIFS('土地利用、土地利用变化和林业'!H:H, "碳强度", '土地利用、土地利用变化和林业'!G:G, "新目标") +
COUNTIFS('土地利用、土地利用变化和林业'!H:H, "碳强度", '土地利用、土地利用变化和林业'!G:G, "强化或放宽目标（气候影响不明确）") +
COUNTIFS('土地利用、土地利用变化和林业'!H:H, "碳强度", '土地利用、土地利用变化和林业'!G:G, "强化或放宽目标（积极气候影响）") +
COUNTIFS('土地利用、土地利用变化和林业'!H:H, "碳强度", '土地利用、土地利用变化和林业'!G:G, "强化或放宽目标（消极气候影响）") +
COUNTIFS(循环经济!H:H, "碳强度", 循环经济!G:G, "新目标") +
COUNTIFS(循环经济!H:H, "碳强度", 循环经济!G:G, "强化或放宽目标（气候影响不明确）") +
COUNTIFS(循环经济!H:H, "碳强度", 循环经济!G:G, "强化或放宽目标（积极气候影响）") +
COUNTIFS(循环经济!H:H, "碳强度", 循环经济!G:G, "强化或放宽目标（消极气候影响）") +
COUNTIFS(金融!H:H, "碳强度", 金融!G:G, "新目标") +
COUNTIFS(金融!H:H, "碳强度", 金融!G:G, "强化或放宽目标（气候影响不明确）") +
COUNTIFS(金融!H:H, "碳强度", 金融!G:G, "强化或放宽目标（积极气候影响）") +
COUNTIFS(金融!H:H, "碳强度", 金融!G:G, "强化或放宽目标（消极气候影响）")</f>
        <v/>
      </c>
      <c r="S7" s="39" t="n"/>
      <c r="T7" s="75" t="inlineStr">
        <is>
          <t>城市与地区</t>
        </is>
      </c>
      <c r="U7" s="70">
        <f>COUNTIFS(温室气体排放!I:I,"地区",温室气体排放!G:G,"新目标")
+COUNTIFS(温室气体排放!I:I,"地区",温室气体排放!G:G,"强化或放宽目标（气候影响不明确）")
+COUNTIFS(温室气体排放!I:I,"地区",温室气体排放!G:G,"强化或放宽目标（积极气候影响）")
+COUNTIFS(温室气体排放!I:I,"地区",温室气体排放!G:G,"强化或放宽目标（消极气候影响）")
+COUNTIFS(污染!I:I,"地区",污染!G:G,"新目标")
+COUNTIFS(污染!I:I,"地区",污染!G:G,"强化或放宽目标（气候影响不明确）")
+COUNTIFS(污染!I:I,"地区",污染!G:G,"强化或放宽目标（积极气候影响）")
+COUNTIFS(污染!I:I,"地区",污染!G:G,"强化或放宽目标（消极气候影响）")
+COUNTIFS('能源|电力'!I:I,"地区",'能源|电力'!G:G,"新目标")
+COUNTIFS('能源|电力'!I:I,"地区",'能源|电力'!G:G,"强化或放宽目标（气候影响不明确）")
+COUNTIFS('能源|电力'!I:I,"地区",'能源|电力'!G:G,"强化或放宽目标（积极气候影响）")
+COUNTIFS('能源|电力'!I:I,"地区",'能源|电力'!G:G,"强化或放宽目标（消极气候影响）")
+COUNTIFS(工业!I:I,"地区",工业!G:G,"新目标")
+COUNTIFS(工业!I:I,"地区",工业!G:G,"强化或放宽目标（气候影响不明确）")
+COUNTIFS(工业!I:I,"地区",工业!G:G,"强化或放宽目标（积极气候影响）")
+COUNTIFS(工业!I:I,"地区",工业!G:G,"强化或放宽目标（消极气候影响）")
+COUNTIFS(建筑!I:I,"地区",建筑!G:G,"新目标")
+COUNTIFS(建筑!I:I,"地区",建筑!G:G,"强化或放宽目标（气候影响不明确）")
+COUNTIFS(建筑!I:I,"地区",建筑!G:G,"强化或放宽目标（积极气候影响）")
+COUNTIFS(建筑!I:I,"地区",建筑!G:G,"强化或放宽目标（消极气候影响）")
+COUNTIFS(交通!I:I,"地区",交通!G:G,"新目标")
+COUNTIFS(交通!I:I,"地区",交通!G:G,"强化或放宽目标（气候影响不明确）")
+COUNTIFS(交通!I:I,"地区",交通!G:G,"强化或放宽目标（积极气候影响）")
+COUNTIFS(交通!I:I,"地区",交通!G:G,"强化或放宽目标（消极气候影响）")
+COUNTIFS('土地利用、土地利用变化和林业'!I:I,"地区",'土地利用、土地利用变化和林业'!G:G,"新目标")
+COUNTIFS('土地利用、土地利用变化和林业'!I:I,"地区",'土地利用、土地利用变化和林业'!G:G,"强化或放宽目标（气候影响不明确）")
+COUNTIFS('土地利用、土地利用变化和林业'!I:I,"地区",'土地利用、土地利用变化和林业'!G:G,"强化或放宽目标（积极气候影响）")
+COUNTIFS('土地利用、土地利用变化和林业'!I:I,"地区",'土地利用、土地利用变化和林业'!G:G,"强化或放宽目标（消极气候影响）")
+COUNTIFS(循环经济!I:I,"地区",循环经济!G:G,"新目标")
+COUNTIFS(循环经济!I:I,"地区",循环经济!G:G,"强化或放宽目标（气候影响不明确）")
+COUNTIFS(循环经济!I:I,"地区",循环经济!G:G,"强化或放宽目标（积极气候影响）")
+COUNTIFS(循环经济!I:I,"地区",循环经济!G:G,"强化或放宽目标（消极气候影响）")
+COUNTIFS(金融!I:I,"地区",金融!G:G,"新目标")
+COUNTIFS(金融!I:I,"地区",金融!G:G,"强化或放宽目标（气候影响不明确）")
+COUNTIFS(金融!I:I,"地区",金融!G:G,"强化或放宽目标（积极气候影响）")
+COUNTIFS(金融!I:I,"地区",金融!G:G,"强化或放宽目标（消极气候影响）")</f>
        <v/>
      </c>
    </row>
    <row r="8" ht="19" customHeight="1" s="235">
      <c r="A8" s="39" t="n"/>
      <c r="B8" s="67" t="inlineStr">
        <is>
          <t>能源|电力</t>
        </is>
      </c>
      <c r="C8" s="68">
        <f>COUNTIFS('能源|电力'!G:G, "新目标") + COUNTIFS('能源|电力'!G:G, "强化或放宽目标（气候影响不明确）") + COUNTIFS('能源|电力'!G:G, "强化或放宽目标（积极气候影响）") + COUNTIFS('能源|电力'!G:G, "强化或放宽目标（消极气候影响）")</f>
        <v/>
      </c>
      <c r="D8" s="59" t="n"/>
      <c r="E8" s="69" t="inlineStr">
        <is>
          <t>电力传输/能源运输</t>
        </is>
      </c>
      <c r="F8" s="70">
        <f>COUNTIFS('能源|电力'!M:M, "电力传输/能源运输")</f>
        <v/>
      </c>
      <c r="G8" s="39" t="n"/>
      <c r="H8" s="67" t="inlineStr">
        <is>
          <t>具有积极气候影响的强化或放宽目标</t>
        </is>
      </c>
      <c r="I8" s="68">
        <f>COUNTIF(温室气体排放!G:G,"强化或放宽目标（积极气候影响）")
+COUNTIF(污染!G:G,"强化或放宽目标（积极气候影响）")
+COUNTIF('能源|电力'!G:G,"强化或放宽目标（积极气候影响）")
+COUNTIF(工业!G:G,"强化或放宽目标（积极气候影响）")
+COUNTIF(建筑!G:G,"强化或放宽目标（积极气候影响）")
+COUNTIF(交通!G:G,"强化或放宽目标（积极气候影响）")
+COUNTIF('土地利用、土地利用变化和林业'!G:G,"强化或放宽目标（积极气候影响）")
+COUNTIF(循环经济!G:G,"强化或放宽目标（积极气候影响）")
+COUNTIF(金融!G:G,"强化或放宽目标（积极气候影响）")</f>
        <v/>
      </c>
      <c r="J8" s="39" t="n"/>
      <c r="K8" s="73" t="n">
        <v>2006</v>
      </c>
      <c r="L8" s="68">
        <f>COUNTIFS(温室气体排放!A:A, 2006, 温室气体排放!G:G, "新目标") +
COUNTIFS(温室气体排放!A:A, 2006, 温室气体排放!G:G, "强化或放宽目标（气候影响不明确）") +
COUNTIFS(温室气体排放!A:A, 2006, 温室气体排放!G:G, "强化或放宽目标（积极气候影响）") +
COUNTIFS(温室气体排放!A:A, 2006, 温室气体排放!G:G, "强化或放宽目标（消极气候影响）") +
COUNTIFS(污染!A:A, 2006, 污染!G:G, "新目标") +
COUNTIFS(污染!A:A, 2006, 污染!G:G, "强化或放宽目标（气候影响不明确）") +
COUNTIFS(污染!A:A, 2006, 污染!G:G, "强化或放宽目标（积极气候影响）") +
COUNTIFS(污染!A:A, 2006, 污染!G:G, "强化或放宽目标（消极气候影响）") +
COUNTIFS('能源|电力'!A:A, 2006, '能源|电力'!G:G, "新目标") +
COUNTIFS('能源|电力'!A:A, 2006, '能源|电力'!G:G, "强化或放宽目标（气候影响不明确）") +
COUNTIFS('能源|电力'!A:A, 2006, '能源|电力'!G:G, "强化或放宽目标（积极气候影响）") +
COUNTIFS('能源|电力'!A:A, 2006, '能源|电力'!G:G, "强化或放宽目标（消极气候影响）") +
COUNTIFS(工业!A:A, 2006, 工业!G:G, "新目标") +
COUNTIFS(工业!A:A, 2006, 工业!G:G, "强化或放宽目标（气候影响不明确）") +
COUNTIFS(工业!A:A, 2006, 工业!G:G, "强化或放宽目标（积极气候影响）") +
COUNTIFS(工业!A:A, 2006, 工业!G:G, "强化或放宽目标（消极气候影响）") +
COUNTIFS(建筑!A:A, 2006, 建筑!G:G, "新目标") +
COUNTIFS(建筑!A:A, 2006, 建筑!G:G, "强化或放宽目标（气候影响不明确）") +
COUNTIFS(建筑!A:A, 2006, 建筑!G:G, "强化或放宽目标（积极气候影响）") +
COUNTIFS(建筑!A:A, 2006, 建筑!G:G, "强化或放宽目标（消极气候影响）") +
COUNTIFS(交通!A:A, 2006, 交通!G:G, "新目标") +
COUNTIFS(交通!A:A, 2006, 交通!G:G, "强化或放宽目标（气候影响不明确）") +
COUNTIFS(交通!A:A, 2006, 交通!G:G, "强化或放宽目标（积极气候影响）") +
COUNTIFS(交通!A:A, 2006, 交通!G:G, "强化或放宽目标（消极气候影响）") +
COUNTIFS('土地利用、土地利用变化和林业'!A:A, 2006, '土地利用、土地利用变化和林业'!G:G, "新目标") +
COUNTIFS('土地利用、土地利用变化和林业'!A:A, 2006, '土地利用、土地利用变化和林业'!G:G, "强化或放宽目标（气候影响不明确）") +
COUNTIFS('土地利用、土地利用变化和林业'!A:A, 2006, '土地利用、土地利用变化和林业'!G:G, "强化或放宽目标（积极气候影响）") +
COUNTIFS('土地利用、土地利用变化和林业'!A:A, 2006, '土地利用、土地利用变化和林业'!G:G, "强化或放宽目标（消极气候影响）") +
COUNTIFS(循环经济!A:A, 2006, 循环经济!G:G, "新目标") +
COUNTIFS(循环经济!A:A, 2006, 循环经济!G:G, "强化或放宽目标（气候影响不明确）") +
COUNTIFS(循环经济!A:A, 2006, 循环经济!G:G, "强化或放宽目标（积极气候影响）") +
COUNTIFS(循环经济!A:A, 2006, 循环经济!G:G, "强化或放宽目标（消极气候影响）") +
COUNTIFS(金融!A:A, 2006, 金融!G:G, "新目标") +
COUNTIFS(金融!A:A, 2006, 金融!G:G, "强化或放宽目标（气候影响不明确）") +
COUNTIFS(金融!A:A, 2006, 金融!G:G, "强化或放宽目标（积极气候影响）") +
COUNTIFS(金融!A:A, 2006, 金融!G:G, "强化或放宽目标（消极气候影响）")</f>
        <v/>
      </c>
      <c r="M8" s="39" t="n"/>
      <c r="N8" s="73" t="n">
        <v>2010</v>
      </c>
      <c r="O8" s="74">
        <f>COUNTIFS(温室气体排放!F:F, 2010, 温室气体排放!G:G, "新目标") +
COUNTIFS(温室气体排放!F:F, 2010, 温室气体排放!G:G, "强化或放宽目标（气候影响不明确）") +
COUNTIFS(温室气体排放!F:F, 2010, 温室气体排放!G:G, "强化或放宽目标（积极气候影响）") +
COUNTIFS(温室气体排放!F:F, 2010, 温室气体排放!G:G, "强化或放宽目标（消极气候影响）") +
COUNTIFS(污染!F:F, 2010, 污染!G:G, "新目标") +
COUNTIFS(污染!F:F, 2010, 污染!G:G, "强化或放宽目标（气候影响不明确）") +
COUNTIFS(污染!F:F, 2010, 污染!G:G, "强化或放宽目标（积极气候影响）") +
COUNTIFS(污染!F:F, 2010, 污染!G:G, "强化或放宽目标（消极气候影响）") +
COUNTIFS('能源|电力'!F:F, 2010, '能源|电力'!G:G, "新目标") +
COUNTIFS('能源|电力'!F:F, 2010, '能源|电力'!G:G, "强化或放宽目标（气候影响不明确）") +
COUNTIFS('能源|电力'!F:F, 2010, '能源|电力'!G:G, "强化或放宽目标（积极气候影响）") +
COUNTIFS('能源|电力'!F:F, 2010, '能源|电力'!G:G, "强化或放宽目标（消极气候影响）") +
COUNTIFS(工业!F:F, 2010, 工业!G:G, "新目标") +
COUNTIFS(工业!F:F, 2010, 工业!G:G, "强化或放宽目标（气候影响不明确）") +
COUNTIFS(工业!F:F, 2010, 工业!G:G, "强化或放宽目标（积极气候影响）") +
COUNTIFS(工业!F:F, 2010, 工业!G:G, "强化或放宽目标（消极气候影响）") +
COUNTIFS(建筑!F:F, 2010, 建筑!G:G, "新目标") +
COUNTIFS(建筑!F:F, 2010, 建筑!G:G, "强化或放宽目标（气候影响不明确）") +
COUNTIFS(建筑!F:F, 2010, 建筑!G:G, "强化或放宽目标（积极气候影响）") +
COUNTIFS(建筑!F:F, 2010, 建筑!G:G, "强化或放宽目标（消极气候影响）") +
COUNTIFS(交通!F:F, 2010, 交通!G:G, "新目标") +
COUNTIFS(交通!F:F, 2010, 交通!G:G, "强化或放宽目标（气候影响不明确）") +
COUNTIFS(交通!F:F, 2010, 交通!G:G, "强化或放宽目标（积极气候影响）") +
COUNTIFS(交通!F:F, 2010, 交通!G:G, "强化或放宽目标（消极气候影响）") +
COUNTIFS('土地利用、土地利用变化和林业'!F:F, 2010, '土地利用、土地利用变化和林业'!G:G, "新目标") +
COUNTIFS('土地利用、土地利用变化和林业'!F:F, 2010, '土地利用、土地利用变化和林业'!G:G, "强化或放宽目标（气候影响不明确）") +
COUNTIFS('土地利用、土地利用变化和林业'!F:F, 2010, '土地利用、土地利用变化和林业'!G:G, "强化或放宽目标（积极气候影响）") +
COUNTIFS('土地利用、土地利用变化和林业'!F:F, 2010, '土地利用、土地利用变化和林业'!G:G, "强化或放宽目标（消极气候影响）") +
COUNTIFS(循环经济!F:F, 2010, 循环经济!G:G, "新目标") +
COUNTIFS(循环经济!F:F, 2010, 循环经济!G:G, "强化或放宽目标（气候影响不明确）") +
COUNTIFS(循环经济!F:F, 2010, 循环经济!G:G, "强化或放宽目标（积极气候影响）") +
COUNTIFS(循环经济!F:F, 2010, 循环经济!G:G, "强化或放宽目标（消极气候影响）") +
COUNTIFS(金融!F:F, 2010, 金融!G:G, "新目标") +
COUNTIFS(金融!F:F, 2010, 金融!G:G, "强化或放宽目标（气候影响不明确）") +
COUNTIFS(金融!F:F, 2010, 金融!G:G, "强化或放宽目标（积极气候影响）") +
COUNTIFS(金融!F:F, 2010, 金融!G:G, "强化或放宽目标（消极气候影响）")</f>
        <v/>
      </c>
      <c r="P8" s="39" t="n"/>
      <c r="Q8" s="75" t="inlineStr">
        <is>
          <t>碳汇</t>
        </is>
      </c>
      <c r="R8" s="74">
        <f>COUNTIFS(温室气体排放!H:H, "碳汇", 温室气体排放!G:G, "新目标") +
COUNTIFS(温室气体排放!H:H, "碳汇", 温室气体排放!G:G, "强化或放宽目标（气候影响不明确）") +
COUNTIFS(温室气体排放!H:H, "碳汇", 温室气体排放!G:G, "强化或放宽目标（积极气候影响）") +
COUNTIFS(温室气体排放!H:H, "碳汇", 温室气体排放!G:G, "强化或放宽目标（消极气候影响）") +
COUNTIFS(污染!H:H, "碳汇", 污染!G:G, "新目标") +
COUNTIFS(污染!H:H, "碳汇", 污染!G:G, "强化或放宽目标（气候影响不明确）") +
COUNTIFS(污染!H:H, "碳汇", 污染!G:G, "强化或放宽目标（积极气候影响）") +
COUNTIFS(污染!H:H, "碳汇", 污染!G:G, "强化或放宽目标（消极气候影响）") +
COUNTIFS('能源|电力'!H:H, "碳汇", '能源|电力'!G:G, "新目标") +
COUNTIFS('能源|电力'!H:H, "碳汇", '能源|电力'!G:G, "强化或放宽目标（气候影响不明确）") +
COUNTIFS('能源|电力'!H:H, "碳汇", '能源|电力'!G:G, "强化或放宽目标（积极气候影响）") +
COUNTIFS('能源|电力'!H:H, "碳汇", '能源|电力'!G:G, "强化或放宽目标（消极气候影响）") +
COUNTIFS(工业!H:H, "碳汇", 工业!G:G, "新目标") +
COUNTIFS(工业!H:H, "碳汇", 工业!G:G, "强化或放宽目标（气候影响不明确）") +
COUNTIFS(工业!H:H, "碳汇", 工业!G:G, "强化或放宽目标（积极气候影响）") +
COUNTIFS(工业!H:H, "碳汇", 工业!G:G, "强化或放宽目标（消极气候影响）") +
COUNTIFS(建筑!H:H, "碳汇", 建筑!G:G, "新目标") +
COUNTIFS(建筑!H:H, "碳汇", 建筑!G:G, "强化或放宽目标（气候影响不明确）") +
COUNTIFS(建筑!H:H, "碳汇", 建筑!G:G, "强化或放宽目标（积极气候影响）") +
COUNTIFS(建筑!H:H, "碳汇", 建筑!G:G, "强化或放宽目标（消极气候影响）") +
COUNTIFS(交通!H:H, "碳汇", 交通!G:G, "新目标") +
COUNTIFS(交通!H:H, "碳汇", 交通!G:G, "强化或放宽目标（气候影响不明确）") +
COUNTIFS(交通!H:H, "碳汇", 交通!G:G, "强化或放宽目标（积极气候影响）") +
COUNTIFS(交通!H:H, "碳汇", 交通!G:G, "强化或放宽目标（消极气候影响）") +
COUNTIFS('土地利用、土地利用变化和林业'!H:H, "碳汇", '土地利用、土地利用变化和林业'!G:G, "新目标") +
COUNTIFS('土地利用、土地利用变化和林业'!H:H, "碳汇", '土地利用、土地利用变化和林业'!G:G, "强化或放宽目标（气候影响不明确）") +
COUNTIFS('土地利用、土地利用变化和林业'!H:H, "碳汇", '土地利用、土地利用变化和林业'!G:G, "强化或放宽目标（积极气候影响）") +
COUNTIFS('土地利用、土地利用变化和林业'!H:H, "碳汇", '土地利用、土地利用变化和林业'!G:G, "强化或放宽目标（消极气候影响）") +
COUNTIFS(循环经济!H:H, "碳汇", 循环经济!G:G, "新目标") +
COUNTIFS(循环经济!H:H, "碳汇", 循环经济!G:G, "强化或放宽目标（气候影响不明确）") +
COUNTIFS(循环经济!H:H, "碳汇", 循环经济!G:G, "强化或放宽目标（积极气候影响）") +
COUNTIFS(循环经济!H:H, "碳汇", 循环经济!G:G, "强化或放宽目标（消极气候影响）") +
COUNTIFS(金融!H:H, "碳汇", 金融!G:G, "新目标") +
COUNTIFS(金融!H:H, "碳汇", 金融!G:G, "强化或放宽目标（气候影响不明确）") +
COUNTIFS(金融!H:H, "碳汇", 金融!G:G, "强化或放宽目标（积极气候影响）") +
COUNTIFS(金融!H:H, "碳汇", 金融!G:G, "强化或放宽目标（消极气候影响）")</f>
        <v/>
      </c>
      <c r="S8" s="39" t="n"/>
      <c r="T8" s="75" t="inlineStr">
        <is>
          <t>行业</t>
        </is>
      </c>
      <c r="U8" s="70">
        <f>COUNTIFS(温室气体排放!I:I,"行业",温室气体排放!G:G,"新目标")
+COUNTIFS(温室气体排放!I:I,"行业",温室气体排放!G:G,"强化或放宽目标（气候影响不明确）")
+COUNTIFS(温室气体排放!I:I,"行业",温室气体排放!G:G,"强化或放宽目标（积极气候影响）")
+COUNTIFS(温室气体排放!I:I,"行业",温室气体排放!G:G,"强化或放宽目标（消极气候影响）")
+COUNTIFS(污染!I:I,"行业",污染!G:G,"新目标")
+COUNTIFS(污染!I:I,"行业",污染!G:G,"强化或放宽目标（气候影响不明确）")
+COUNTIFS(污染!I:I,"行业",污染!G:G,"强化或放宽目标（积极气候影响）")
+COUNTIFS(污染!I:I,"行业",污染!G:G,"强化或放宽目标（消极气候影响）")
+COUNTIFS('能源|电力'!I:I,"行业",'能源|电力'!G:G,"新目标")
+COUNTIFS('能源|电力'!I:I,"行业",'能源|电力'!G:G,"强化或放宽目标（气候影响不明确）")
+COUNTIFS('能源|电力'!I:I,"行业",'能源|电力'!G:G,"强化或放宽目标（积极气候影响）")
+COUNTIFS('能源|电力'!I:I,"行业",'能源|电力'!G:G,"强化或放宽目标（消极气候影响）")
+COUNTIFS(工业!I:I,"行业",工业!G:G,"新目标")
+COUNTIFS(工业!I:I,"行业",工业!G:G,"强化或放宽目标（气候影响不明确）")
+COUNTIFS(工业!I:I,"行业",工业!G:G,"强化或放宽目标（积极气候影响）")
+COUNTIFS(工业!I:I,"行业",工业!G:G,"强化或放宽目标（消极气候影响）")
+COUNTIFS(建筑!I:I,"行业",建筑!G:G,"新目标")
+COUNTIFS(建筑!I:I,"行业",建筑!G:G,"强化或放宽目标（气候影响不明确）")
+COUNTIFS(建筑!I:I,"行业",建筑!G:G,"强化或放宽目标（积极气候影响）")
+COUNTIFS(建筑!I:I,"行业",建筑!G:G,"强化或放宽目标（消极气候影响）")
+COUNTIFS(交通!I:I,"行业",交通!G:G,"新目标")
+COUNTIFS(交通!I:I,"行业",交通!G:G,"强化或放宽目标（气候影响不明确）")
+COUNTIFS(交通!I:I,"行业",交通!G:G,"强化或放宽目标（积极气候影响）")
+COUNTIFS(交通!I:I,"行业",交通!G:G,"强化或放宽目标（消极气候影响）")
+COUNTIFS('土地利用、土地利用变化和林业'!I:I,"行业",'土地利用、土地利用变化和林业'!G:G,"新目标")
+COUNTIFS('土地利用、土地利用变化和林业'!I:I,"行业",'土地利用、土地利用变化和林业'!G:G,"强化或放宽目标（气候影响不明确）")
+COUNTIFS('土地利用、土地利用变化和林业'!I:I,"行业",'土地利用、土地利用变化和林业'!G:G,"强化或放宽目标（积极气候影响）")
+COUNTIFS('土地利用、土地利用变化和林业'!I:I,"行业",'土地利用、土地利用变化和林业'!G:G,"强化或放宽目标（消极气候影响）")
+COUNTIFS(循环经济!I:I,"行业",循环经济!G:G,"新目标")
+COUNTIFS(循环经济!I:I,"行业",循环经济!G:G,"强化或放宽目标（气候影响不明确）")
+COUNTIFS(循环经济!I:I,"行业",循环经济!G:G,"强化或放宽目标（积极气候影响）")
+COUNTIFS(循环经济!I:I,"行业",循环经济!G:G,"强化或放宽目标（消极气候影响）")
+COUNTIFS(金融!I:I,"行业",金融!G:G,"新目标")
+COUNTIFS(金融!I:I,"行业",金融!G:G,"强化或放宽目标（气候影响不明确）")
+COUNTIFS(金融!I:I,"行业",金融!G:G,"强化或放宽目标（积极气候影响）")
+COUNTIFS(金融!I:I,"行业",金融!G:G,"强化或放宽目标（消极气候影响）")</f>
        <v/>
      </c>
    </row>
    <row r="9" ht="19" customHeight="1" s="235">
      <c r="A9" s="39" t="n"/>
      <c r="B9" s="67" t="inlineStr">
        <is>
          <t>工业</t>
        </is>
      </c>
      <c r="C9" s="68">
        <f>COUNTIFS(工业!G:G, "新目标") + COUNTIFS(工业!G:G, "强化或放宽目标（气候影响不明确）") + COUNTIFS(工业!G:G, "强化或放宽目标（积极气候影响）") + COUNTIFS(工业!G:G, "强化或放宽目标（消极气候影响）")</f>
        <v/>
      </c>
      <c r="D9" s="59" t="n"/>
      <c r="E9" s="69" t="inlineStr">
        <is>
          <t>煤电</t>
        </is>
      </c>
      <c r="F9" s="70">
        <f>COUNTIFS('能源|电力'!M:M, "煤电")</f>
        <v/>
      </c>
      <c r="G9" s="39" t="n"/>
      <c r="H9" s="76" t="inlineStr">
        <is>
          <t>具有消极气候影响的强化或放宽目标</t>
        </is>
      </c>
      <c r="I9" s="77">
        <f>COUNTIF(温室气体排放!G:G,"强化或放宽目标（消极气候影响）")
+COUNTIF(污染!G:G,"强化或放宽目标（消极气候影响）")
+COUNTIF('能源|电力'!G:G,"强化或放宽目标（消极气候影响）")
+COUNTIF(工业!G:G,"强化或放宽目标（消极气候影响）")
+COUNTIF(建筑!G:G,"强化或放宽目标（消极气候影响）")
+COUNTIF(交通!G:G,"强化或放宽目标（消极气候影响）")
+COUNTIF('土地利用、土地利用变化和林业'!G:G,"强化或放宽目标（消极气候影响）")
+COUNTIF(循环经济!G:G,"强化或放宽目标（消极气候影响）")
+COUNTIF(金融!G:G,"强化或放宽目标（消极气候影响）")</f>
        <v/>
      </c>
      <c r="J9" s="39" t="n"/>
      <c r="K9" s="73" t="n">
        <v>2007</v>
      </c>
      <c r="L9" s="68">
        <f>COUNTIFS(温室气体排放!A:A, 2007, 温室气体排放!G:G, "新目标") +
COUNTIFS(温室气体排放!A:A, 2007, 温室气体排放!G:G, "强化或放宽目标（气候影响不明确）") +
COUNTIFS(温室气体排放!A:A, 2007, 温室气体排放!G:G, "强化或放宽目标（积极气候影响）") +
COUNTIFS(温室气体排放!A:A, 2007, 温室气体排放!G:G, "强化或放宽目标（消极气候影响）") +
COUNTIFS(污染!A:A, 2007, 污染!G:G, "新目标") +
COUNTIFS(污染!A:A, 2007, 污染!G:G, "强化或放宽目标（气候影响不明确）") +
COUNTIFS(污染!A:A, 2007, 污染!G:G, "强化或放宽目标（积极气候影响）") +
COUNTIFS(污染!A:A, 2007, 污染!G:G, "强化或放宽目标（消极气候影响）") +
COUNTIFS('能源|电力'!A:A, 2007, '能源|电力'!G:G, "新目标") +
COUNTIFS('能源|电力'!A:A, 2007, '能源|电力'!G:G, "强化或放宽目标（气候影响不明确）") +
COUNTIFS('能源|电力'!A:A, 2007, '能源|电力'!G:G, "强化或放宽目标（积极气候影响）") +
COUNTIFS('能源|电力'!A:A, 2007, '能源|电力'!G:G, "强化或放宽目标（消极气候影响）") +
COUNTIFS(工业!A:A, 2007, 工业!G:G, "新目标") +
COUNTIFS(工业!A:A, 2007, 工业!G:G, "强化或放宽目标（气候影响不明确）") +
COUNTIFS(工业!A:A, 2007, 工业!G:G, "强化或放宽目标（积极气候影响）") +
COUNTIFS(工业!A:A, 2007, 工业!G:G, "强化或放宽目标（消极气候影响）") +
COUNTIFS(建筑!A:A, 2007, 建筑!G:G, "新目标") +
COUNTIFS(建筑!A:A, 2007, 建筑!G:G, "强化或放宽目标（气候影响不明确）") +
COUNTIFS(建筑!A:A, 2007, 建筑!G:G, "强化或放宽目标（积极气候影响）") +
COUNTIFS(建筑!A:A, 2007, 建筑!G:G, "强化或放宽目标（消极气候影响）") +
COUNTIFS(交通!A:A, 2007, 交通!G:G, "新目标") +
COUNTIFS(交通!A:A, 2007, 交通!G:G, "强化或放宽目标（气候影响不明确）") +
COUNTIFS(交通!A:A, 2007, 交通!G:G, "强化或放宽目标（积极气候影响）") +
COUNTIFS(交通!A:A, 2007, 交通!G:G, "强化或放宽目标（消极气候影响）") +
COUNTIFS('土地利用、土地利用变化和林业'!A:A, 2007, '土地利用、土地利用变化和林业'!G:G, "新目标") +
COUNTIFS('土地利用、土地利用变化和林业'!A:A, 2007, '土地利用、土地利用变化和林业'!G:G, "强化或放宽目标（气候影响不明确）") +
COUNTIFS('土地利用、土地利用变化和林业'!A:A, 2007, '土地利用、土地利用变化和林业'!G:G, "强化或放宽目标（积极气候影响）") +
COUNTIFS('土地利用、土地利用变化和林业'!A:A, 2007, '土地利用、土地利用变化和林业'!G:G, "强化或放宽目标（消极气候影响）") +
COUNTIFS(循环经济!A:A, 2007, 循环经济!G:G, "新目标") +
COUNTIFS(循环经济!A:A, 2007, 循环经济!G:G, "强化或放宽目标（气候影响不明确）") +
COUNTIFS(循环经济!A:A, 2007, 循环经济!G:G, "强化或放宽目标（积极气候影响）") +
COUNTIFS(循环经济!A:A, 2007, 循环经济!G:G, "强化或放宽目标（消极气候影响）") +
COUNTIFS(金融!A:A, 2007, 金融!G:G, "新目标") +
COUNTIFS(金融!A:A, 2007, 金融!G:G, "强化或放宽目标（气候影响不明确）") +
COUNTIFS(金融!A:A, 2007, 金融!G:G, "强化或放宽目标（积极气候影响）") +
COUNTIFS(金融!A:A, 2007, 金融!G:G, "强化或放宽目标（消极气候影响）")</f>
        <v/>
      </c>
      <c r="M9" s="39" t="n"/>
      <c r="N9" s="73" t="inlineStr">
        <is>
          <t>十一五</t>
        </is>
      </c>
      <c r="O9" s="74">
        <f>COUNTIFS(温室气体排放!F:F, "十一五", 温室气体排放!G:G, "新目标") +
COUNTIFS(温室气体排放!F:F, "十一五", 温室气体排放!G:G, "强化或放宽目标（气候影响不明确）") +
COUNTIFS(温室气体排放!F:F, "十一五", 温室气体排放!G:G, "强化或放宽目标（积极气候影响）") +
COUNTIFS(温室气体排放!F:F, "十一五", 温室气体排放!G:G, "强化或放宽目标（消极气候影响）") +
COUNTIFS(污染!F:F, "十一五", 污染!G:G, "新目标") +
COUNTIFS(污染!F:F, "十一五", 污染!G:G, "强化或放宽目标（气候影响不明确）") +
COUNTIFS(污染!F:F, "十一五", 污染!G:G, "强化或放宽目标（积极气候影响）") +
COUNTIFS(污染!F:F, "十一五", 污染!G:G, "强化或放宽目标（消极气候影响）") +
COUNTIFS('能源|电力'!F:F, "十一五", '能源|电力'!G:G, "新目标") +
COUNTIFS('能源|电力'!F:F, "十一五", '能源|电力'!G:G, "强化或放宽目标（气候影响不明确）") +
COUNTIFS('能源|电力'!F:F, "十一五", '能源|电力'!G:G, "强化或放宽目标（积极气候影响）") +
COUNTIFS('能源|电力'!F:F, "十一五", '能源|电力'!G:G, "强化或放宽目标（消极气候影响）") +
COUNTIFS(工业!F:F, "十一五", 工业!G:G, "新目标") +
COUNTIFS(工业!F:F, "十一五", 工业!G:G, "强化或放宽目标（气候影响不明确）") +
COUNTIFS(工业!F:F, "十一五", 工业!G:G, "强化或放宽目标（积极气候影响）") +
COUNTIFS(工业!F:F, "十一五", 工业!G:G, "强化或放宽目标（消极气候影响）") +
COUNTIFS(建筑!F:F, "十一五", 建筑!G:G, "新目标") +
COUNTIFS(建筑!F:F, "十一五", 建筑!G:G, "强化或放宽目标（气候影响不明确）") +
COUNTIFS(建筑!F:F, "十一五", 建筑!G:G, "强化或放宽目标（积极气候影响）") +
COUNTIFS(建筑!F:F, "十一五", 建筑!G:G, "强化或放宽目标（消极气候影响）") +
COUNTIFS(交通!F:F, "十一五", 交通!G:G, "新目标") +
COUNTIFS(交通!F:F, "十一五", 交通!G:G, "强化或放宽目标（气候影响不明确）") +
COUNTIFS(交通!F:F, "十一五", 交通!G:G, "强化或放宽目标（积极气候影响）") +
COUNTIFS(交通!F:F, "十一五", 交通!G:G, "强化或放宽目标（消极气候影响）") +
COUNTIFS('土地利用、土地利用变化和林业'!F:F, "十一五", '土地利用、土地利用变化和林业'!G:G, "新目标") +
COUNTIFS('土地利用、土地利用变化和林业'!F:F, "十一五", '土地利用、土地利用变化和林业'!G:G, "强化或放宽目标（气候影响不明确）") +
COUNTIFS('土地利用、土地利用变化和林业'!F:F, "十一五", '土地利用、土地利用变化和林业'!G:G, "强化或放宽目标（积极气候影响）") +
COUNTIFS('土地利用、土地利用变化和林业'!F:F, "十一五", '土地利用、土地利用变化和林业'!G:G, "强化或放宽目标（消极气候影响）") +
COUNTIFS(循环经济!F:F, "十一五", 循环经济!G:G, "新目标") +
COUNTIFS(循环经济!F:F, "十一五", 循环经济!G:G, "强化或放宽目标（气候影响不明确）") +
COUNTIFS(循环经济!F:F, "十一五", 循环经济!G:G, "强化或放宽目标（积极气候影响）") +
COUNTIFS(循环经济!F:F, "十一五", 循环经济!G:G, "强化或放宽目标（消极气候影响）") +
COUNTIFS(金融!F:F, "十一五", 金融!G:G, "新目标") +
COUNTIFS(金融!F:F, "十一五", 金融!G:G, "强化或放宽目标（气候影响不明确）") +
COUNTIFS(金融!F:F, "十一五", 金融!G:G, "强化或放宽目标（积极气候影响）") +
COUNTIFS(金融!F:F, "十一五", 金融!G:G, "强化或放宽目标（消极气候影响）")</f>
        <v/>
      </c>
      <c r="P9" s="39" t="n"/>
      <c r="Q9" s="75" t="inlineStr">
        <is>
          <t>污染控制</t>
        </is>
      </c>
      <c r="R9" s="74">
        <f>COUNTIFS(温室气体排放!H:H, "污染控制", 温室气体排放!G:G, "新目标") +
COUNTIFS(温室气体排放!H:H, "污染控制", 温室气体排放!G:G, "强化或放宽目标（气候影响不明确）") +
COUNTIFS(温室气体排放!H:H, "污染控制", 温室气体排放!G:G, "强化或放宽目标（积极气候影响）") +
COUNTIFS(温室气体排放!H:H, "污染控制", 温室气体排放!G:G, "强化或放宽目标（消极气候影响）") +
COUNTIFS(污染!H:H, "污染控制", 污染!G:G, "新目标") +
COUNTIFS(污染!H:H, "污染控制", 污染!G:G, "强化或放宽目标（气候影响不明确）") +
COUNTIFS(污染!H:H, "污染控制", 污染!G:G, "强化或放宽目标（积极气候影响）") +
COUNTIFS(污染!H:H, "污染控制", 污染!G:G, "强化或放宽目标（消极气候影响）") +
COUNTIFS('能源|电力'!H:H, "污染控制", '能源|电力'!G:G, "新目标") +
COUNTIFS('能源|电力'!H:H, "污染控制", '能源|电力'!G:G, "强化或放宽目标（气候影响不明确）") +
COUNTIFS('能源|电力'!H:H, "污染控制", '能源|电力'!G:G, "强化或放宽目标（积极气候影响）") +
COUNTIFS('能源|电力'!H:H, "污染控制", '能源|电力'!G:G, "强化或放宽目标（消极气候影响）") +
COUNTIFS(工业!H:H, "污染控制", 工业!G:G, "新目标") +
COUNTIFS(工业!H:H, "污染控制", 工业!G:G, "强化或放宽目标（气候影响不明确）") +
COUNTIFS(工业!H:H, "污染控制", 工业!G:G, "强化或放宽目标（积极气候影响）") +
COUNTIFS(工业!H:H, "污染控制", 工业!G:G, "强化或放宽目标（消极气候影响）") +
COUNTIFS(建筑!H:H, "污染控制", 建筑!G:G, "新目标") +
COUNTIFS(建筑!H:H, "污染控制", 建筑!G:G, "强化或放宽目标（气候影响不明确）") +
COUNTIFS(建筑!H:H, "污染控制", 建筑!G:G, "强化或放宽目标（积极气候影响）") +
COUNTIFS(建筑!H:H, "污染控制", 建筑!G:G, "强化或放宽目标（消极气候影响）") +
COUNTIFS(交通!H:H, "污染控制", 交通!G:G, "新目标") +
COUNTIFS(交通!H:H, "污染控制", 交通!G:G, "强化或放宽目标（气候影响不明确）") +
COUNTIFS(交通!H:H, "污染控制", 交通!G:G, "强化或放宽目标（积极气候影响）") +
COUNTIFS(交通!H:H, "污染控制", 交通!G:G, "强化或放宽目标（消极气候影响）") +
COUNTIFS('土地利用、土地利用变化和林业'!H:H, "污染控制", '土地利用、土地利用变化和林业'!G:G, "新目标") +
COUNTIFS('土地利用、土地利用变化和林业'!H:H, "污染控制", '土地利用、土地利用变化和林业'!G:G, "强化或放宽目标（气候影响不明确）") +
COUNTIFS('土地利用、土地利用变化和林业'!H:H, "污染控制", '土地利用、土地利用变化和林业'!G:G, "强化或放宽目标（积极气候影响）") +
COUNTIFS('土地利用、土地利用变化和林业'!H:H, "污染控制", '土地利用、土地利用变化和林业'!G:G, "强化或放宽目标（消极气候影响）") +
COUNTIFS(循环经济!H:H, "污染控制", 循环经济!G:G, "新目标") +
COUNTIFS(循环经济!H:H, "污染控制", 循环经济!G:G, "强化或放宽目标（气候影响不明确）") +
COUNTIFS(循环经济!H:H, "污染控制", 循环经济!G:G, "强化或放宽目标（积极气候影响）") +
COUNTIFS(循环经济!H:H, "污染控制", 循环经济!G:G, "强化或放宽目标（消极气候影响）") +
COUNTIFS(金融!H:H, "污染控制", 金融!G:G, "新目标") +
COUNTIFS(金融!H:H, "污染控制", 金融!G:G, "强化或放宽目标（气候影响不明确）") +
COUNTIFS(金融!H:H, "污染控制", 金融!G:G, "强化或放宽目标（积极气候影响）") +
COUNTIFS(金融!H:H, "污染控制", 金融!G:G, "强化或放宽目标（消极气候影响）")</f>
        <v/>
      </c>
      <c r="S9" s="39" t="n"/>
      <c r="T9" s="75" t="inlineStr">
        <is>
          <t>全社会经济</t>
        </is>
      </c>
      <c r="U9" s="70">
        <f>COUNTIFS(温室气体排放!I:I,"全社会经济",温室气体排放!G:G,"新目标")
+COUNTIFS(温室气体排放!I:I,"全社会经济",温室气体排放!G:G,"强化或放宽目标（气候影响不明确）")
+COUNTIFS(温室气体排放!I:I,"全社会经济",温室气体排放!G:G,"强化或放宽目标（积极气候影响）")
+COUNTIFS(温室气体排放!I:I,"全社会经济",温室气体排放!G:G,"强化或放宽目标（消极气候影响）")
+COUNTIFS(污染!I:I,"全社会经济",污染!G:G,"新目标")
+COUNTIFS(污染!I:I,"全社会经济",污染!G:G,"强化或放宽目标（气候影响不明确）")
+COUNTIFS(污染!I:I,"全社会经济",污染!G:G,"强化或放宽目标（积极气候影响）")
+COUNTIFS(污染!I:I,"全社会经济",污染!G:G,"强化或放宽目标（消极气候影响）")
+COUNTIFS('能源|电力'!I:I,"全社会经济",'能源|电力'!G:G,"新目标")
+COUNTIFS('能源|电力'!I:I,"全社会经济",'能源|电力'!G:G,"强化或放宽目标（气候影响不明确）")
+COUNTIFS('能源|电力'!I:I,"全社会经济",'能源|电力'!G:G,"强化或放宽目标（积极气候影响）")
+COUNTIFS('能源|电力'!I:I,"全社会经济",'能源|电力'!G:G,"强化或放宽目标（消极气候影响）")
+COUNTIFS(工业!I:I,"全社会经济",工业!G:G,"新目标")
+COUNTIFS(工业!I:I,"全社会经济",工业!G:G,"强化或放宽目标（气候影响不明确）")
+COUNTIFS(工业!I:I,"全社会经济",工业!G:G,"强化或放宽目标（积极气候影响）")
+COUNTIFS(工业!I:I,"全社会经济",工业!G:G,"强化或放宽目标（消极气候影响）")
+COUNTIFS(建筑!I:I,"全社会经济",建筑!G:G,"新目标")
+COUNTIFS(建筑!I:I,"全社会经济",建筑!G:G,"强化或放宽目标（气候影响不明确）")
+COUNTIFS(建筑!I:I,"全社会经济",建筑!G:G,"强化或放宽目标（积极气候影响）")
+COUNTIFS(建筑!I:I,"全社会经济",建筑!G:G,"强化或放宽目标（消极气候影响）")
+COUNTIFS(交通!I:I,"全社会经济",交通!G:G,"新目标")
+COUNTIFS(交通!I:I,"全社会经济",交通!G:G,"强化或放宽目标（气候影响不明确）")
+COUNTIFS(交通!I:I,"全社会经济",交通!G:G,"强化或放宽目标（积极气候影响）")
+COUNTIFS(交通!I:I,"全社会经济",交通!G:G,"强化或放宽目标（消极气候影响）")
+COUNTIFS('土地利用、土地利用变化和林业'!I:I,"全社会经济",'土地利用、土地利用变化和林业'!G:G,"新目标")
+COUNTIFS('土地利用、土地利用变化和林业'!I:I,"全社会经济",'土地利用、土地利用变化和林业'!G:G,"强化或放宽目标（气候影响不明确）")
+COUNTIFS('土地利用、土地利用变化和林业'!I:I,"全社会经济",'土地利用、土地利用变化和林业'!G:G,"强化或放宽目标（积极气候影响）")
+COUNTIFS('土地利用、土地利用变化和林业'!I:I,"全社会经济",'土地利用、土地利用变化和林业'!G:G,"强化或放宽目标（消极气候影响）")
+COUNTIFS(循环经济!I:I,"全社会经济",循环经济!G:G,"新目标")
+COUNTIFS(循环经济!I:I,"全社会经济",循环经济!G:G,"强化或放宽目标（气候影响不明确）")
+COUNTIFS(循环经济!I:I,"全社会经济",循环经济!G:G,"强化或放宽目标（积极气候影响）")
+COUNTIFS(循环经济!I:I,"全社会经济",循环经济!G:G,"强化或放宽目标（消极气候影响）")
+COUNTIFS(金融!I:I,"全社会经济",金融!G:G,"新目标")
+COUNTIFS(金融!I:I,"全社会经济",金融!G:G,"强化或放宽目标（气候影响不明确）")
+COUNTIFS(金融!I:I,"全社会经济",金融!G:G,"强化或放宽目标（积极气候影响）")
+COUNTIFS(金融!I:I,"全社会经济",金融!G:G,"强化或放宽目标（消极气候影响）")</f>
        <v/>
      </c>
    </row>
    <row r="10" ht="19" customHeight="1" s="235">
      <c r="A10" s="39" t="n"/>
      <c r="B10" s="67" t="inlineStr">
        <is>
          <t>建筑</t>
        </is>
      </c>
      <c r="C10" s="68">
        <f>COUNTIFS(建筑!G:G, "新目标") + COUNTIFS(建筑!G:G, "强化或放宽目标（气候影响不明确）") + COUNTIFS(建筑!G:G, "强化或放宽目标（积极气候影响）") + COUNTIFS(建筑!G:G, "强化或放宽目标（消极气候影响）")</f>
        <v/>
      </c>
      <c r="D10" s="59" t="n"/>
      <c r="E10" s="69" t="inlineStr">
        <is>
          <t>化石燃料储量</t>
        </is>
      </c>
      <c r="F10" s="70">
        <f>COUNTIFS('能源|电力'!M:M, "化石燃料储量")</f>
        <v/>
      </c>
      <c r="G10" s="39" t="n"/>
      <c r="H10" s="7" t="n"/>
      <c r="I10" s="78" t="n"/>
      <c r="J10" s="39" t="n"/>
      <c r="K10" s="73" t="n">
        <v>2008</v>
      </c>
      <c r="L10" s="68">
        <f>COUNTIFS(温室气体排放!A:A, 2008, 温室气体排放!G:G, "新目标") +
COUNTIFS(温室气体排放!A:A, 2008, 温室气体排放!G:G, "强化或放宽目标（气候影响不明确）") +
COUNTIFS(温室气体排放!A:A, 2008, 温室气体排放!G:G, "强化或放宽目标（积极气候影响）") +
COUNTIFS(温室气体排放!A:A, 2008, 温室气体排放!G:G, "强化或放宽目标（消极气候影响）") +
COUNTIFS(污染!A:A, 2008, 污染!G:G, "新目标") +
COUNTIFS(污染!A:A, 2008, 污染!G:G, "强化或放宽目标（气候影响不明确）") +
COUNTIFS(污染!A:A, 2008, 污染!G:G, "强化或放宽目标（积极气候影响）") +
COUNTIFS(污染!A:A, 2008, 污染!G:G, "强化或放宽目标（消极气候影响）") +
COUNTIFS('能源|电力'!A:A, 2008, '能源|电力'!G:G, "新目标") +
COUNTIFS('能源|电力'!A:A, 2008, '能源|电力'!G:G, "强化或放宽目标（气候影响不明确）") +
COUNTIFS('能源|电力'!A:A, 2008, '能源|电力'!G:G, "强化或放宽目标（积极气候影响）") +
COUNTIFS('能源|电力'!A:A, 2008, '能源|电力'!G:G, "强化或放宽目标（消极气候影响）") +
COUNTIFS(工业!A:A, 2008, 工业!G:G, "新目标") +
COUNTIFS(工业!A:A, 2008, 工业!G:G, "强化或放宽目标（气候影响不明确）") +
COUNTIFS(工业!A:A, 2008, 工业!G:G, "强化或放宽目标（积极气候影响）") +
COUNTIFS(工业!A:A, 2008, 工业!G:G, "强化或放宽目标（消极气候影响）") +
COUNTIFS(建筑!A:A, 2008, 建筑!G:G, "新目标") +
COUNTIFS(建筑!A:A, 2008, 建筑!G:G, "强化或放宽目标（气候影响不明确）") +
COUNTIFS(建筑!A:A, 2008, 建筑!G:G, "强化或放宽目标（积极气候影响）") +
COUNTIFS(建筑!A:A, 2008, 建筑!G:G, "强化或放宽目标（消极气候影响）") +
COUNTIFS(交通!A:A, 2008, 交通!G:G, "新目标") +
COUNTIFS(交通!A:A, 2008, 交通!G:G, "强化或放宽目标（气候影响不明确）") +
COUNTIFS(交通!A:A, 2008, 交通!G:G, "强化或放宽目标（积极气候影响）") +
COUNTIFS(交通!A:A, 2008, 交通!G:G, "强化或放宽目标（消极气候影响）") +
COUNTIFS('土地利用、土地利用变化和林业'!A:A, 2008, '土地利用、土地利用变化和林业'!G:G, "新目标") +
COUNTIFS('土地利用、土地利用变化和林业'!A:A, 2008, '土地利用、土地利用变化和林业'!G:G, "强化或放宽目标（气候影响不明确）") +
COUNTIFS('土地利用、土地利用变化和林业'!A:A, 2008, '土地利用、土地利用变化和林业'!G:G, "强化或放宽目标（积极气候影响）") +
COUNTIFS('土地利用、土地利用变化和林业'!A:A, 2008, '土地利用、土地利用变化和林业'!G:G, "强化或放宽目标（消极气候影响）") +
COUNTIFS(循环经济!A:A, 2008, 循环经济!G:G, "新目标") +
COUNTIFS(循环经济!A:A, 2008, 循环经济!G:G, "强化或放宽目标（气候影响不明确）") +
COUNTIFS(循环经济!A:A, 2008, 循环经济!G:G, "强化或放宽目标（积极气候影响）") +
COUNTIFS(循环经济!A:A, 2008, 循环经济!G:G, "强化或放宽目标（消极气候影响）") +
COUNTIFS(金融!A:A, 2008, 金融!G:G, "新目标") +
COUNTIFS(金融!A:A, 2008, 金融!G:G, "强化或放宽目标（气候影响不明确）") +
COUNTIFS(金融!A:A, 2008, 金融!G:G, "强化或放宽目标（积极气候影响）") +
COUNTIFS(金融!A:A, 2008, 金融!G:G, "强化或放宽目标（消极气候影响）")</f>
        <v/>
      </c>
      <c r="M10" s="39" t="n"/>
      <c r="N10" s="73" t="n">
        <v>2011</v>
      </c>
      <c r="O10" s="74">
        <f>COUNTIFS(温室气体排放!F:F, 2011, 温室气体排放!G:G, "新目标") +
COUNTIFS(温室气体排放!F:F, 2011, 温室气体排放!G:G, "强化或放宽目标（气候影响不明确）") +
COUNTIFS(温室气体排放!F:F, 2011, 温室气体排放!G:G, "强化或放宽目标（积极气候影响）") +
COUNTIFS(温室气体排放!F:F, 2011, 温室气体排放!G:G, "强化或放宽目标（消极气候影响）") +
COUNTIFS(污染!F:F, 2011, 污染!G:G, "新目标") +
COUNTIFS(污染!F:F, 2011, 污染!G:G, "强化或放宽目标（气候影响不明确）") +
COUNTIFS(污染!F:F, 2011, 污染!G:G, "强化或放宽目标（积极气候影响）") +
COUNTIFS(污染!F:F, 2011, 污染!G:G, "强化或放宽目标（消极气候影响）") +
COUNTIFS('能源|电力'!F:F, 2011, '能源|电力'!G:G, "新目标") +
COUNTIFS('能源|电力'!F:F, 2011, '能源|电力'!G:G, "强化或放宽目标（气候影响不明确）") +
COUNTIFS('能源|电力'!F:F, 2011, '能源|电力'!G:G, "强化或放宽目标（积极气候影响）") +
COUNTIFS('能源|电力'!F:F, 2011, '能源|电力'!G:G, "强化或放宽目标（消极气候影响）") +
COUNTIFS(工业!F:F, 2011, 工业!G:G, "新目标") +
COUNTIFS(工业!F:F, 2011, 工业!G:G, "强化或放宽目标（气候影响不明确）") +
COUNTIFS(工业!F:F, 2011, 工业!G:G, "强化或放宽目标（积极气候影响）") +
COUNTIFS(工业!F:F, 2011, 工业!G:G, "强化或放宽目标（消极气候影响）") +
COUNTIFS(建筑!F:F, 2011, 建筑!G:G, "新目标") +
COUNTIFS(建筑!F:F, 2011, 建筑!G:G, "强化或放宽目标（气候影响不明确）") +
COUNTIFS(建筑!F:F, 2011, 建筑!G:G, "强化或放宽目标（积极气候影响）") +
COUNTIFS(建筑!F:F, 2011, 建筑!G:G, "强化或放宽目标（消极气候影响）") +
COUNTIFS(交通!F:F, 2011, 交通!G:G, "新目标") +
COUNTIFS(交通!F:F, 2011, 交通!G:G, "强化或放宽目标（气候影响不明确）") +
COUNTIFS(交通!F:F, 2011, 交通!G:G, "强化或放宽目标（积极气候影响）") +
COUNTIFS(交通!F:F, 2011, 交通!G:G, "强化或放宽目标（消极气候影响）") +
COUNTIFS('土地利用、土地利用变化和林业'!F:F, 2011, '土地利用、土地利用变化和林业'!G:G, "新目标") +
COUNTIFS('土地利用、土地利用变化和林业'!F:F, 2011, '土地利用、土地利用变化和林业'!G:G, "强化或放宽目标（气候影响不明确）") +
COUNTIFS('土地利用、土地利用变化和林业'!F:F, 2011, '土地利用、土地利用变化和林业'!G:G, "强化或放宽目标（积极气候影响）") +
COUNTIFS('土地利用、土地利用变化和林业'!F:F, 2011, '土地利用、土地利用变化和林业'!G:G, "强化或放宽目标（消极气候影响）") +
COUNTIFS(循环经济!F:F, 2011, 循环经济!G:G, "新目标") +
COUNTIFS(循环经济!F:F, 2011, 循环经济!G:G, "强化或放宽目标（气候影响不明确）") +
COUNTIFS(循环经济!F:F, 2011, 循环经济!G:G, "强化或放宽目标（积极气候影响）") +
COUNTIFS(循环经济!F:F, 2011, 循环经济!G:G, "强化或放宽目标（消极气候影响）") +
COUNTIFS(金融!F:F, 2011, 金融!G:G, "新目标") +
COUNTIFS(金融!F:F, 2011, 金融!G:G, "强化或放宽目标（气候影响不明确）") +
COUNTIFS(金融!F:F, 2011, 金融!G:G, "强化或放宽目标（积极气候影响）") +
COUNTIFS(金融!F:F, 2011, 金融!G:G, "强化或放宽目标（消极气候影响）")</f>
        <v/>
      </c>
      <c r="P10" s="39" t="n"/>
      <c r="Q10" s="75" t="inlineStr">
        <is>
          <t>节能</t>
        </is>
      </c>
      <c r="R10" s="74">
        <f>COUNTIFS(温室气体排放!H:H, "节能", 温室气体排放!G:G, "新目标") +
COUNTIFS(温室气体排放!H:H, "节能", 温室气体排放!G:G, "强化或放宽目标（气候影响不明确）") +
COUNTIFS(温室气体排放!H:H, "节能", 温室气体排放!G:G, "强化或放宽目标（积极气候影响）") +
COUNTIFS(温室气体排放!H:H, "节能", 温室气体排放!G:G, "强化或放宽目标（消极气候影响）") +
COUNTIFS(污染!H:H, "节能", 污染!G:G, "新目标") +
COUNTIFS(污染!H:H, "节能", 污染!G:G, "强化或放宽目标（气候影响不明确）") +
COUNTIFS(污染!H:H, "节能", 污染!G:G, "强化或放宽目标（积极气候影响）") +
COUNTIFS(污染!H:H, "节能", 污染!G:G, "强化或放宽目标（消极气候影响）") +
COUNTIFS('能源|电力'!H:H, "节能", '能源|电力'!G:G, "新目标") +
COUNTIFS('能源|电力'!H:H, "节能", '能源|电力'!G:G, "强化或放宽目标（气候影响不明确）") +
COUNTIFS('能源|电力'!H:H, "节能", '能源|电力'!G:G, "强化或放宽目标（积极气候影响）") +
COUNTIFS('能源|电力'!H:H, "节能", '能源|电力'!G:G, "强化或放宽目标（消极气候影响）") +
COUNTIFS(工业!H:H, "节能", 工业!G:G, "新目标") +
COUNTIFS(工业!H:H, "节能", 工业!G:G, "强化或放宽目标（气候影响不明确）") +
COUNTIFS(工业!H:H, "节能", 工业!G:G, "强化或放宽目标（积极气候影响）") +
COUNTIFS(工业!H:H, "节能", 工业!G:G, "强化或放宽目标（消极气候影响）") +
COUNTIFS(建筑!H:H, "节能", 建筑!G:G, "新目标") +
COUNTIFS(建筑!H:H, "节能", 建筑!G:G, "强化或放宽目标（气候影响不明确）") +
COUNTIFS(建筑!H:H, "节能", 建筑!G:G, "强化或放宽目标（积极气候影响）") +
COUNTIFS(建筑!H:H, "节能", 建筑!G:G, "强化或放宽目标（消极气候影响）") +
COUNTIFS(交通!H:H, "节能", 交通!G:G, "新目标") +
COUNTIFS(交通!H:H, "节能", 交通!G:G, "强化或放宽目标（气候影响不明确）") +
COUNTIFS(交通!H:H, "节能", 交通!G:G, "强化或放宽目标（积极气候影响）") +
COUNTIFS(交通!H:H, "节能", 交通!G:G, "强化或放宽目标（消极气候影响）") +
COUNTIFS('土地利用、土地利用变化和林业'!H:H, "节能", '土地利用、土地利用变化和林业'!G:G, "新目标") +
COUNTIFS('土地利用、土地利用变化和林业'!H:H, "节能", '土地利用、土地利用变化和林业'!G:G, "强化或放宽目标（气候影响不明确）") +
COUNTIFS('土地利用、土地利用变化和林业'!H:H, "节能", '土地利用、土地利用变化和林业'!G:G, "强化或放宽目标（积极气候影响）") +
COUNTIFS('土地利用、土地利用变化和林业'!H:H, "节能", '土地利用、土地利用变化和林业'!G:G, "强化或放宽目标（消极气候影响）") +
COUNTIFS(循环经济!H:H, "节能", 循环经济!G:G, "新目标") +
COUNTIFS(循环经济!H:H, "节能", 循环经济!G:G, "强化或放宽目标（气候影响不明确）") +
COUNTIFS(循环经济!H:H, "节能", 循环经济!G:G, "强化或放宽目标（积极气候影响）") +
COUNTIFS(循环经济!H:H, "节能", 循环经济!G:G, "强化或放宽目标（消极气候影响）") +
COUNTIFS(金融!H:H, "节能", 金融!G:G, "新目标") +
COUNTIFS(金融!H:H, "节能", 金融!G:G, "强化或放宽目标（气候影响不明确）") +
COUNTIFS(金融!H:H, "节能", 金融!G:G, "强化或放宽目标（积极气候影响）") +
COUNTIFS(金融!H:H, "节能", 金融!G:G, "强化或放宽目标（消极气候影响）")</f>
        <v/>
      </c>
      <c r="S10" s="39" t="n"/>
      <c r="T10" s="79" t="inlineStr">
        <is>
          <t>不明确</t>
        </is>
      </c>
      <c r="U10" s="80">
        <f>COUNTIFS(温室气体排放!I:I,"不明确",温室气体排放!G:G,"新目标")
+COUNTIFS(温室气体排放!I:I,"不明确",温室气体排放!G:G,"强化或放宽目标（气候影响不明确）")
+COUNTIFS(温室气体排放!I:I,"不明确",温室气体排放!G:G,"强化或放宽目标（积极气候影响）")
+COUNTIFS(温室气体排放!I:I,"不明确",温室气体排放!G:G,"强化或放宽目标（消极气候影响）")
+COUNTIFS(污染!I:I,"不明确",污染!G:G,"新目标")
+COUNTIFS(污染!I:I,"不明确",污染!G:G,"强化或放宽目标（气候影响不明确）")
+COUNTIFS(污染!I:I,"不明确",污染!G:G,"强化或放宽目标（积极气候影响）")
+COUNTIFS(污染!I:I,"不明确",污染!G:G,"强化或放宽目标（消极气候影响）")
+COUNTIFS('能源|电力'!I:I,"不明确",'能源|电力'!G:G,"新目标")
+COUNTIFS('能源|电力'!I:I,"不明确",'能源|电力'!G:G,"强化或放宽目标（气候影响不明确）")
+COUNTIFS('能源|电力'!I:I,"不明确",'能源|电力'!G:G,"强化或放宽目标（积极气候影响）")
+COUNTIFS('能源|电力'!I:I,"不明确",'能源|电力'!G:G,"强化或放宽目标（消极气候影响）")
+COUNTIFS(工业!I:I,"不明确",工业!G:G,"新目标")
+COUNTIFS(工业!I:I,"不明确",工业!G:G,"强化或放宽目标（气候影响不明确）")
+COUNTIFS(工业!I:I,"不明确",工业!G:G,"强化或放宽目标（积极气候影响）")
+COUNTIFS(工业!I:I,"不明确",工业!G:G,"强化或放宽目标（消极气候影响）")
+COUNTIFS(建筑!I:I,"不明确",建筑!G:G,"新目标")
+COUNTIFS(建筑!I:I,"不明确",建筑!G:G,"强化或放宽目标（气候影响不明确）")
+COUNTIFS(建筑!I:I,"不明确",建筑!G:G,"强化或放宽目标（积极气候影响）")
+COUNTIFS(建筑!I:I,"不明确",建筑!G:G,"强化或放宽目标（消极气候影响）")
+COUNTIFS(交通!I:I,"不明确",交通!G:G,"新目标")
+COUNTIFS(交通!I:I,"不明确",交通!G:G,"强化或放宽目标（气候影响不明确）")
+COUNTIFS(交通!I:I,"不明确",交通!G:G,"强化或放宽目标（积极气候影响）")
+COUNTIFS(交通!I:I,"不明确",交通!G:G,"强化或放宽目标（消极气候影响）")
+COUNTIFS('土地利用、土地利用变化和林业'!I:I,"不明确",'土地利用、土地利用变化和林业'!G:G,"新目标")
+COUNTIFS('土地利用、土地利用变化和林业'!I:I,"不明确",'土地利用、土地利用变化和林业'!G:G,"强化或放宽目标（气候影响不明确）")
+COUNTIFS('土地利用、土地利用变化和林业'!I:I,"不明确",'土地利用、土地利用变化和林业'!G:G,"强化或放宽目标（积极气候影响）")
+COUNTIFS('土地利用、土地利用变化和林业'!I:I,"不明确",'土地利用、土地利用变化和林业'!G:G,"强化或放宽目标（消极气候影响）")
+COUNTIFS(循环经济!I:I,"不明确",循环经济!G:G,"新目标")
+COUNTIFS(循环经济!I:I,"不明确",循环经济!G:G,"强化或放宽目标（气候影响不明确）")
+COUNTIFS(循环经济!I:I,"不明确",循环经济!G:G,"强化或放宽目标（积极气候影响）")
+COUNTIFS(循环经济!I:I,"不明确",循环经济!G:G,"强化或放宽目标（消极气候影响）")
+COUNTIFS(金融!I:I,"不明确",金融!G:G,"新目标")
+COUNTIFS(金融!I:I,"不明确",金融!G:G,"强化或放宽目标（气候影响不明确）")
+COUNTIFS(金融!I:I,"不明确",金融!G:G,"强化或放宽目标（积极气候影响）")
+COUNTIFS(金融!I:I,"不明确",金融!G:G,"强化或放宽目标（消极气候影响）")</f>
        <v/>
      </c>
    </row>
    <row r="11" ht="19" customHeight="1" s="235">
      <c r="A11" s="39" t="n"/>
      <c r="B11" s="67" t="inlineStr">
        <is>
          <t>交通</t>
        </is>
      </c>
      <c r="C11" s="68">
        <f>COUNTIFS(交通!G:G, "新目标") + COUNTIFS(交通!G:G, "强化或放宽目标（气候影响不明确）") + COUNTIFS(交通!G:G, "强化或放宽目标（积极气候影响）") + COUNTIFS(交通!G:G, "强化或放宽目标（消极气候影响）")</f>
        <v/>
      </c>
      <c r="D11" s="59" t="n"/>
      <c r="E11" s="81" t="inlineStr">
        <is>
          <t>其他</t>
        </is>
      </c>
      <c r="F11" s="80">
        <f>COUNTIFS('能源|电力'!M:M, "其他")</f>
        <v/>
      </c>
      <c r="G11" s="39" t="n"/>
      <c r="H11" s="7" t="n"/>
      <c r="I11" s="78" t="n"/>
      <c r="J11" s="39" t="n"/>
      <c r="K11" s="73" t="n">
        <v>2009</v>
      </c>
      <c r="L11" s="68">
        <f>COUNTIFS(温室气体排放!A:A, 2009, 温室气体排放!G:G, "新目标") +
COUNTIFS(温室气体排放!A:A, 2009, 温室气体排放!G:G, "强化或放宽目标（气候影响不明确）") +
COUNTIFS(温室气体排放!A:A, 2009, 温室气体排放!G:G, "强化或放宽目标（积极气候影响）") +
COUNTIFS(温室气体排放!A:A, 2009, 温室气体排放!G:G, "强化或放宽目标（消极气候影响）") +
COUNTIFS(污染!A:A, 2009, 污染!G:G, "新目标") +
COUNTIFS(污染!A:A, 2009, 污染!G:G, "强化或放宽目标（气候影响不明确）") +
COUNTIFS(污染!A:A, 2009, 污染!G:G, "强化或放宽目标（积极气候影响）") +
COUNTIFS(污染!A:A, 2009, 污染!G:G, "强化或放宽目标（消极气候影响）") +
COUNTIFS('能源|电力'!A:A, 2009, '能源|电力'!G:G, "新目标") +
COUNTIFS('能源|电力'!A:A, 2009, '能源|电力'!G:G, "强化或放宽目标（气候影响不明确）") +
COUNTIFS('能源|电力'!A:A, 2009, '能源|电力'!G:G, "强化或放宽目标（积极气候影响）") +
COUNTIFS('能源|电力'!A:A, 2009, '能源|电力'!G:G, "强化或放宽目标（消极气候影响）") +
COUNTIFS(工业!A:A, 2009, 工业!G:G, "新目标") +
COUNTIFS(工业!A:A, 2009, 工业!G:G, "强化或放宽目标（气候影响不明确）") +
COUNTIFS(工业!A:A, 2009, 工业!G:G, "强化或放宽目标（积极气候影响）") +
COUNTIFS(工业!A:A, 2009, 工业!G:G, "强化或放宽目标（消极气候影响）") +
COUNTIFS(建筑!A:A, 2009, 建筑!G:G, "新目标") +
COUNTIFS(建筑!A:A, 2009, 建筑!G:G, "强化或放宽目标（气候影响不明确）") +
COUNTIFS(建筑!A:A, 2009, 建筑!G:G, "强化或放宽目标（积极气候影响）") +
COUNTIFS(建筑!A:A, 2009, 建筑!G:G, "强化或放宽目标（消极气候影响）") +
COUNTIFS(交通!A:A, 2009, 交通!G:G, "新目标") +
COUNTIFS(交通!A:A, 2009, 交通!G:G, "强化或放宽目标（气候影响不明确）") +
COUNTIFS(交通!A:A, 2009, 交通!G:G, "强化或放宽目标（积极气候影响）") +
COUNTIFS(交通!A:A, 2009, 交通!G:G, "强化或放宽目标（消极气候影响）") +
COUNTIFS('土地利用、土地利用变化和林业'!A:A, 2009, '土地利用、土地利用变化和林业'!G:G, "新目标") +
COUNTIFS('土地利用、土地利用变化和林业'!A:A, 2009, '土地利用、土地利用变化和林业'!G:G, "强化或放宽目标（气候影响不明确）") +
COUNTIFS('土地利用、土地利用变化和林业'!A:A, 2009, '土地利用、土地利用变化和林业'!G:G, "强化或放宽目标（积极气候影响）") +
COUNTIFS('土地利用、土地利用变化和林业'!A:A, 2009, '土地利用、土地利用变化和林业'!G:G, "强化或放宽目标（消极气候影响）") +
COUNTIFS(循环经济!A:A, 2009, 循环经济!G:G, "新目标") +
COUNTIFS(循环经济!A:A, 2009, 循环经济!G:G, "强化或放宽目标（气候影响不明确）") +
COUNTIFS(循环经济!A:A, 2009, 循环经济!G:G, "强化或放宽目标（积极气候影响）") +
COUNTIFS(循环经济!A:A, 2009, 循环经济!G:G, "强化或放宽目标（消极气候影响）") +
COUNTIFS(金融!A:A, 2009, 金融!G:G, "新目标") +
COUNTIFS(金融!A:A, 2009, 金融!G:G, "强化或放宽目标（气候影响不明确）") +
COUNTIFS(金融!A:A, 2009, 金融!G:G, "强化或放宽目标（积极气候影响）") +
COUNTIFS(金融!A:A, 2009, 金融!G:G, "强化或放宽目标（消极气候影响）")</f>
        <v/>
      </c>
      <c r="M11" s="39" t="n"/>
      <c r="N11" s="73" t="n">
        <v>2014</v>
      </c>
      <c r="O11" s="74">
        <f>COUNTIFS(温室气体排放!F:F, 2014, 温室气体排放!G:G, "新目标") +
COUNTIFS(温室气体排放!F:F, 2014, 温室气体排放!G:G, "强化或放宽目标（气候影响不明确）") +
COUNTIFS(温室气体排放!F:F, 2014, 温室气体排放!G:G, "强化或放宽目标（积极气候影响）") +
COUNTIFS(温室气体排放!F:F, 2014, 温室气体排放!G:G, "强化或放宽目标（消极气候影响）") +
COUNTIFS(污染!F:F, 2014, 污染!G:G, "新目标") +
COUNTIFS(污染!F:F, 2014, 污染!G:G, "强化或放宽目标（气候影响不明确）") +
COUNTIFS(污染!F:F, 2014, 污染!G:G, "强化或放宽目标（积极气候影响）") +
COUNTIFS(污染!F:F, 2014, 污染!G:G, "强化或放宽目标（消极气候影响）") +
COUNTIFS('能源|电力'!F:F, 2014, '能源|电力'!G:G, "新目标") +
COUNTIFS('能源|电力'!F:F, 2014, '能源|电力'!G:G, "强化或放宽目标（气候影响不明确）") +
COUNTIFS('能源|电力'!F:F, 2014, '能源|电力'!G:G, "强化或放宽目标（积极气候影响）") +
COUNTIFS('能源|电力'!F:F, 2014, '能源|电力'!G:G, "强化或放宽目标（消极气候影响）") +
COUNTIFS(工业!F:F, 2014, 工业!G:G, "新目标") +
COUNTIFS(工业!F:F, 2014, 工业!G:G, "强化或放宽目标（气候影响不明确）") +
COUNTIFS(工业!F:F, 2014, 工业!G:G, "强化或放宽目标（积极气候影响）") +
COUNTIFS(工业!F:F, 2014, 工业!G:G, "强化或放宽目标（消极气候影响）") +
COUNTIFS(建筑!F:F, 2014, 建筑!G:G, "新目标") +
COUNTIFS(建筑!F:F, 2014, 建筑!G:G, "强化或放宽目标（气候影响不明确）") +
COUNTIFS(建筑!F:F, 2014, 建筑!G:G, "强化或放宽目标（积极气候影响）") +
COUNTIFS(建筑!F:F, 2014, 建筑!G:G, "强化或放宽目标（消极气候影响）") +
COUNTIFS(交通!F:F, 2014, 交通!G:G, "新目标") +
COUNTIFS(交通!F:F, 2014, 交通!G:G, "强化或放宽目标（气候影响不明确）") +
COUNTIFS(交通!F:F, 2014, 交通!G:G, "强化或放宽目标（积极气候影响）") +
COUNTIFS(交通!F:F, 2014, 交通!G:G, "强化或放宽目标（消极气候影响）") +
COUNTIFS('土地利用、土地利用变化和林业'!F:F, 2014, '土地利用、土地利用变化和林业'!G:G, "新目标") +
COUNTIFS('土地利用、土地利用变化和林业'!F:F, 2014, '土地利用、土地利用变化和林业'!G:G, "强化或放宽目标（气候影响不明确）") +
COUNTIFS('土地利用、土地利用变化和林业'!F:F, 2014, '土地利用、土地利用变化和林业'!G:G, "强化或放宽目标（积极气候影响）") +
COUNTIFS('土地利用、土地利用变化和林业'!F:F, 2014, '土地利用、土地利用变化和林业'!G:G, "强化或放宽目标（消极气候影响）") +
COUNTIFS(循环经济!F:F, 2014, 循环经济!G:G, "新目标") +
COUNTIFS(循环经济!F:F, 2014, 循环经济!G:G, "强化或放宽目标（气候影响不明确）") +
COUNTIFS(循环经济!F:F, 2014, 循环经济!G:G, "强化或放宽目标（积极气候影响）") +
COUNTIFS(循环经济!F:F, 2014, 循环经济!G:G, "强化或放宽目标（消极气候影响）") +
COUNTIFS(金融!F:F, 2014, 金融!G:G, "新目标") +
COUNTIFS(金融!F:F, 2014, 金融!G:G, "强化或放宽目标（气候影响不明确）") +
COUNTIFS(金融!F:F, 2014, 金融!G:G, "强化或放宽目标（积极气候影响）") +
COUNTIFS(金融!F:F, 2014, 金融!G:G, "强化或放宽目标（消极气候影响）")</f>
        <v/>
      </c>
      <c r="P11" s="39" t="n"/>
      <c r="Q11" s="75" t="inlineStr">
        <is>
          <t>能源效率</t>
        </is>
      </c>
      <c r="R11" s="74">
        <f>COUNTIFS(温室气体排放!H:H, "能源效率", 温室气体排放!G:G, "新目标") +
COUNTIFS(温室气体排放!H:H, "能源效率", 温室气体排放!G:G, "强化或放宽目标（气候影响不明确）") +
COUNTIFS(温室气体排放!H:H, "能源效率", 温室气体排放!G:G, "强化或放宽目标（积极气候影响）") +
COUNTIFS(温室气体排放!H:H, "能源效率", 温室气体排放!G:G, "强化或放宽目标（消极气候影响）") +
COUNTIFS(污染!H:H, "能源效率", 污染!G:G, "新目标") +
COUNTIFS(污染!H:H, "能源效率", 污染!G:G, "强化或放宽目标（气候影响不明确）") +
COUNTIFS(污染!H:H, "能源效率", 污染!G:G, "强化或放宽目标（积极气候影响）") +
COUNTIFS(污染!H:H, "能源效率", 污染!G:G, "强化或放宽目标（消极气候影响）") +
COUNTIFS('能源|电力'!H:H, "能源效率", '能源|电力'!G:G, "新目标") +
COUNTIFS('能源|电力'!H:H, "能源效率", '能源|电力'!G:G, "强化或放宽目标（气候影响不明确）") +
COUNTIFS('能源|电力'!H:H, "能源效率", '能源|电力'!G:G, "强化或放宽目标（积极气候影响）") +
COUNTIFS('能源|电力'!H:H, "能源效率", '能源|电力'!G:G, "强化或放宽目标（消极气候影响）") +
COUNTIFS(工业!H:H, "能源效率", 工业!G:G, "新目标") +
COUNTIFS(工业!H:H, "能源效率", 工业!G:G, "强化或放宽目标（气候影响不明确）") +
COUNTIFS(工业!H:H, "能源效率", 工业!G:G, "强化或放宽目标（积极气候影响）") +
COUNTIFS(工业!H:H, "能源效率", 工业!G:G, "强化或放宽目标（消极气候影响）") +
COUNTIFS(建筑!H:H, "能源效率", 建筑!G:G, "新目标") +
COUNTIFS(建筑!H:H, "能源效率", 建筑!G:G, "强化或放宽目标（气候影响不明确）") +
COUNTIFS(建筑!H:H, "能源效率", 建筑!G:G, "强化或放宽目标（积极气候影响）") +
COUNTIFS(建筑!H:H, "能源效率", 建筑!G:G, "强化或放宽目标（消极气候影响）") +
COUNTIFS(交通!H:H, "能源效率", 交通!G:G, "新目标") +
COUNTIFS(交通!H:H, "能源效率", 交通!G:G, "强化或放宽目标（气候影响不明确）") +
COUNTIFS(交通!H:H, "能源效率", 交通!G:G, "强化或放宽目标（积极气候影响）") +
COUNTIFS(交通!H:H, "能源效率", 交通!G:G, "强化或放宽目标（消极气候影响）") +
COUNTIFS('土地利用、土地利用变化和林业'!H:H, "能源效率", '土地利用、土地利用变化和林业'!G:G, "新目标") +
COUNTIFS('土地利用、土地利用变化和林业'!H:H, "能源效率", '土地利用、土地利用变化和林业'!G:G, "强化或放宽目标（气候影响不明确）") +
COUNTIFS('土地利用、土地利用变化和林业'!H:H, "能源效率", '土地利用、土地利用变化和林业'!G:G, "强化或放宽目标（积极气候影响）") +
COUNTIFS('土地利用、土地利用变化和林业'!H:H, "能源效率", '土地利用、土地利用变化和林业'!G:G, "强化或放宽目标（消极气候影响）") +
COUNTIFS(循环经济!H:H, "能源效率", 循环经济!G:G, "新目标") +
COUNTIFS(循环经济!H:H, "能源效率", 循环经济!G:G, "强化或放宽目标（气候影响不明确）") +
COUNTIFS(循环经济!H:H, "能源效率", 循环经济!G:G, "强化或放宽目标（积极气候影响）") +
COUNTIFS(循环经济!H:H, "能源效率", 循环经济!G:G, "强化或放宽目标（消极气候影响）") +
COUNTIFS(金融!H:H, "能源效率", 金融!G:G, "新目标") +
COUNTIFS(金融!H:H, "能源效率", 金融!G:G, "强化或放宽目标（气候影响不明确）") +
COUNTIFS(金融!H:H, "能源效率", 金融!G:G, "强化或放宽目标（积极气候影响）") +
COUNTIFS(金融!H:H, "能源效率", 金融!G:G, "强化或放宽目标（消极气候影响）")</f>
        <v/>
      </c>
    </row>
    <row r="12" ht="19" customHeight="1" s="235">
      <c r="A12" s="39" t="n"/>
      <c r="B12" s="67" t="inlineStr">
        <is>
          <t>土地利用、土地利用变化和林业</t>
        </is>
      </c>
      <c r="C12" s="68">
        <f>COUNTIFS('土地利用、土地利用变化和林业'!G:G, "新目标") + COUNTIFS('土地利用、土地利用变化和林业'!G:G, "强化或放宽目标（气候影响不明确）") + COUNTIFS('土地利用、土地利用变化和林业'!G:G, "强化或放宽目标（积极气候影响）") + COUNTIFS('土地利用、土地利用变化和林业'!G:G, "强化或放宽目标（消极气候影响）")</f>
        <v/>
      </c>
      <c r="D12" s="59" t="n"/>
      <c r="E12" s="59" t="n"/>
      <c r="F12" s="59" t="n"/>
      <c r="G12" s="39" t="n"/>
      <c r="H12" s="7" t="n"/>
      <c r="I12" s="78" t="n"/>
      <c r="J12" s="39" t="n"/>
      <c r="K12" s="73" t="n">
        <v>2010</v>
      </c>
      <c r="L12" s="74">
        <f>COUNTIFS(温室气体排放!A:A, 2010, 温室气体排放!G:G, "新目标") +
COUNTIFS(温室气体排放!A:A, 2010, 温室气体排放!G:G, "强化或放宽目标（气候影响不明确）") +
COUNTIFS(温室气体排放!A:A, 2010, 温室气体排放!G:G, "强化或放宽目标（积极气候影响）") +
COUNTIFS(温室气体排放!A:A, 2010, 温室气体排放!G:G, "强化或放宽目标（消极气候影响）") +
COUNTIFS(污染!A:A, 2010, 污染!G:G, "新目标") +
COUNTIFS(污染!A:A, 2010, 污染!G:G, "强化或放宽目标（气候影响不明确）") +
COUNTIFS(污染!A:A, 2010, 污染!G:G, "强化或放宽目标（积极气候影响）") +
COUNTIFS(污染!A:A, 2010, 污染!G:G, "强化或放宽目标（消极气候影响）") +
COUNTIFS('能源|电力'!A:A, 2010, '能源|电力'!G:G, "新目标") +
COUNTIFS('能源|电力'!A:A, 2010, '能源|电力'!G:G, "强化或放宽目标（气候影响不明确）") +
COUNTIFS('能源|电力'!A:A, 2010, '能源|电力'!G:G, "强化或放宽目标（积极气候影响）") +
COUNTIFS('能源|电力'!A:A, 2010, '能源|电力'!G:G, "强化或放宽目标（消极气候影响）") +
COUNTIFS(工业!A:A, 2010, 工业!G:G, "新目标") +
COUNTIFS(工业!A:A, 2010, 工业!G:G, "强化或放宽目标（气候影响不明确）") +
COUNTIFS(工业!A:A, 2010, 工业!G:G, "强化或放宽目标（积极气候影响）") +
COUNTIFS(工业!A:A, 2010, 工业!G:G, "强化或放宽目标（消极气候影响）") +
COUNTIFS(建筑!A:A, 2010, 建筑!G:G, "新目标") +
COUNTIFS(建筑!A:A, 2010, 建筑!G:G, "强化或放宽目标（气候影响不明确）") +
COUNTIFS(建筑!A:A, 2010, 建筑!G:G, "强化或放宽目标（积极气候影响）") +
COUNTIFS(建筑!A:A, 2010, 建筑!G:G, "强化或放宽目标（消极气候影响）") +
COUNTIFS(交通!A:A, 2010, 交通!G:G, "新目标") +
COUNTIFS(交通!A:A, 2010, 交通!G:G, "强化或放宽目标（气候影响不明确）") +
COUNTIFS(交通!A:A, 2010, 交通!G:G, "强化或放宽目标（积极气候影响）") +
COUNTIFS(交通!A:A, 2010, 交通!G:G, "强化或放宽目标（消极气候影响）") +
COUNTIFS('土地利用、土地利用变化和林业'!A:A, 2010, '土地利用、土地利用变化和林业'!G:G, "新目标") +
COUNTIFS('土地利用、土地利用变化和林业'!A:A, 2010, '土地利用、土地利用变化和林业'!G:G, "强化或放宽目标（气候影响不明确）") +
COUNTIFS('土地利用、土地利用变化和林业'!A:A, 2010, '土地利用、土地利用变化和林业'!G:G, "强化或放宽目标（积极气候影响）") +
COUNTIFS('土地利用、土地利用变化和林业'!A:A, 2010, '土地利用、土地利用变化和林业'!G:G, "强化或放宽目标（消极气候影响）") +
COUNTIFS(循环经济!A:A, 2010, 循环经济!G:G, "新目标") +
COUNTIFS(循环经济!A:A, 2010, 循环经济!G:G, "强化或放宽目标（气候影响不明确）") +
COUNTIFS(循环经济!A:A, 2010, 循环经济!G:G, "强化或放宽目标（积极气候影响）") +
COUNTIFS(循环经济!A:A, 2010, 循环经济!G:G, "强化或放宽目标（消极气候影响）") +
COUNTIFS(金融!A:A, 2010, 金融!G:G, "新目标") +
COUNTIFS(金融!A:A, 2010, 金融!G:G, "强化或放宽目标（气候影响不明确）") +
COUNTIFS(金融!A:A, 2010, 金融!G:G, "强化或放宽目标（积极气候影响）") +
COUNTIFS(金融!A:A, 2010, 金融!G:G, "强化或放宽目标（消极气候影响）")</f>
        <v/>
      </c>
      <c r="M12" s="39" t="n"/>
      <c r="N12" s="73" t="n">
        <v>2015</v>
      </c>
      <c r="O12" s="74">
        <f>COUNTIFS(温室气体排放!F:F, 2015, 温室气体排放!G:G, "新目标") +
COUNTIFS(温室气体排放!F:F, 2015, 温室气体排放!G:G, "强化或放宽目标（气候影响不明确）") +
COUNTIFS(温室气体排放!F:F, 2015, 温室气体排放!G:G, "强化或放宽目标（积极气候影响）") +
COUNTIFS(温室气体排放!F:F, 2015, 温室气体排放!G:G, "强化或放宽目标（消极气候影响）") +
COUNTIFS(污染!F:F, 2015, 污染!G:G, "新目标") +
COUNTIFS(污染!F:F, 2015, 污染!G:G, "强化或放宽目标（气候影响不明确）") +
COUNTIFS(污染!F:F, 2015, 污染!G:G, "强化或放宽目标（积极气候影响）") +
COUNTIFS(污染!F:F, 2015, 污染!G:G, "强化或放宽目标（消极气候影响）") +
COUNTIFS('能源|电力'!F:F, 2015, '能源|电力'!G:G, "新目标") +
COUNTIFS('能源|电力'!F:F, 2015, '能源|电力'!G:G, "强化或放宽目标（气候影响不明确）") +
COUNTIFS('能源|电力'!F:F, 2015, '能源|电力'!G:G, "强化或放宽目标（积极气候影响）") +
COUNTIFS('能源|电力'!F:F, 2015, '能源|电力'!G:G, "强化或放宽目标（消极气候影响）") +
COUNTIFS(工业!F:F, 2015, 工业!G:G, "新目标") +
COUNTIFS(工业!F:F, 2015, 工业!G:G, "强化或放宽目标（气候影响不明确）") +
COUNTIFS(工业!F:F, 2015, 工业!G:G, "强化或放宽目标（积极气候影响）") +
COUNTIFS(工业!F:F, 2015, 工业!G:G, "强化或放宽目标（消极气候影响）") +
COUNTIFS(建筑!F:F, 2015, 建筑!G:G, "新目标") +
COUNTIFS(建筑!F:F, 2015, 建筑!G:G, "强化或放宽目标（气候影响不明确）") +
COUNTIFS(建筑!F:F, 2015, 建筑!G:G, "强化或放宽目标（积极气候影响）") +
COUNTIFS(建筑!F:F, 2015, 建筑!G:G, "强化或放宽目标（消极气候影响）") +
COUNTIFS(交通!F:F, 2015, 交通!G:G, "新目标") +
COUNTIFS(交通!F:F, 2015, 交通!G:G, "强化或放宽目标（气候影响不明确）") +
COUNTIFS(交通!F:F, 2015, 交通!G:G, "强化或放宽目标（积极气候影响）") +
COUNTIFS(交通!F:F, 2015, 交通!G:G, "强化或放宽目标（消极气候影响）") +
COUNTIFS('土地利用、土地利用变化和林业'!F:F, 2015, '土地利用、土地利用变化和林业'!G:G, "新目标") +
COUNTIFS('土地利用、土地利用变化和林业'!F:F, 2015, '土地利用、土地利用变化和林业'!G:G, "强化或放宽目标（气候影响不明确）") +
COUNTIFS('土地利用、土地利用变化和林业'!F:F, 2015, '土地利用、土地利用变化和林业'!G:G, "强化或放宽目标（积极气候影响）") +
COUNTIFS('土地利用、土地利用变化和林业'!F:F, 2015, '土地利用、土地利用变化和林业'!G:G, "强化或放宽目标（消极气候影响）") +
COUNTIFS(循环经济!F:F, 2015, 循环经济!G:G, "新目标") +
COUNTIFS(循环经济!F:F, 2015, 循环经济!G:G, "强化或放宽目标（气候影响不明确）") +
COUNTIFS(循环经济!F:F, 2015, 循环经济!G:G, "强化或放宽目标（积极气候影响）") +
COUNTIFS(循环经济!F:F, 2015, 循环经济!G:G, "强化或放宽目标（消极气候影响）") +
COUNTIFS(金融!F:F, 2015, 金融!G:G, "新目标") +
COUNTIFS(金融!F:F, 2015, 金融!G:G, "强化或放宽目标（气候影响不明确）") +
COUNTIFS(金融!F:F, 2015, 金融!G:G, "强化或放宽目标（积极气候影响）") +
COUNTIFS(金融!F:F, 2015, 金融!G:G, "强化或放宽目标（消极气候影响）")</f>
        <v/>
      </c>
      <c r="P12" s="39" t="n"/>
      <c r="Q12" s="75" t="inlineStr">
        <is>
          <t>资源效率</t>
        </is>
      </c>
      <c r="R12" s="74">
        <f>COUNTIFS(温室气体排放!H:H, "资源效率", 温室气体排放!G:G, "新目标") +
COUNTIFS(温室气体排放!H:H, "资源效率", 温室气体排放!G:G, "强化或放宽目标（气候影响不明确）") +
COUNTIFS(温室气体排放!H:H, "资源效率", 温室气体排放!G:G, "强化或放宽目标（积极气候影响）") +
COUNTIFS(温室气体排放!H:H, "资源效率", 温室气体排放!G:G, "强化或放宽目标（消极气候影响）") +
COUNTIFS(污染!H:H, "资源效率", 污染!G:G, "新目标") +
COUNTIFS(污染!H:H, "资源效率", 污染!G:G, "强化或放宽目标（气候影响不明确）") +
COUNTIFS(污染!H:H, "资源效率", 污染!G:G, "强化或放宽目标（积极气候影响）") +
COUNTIFS(污染!H:H, "资源效率", 污染!G:G, "强化或放宽目标（消极气候影响）") +
COUNTIFS('能源|电力'!H:H, "资源效率", '能源|电力'!G:G, "新目标") +
COUNTIFS('能源|电力'!H:H, "资源效率", '能源|电力'!G:G, "强化或放宽目标（气候影响不明确）") +
COUNTIFS('能源|电力'!H:H, "资源效率", '能源|电力'!G:G, "强化或放宽目标（积极气候影响）") +
COUNTIFS('能源|电力'!H:H, "资源效率", '能源|电力'!G:G, "强化或放宽目标（消极气候影响）") +
COUNTIFS(工业!H:H, "资源效率", 工业!G:G, "新目标") +
COUNTIFS(工业!H:H, "资源效率", 工业!G:G, "强化或放宽目标（气候影响不明确）") +
COUNTIFS(工业!H:H, "资源效率", 工业!G:G, "强化或放宽目标（积极气候影响）") +
COUNTIFS(工业!H:H, "资源效率", 工业!G:G, "强化或放宽目标（消极气候影响）") +
COUNTIFS(建筑!H:H, "资源效率", 建筑!G:G, "新目标") +
COUNTIFS(建筑!H:H, "资源效率", 建筑!G:G, "强化或放宽目标（气候影响不明确）") +
COUNTIFS(建筑!H:H, "资源效率", 建筑!G:G, "强化或放宽目标（积极气候影响）") +
COUNTIFS(建筑!H:H, "资源效率", 建筑!G:G, "强化或放宽目标（消极气候影响）") +
COUNTIFS(交通!H:H, "资源效率", 交通!G:G, "新目标") +
COUNTIFS(交通!H:H, "资源效率", 交通!G:G, "强化或放宽目标（气候影响不明确）") +
COUNTIFS(交通!H:H, "资源效率", 交通!G:G, "强化或放宽目标（积极气候影响）") +
COUNTIFS(交通!H:H, "资源效率", 交通!G:G, "强化或放宽目标（消极气候影响）") +
COUNTIFS('土地利用、土地利用变化和林业'!H:H, "资源效率", '土地利用、土地利用变化和林业'!G:G, "新目标") +
COUNTIFS('土地利用、土地利用变化和林业'!H:H, "资源效率", '土地利用、土地利用变化和林业'!G:G, "强化或放宽目标（气候影响不明确）") +
COUNTIFS('土地利用、土地利用变化和林业'!H:H, "资源效率", '土地利用、土地利用变化和林业'!G:G, "强化或放宽目标（积极气候影响）") +
COUNTIFS('土地利用、土地利用变化和林业'!H:H, "资源效率", '土地利用、土地利用变化和林业'!G:G, "强化或放宽目标（消极气候影响）") +
COUNTIFS(循环经济!H:H, "资源效率", 循环经济!G:G, "新目标") +
COUNTIFS(循环经济!H:H, "资源效率", 循环经济!G:G, "强化或放宽目标（气候影响不明确）") +
COUNTIFS(循环经济!H:H, "资源效率", 循环经济!G:G, "强化或放宽目标（积极气候影响）") +
COUNTIFS(循环经济!H:H, "资源效率", 循环经济!G:G, "强化或放宽目标（消极气候影响）") +
COUNTIFS(金融!H:H, "资源效率", 金融!G:G, "新目标") +
COUNTIFS(金融!H:H, "资源效率", 金融!G:G, "强化或放宽目标（气候影响不明确）") +
COUNTIFS(金融!H:H, "资源效率", 金融!G:G, "强化或放宽目标（积极气候影响）") +
COUNTIFS(金融!H:H, "资源效率", 金融!G:G, "强化或放宽目标（消极气候影响）")</f>
        <v/>
      </c>
    </row>
    <row r="13" ht="19" customHeight="1" s="235">
      <c r="A13" s="39" t="n"/>
      <c r="B13" s="67" t="inlineStr">
        <is>
          <t>循环经济</t>
        </is>
      </c>
      <c r="C13" s="68">
        <f>COUNTIFS(循环经济!G:G, "新目标") + COUNTIFS(循环经济!G:G, "强化或放宽目标（气候影响不明确）") + COUNTIFS(循环经济!G:G, "强化或放宽目标（积极气候影响）") + COUNTIFS(循环经济!G:G, "强化或放宽目标（消极气候影响）")</f>
        <v/>
      </c>
      <c r="D13" s="59" t="n"/>
      <c r="E13" s="59" t="n"/>
      <c r="F13" s="59" t="n"/>
      <c r="G13" s="39" t="n"/>
      <c r="H13" s="7" t="n"/>
      <c r="I13" s="78" t="n"/>
      <c r="J13" s="39" t="n"/>
      <c r="K13" s="73" t="n">
        <v>2011</v>
      </c>
      <c r="L13" s="68">
        <f>COUNTIFS(温室气体排放!A:A, 2011, 温室气体排放!G:G, "新目标") +
COUNTIFS(温室气体排放!A:A, 2011, 温室气体排放!G:G, "强化或放宽目标（气候影响不明确）") +
COUNTIFS(温室气体排放!A:A, 2011, 温室气体排放!G:G, "强化或放宽目标（积极气候影响）") +
COUNTIFS(温室气体排放!A:A, 2011, 温室气体排放!G:G, "强化或放宽目标（消极气候影响）") +
COUNTIFS(污染!A:A, 2011, 污染!G:G, "新目标") +
COUNTIFS(污染!A:A, 2011, 污染!G:G, "强化或放宽目标（气候影响不明确）") +
COUNTIFS(污染!A:A, 2011, 污染!G:G, "强化或放宽目标（积极气候影响）") +
COUNTIFS(污染!A:A, 2011, 污染!G:G, "强化或放宽目标（消极气候影响）") +
COUNTIFS('能源|电力'!A:A, 2011, '能源|电力'!G:G, "新目标") +
COUNTIFS('能源|电力'!A:A, 2011, '能源|电力'!G:G, "强化或放宽目标（气候影响不明确）") +
COUNTIFS('能源|电力'!A:A, 2011, '能源|电力'!G:G, "强化或放宽目标（积极气候影响）") +
COUNTIFS('能源|电力'!A:A, 2011, '能源|电力'!G:G, "强化或放宽目标（消极气候影响）") +
COUNTIFS(工业!A:A, 2011, 工业!G:G, "新目标") +
COUNTIFS(工业!A:A, 2011, 工业!G:G, "强化或放宽目标（气候影响不明确）") +
COUNTIFS(工业!A:A, 2011, 工业!G:G, "强化或放宽目标（积极气候影响）") +
COUNTIFS(工业!A:A, 2011, 工业!G:G, "强化或放宽目标（消极气候影响）") +
COUNTIFS(建筑!A:A, 2011, 建筑!G:G, "新目标") +
COUNTIFS(建筑!A:A, 2011, 建筑!G:G, "强化或放宽目标（气候影响不明确）") +
COUNTIFS(建筑!A:A, 2011, 建筑!G:G, "强化或放宽目标（积极气候影响）") +
COUNTIFS(建筑!A:A, 2011, 建筑!G:G, "强化或放宽目标（消极气候影响）") +
COUNTIFS(交通!A:A, 2011, 交通!G:G, "新目标") +
COUNTIFS(交通!A:A, 2011, 交通!G:G, "强化或放宽目标（气候影响不明确）") +
COUNTIFS(交通!A:A, 2011, 交通!G:G, "强化或放宽目标（积极气候影响）") +
COUNTIFS(交通!A:A, 2011, 交通!G:G, "强化或放宽目标（消极气候影响）") +
COUNTIFS('土地利用、土地利用变化和林业'!A:A, 2011, '土地利用、土地利用变化和林业'!G:G, "新目标") +
COUNTIFS('土地利用、土地利用变化和林业'!A:A, 2011, '土地利用、土地利用变化和林业'!G:G, "强化或放宽目标（气候影响不明确）") +
COUNTIFS('土地利用、土地利用变化和林业'!A:A, 2011, '土地利用、土地利用变化和林业'!G:G, "强化或放宽目标（积极气候影响）") +
COUNTIFS('土地利用、土地利用变化和林业'!A:A, 2011, '土地利用、土地利用变化和林业'!G:G, "强化或放宽目标（消极气候影响）") +
COUNTIFS(循环经济!A:A, 2011, 循环经济!G:G, "新目标") +
COUNTIFS(循环经济!A:A, 2011, 循环经济!G:G, "强化或放宽目标（气候影响不明确）") +
COUNTIFS(循环经济!A:A, 2011, 循环经济!G:G, "强化或放宽目标（积极气候影响）") +
COUNTIFS(循环经济!A:A, 2011, 循环经济!G:G, "强化或放宽目标（消极气候影响）") +
COUNTIFS(金融!A:A, 2011, 金融!G:G, "新目标") +
COUNTIFS(金融!A:A, 2011, 金融!G:G, "强化或放宽目标（气候影响不明确）") +
COUNTIFS(金融!A:A, 2011, 金融!G:G, "强化或放宽目标（积极气候影响）") +
COUNTIFS(金融!A:A, 2011, 金融!G:G, "强化或放宽目标（消极气候影响）")</f>
        <v/>
      </c>
      <c r="M13" s="39" t="n"/>
      <c r="N13" s="73" t="inlineStr">
        <is>
          <t>十二五</t>
        </is>
      </c>
      <c r="O13" s="74">
        <f>COUNTIFS(温室气体排放!F:F, "十二五", 温室气体排放!G:G, "新目标") +
COUNTIFS(温室气体排放!F:F, "十二五", 温室气体排放!G:G, "强化或放宽目标（气候影响不明确）") +
COUNTIFS(温室气体排放!F:F, "十二五", 温室气体排放!G:G, "强化或放宽目标（积极气候影响）") +
COUNTIFS(温室气体排放!F:F, "十二五", 温室气体排放!G:G, "强化或放宽目标（消极气候影响）") +
COUNTIFS(污染!F:F, "十二五", 污染!G:G, "新目标") +
COUNTIFS(污染!F:F, "十二五", 污染!G:G, "强化或放宽目标（气候影响不明确）") +
COUNTIFS(污染!F:F, "十二五", 污染!G:G, "强化或放宽目标（积极气候影响）") +
COUNTIFS(污染!F:F, "十二五", 污染!G:G, "强化或放宽目标（消极气候影响）") +
COUNTIFS('能源|电力'!F:F, "十二五", '能源|电力'!G:G, "新目标") +
COUNTIFS('能源|电力'!F:F, "十二五", '能源|电力'!G:G, "强化或放宽目标（气候影响不明确）") +
COUNTIFS('能源|电力'!F:F, "十二五", '能源|电力'!G:G, "强化或放宽目标（积极气候影响）") +
COUNTIFS('能源|电力'!F:F, "十二五", '能源|电力'!G:G, "强化或放宽目标（消极气候影响）") +
COUNTIFS(工业!F:F, "十二五", 工业!G:G, "新目标") +
COUNTIFS(工业!F:F, "十二五", 工业!G:G, "强化或放宽目标（气候影响不明确）") +
COUNTIFS(工业!F:F, "十二五", 工业!G:G, "强化或放宽目标（积极气候影响）") +
COUNTIFS(工业!F:F, "十二五", 工业!G:G, "强化或放宽目标（消极气候影响）") +
COUNTIFS(建筑!F:F, "十二五", 建筑!G:G, "新目标") +
COUNTIFS(建筑!F:F, "十二五", 建筑!G:G, "强化或放宽目标（气候影响不明确）") +
COUNTIFS(建筑!F:F, "十二五", 建筑!G:G, "强化或放宽目标（积极气候影响）") +
COUNTIFS(建筑!F:F, "十二五", 建筑!G:G, "强化或放宽目标（消极气候影响）") +
COUNTIFS(交通!F:F, "十二五", 交通!G:G, "新目标") +
COUNTIFS(交通!F:F, "十二五", 交通!G:G, "强化或放宽目标（气候影响不明确）") +
COUNTIFS(交通!F:F, "十二五", 交通!G:G, "强化或放宽目标（积极气候影响）") +
COUNTIFS(交通!F:F, "十二五", 交通!G:G, "强化或放宽目标（消极气候影响）") +
COUNTIFS('土地利用、土地利用变化和林业'!F:F, "十二五", '土地利用、土地利用变化和林业'!G:G, "新目标") +
COUNTIFS('土地利用、土地利用变化和林业'!F:F, "十二五", '土地利用、土地利用变化和林业'!G:G, "强化或放宽目标（气候影响不明确）") +
COUNTIFS('土地利用、土地利用变化和林业'!F:F, "十二五", '土地利用、土地利用变化和林业'!G:G, "强化或放宽目标（积极气候影响）") +
COUNTIFS('土地利用、土地利用变化和林业'!F:F, "十二五", '土地利用、土地利用变化和林业'!G:G, "强化或放宽目标（消极气候影响）") +
COUNTIFS(循环经济!F:F, "十二五", 循环经济!G:G, "新目标") +
COUNTIFS(循环经济!F:F, "十二五", 循环经济!G:G, "强化或放宽目标（气候影响不明确）") +
COUNTIFS(循环经济!F:F, "十二五", 循环经济!G:G, "强化或放宽目标（积极气候影响）") +
COUNTIFS(循环经济!F:F, "十二五", 循环经济!G:G, "强化或放宽目标（消极气候影响）") +
COUNTIFS(金融!F:F, "十二五", 金融!G:G, "新目标") +
COUNTIFS(金融!F:F, "十二五", 金融!G:G, "强化或放宽目标（气候影响不明确）") +
COUNTIFS(金融!F:F, "十二五", 金融!G:G, "强化或放宽目标（积极气候影响）") +
COUNTIFS(金融!F:F, "十二五", 金融!G:G, "强化或放宽目标（消极气候影响）")</f>
        <v/>
      </c>
      <c r="P13" s="39" t="n"/>
      <c r="Q13" s="75" t="inlineStr">
        <is>
          <t>可再生能源</t>
        </is>
      </c>
      <c r="R13" s="74">
        <f>COUNTIFS(温室气体排放!H:H, "可再生能源", 温室气体排放!G:G, "新目标") +
COUNTIFS(温室气体排放!H:H, "可再生能源", 温室气体排放!G:G, "强化或放宽目标（气候影响不明确）") +
COUNTIFS(温室气体排放!H:H, "可再生能源", 温室气体排放!G:G, "强化或放宽目标（积极气候影响）") +
COUNTIFS(温室气体排放!H:H, "可再生能源", 温室气体排放!G:G, "强化或放宽目标（消极气候影响）") +
COUNTIFS(污染!H:H, "可再生能源", 污染!G:G, "新目标") +
COUNTIFS(污染!H:H, "可再生能源", 污染!G:G, "强化或放宽目标（气候影响不明确）") +
COUNTIFS(污染!H:H, "可再生能源", 污染!G:G, "强化或放宽目标（积极气候影响）") +
COUNTIFS(污染!H:H, "可再生能源", 污染!G:G, "强化或放宽目标（消极气候影响）") +
COUNTIFS('能源|电力'!H:H, "可再生能源", '能源|电力'!G:G, "新目标") +
COUNTIFS('能源|电力'!H:H, "可再生能源", '能源|电力'!G:G, "强化或放宽目标（气候影响不明确）") +
COUNTIFS('能源|电力'!H:H, "可再生能源", '能源|电力'!G:G, "强化或放宽目标（积极气候影响）") +
COUNTIFS('能源|电力'!H:H, "可再生能源", '能源|电力'!G:G, "强化或放宽目标（消极气候影响）") +
COUNTIFS(工业!H:H, "可再生能源", 工业!G:G, "新目标") +
COUNTIFS(工业!H:H, "可再生能源", 工业!G:G, "强化或放宽目标（气候影响不明确）") +
COUNTIFS(工业!H:H, "可再生能源", 工业!G:G, "强化或放宽目标（积极气候影响）") +
COUNTIFS(工业!H:H, "可再生能源", 工业!G:G, "强化或放宽目标（消极气候影响）") +
COUNTIFS(建筑!H:H, "可再生能源", 建筑!G:G, "新目标") +
COUNTIFS(建筑!H:H, "可再生能源", 建筑!G:G, "强化或放宽目标（气候影响不明确）") +
COUNTIFS(建筑!H:H, "可再生能源", 建筑!G:G, "强化或放宽目标（积极气候影响）") +
COUNTIFS(建筑!H:H, "可再生能源", 建筑!G:G, "强化或放宽目标（消极气候影响）") +
COUNTIFS(交通!H:H, "可再生能源", 交通!G:G, "新目标") +
COUNTIFS(交通!H:H, "可再生能源", 交通!G:G, "强化或放宽目标（气候影响不明确）") +
COUNTIFS(交通!H:H, "可再生能源", 交通!G:G, "强化或放宽目标（积极气候影响）") +
COUNTIFS(交通!H:H, "可再生能源", 交通!G:G, "强化或放宽目标（消极气候影响）") +
COUNTIFS('土地利用、土地利用变化和林业'!H:H, "可再生能源", '土地利用、土地利用变化和林业'!G:G, "新目标") +
COUNTIFS('土地利用、土地利用变化和林业'!H:H, "可再生能源", '土地利用、土地利用变化和林业'!G:G, "强化或放宽目标（气候影响不明确）") +
COUNTIFS('土地利用、土地利用变化和林业'!H:H, "可再生能源", '土地利用、土地利用变化和林业'!G:G, "强化或放宽目标（积极气候影响）") +
COUNTIFS('土地利用、土地利用变化和林业'!H:H, "可再生能源", '土地利用、土地利用变化和林业'!G:G, "强化或放宽目标（消极气候影响）") +
COUNTIFS(循环经济!H:H, "可再生能源", 循环经济!G:G, "新目标") +
COUNTIFS(循环经济!H:H, "可再生能源", 循环经济!G:G, "强化或放宽目标（气候影响不明确）") +
COUNTIFS(循环经济!H:H, "可再生能源", 循环经济!G:G, "强化或放宽目标（积极气候影响）") +
COUNTIFS(循环经济!H:H, "可再生能源", 循环经济!G:G, "强化或放宽目标（消极气候影响）") +
COUNTIFS(金融!H:H, "可再生能源", 金融!G:G, "新目标") +
COUNTIFS(金融!H:H, "可再生能源", 金融!G:G, "强化或放宽目标（气候影响不明确）") +
COUNTIFS(金融!H:H, "可再生能源", 金融!G:G, "强化或放宽目标（积极气候影响）") +
COUNTIFS(金融!H:H, "可再生能源", 金融!G:G, "强化或放宽目标（消极气候影响）")</f>
        <v/>
      </c>
    </row>
    <row r="14" ht="19" customHeight="1" s="235">
      <c r="A14" s="39" t="n"/>
      <c r="B14" s="76" t="inlineStr">
        <is>
          <t>金融</t>
        </is>
      </c>
      <c r="C14" s="68">
        <f>COUNTIFS(金融!G:G, "新目标") + COUNTIFS(金融!G:G, "强化或放宽目标（气候影响不明确）") + COUNTIFS(金融!G:G, "强化或放宽目标（积极气候影响）") + COUNTIFS(金融!G:G, "强化或放宽目标（消极气候影响）")</f>
        <v/>
      </c>
      <c r="D14" s="59" t="n"/>
      <c r="E14" s="59" t="n"/>
      <c r="F14" s="59" t="n"/>
      <c r="G14" s="39" t="n"/>
      <c r="H14" s="7" t="n"/>
      <c r="I14" s="78" t="n"/>
      <c r="J14" s="39" t="n"/>
      <c r="K14" s="73" t="n">
        <v>2012</v>
      </c>
      <c r="L14" s="68">
        <f>COUNTIFS(温室气体排放!A:A, 2012, 温室气体排放!G:G, "新目标") +
COUNTIFS(温室气体排放!A:A, 2012, 温室气体排放!G:G, "强化或放宽目标（气候影响不明确）") +
COUNTIFS(温室气体排放!A:A, 2012, 温室气体排放!G:G, "强化或放宽目标（积极气候影响）") +
COUNTIFS(温室气体排放!A:A, 2012, 温室气体排放!G:G, "强化或放宽目标（消极气候影响）") +
COUNTIFS(污染!A:A, 2012, 污染!G:G, "新目标") +
COUNTIFS(污染!A:A, 2012, 污染!G:G, "强化或放宽目标（气候影响不明确）") +
COUNTIFS(污染!A:A, 2012, 污染!G:G, "强化或放宽目标（积极气候影响）") +
COUNTIFS(污染!A:A, 2012, 污染!G:G, "强化或放宽目标（消极气候影响）") +
COUNTIFS('能源|电力'!A:A, 2012, '能源|电力'!G:G, "新目标") +
COUNTIFS('能源|电力'!A:A, 2012, '能源|电力'!G:G, "强化或放宽目标（气候影响不明确）") +
COUNTIFS('能源|电力'!A:A, 2012, '能源|电力'!G:G, "强化或放宽目标（积极气候影响）") +
COUNTIFS('能源|电力'!A:A, 2012, '能源|电力'!G:G, "强化或放宽目标（消极气候影响）") +
COUNTIFS(工业!A:A, 2012, 工业!G:G, "新目标") +
COUNTIFS(工业!A:A, 2012, 工业!G:G, "强化或放宽目标（气候影响不明确）") +
COUNTIFS(工业!A:A, 2012, 工业!G:G, "强化或放宽目标（积极气候影响）") +
COUNTIFS(工业!A:A, 2012, 工业!G:G, "强化或放宽目标（消极气候影响）") +
COUNTIFS(建筑!A:A, 2012, 建筑!G:G, "新目标") +
COUNTIFS(建筑!A:A, 2012, 建筑!G:G, "强化或放宽目标（气候影响不明确）") +
COUNTIFS(建筑!A:A, 2012, 建筑!G:G, "强化或放宽目标（积极气候影响）") +
COUNTIFS(建筑!A:A, 2012, 建筑!G:G, "强化或放宽目标（消极气候影响）") +
COUNTIFS(交通!A:A, 2012, 交通!G:G, "新目标") +
COUNTIFS(交通!A:A, 2012, 交通!G:G, "强化或放宽目标（气候影响不明确）") +
COUNTIFS(交通!A:A, 2012, 交通!G:G, "强化或放宽目标（积极气候影响）") +
COUNTIFS(交通!A:A, 2012, 交通!G:G, "强化或放宽目标（消极气候影响）") +
COUNTIFS('土地利用、土地利用变化和林业'!A:A, 2012, '土地利用、土地利用变化和林业'!G:G, "新目标") +
COUNTIFS('土地利用、土地利用变化和林业'!A:A, 2012, '土地利用、土地利用变化和林业'!G:G, "强化或放宽目标（气候影响不明确）") +
COUNTIFS('土地利用、土地利用变化和林业'!A:A, 2012, '土地利用、土地利用变化和林业'!G:G, "强化或放宽目标（积极气候影响）") +
COUNTIFS('土地利用、土地利用变化和林业'!A:A, 2012, '土地利用、土地利用变化和林业'!G:G, "强化或放宽目标（消极气候影响）") +
COUNTIFS(循环经济!A:A, 2012, 循环经济!G:G, "新目标") +
COUNTIFS(循环经济!A:A, 2012, 循环经济!G:G, "强化或放宽目标（气候影响不明确）") +
COUNTIFS(循环经济!A:A, 2012, 循环经济!G:G, "强化或放宽目标（积极气候影响）") +
COUNTIFS(循环经济!A:A, 2012, 循环经济!G:G, "强化或放宽目标（消极气候影响）") +
COUNTIFS(金融!A:A, 2012, 金融!G:G, "新目标") +
COUNTIFS(金融!A:A, 2012, 金融!G:G, "强化或放宽目标（气候影响不明确）") +
COUNTIFS(金融!A:A, 2012, 金融!G:G, "强化或放宽目标（积极气候影响）") +
COUNTIFS(金融!A:A, 2012, 金融!G:G, "强化或放宽目标（消极气候影响）")</f>
        <v/>
      </c>
      <c r="M14" s="39" t="n"/>
      <c r="N14" s="73" t="n">
        <v>2016</v>
      </c>
      <c r="O14" s="74">
        <f>COUNTIFS(温室气体排放!F:F, 2016, 温室气体排放!G:G, "新目标") +
COUNTIFS(温室气体排放!F:F, 2016, 温室气体排放!G:G, "强化或放宽目标（气候影响不明确）") +
COUNTIFS(温室气体排放!F:F, 2016, 温室气体排放!G:G, "强化或放宽目标（积极气候影响）") +
COUNTIFS(温室气体排放!F:F, 2016, 温室气体排放!G:G, "强化或放宽目标（消极气候影响）") +
COUNTIFS(污染!F:F, 2016, 污染!G:G, "新目标") +
COUNTIFS(污染!F:F, 2016, 污染!G:G, "强化或放宽目标（气候影响不明确）") +
COUNTIFS(污染!F:F, 2016, 污染!G:G, "强化或放宽目标（积极气候影响）") +
COUNTIFS(污染!F:F, 2016, 污染!G:G, "强化或放宽目标（消极气候影响）") +
COUNTIFS('能源|电力'!F:F, 2016, '能源|电力'!G:G, "新目标") +
COUNTIFS('能源|电力'!F:F, 2016, '能源|电力'!G:G, "强化或放宽目标（气候影响不明确）") +
COUNTIFS('能源|电力'!F:F, 2016, '能源|电力'!G:G, "强化或放宽目标（积极气候影响）") +
COUNTIFS('能源|电力'!F:F, 2016, '能源|电力'!G:G, "强化或放宽目标（消极气候影响）") +
COUNTIFS(工业!F:F, 2016, 工业!G:G, "新目标") +
COUNTIFS(工业!F:F, 2016, 工业!G:G, "强化或放宽目标（气候影响不明确）") +
COUNTIFS(工业!F:F, 2016, 工业!G:G, "强化或放宽目标（积极气候影响）") +
COUNTIFS(工业!F:F, 2016, 工业!G:G, "强化或放宽目标（消极气候影响）") +
COUNTIFS(建筑!F:F, 2016, 建筑!G:G, "新目标") +
COUNTIFS(建筑!F:F, 2016, 建筑!G:G, "强化或放宽目标（气候影响不明确）") +
COUNTIFS(建筑!F:F, 2016, 建筑!G:G, "强化或放宽目标（积极气候影响）") +
COUNTIFS(建筑!F:F, 2016, 建筑!G:G, "强化或放宽目标（消极气候影响）") +
COUNTIFS(交通!F:F, 2016, 交通!G:G, "新目标") +
COUNTIFS(交通!F:F, 2016, 交通!G:G, "强化或放宽目标（气候影响不明确）") +
COUNTIFS(交通!F:F, 2016, 交通!G:G, "强化或放宽目标（积极气候影响）") +
COUNTIFS(交通!F:F, 2016, 交通!G:G, "强化或放宽目标（消极气候影响）") +
COUNTIFS('土地利用、土地利用变化和林业'!F:F, 2016, '土地利用、土地利用变化和林业'!G:G, "新目标") +
COUNTIFS('土地利用、土地利用变化和林业'!F:F, 2016, '土地利用、土地利用变化和林业'!G:G, "强化或放宽目标（气候影响不明确）") +
COUNTIFS('土地利用、土地利用变化和林业'!F:F, 2016, '土地利用、土地利用变化和林业'!G:G, "强化或放宽目标（积极气候影响）") +
COUNTIFS('土地利用、土地利用变化和林业'!F:F, 2016, '土地利用、土地利用变化和林业'!G:G, "强化或放宽目标（消极气候影响）") +
COUNTIFS(循环经济!F:F, 2016, 循环经济!G:G, "新目标") +
COUNTIFS(循环经济!F:F, 2016, 循环经济!G:G, "强化或放宽目标（气候影响不明确）") +
COUNTIFS(循环经济!F:F, 2016, 循环经济!G:G, "强化或放宽目标（积极气候影响）") +
COUNTIFS(循环经济!F:F, 2016, 循环经济!G:G, "强化或放宽目标（消极气候影响）") +
COUNTIFS(金融!F:F, 2016, 金融!G:G, "新目标") +
COUNTIFS(金融!F:F, 2016, 金融!G:G, "强化或放宽目标（气候影响不明确）") +
COUNTIFS(金融!F:F, 2016, 金融!G:G, "强化或放宽目标（积极气候影响）") +
COUNTIFS(金融!F:F, 2016, 金融!G:G, "强化或放宽目标（消极气候影响）")</f>
        <v/>
      </c>
      <c r="P14" s="39" t="n"/>
      <c r="Q14" s="75" t="inlineStr">
        <is>
          <t>过渡能源</t>
        </is>
      </c>
      <c r="R14" s="74">
        <f>COUNTIFS(温室气体排放!H:H, "过渡能源", 温室气体排放!G:G, "新目标") +
COUNTIFS(温室气体排放!H:H, "过渡能源", 温室气体排放!G:G, "强化或放宽目标（气候影响不明确）") +
COUNTIFS(温室气体排放!H:H, "过渡能源", 温室气体排放!G:G, "强化或放宽目标（积极气候影响）") +
COUNTIFS(温室气体排放!H:H, "过渡能源", 温室气体排放!G:G, "强化或放宽目标（消极气候影响）") +
COUNTIFS(污染!H:H, "过渡能源", 污染!G:G, "新目标") +
COUNTIFS(污染!H:H, "过渡能源", 污染!G:G, "强化或放宽目标（气候影响不明确）") +
COUNTIFS(污染!H:H, "过渡能源", 污染!G:G, "强化或放宽目标（积极气候影响）") +
COUNTIFS(污染!H:H, "过渡能源", 污染!G:G, "强化或放宽目标（消极气候影响）") +
COUNTIFS('能源|电力'!H:H, "过渡能源", '能源|电力'!G:G, "新目标") +
COUNTIFS('能源|电力'!H:H, "过渡能源", '能源|电力'!G:G, "强化或放宽目标（气候影响不明确）") +
COUNTIFS('能源|电力'!H:H, "过渡能源", '能源|电力'!G:G, "强化或放宽目标（积极气候影响）") +
COUNTIFS('能源|电力'!H:H, "过渡能源", '能源|电力'!G:G, "强化或放宽目标（消极气候影响）") +
COUNTIFS(工业!H:H, "过渡能源", 工业!G:G, "新目标") +
COUNTIFS(工业!H:H, "过渡能源", 工业!G:G, "强化或放宽目标（气候影响不明确）") +
COUNTIFS(工业!H:H, "过渡能源", 工业!G:G, "强化或放宽目标（积极气候影响）") +
COUNTIFS(工业!H:H, "过渡能源", 工业!G:G, "强化或放宽目标（消极气候影响）") +
COUNTIFS(建筑!H:H, "过渡能源", 建筑!G:G, "新目标") +
COUNTIFS(建筑!H:H, "过渡能源", 建筑!G:G, "强化或放宽目标（气候影响不明确）") +
COUNTIFS(建筑!H:H, "过渡能源", 建筑!G:G, "强化或放宽目标（积极气候影响）") +
COUNTIFS(建筑!H:H, "过渡能源", 建筑!G:G, "强化或放宽目标（消极气候影响）") +
COUNTIFS(交通!H:H, "过渡能源", 交通!G:G, "新目标") +
COUNTIFS(交通!H:H, "过渡能源", 交通!G:G, "强化或放宽目标（气候影响不明确）") +
COUNTIFS(交通!H:H, "过渡能源", 交通!G:G, "强化或放宽目标（积极气候影响）") +
COUNTIFS(交通!H:H, "过渡能源", 交通!G:G, "强化或放宽目标（消极气候影响）") +
COUNTIFS('土地利用、土地利用变化和林业'!H:H, "过渡能源", '土地利用、土地利用变化和林业'!G:G, "新目标") +
COUNTIFS('土地利用、土地利用变化和林业'!H:H, "过渡能源", '土地利用、土地利用变化和林业'!G:G, "强化或放宽目标（气候影响不明确）") +
COUNTIFS('土地利用、土地利用变化和林业'!H:H, "过渡能源", '土地利用、土地利用变化和林业'!G:G, "强化或放宽目标（积极气候影响）") +
COUNTIFS('土地利用、土地利用变化和林业'!H:H, "过渡能源", '土地利用、土地利用变化和林业'!G:G, "强化或放宽目标（消极气候影响）") +
COUNTIFS(循环经济!H:H, "过渡能源", 循环经济!G:G, "新目标") +
COUNTIFS(循环经济!H:H, "过渡能源", 循环经济!G:G, "强化或放宽目标（气候影响不明确）") +
COUNTIFS(循环经济!H:H, "过渡能源", 循环经济!G:G, "强化或放宽目标（积极气候影响）") +
COUNTIFS(循环经济!H:H, "过渡能源", 循环经济!G:G, "强化或放宽目标（消极气候影响）") +
COUNTIFS(金融!H:H, "过渡能源", 金融!G:G, "新目标") +
COUNTIFS(金融!H:H, "过渡能源", 金融!G:G, "强化或放宽目标（气候影响不明确）") +
COUNTIFS(金融!H:H, "过渡能源", 金融!G:G, "强化或放宽目标（积极气候影响）") +
COUNTIFS(金融!H:H, "过渡能源", 金融!G:G, "强化或放宽目标（消极气候影响）")</f>
        <v/>
      </c>
    </row>
    <row r="15" ht="19" customHeight="1" s="235">
      <c r="A15" s="39" t="n"/>
      <c r="B15" s="82" t="inlineStr">
        <is>
          <t>合计</t>
        </is>
      </c>
      <c r="C15" s="83">
        <f>SUM(C6:C14)</f>
        <v/>
      </c>
      <c r="D15" s="84" t="n"/>
      <c r="E15" s="85" t="n"/>
      <c r="F15" s="84" t="n"/>
      <c r="G15" s="39" t="n"/>
      <c r="H15" s="7" t="n"/>
      <c r="I15" s="78" t="n"/>
      <c r="J15" s="39" t="n"/>
      <c r="K15" s="73" t="n">
        <v>2013</v>
      </c>
      <c r="L15" s="68">
        <f>COUNTIFS(温室气体排放!A:A, 2013, 温室气体排放!G:G, "新目标") +
COUNTIFS(温室气体排放!A:A, 2013, 温室气体排放!G:G, "强化或放宽目标（气候影响不明确）") +
COUNTIFS(温室气体排放!A:A, 2013, 温室气体排放!G:G, "强化或放宽目标（积极气候影响）") +
COUNTIFS(温室气体排放!A:A, 2013, 温室气体排放!G:G, "强化或放宽目标（消极气候影响）") +
COUNTIFS(污染!A:A, 2013, 污染!G:G, "新目标") +
COUNTIFS(污染!A:A, 2013, 污染!G:G, "强化或放宽目标（气候影响不明确）") +
COUNTIFS(污染!A:A, 2013, 污染!G:G, "强化或放宽目标（积极气候影响）") +
COUNTIFS(污染!A:A, 2013, 污染!G:G, "强化或放宽目标（消极气候影响）") +
COUNTIFS('能源|电力'!A:A, 2013, '能源|电力'!G:G, "新目标") +
COUNTIFS('能源|电力'!A:A, 2013, '能源|电力'!G:G, "强化或放宽目标（气候影响不明确）") +
COUNTIFS('能源|电力'!A:A, 2013, '能源|电力'!G:G, "强化或放宽目标（积极气候影响）") +
COUNTIFS('能源|电力'!A:A, 2013, '能源|电力'!G:G, "强化或放宽目标（消极气候影响）") +
COUNTIFS(工业!A:A, 2013, 工业!G:G, "新目标") +
COUNTIFS(工业!A:A, 2013, 工业!G:G, "强化或放宽目标（气候影响不明确）") +
COUNTIFS(工业!A:A, 2013, 工业!G:G, "强化或放宽目标（积极气候影响）") +
COUNTIFS(工业!A:A, 2013, 工业!G:G, "强化或放宽目标（消极气候影响）") +
COUNTIFS(建筑!A:A, 2013, 建筑!G:G, "新目标") +
COUNTIFS(建筑!A:A, 2013, 建筑!G:G, "强化或放宽目标（气候影响不明确）") +
COUNTIFS(建筑!A:A, 2013, 建筑!G:G, "强化或放宽目标（积极气候影响）") +
COUNTIFS(建筑!A:A, 2013, 建筑!G:G, "强化或放宽目标（消极气候影响）") +
COUNTIFS(交通!A:A, 2013, 交通!G:G, "新目标") +
COUNTIFS(交通!A:A, 2013, 交通!G:G, "强化或放宽目标（气候影响不明确）") +
COUNTIFS(交通!A:A, 2013, 交通!G:G, "强化或放宽目标（积极气候影响）") +
COUNTIFS(交通!A:A, 2013, 交通!G:G, "强化或放宽目标（消极气候影响）") +
COUNTIFS('土地利用、土地利用变化和林业'!A:A, 2013, '土地利用、土地利用变化和林业'!G:G, "新目标") +
COUNTIFS('土地利用、土地利用变化和林业'!A:A, 2013, '土地利用、土地利用变化和林业'!G:G, "强化或放宽目标（气候影响不明确）") +
COUNTIFS('土地利用、土地利用变化和林业'!A:A, 2013, '土地利用、土地利用变化和林业'!G:G, "强化或放宽目标（积极气候影响）") +
COUNTIFS('土地利用、土地利用变化和林业'!A:A, 2013, '土地利用、土地利用变化和林业'!G:G, "强化或放宽目标（消极气候影响）") +
COUNTIFS(循环经济!A:A, 2013, 循环经济!G:G, "新目标") +
COUNTIFS(循环经济!A:A, 2013, 循环经济!G:G, "强化或放宽目标（气候影响不明确）") +
COUNTIFS(循环经济!A:A, 2013, 循环经济!G:G, "强化或放宽目标（积极气候影响）") +
COUNTIFS(循环经济!A:A, 2013, 循环经济!G:G, "强化或放宽目标（消极气候影响）") +
COUNTIFS(金融!A:A, 2013, 金融!G:G, "新目标") +
COUNTIFS(金融!A:A, 2013, 金融!G:G, "强化或放宽目标（气候影响不明确）") +
COUNTIFS(金融!A:A, 2013, 金融!G:G, "强化或放宽目标（积极气候影响）") +
COUNTIFS(金融!A:A, 2013, 金融!G:G, "强化或放宽目标（消极气候影响）")</f>
        <v/>
      </c>
      <c r="M15" s="39" t="n"/>
      <c r="N15" s="73" t="n">
        <v>2017</v>
      </c>
      <c r="O15" s="74">
        <f>COUNTIFS(温室气体排放!F:F, 2017, 温室气体排放!G:G, "新目标") +
COUNTIFS(温室气体排放!F:F, 2017, 温室气体排放!G:G, "强化或放宽目标（气候影响不明确）") +
COUNTIFS(温室气体排放!F:F, 2017, 温室气体排放!G:G, "强化或放宽目标（积极气候影响）") +
COUNTIFS(温室气体排放!F:F, 2017, 温室气体排放!G:G, "强化或放宽目标（消极气候影响）") +
COUNTIFS(污染!F:F, 2017, 污染!G:G, "新目标") +
COUNTIFS(污染!F:F, 2017, 污染!G:G, "强化或放宽目标（气候影响不明确）") +
COUNTIFS(污染!F:F, 2017, 污染!G:G, "强化或放宽目标（积极气候影响）") +
COUNTIFS(污染!F:F, 2017, 污染!G:G, "强化或放宽目标（消极气候影响）") +
COUNTIFS('能源|电力'!F:F, 2017, '能源|电力'!G:G, "新目标") +
COUNTIFS('能源|电力'!F:F, 2017, '能源|电力'!G:G, "强化或放宽目标（气候影响不明确）") +
COUNTIFS('能源|电力'!F:F, 2017, '能源|电力'!G:G, "强化或放宽目标（积极气候影响）") +
COUNTIFS('能源|电力'!F:F, 2017, '能源|电力'!G:G, "强化或放宽目标（消极气候影响）") +
COUNTIFS(工业!F:F, 2017, 工业!G:G, "新目标") +
COUNTIFS(工业!F:F, 2017, 工业!G:G, "强化或放宽目标（气候影响不明确）") +
COUNTIFS(工业!F:F, 2017, 工业!G:G, "强化或放宽目标（积极气候影响）") +
COUNTIFS(工业!F:F, 2017, 工业!G:G, "强化或放宽目标（消极气候影响）") +
COUNTIFS(建筑!F:F, 2017, 建筑!G:G, "新目标") +
COUNTIFS(建筑!F:F, 2017, 建筑!G:G, "强化或放宽目标（气候影响不明确）") +
COUNTIFS(建筑!F:F, 2017, 建筑!G:G, "强化或放宽目标（积极气候影响）") +
COUNTIFS(建筑!F:F, 2017, 建筑!G:G, "强化或放宽目标（消极气候影响）") +
COUNTIFS(交通!F:F, 2017, 交通!G:G, "新目标") +
COUNTIFS(交通!F:F, 2017, 交通!G:G, "强化或放宽目标（气候影响不明确）") +
COUNTIFS(交通!F:F, 2017, 交通!G:G, "强化或放宽目标（积极气候影响）") +
COUNTIFS(交通!F:F, 2017, 交通!G:G, "强化或放宽目标（消极气候影响）") +
COUNTIFS('土地利用、土地利用变化和林业'!F:F, 2017, '土地利用、土地利用变化和林业'!G:G, "新目标") +
COUNTIFS('土地利用、土地利用变化和林业'!F:F, 2017, '土地利用、土地利用变化和林业'!G:G, "强化或放宽目标（气候影响不明确）") +
COUNTIFS('土地利用、土地利用变化和林业'!F:F, 2017, '土地利用、土地利用变化和林业'!G:G, "强化或放宽目标（积极气候影响）") +
COUNTIFS('土地利用、土地利用变化和林业'!F:F, 2017, '土地利用、土地利用变化和林业'!G:G, "强化或放宽目标（消极气候影响）") +
COUNTIFS(循环经济!F:F, 2017, 循环经济!G:G, "新目标") +
COUNTIFS(循环经济!F:F, 2017, 循环经济!G:G, "强化或放宽目标（气候影响不明确）") +
COUNTIFS(循环经济!F:F, 2017, 循环经济!G:G, "强化或放宽目标（积极气候影响）") +
COUNTIFS(循环经济!F:F, 2017, 循环经济!G:G, "强化或放宽目标（消极气候影响）") +
COUNTIFS(金融!F:F, 2017, 金融!G:G, "新目标") +
COUNTIFS(金融!F:F, 2017, 金融!G:G, "强化或放宽目标（气候影响不明确）") +
COUNTIFS(金融!F:F, 2017, 金融!G:G, "强化或放宽目标（积极气候影响）") +
COUNTIFS(金融!F:F, 2017, 金融!G:G, "强化或放宽目标（消极气候影响）")</f>
        <v/>
      </c>
      <c r="P15" s="39" t="n"/>
      <c r="Q15" s="75" t="inlineStr">
        <is>
          <t>电气化</t>
        </is>
      </c>
      <c r="R15" s="74">
        <f>COUNTIFS(温室气体排放!H:H, "电气化", 温室气体排放!G:G, "新目标") +
COUNTIFS(温室气体排放!H:H, "电气化", 温室气体排放!G:G, "强化或放宽目标（气候影响不明确）") +
COUNTIFS(温室气体排放!H:H, "电气化", 温室气体排放!G:G, "强化或放宽目标（积极气候影响）") +
COUNTIFS(温室气体排放!H:H, "电气化", 温室气体排放!G:G, "强化或放宽目标（消极气候影响）") +
COUNTIFS(污染!H:H, "电气化", 污染!G:G, "新目标") +
COUNTIFS(污染!H:H, "电气化", 污染!G:G, "强化或放宽目标（气候影响不明确）") +
COUNTIFS(污染!H:H, "电气化", 污染!G:G, "强化或放宽目标（积极气候影响）") +
COUNTIFS(污染!H:H, "电气化", 污染!G:G, "强化或放宽目标（消极气候影响）") +
COUNTIFS('能源|电力'!H:H, "电气化", '能源|电力'!G:G, "新目标") +
COUNTIFS('能源|电力'!H:H, "电气化", '能源|电力'!G:G, "强化或放宽目标（气候影响不明确）") +
COUNTIFS('能源|电力'!H:H, "电气化", '能源|电力'!G:G, "强化或放宽目标（积极气候影响）") +
COUNTIFS('能源|电力'!H:H, "电气化", '能源|电力'!G:G, "强化或放宽目标（消极气候影响）") +
COUNTIFS(工业!H:H, "电气化", 工业!G:G, "新目标") +
COUNTIFS(工业!H:H, "电气化", 工业!G:G, "强化或放宽目标（气候影响不明确）") +
COUNTIFS(工业!H:H, "电气化", 工业!G:G, "强化或放宽目标（积极气候影响）") +
COUNTIFS(工业!H:H, "电气化", 工业!G:G, "强化或放宽目标（消极气候影响）") +
COUNTIFS(建筑!H:H, "电气化", 建筑!G:G, "新目标") +
COUNTIFS(建筑!H:H, "电气化", 建筑!G:G, "强化或放宽目标（气候影响不明确）") +
COUNTIFS(建筑!H:H, "电气化", 建筑!G:G, "强化或放宽目标（积极气候影响）") +
COUNTIFS(建筑!H:H, "电气化", 建筑!G:G, "强化或放宽目标（消极气候影响）") +
COUNTIFS(交通!H:H, "电气化", 交通!G:G, "新目标") +
COUNTIFS(交通!H:H, "电气化", 交通!G:G, "强化或放宽目标（气候影响不明确）") +
COUNTIFS(交通!H:H, "电气化", 交通!G:G, "强化或放宽目标（积极气候影响）") +
COUNTIFS(交通!H:H, "电气化", 交通!G:G, "强化或放宽目标（消极气候影响）") +
COUNTIFS('土地利用、土地利用变化和林业'!H:H, "电气化", '土地利用、土地利用变化和林业'!G:G, "新目标") +
COUNTIFS('土地利用、土地利用变化和林业'!H:H, "电气化", '土地利用、土地利用变化和林业'!G:G, "强化或放宽目标（气候影响不明确）") +
COUNTIFS('土地利用、土地利用变化和林业'!H:H, "电气化", '土地利用、土地利用变化和林业'!G:G, "强化或放宽目标（积极气候影响）") +
COUNTIFS('土地利用、土地利用变化和林业'!H:H, "电气化", '土地利用、土地利用变化和林业'!G:G, "强化或放宽目标（消极气候影响）") +
COUNTIFS(循环经济!H:H, "电气化", 循环经济!G:G, "新目标") +
COUNTIFS(循环经济!H:H, "电气化", 循环经济!G:G, "强化或放宽目标（气候影响不明确）") +
COUNTIFS(循环经济!H:H, "电气化", 循环经济!G:G, "强化或放宽目标（积极气候影响）") +
COUNTIFS(循环经济!H:H, "电气化", 循环经济!G:G, "强化或放宽目标（消极气候影响）") +
COUNTIFS(金融!H:H, "电气化", 金融!G:G, "新目标") +
COUNTIFS(金融!H:H, "电气化", 金融!G:G, "强化或放宽目标（气候影响不明确）") +
COUNTIFS(金融!H:H, "电气化", 金融!G:G, "强化或放宽目标（积极气候影响）") +
COUNTIFS(金融!H:H, "电气化", 金融!G:G, "强化或放宽目标（消极气候影响）")</f>
        <v/>
      </c>
    </row>
    <row r="16" ht="19" customHeight="1" s="235">
      <c r="A16" s="39" t="n"/>
      <c r="B16" s="39" t="n"/>
      <c r="C16" s="86" t="n"/>
      <c r="D16" s="86" t="n"/>
      <c r="E16" s="86" t="n"/>
      <c r="F16" s="86" t="n"/>
      <c r="G16" s="39" t="n"/>
      <c r="H16" s="7" t="n"/>
      <c r="I16" s="78" t="n"/>
      <c r="J16" s="39" t="n"/>
      <c r="K16" s="73" t="n">
        <v>2014</v>
      </c>
      <c r="L16" s="68">
        <f>COUNTIFS(温室气体排放!A:A, 2014, 温室气体排放!G:G, "新目标") +
COUNTIFS(温室气体排放!A:A, 2014, 温室气体排放!G:G, "强化或放宽目标（气候影响不明确）") +
COUNTIFS(温室气体排放!A:A, 2014, 温室气体排放!G:G, "强化或放宽目标（积极气候影响）") +
COUNTIFS(温室气体排放!A:A, 2014, 温室气体排放!G:G, "强化或放宽目标（消极气候影响）") +
COUNTIFS(污染!A:A, 2014, 污染!G:G, "新目标") +
COUNTIFS(污染!A:A, 2014, 污染!G:G, "强化或放宽目标（气候影响不明确）") +
COUNTIFS(污染!A:A, 2014, 污染!G:G, "强化或放宽目标（积极气候影响）") +
COUNTIFS(污染!A:A, 2014, 污染!G:G, "强化或放宽目标（消极气候影响）") +
COUNTIFS('能源|电力'!A:A, 2014, '能源|电力'!G:G, "新目标") +
COUNTIFS('能源|电力'!A:A, 2014, '能源|电力'!G:G, "强化或放宽目标（气候影响不明确）") +
COUNTIFS('能源|电力'!A:A, 2014, '能源|电力'!G:G, "强化或放宽目标（积极气候影响）") +
COUNTIFS('能源|电力'!A:A, 2014, '能源|电力'!G:G, "强化或放宽目标（消极气候影响）") +
COUNTIFS(工业!A:A, 2014, 工业!G:G, "新目标") +
COUNTIFS(工业!A:A, 2014, 工业!G:G, "强化或放宽目标（气候影响不明确）") +
COUNTIFS(工业!A:A, 2014, 工业!G:G, "强化或放宽目标（积极气候影响）") +
COUNTIFS(工业!A:A, 2014, 工业!G:G, "强化或放宽目标（消极气候影响）") +
COUNTIFS(建筑!A:A, 2014, 建筑!G:G, "新目标") +
COUNTIFS(建筑!A:A, 2014, 建筑!G:G, "强化或放宽目标（气候影响不明确）") +
COUNTIFS(建筑!A:A, 2014, 建筑!G:G, "强化或放宽目标（积极气候影响）") +
COUNTIFS(建筑!A:A, 2014, 建筑!G:G, "强化或放宽目标（消极气候影响）") +
COUNTIFS(交通!A:A, 2014, 交通!G:G, "新目标") +
COUNTIFS(交通!A:A, 2014, 交通!G:G, "强化或放宽目标（气候影响不明确）") +
COUNTIFS(交通!A:A, 2014, 交通!G:G, "强化或放宽目标（积极气候影响）") +
COUNTIFS(交通!A:A, 2014, 交通!G:G, "强化或放宽目标（消极气候影响）") +
COUNTIFS('土地利用、土地利用变化和林业'!A:A, 2014, '土地利用、土地利用变化和林业'!G:G, "新目标") +
COUNTIFS('土地利用、土地利用变化和林业'!A:A, 2014, '土地利用、土地利用变化和林业'!G:G, "强化或放宽目标（气候影响不明确）") +
COUNTIFS('土地利用、土地利用变化和林业'!A:A, 2014, '土地利用、土地利用变化和林业'!G:G, "强化或放宽目标（积极气候影响）") +
COUNTIFS('土地利用、土地利用变化和林业'!A:A, 2014, '土地利用、土地利用变化和林业'!G:G, "强化或放宽目标（消极气候影响）") +
COUNTIFS(循环经济!A:A, 2014, 循环经济!G:G, "新目标") +
COUNTIFS(循环经济!A:A, 2014, 循环经济!G:G, "强化或放宽目标（气候影响不明确）") +
COUNTIFS(循环经济!A:A, 2014, 循环经济!G:G, "强化或放宽目标（积极气候影响）") +
COUNTIFS(循环经济!A:A, 2014, 循环经济!G:G, "强化或放宽目标（消极气候影响）") +
COUNTIFS(金融!A:A, 2014, 金融!G:G, "新目标") +
COUNTIFS(金融!A:A, 2014, 金融!G:G, "强化或放宽目标（气候影响不明确）") +
COUNTIFS(金融!A:A, 2014, 金融!G:G, "强化或放宽目标（积极气候影响）") +
COUNTIFS(金融!A:A, 2014, 金融!G:G, "强化或放宽目标（消极气候影响）")</f>
        <v/>
      </c>
      <c r="M16" s="39" t="n"/>
      <c r="N16" s="73" t="n">
        <v>2018</v>
      </c>
      <c r="O16" s="74">
        <f>COUNTIFS(温室气体排放!F:F, 2018, 温室气体排放!G:G, "新目标") +
COUNTIFS(温室气体排放!F:F, 2018, 温室气体排放!G:G, "强化或放宽目标（气候影响不明确）") +
COUNTIFS(温室气体排放!F:F, 2018, 温室气体排放!G:G, "强化或放宽目标（积极气候影响）") +
COUNTIFS(温室气体排放!F:F, 2018, 温室气体排放!G:G, "强化或放宽目标（消极气候影响）") +
COUNTIFS(污染!F:F, 2018, 污染!G:G, "新目标") +
COUNTIFS(污染!F:F, 2018, 污染!G:G, "强化或放宽目标（气候影响不明确）") +
COUNTIFS(污染!F:F, 2018, 污染!G:G, "强化或放宽目标（积极气候影响）") +
COUNTIFS(污染!F:F, 2018, 污染!G:G, "强化或放宽目标（消极气候影响）") +
COUNTIFS('能源|电力'!F:F, 2018, '能源|电力'!G:G, "新目标") +
COUNTIFS('能源|电力'!F:F, 2018, '能源|电力'!G:G, "强化或放宽目标（气候影响不明确）") +
COUNTIFS('能源|电力'!F:F, 2018, '能源|电力'!G:G, "强化或放宽目标（积极气候影响）") +
COUNTIFS('能源|电力'!F:F, 2018, '能源|电力'!G:G, "强化或放宽目标（消极气候影响）") +
COUNTIFS(工业!F:F, 2018, 工业!G:G, "新目标") +
COUNTIFS(工业!F:F, 2018, 工业!G:G, "强化或放宽目标（气候影响不明确）") +
COUNTIFS(工业!F:F, 2018, 工业!G:G, "强化或放宽目标（积极气候影响）") +
COUNTIFS(工业!F:F, 2018, 工业!G:G, "强化或放宽目标（消极气候影响）") +
COUNTIFS(建筑!F:F, 2018, 建筑!G:G, "新目标") +
COUNTIFS(建筑!F:F, 2018, 建筑!G:G, "强化或放宽目标（气候影响不明确）") +
COUNTIFS(建筑!F:F, 2018, 建筑!G:G, "强化或放宽目标（积极气候影响）") +
COUNTIFS(建筑!F:F, 2018, 建筑!G:G, "强化或放宽目标（消极气候影响）") +
COUNTIFS(交通!F:F, 2018, 交通!G:G, "新目标") +
COUNTIFS(交通!F:F, 2018, 交通!G:G, "强化或放宽目标（气候影响不明确）") +
COUNTIFS(交通!F:F, 2018, 交通!G:G, "强化或放宽目标（积极气候影响）") +
COUNTIFS(交通!F:F, 2018, 交通!G:G, "强化或放宽目标（消极气候影响）") +
COUNTIFS('土地利用、土地利用变化和林业'!F:F, 2018, '土地利用、土地利用变化和林业'!G:G, "新目标") +
COUNTIFS('土地利用、土地利用变化和林业'!F:F, 2018, '土地利用、土地利用变化和林业'!G:G, "强化或放宽目标（气候影响不明确）") +
COUNTIFS('土地利用、土地利用变化和林业'!F:F, 2018, '土地利用、土地利用变化和林业'!G:G, "强化或放宽目标（积极气候影响）") +
COUNTIFS('土地利用、土地利用变化和林业'!F:F, 2018, '土地利用、土地利用变化和林业'!G:G, "强化或放宽目标（消极气候影响）") +
COUNTIFS(循环经济!F:F, 2018, 循环经济!G:G, "新目标") +
COUNTIFS(循环经济!F:F, 2018, 循环经济!G:G, "强化或放宽目标（气候影响不明确）") +
COUNTIFS(循环经济!F:F, 2018, 循环经济!G:G, "强化或放宽目标（积极气候影响）") +
COUNTIFS(循环经济!F:F, 2018, 循环经济!G:G, "强化或放宽目标（消极气候影响）") +
COUNTIFS(金融!F:F, 2018, 金融!G:G, "新目标") +
COUNTIFS(金融!F:F, 2018, 金融!G:G, "强化或放宽目标（气候影响不明确）") +
COUNTIFS(金融!F:F, 2018, 金融!G:G, "强化或放宽目标（积极气候影响）") +
COUNTIFS(金融!F:F, 2018, 金融!G:G, "强化或放宽目标（消极气候影响）")</f>
        <v/>
      </c>
      <c r="P16" s="39" t="n"/>
      <c r="Q16" s="75" t="inlineStr">
        <is>
          <t>涉煤</t>
        </is>
      </c>
      <c r="R16" s="74">
        <f>COUNTIFS(温室气体排放!H:H, "涉煤", 温室气体排放!G:G, "新目标") +
COUNTIFS(温室气体排放!H:H, "涉煤", 温室气体排放!G:G, "强化或放宽目标（气候影响不明确）") +
COUNTIFS(温室气体排放!H:H, "涉煤", 温室气体排放!G:G, "强化或放宽目标（积极气候影响）") +
COUNTIFS(温室气体排放!H:H, "涉煤", 温室气体排放!G:G, "强化或放宽目标（消极气候影响）") +
COUNTIFS(污染!H:H, "涉煤", 污染!G:G, "新目标") +
COUNTIFS(污染!H:H, "涉煤", 污染!G:G, "强化或放宽目标（气候影响不明确）") +
COUNTIFS(污染!H:H, "涉煤", 污染!G:G, "强化或放宽目标（积极气候影响）") +
COUNTIFS(污染!H:H, "涉煤", 污染!G:G, "强化或放宽目标（消极气候影响）") +
COUNTIFS('能源|电力'!H:H, "涉煤", '能源|电力'!G:G, "新目标") +
COUNTIFS('能源|电力'!H:H, "涉煤", '能源|电力'!G:G, "强化或放宽目标（气候影响不明确）") +
COUNTIFS('能源|电力'!H:H, "涉煤", '能源|电力'!G:G, "强化或放宽目标（积极气候影响）") +
COUNTIFS('能源|电力'!H:H, "涉煤", '能源|电力'!G:G, "强化或放宽目标（消极气候影响）") +
COUNTIFS(工业!H:H, "涉煤", 工业!G:G, "新目标") +
COUNTIFS(工业!H:H, "涉煤", 工业!G:G, "强化或放宽目标（气候影响不明确）") +
COUNTIFS(工业!H:H, "涉煤", 工业!G:G, "强化或放宽目标（积极气候影响）") +
COUNTIFS(工业!H:H, "涉煤", 工业!G:G, "强化或放宽目标（消极气候影响）") +
COUNTIFS(建筑!H:H, "涉煤", 建筑!G:G, "新目标") +
COUNTIFS(建筑!H:H, "涉煤", 建筑!G:G, "强化或放宽目标（气候影响不明确）") +
COUNTIFS(建筑!H:H, "涉煤", 建筑!G:G, "强化或放宽目标（积极气候影响）") +
COUNTIFS(建筑!H:H, "涉煤", 建筑!G:G, "强化或放宽目标（消极气候影响）") +
COUNTIFS(交通!H:H, "涉煤", 交通!G:G, "新目标") +
COUNTIFS(交通!H:H, "涉煤", 交通!G:G, "强化或放宽目标（气候影响不明确）") +
COUNTIFS(交通!H:H, "涉煤", 交通!G:G, "强化或放宽目标（积极气候影响）") +
COUNTIFS(交通!H:H, "涉煤", 交通!G:G, "强化或放宽目标（消极气候影响）") +
COUNTIFS('土地利用、土地利用变化和林业'!H:H, "涉煤", '土地利用、土地利用变化和林业'!G:G, "新目标") +
COUNTIFS('土地利用、土地利用变化和林业'!H:H, "涉煤", '土地利用、土地利用变化和林业'!G:G, "强化或放宽目标（气候影响不明确）") +
COUNTIFS('土地利用、土地利用变化和林业'!H:H, "涉煤", '土地利用、土地利用变化和林业'!G:G, "强化或放宽目标（积极气候影响）") +
COUNTIFS('土地利用、土地利用变化和林业'!H:H, "涉煤", '土地利用、土地利用变化和林业'!G:G, "强化或放宽目标（消极气候影响）") +
COUNTIFS(循环经济!H:H, "涉煤", 循环经济!G:G, "新目标") +
COUNTIFS(循环经济!H:H, "涉煤", 循环经济!G:G, "强化或放宽目标（气候影响不明确）") +
COUNTIFS(循环经济!H:H, "涉煤", 循环经济!G:G, "强化或放宽目标（积极气候影响）") +
COUNTIFS(循环经济!H:H, "涉煤", 循环经济!G:G, "强化或放宽目标（消极气候影响）") +
COUNTIFS(金融!H:H, "涉煤", 金融!G:G, "新目标") +
COUNTIFS(金融!H:H, "涉煤", 金融!G:G, "强化或放宽目标（气候影响不明确）") +
COUNTIFS(金融!H:H, "涉煤", 金融!G:G, "强化或放宽目标（积极气候影响）") +
COUNTIFS(金融!H:H, "涉煤", 金融!G:G, "强化或放宽目标（消极气候影响）")</f>
        <v/>
      </c>
    </row>
    <row r="17" ht="19" customHeight="1" s="235">
      <c r="B17" s="39" t="n"/>
      <c r="C17" s="39" t="n"/>
      <c r="D17" s="39" t="n"/>
      <c r="E17" s="39" t="n"/>
      <c r="F17" s="39" t="n"/>
      <c r="K17" s="73" t="n">
        <v>2015</v>
      </c>
      <c r="L17" s="68">
        <f>COUNTIFS(温室气体排放!A:A, 2015, 温室气体排放!G:G, "新目标") +
COUNTIFS(温室气体排放!A:A, 2015, 温室气体排放!G:G, "强化或放宽目标（气候影响不明确）") +
COUNTIFS(温室气体排放!A:A, 2015, 温室气体排放!G:G, "强化或放宽目标（积极气候影响）") +
COUNTIFS(温室气体排放!A:A, 2015, 温室气体排放!G:G, "强化或放宽目标（消极气候影响）") +
COUNTIFS(污染!A:A, 2015, 污染!G:G, "新目标") +
COUNTIFS(污染!A:A, 2015, 污染!G:G, "强化或放宽目标（气候影响不明确）") +
COUNTIFS(污染!A:A, 2015, 污染!G:G, "强化或放宽目标（积极气候影响）") +
COUNTIFS(污染!A:A, 2015, 污染!G:G, "强化或放宽目标（消极气候影响）") +
COUNTIFS('能源|电力'!A:A, 2015, '能源|电力'!G:G, "新目标") +
COUNTIFS('能源|电力'!A:A, 2015, '能源|电力'!G:G, "强化或放宽目标（气候影响不明确）") +
COUNTIFS('能源|电力'!A:A, 2015, '能源|电力'!G:G, "强化或放宽目标（积极气候影响）") +
COUNTIFS('能源|电力'!A:A, 2015, '能源|电力'!G:G, "强化或放宽目标（消极气候影响）") +
COUNTIFS(工业!A:A, 2015, 工业!G:G, "新目标") +
COUNTIFS(工业!A:A, 2015, 工业!G:G, "强化或放宽目标（气候影响不明确）") +
COUNTIFS(工业!A:A, 2015, 工业!G:G, "强化或放宽目标（积极气候影响）") +
COUNTIFS(工业!A:A, 2015, 工业!G:G, "强化或放宽目标（消极气候影响）") +
COUNTIFS(建筑!A:A, 2015, 建筑!G:G, "新目标") +
COUNTIFS(建筑!A:A, 2015, 建筑!G:G, "强化或放宽目标（气候影响不明确）") +
COUNTIFS(建筑!A:A, 2015, 建筑!G:G, "强化或放宽目标（积极气候影响）") +
COUNTIFS(建筑!A:A, 2015, 建筑!G:G, "强化或放宽目标（消极气候影响）") +
COUNTIFS(交通!A:A, 2015, 交通!G:G, "新目标") +
COUNTIFS(交通!A:A, 2015, 交通!G:G, "强化或放宽目标（气候影响不明确）") +
COUNTIFS(交通!A:A, 2015, 交通!G:G, "强化或放宽目标（积极气候影响）") +
COUNTIFS(交通!A:A, 2015, 交通!G:G, "强化或放宽目标（消极气候影响）") +
COUNTIFS('土地利用、土地利用变化和林业'!A:A, 2015, '土地利用、土地利用变化和林业'!G:G, "新目标") +
COUNTIFS('土地利用、土地利用变化和林业'!A:A, 2015, '土地利用、土地利用变化和林业'!G:G, "强化或放宽目标（气候影响不明确）") +
COUNTIFS('土地利用、土地利用变化和林业'!A:A, 2015, '土地利用、土地利用变化和林业'!G:G, "强化或放宽目标（积极气候影响）") +
COUNTIFS('土地利用、土地利用变化和林业'!A:A, 2015, '土地利用、土地利用变化和林业'!G:G, "强化或放宽目标（消极气候影响）") +
COUNTIFS(循环经济!A:A, 2015, 循环经济!G:G, "新目标") +
COUNTIFS(循环经济!A:A, 2015, 循环经济!G:G, "强化或放宽目标（气候影响不明确）") +
COUNTIFS(循环经济!A:A, 2015, 循环经济!G:G, "强化或放宽目标（积极气候影响）") +
COUNTIFS(循环经济!A:A, 2015, 循环经济!G:G, "强化或放宽目标（消极气候影响）") +
COUNTIFS(金融!A:A, 2015, 金融!G:G, "新目标") +
COUNTIFS(金融!A:A, 2015, 金融!G:G, "强化或放宽目标（气候影响不明确）") +
COUNTIFS(金融!A:A, 2015, 金融!G:G, "强化或放宽目标（积极气候影响）") +
COUNTIFS(金融!A:A, 2015, 金融!G:G, "强化或放宽目标（消极气候影响）")</f>
        <v/>
      </c>
      <c r="N17" s="73" t="n">
        <v>2019</v>
      </c>
      <c r="O17" s="74">
        <f>COUNTIFS(温室气体排放!F:F, 2019, 温室气体排放!G:G, "新目标") +
COUNTIFS(温室气体排放!F:F, 2019, 温室气体排放!G:G, "强化或放宽目标（气候影响不明确）") +
COUNTIFS(温室气体排放!F:F, 2019, 温室气体排放!G:G, "强化或放宽目标（积极气候影响）") +
COUNTIFS(温室气体排放!F:F, 2019, 温室气体排放!G:G, "强化或放宽目标（消极气候影响）") +
COUNTIFS(污染!F:F, 2019, 污染!G:G, "新目标") +
COUNTIFS(污染!F:F, 2019, 污染!G:G, "强化或放宽目标（气候影响不明确）") +
COUNTIFS(污染!F:F, 2019, 污染!G:G, "强化或放宽目标（积极气候影响）") +
COUNTIFS(污染!F:F, 2019, 污染!G:G, "强化或放宽目标（消极气候影响）") +
COUNTIFS('能源|电力'!F:F, 2019, '能源|电力'!G:G, "新目标") +
COUNTIFS('能源|电力'!F:F, 2019, '能源|电力'!G:G, "强化或放宽目标（气候影响不明确）") +
COUNTIFS('能源|电力'!F:F, 2019, '能源|电力'!G:G, "强化或放宽目标（积极气候影响）") +
COUNTIFS('能源|电力'!F:F, 2019, '能源|电力'!G:G, "强化或放宽目标（消极气候影响）") +
COUNTIFS(工业!F:F, 2019, 工业!G:G, "新目标") +
COUNTIFS(工业!F:F, 2019, 工业!G:G, "强化或放宽目标（气候影响不明确）") +
COUNTIFS(工业!F:F, 2019, 工业!G:G, "强化或放宽目标（积极气候影响）") +
COUNTIFS(工业!F:F, 2019, 工业!G:G, "强化或放宽目标（消极气候影响）") +
COUNTIFS(建筑!F:F, 2019, 建筑!G:G, "新目标") +
COUNTIFS(建筑!F:F, 2019, 建筑!G:G, "强化或放宽目标（气候影响不明确）") +
COUNTIFS(建筑!F:F, 2019, 建筑!G:G, "强化或放宽目标（积极气候影响）") +
COUNTIFS(建筑!F:F, 2019, 建筑!G:G, "强化或放宽目标（消极气候影响）") +
COUNTIFS(交通!F:F, 2019, 交通!G:G, "新目标") +
COUNTIFS(交通!F:F, 2019, 交通!G:G, "强化或放宽目标（气候影响不明确）") +
COUNTIFS(交通!F:F, 2019, 交通!G:G, "强化或放宽目标（积极气候影响）") +
COUNTIFS(交通!F:F, 2019, 交通!G:G, "强化或放宽目标（消极气候影响）") +
COUNTIFS('土地利用、土地利用变化和林业'!F:F, 2019, '土地利用、土地利用变化和林业'!G:G, "新目标") +
COUNTIFS('土地利用、土地利用变化和林业'!F:F, 2019, '土地利用、土地利用变化和林业'!G:G, "强化或放宽目标（气候影响不明确）") +
COUNTIFS('土地利用、土地利用变化和林业'!F:F, 2019, '土地利用、土地利用变化和林业'!G:G, "强化或放宽目标（积极气候影响）") +
COUNTIFS('土地利用、土地利用变化和林业'!F:F, 2019, '土地利用、土地利用变化和林业'!G:G, "强化或放宽目标（消极气候影响）") +
COUNTIFS(循环经济!F:F, 2019, 循环经济!G:G, "新目标") +
COUNTIFS(循环经济!F:F, 2019, 循环经济!G:G, "强化或放宽目标（气候影响不明确）") +
COUNTIFS(循环经济!F:F, 2019, 循环经济!G:G, "强化或放宽目标（积极气候影响）") +
COUNTIFS(循环经济!F:F, 2019, 循环经济!G:G, "强化或放宽目标（消极气候影响）") +
COUNTIFS(金融!F:F, 2019, 金融!G:G, "新目标") +
COUNTIFS(金融!F:F, 2019, 金融!G:G, "强化或放宽目标（气候影响不明确）") +
COUNTIFS(金融!F:F, 2019, 金融!G:G, "强化或放宽目标（积极气候影响）") +
COUNTIFS(金融!F:F, 2019, 金融!G:G, "强化或放宽目标（消极气候影响）")</f>
        <v/>
      </c>
      <c r="Q17" s="75" t="inlineStr">
        <is>
          <t>生产导向</t>
        </is>
      </c>
      <c r="R17" s="74">
        <f>COUNTIFS(温室气体排放!H:H, "生产导向", 温室气体排放!G:G, "新目标") +
COUNTIFS(温室气体排放!H:H, "生产导向", 温室气体排放!G:G, "强化或放宽目标（气候影响不明确）") +
COUNTIFS(温室气体排放!H:H, "生产导向", 温室气体排放!G:G, "强化或放宽目标（积极气候影响）") +
COUNTIFS(温室气体排放!H:H, "生产导向", 温室气体排放!G:G, "强化或放宽目标（消极气候影响）") +
COUNTIFS(污染!H:H, "生产导向", 污染!G:G, "新目标") +
COUNTIFS(污染!H:H, "生产导向", 污染!G:G, "强化或放宽目标（气候影响不明确）") +
COUNTIFS(污染!H:H, "生产导向", 污染!G:G, "强化或放宽目标（积极气候影响）") +
COUNTIFS(污染!H:H, "生产导向", 污染!G:G, "强化或放宽目标（消极气候影响）") +
COUNTIFS('能源|电力'!H:H, "生产导向", '能源|电力'!G:G, "新目标") +
COUNTIFS('能源|电力'!H:H, "生产导向", '能源|电力'!G:G, "强化或放宽目标（气候影响不明确）") +
COUNTIFS('能源|电力'!H:H, "生产导向", '能源|电力'!G:G, "强化或放宽目标（积极气候影响）") +
COUNTIFS('能源|电力'!H:H, "生产导向", '能源|电力'!G:G, "强化或放宽目标（消极气候影响）") +
COUNTIFS(工业!H:H, "生产导向", 工业!G:G, "新目标") +
COUNTIFS(工业!H:H, "生产导向", 工业!G:G, "强化或放宽目标（气候影响不明确）") +
COUNTIFS(工业!H:H, "生产导向", 工业!G:G, "强化或放宽目标（积极气候影响）") +
COUNTIFS(工业!H:H, "生产导向", 工业!G:G, "强化或放宽目标（消极气候影响）") +
COUNTIFS(建筑!H:H, "生产导向", 建筑!G:G, "新目标") +
COUNTIFS(建筑!H:H, "生产导向", 建筑!G:G, "强化或放宽目标（气候影响不明确）") +
COUNTIFS(建筑!H:H, "生产导向", 建筑!G:G, "强化或放宽目标（积极气候影响）") +
COUNTIFS(建筑!H:H, "生产导向", 建筑!G:G, "强化或放宽目标（消极气候影响）") +
COUNTIFS(交通!H:H, "生产导向", 交通!G:G, "新目标") +
COUNTIFS(交通!H:H, "生产导向", 交通!G:G, "强化或放宽目标（气候影响不明确）") +
COUNTIFS(交通!H:H, "生产导向", 交通!G:G, "强化或放宽目标（积极气候影响）") +
COUNTIFS(交通!H:H, "生产导向", 交通!G:G, "强化或放宽目标（消极气候影响）") +
COUNTIFS('土地利用、土地利用变化和林业'!H:H, "生产导向", '土地利用、土地利用变化和林业'!G:G, "新目标") +
COUNTIFS('土地利用、土地利用变化和林业'!H:H, "生产导向", '土地利用、土地利用变化和林业'!G:G, "强化或放宽目标（气候影响不明确）") +
COUNTIFS('土地利用、土地利用变化和林业'!H:H, "生产导向", '土地利用、土地利用变化和林业'!G:G, "强化或放宽目标（积极气候影响）") +
COUNTIFS('土地利用、土地利用变化和林业'!H:H, "生产导向", '土地利用、土地利用变化和林业'!G:G, "强化或放宽目标（消极气候影响）") +
COUNTIFS(循环经济!H:H, "生产导向", 循环经济!G:G, "新目标") +
COUNTIFS(循环经济!H:H, "生产导向", 循环经济!G:G, "强化或放宽目标（气候影响不明确）") +
COUNTIFS(循环经济!H:H, "生产导向", 循环经济!G:G, "强化或放宽目标（积极气候影响）") +
COUNTIFS(循环经济!H:H, "生产导向", 循环经济!G:G, "强化或放宽目标（消极气候影响）") +
COUNTIFS(金融!H:H, "生产导向", 金融!G:G, "新目标") +
COUNTIFS(金融!H:H, "生产导向", 金融!G:G, "强化或放宽目标（气候影响不明确）") +
COUNTIFS(金融!H:H, "生产导向", 金融!G:G, "强化或放宽目标（积极气候影响）") +
COUNTIFS(金融!H:H, "生产导向", 金融!G:G, "强化或放宽目标（消极气候影响）")</f>
        <v/>
      </c>
    </row>
    <row r="18" ht="19" customHeight="1" s="235">
      <c r="B18" s="39" t="n"/>
      <c r="C18" s="39" t="n"/>
      <c r="D18" s="39" t="n"/>
      <c r="E18" s="39" t="n"/>
      <c r="F18" s="39" t="n"/>
      <c r="K18" s="73" t="n">
        <v>2016</v>
      </c>
      <c r="L18" s="68">
        <f>COUNTIFS(温室气体排放!A:A, 2016, 温室气体排放!G:G, "新目标") +
COUNTIFS(温室气体排放!A:A, 2016, 温室气体排放!G:G, "强化或放宽目标（气候影响不明确）") +
COUNTIFS(温室气体排放!A:A, 2016, 温室气体排放!G:G, "强化或放宽目标（积极气候影响）") +
COUNTIFS(温室气体排放!A:A, 2016, 温室气体排放!G:G, "强化或放宽目标（消极气候影响）") +
COUNTIFS(污染!A:A, 2016, 污染!G:G, "新目标") +
COUNTIFS(污染!A:A, 2016, 污染!G:G, "强化或放宽目标（气候影响不明确）") +
COUNTIFS(污染!A:A, 2016, 污染!G:G, "强化或放宽目标（积极气候影响）") +
COUNTIFS(污染!A:A, 2016, 污染!G:G, "强化或放宽目标（消极气候影响）") +
COUNTIFS('能源|电力'!A:A, 2016, '能源|电力'!G:G, "新目标") +
COUNTIFS('能源|电力'!A:A, 2016, '能源|电力'!G:G, "强化或放宽目标（气候影响不明确）") +
COUNTIFS('能源|电力'!A:A, 2016, '能源|电力'!G:G, "强化或放宽目标（积极气候影响）") +
COUNTIFS('能源|电力'!A:A, 2016, '能源|电力'!G:G, "强化或放宽目标（消极气候影响）") +
COUNTIFS(工业!A:A, 2016, 工业!G:G, "新目标") +
COUNTIFS(工业!A:A, 2016, 工业!G:G, "强化或放宽目标（气候影响不明确）") +
COUNTIFS(工业!A:A, 2016, 工业!G:G, "强化或放宽目标（积极气候影响）") +
COUNTIFS(工业!A:A, 2016, 工业!G:G, "强化或放宽目标（消极气候影响）") +
COUNTIFS(建筑!A:A, 2016, 建筑!G:G, "新目标") +
COUNTIFS(建筑!A:A, 2016, 建筑!G:G, "强化或放宽目标（气候影响不明确）") +
COUNTIFS(建筑!A:A, 2016, 建筑!G:G, "强化或放宽目标（积极气候影响）") +
COUNTIFS(建筑!A:A, 2016, 建筑!G:G, "强化或放宽目标（消极气候影响）") +
COUNTIFS(交通!A:A, 2016, 交通!G:G, "新目标") +
COUNTIFS(交通!A:A, 2016, 交通!G:G, "强化或放宽目标（气候影响不明确）") +
COUNTIFS(交通!A:A, 2016, 交通!G:G, "强化或放宽目标（积极气候影响）") +
COUNTIFS(交通!A:A, 2016, 交通!G:G, "强化或放宽目标（消极气候影响）") +
COUNTIFS('土地利用、土地利用变化和林业'!A:A, 2016, '土地利用、土地利用变化和林业'!G:G, "新目标") +
COUNTIFS('土地利用、土地利用变化和林业'!A:A, 2016, '土地利用、土地利用变化和林业'!G:G, "强化或放宽目标（气候影响不明确）") +
COUNTIFS('土地利用、土地利用变化和林业'!A:A, 2016, '土地利用、土地利用变化和林业'!G:G, "强化或放宽目标（积极气候影响）") +
COUNTIFS('土地利用、土地利用变化和林业'!A:A, 2016, '土地利用、土地利用变化和林业'!G:G, "强化或放宽目标（消极气候影响）") +
COUNTIFS(循环经济!A:A, 2016, 循环经济!G:G, "新目标") +
COUNTIFS(循环经济!A:A, 2016, 循环经济!G:G, "强化或放宽目标（气候影响不明确）") +
COUNTIFS(循环经济!A:A, 2016, 循环经济!G:G, "强化或放宽目标（积极气候影响）") +
COUNTIFS(循环经济!A:A, 2016, 循环经济!G:G, "强化或放宽目标（消极气候影响）") +
COUNTIFS(金融!A:A, 2016, 金融!G:G, "新目标") +
COUNTIFS(金融!A:A, 2016, 金融!G:G, "强化或放宽目标（气候影响不明确）") +
COUNTIFS(金融!A:A, 2016, 金融!G:G, "强化或放宽目标（积极气候影响）") +
COUNTIFS(金融!A:A, 2016, 金融!G:G, "强化或放宽目标（消极气候影响）")</f>
        <v/>
      </c>
      <c r="N18" s="73" t="n">
        <v>2020</v>
      </c>
      <c r="O18" s="74">
        <f>COUNTIFS(温室气体排放!F:F, 2020, 温室气体排放!G:G, "新目标") +
COUNTIFS(温室气体排放!F:F, 2020, 温室气体排放!G:G, "强化或放宽目标（气候影响不明确）") +
COUNTIFS(温室气体排放!F:F, 2020, 温室气体排放!G:G, "强化或放宽目标（积极气候影响）") +
COUNTIFS(温室气体排放!F:F, 2020, 温室气体排放!G:G, "强化或放宽目标（消极气候影响）") +
COUNTIFS(污染!F:F, 2020, 污染!G:G, "新目标") +
COUNTIFS(污染!F:F, 2020, 污染!G:G, "强化或放宽目标（气候影响不明确）") +
COUNTIFS(污染!F:F, 2020, 污染!G:G, "强化或放宽目标（积极气候影响）") +
COUNTIFS(污染!F:F, 2020, 污染!G:G, "强化或放宽目标（消极气候影响）") +
COUNTIFS('能源|电力'!F:F, 2020, '能源|电力'!G:G, "新目标") +
COUNTIFS('能源|电力'!F:F, 2020, '能源|电力'!G:G, "强化或放宽目标（气候影响不明确）") +
COUNTIFS('能源|电力'!F:F, 2020, '能源|电力'!G:G, "强化或放宽目标（积极气候影响）") +
COUNTIFS('能源|电力'!F:F, 2020, '能源|电力'!G:G, "强化或放宽目标（消极气候影响）") +
COUNTIFS(工业!F:F, 2020, 工业!G:G, "新目标") +
COUNTIFS(工业!F:F, 2020, 工业!G:G, "强化或放宽目标（气候影响不明确）") +
COUNTIFS(工业!F:F, 2020, 工业!G:G, "强化或放宽目标（积极气候影响）") +
COUNTIFS(工业!F:F, 2020, 工业!G:G, "强化或放宽目标（消极气候影响）") +
COUNTIFS(建筑!F:F, 2020, 建筑!G:G, "新目标") +
COUNTIFS(建筑!F:F, 2020, 建筑!G:G, "强化或放宽目标（气候影响不明确）") +
COUNTIFS(建筑!F:F, 2020, 建筑!G:G, "强化或放宽目标（积极气候影响）") +
COUNTIFS(建筑!F:F, 2020, 建筑!G:G, "强化或放宽目标（消极气候影响）") +
COUNTIFS(交通!F:F, 2020, 交通!G:G, "新目标") +
COUNTIFS(交通!F:F, 2020, 交通!G:G, "强化或放宽目标（气候影响不明确）") +
COUNTIFS(交通!F:F, 2020, 交通!G:G, "强化或放宽目标（积极气候影响）") +
COUNTIFS(交通!F:F, 2020, 交通!G:G, "强化或放宽目标（消极气候影响）") +
COUNTIFS('土地利用、土地利用变化和林业'!F:F, 2020, '土地利用、土地利用变化和林业'!G:G, "新目标") +
COUNTIFS('土地利用、土地利用变化和林业'!F:F, 2020, '土地利用、土地利用变化和林业'!G:G, "强化或放宽目标（气候影响不明确）") +
COUNTIFS('土地利用、土地利用变化和林业'!F:F, 2020, '土地利用、土地利用变化和林业'!G:G, "强化或放宽目标（积极气候影响）") +
COUNTIFS('土地利用、土地利用变化和林业'!F:F, 2020, '土地利用、土地利用变化和林业'!G:G, "强化或放宽目标（消极气候影响）") +
COUNTIFS(循环经济!F:F, 2020, 循环经济!G:G, "新目标") +
COUNTIFS(循环经济!F:F, 2020, 循环经济!G:G, "强化或放宽目标（气候影响不明确）") +
COUNTIFS(循环经济!F:F, 2020, 循环经济!G:G, "强化或放宽目标（积极气候影响）") +
COUNTIFS(循环经济!F:F, 2020, 循环经济!G:G, "强化或放宽目标（消极气候影响）") +
COUNTIFS(金融!F:F, 2020, 金融!G:G, "新目标") +
COUNTIFS(金融!F:F, 2020, 金融!G:G, "强化或放宽目标（气候影响不明确）") +
COUNTIFS(金融!F:F, 2020, 金融!G:G, "强化或放宽目标（积极气候影响）") +
COUNTIFS(金融!F:F, 2020, 金融!G:G, "强化或放宽目标（消极气候影响）")</f>
        <v/>
      </c>
      <c r="Q18" s="75" t="inlineStr">
        <is>
          <t>工业转型</t>
        </is>
      </c>
      <c r="R18" s="74">
        <f>COUNTIFS(温室气体排放!H:H, "工业转型", 温室气体排放!G:G, "新目标") +
COUNTIFS(温室气体排放!H:H, "工业转型", 温室气体排放!G:G, "强化或放宽目标（气候影响不明确）") +
COUNTIFS(温室气体排放!H:H, "工业转型", 温室气体排放!G:G, "强化或放宽目标（积极气候影响）") +
COUNTIFS(温室气体排放!H:H, "工业转型", 温室气体排放!G:G, "强化或放宽目标（消极气候影响）") +
COUNTIFS(污染!H:H, "工业转型", 污染!G:G, "新目标") +
COUNTIFS(污染!H:H, "工业转型", 污染!G:G, "强化或放宽目标（气候影响不明确）") +
COUNTIFS(污染!H:H, "工业转型", 污染!G:G, "强化或放宽目标（积极气候影响）") +
COUNTIFS(污染!H:H, "工业转型", 污染!G:G, "强化或放宽目标（消极气候影响）") +
COUNTIFS('能源|电力'!H:H, "工业转型", '能源|电力'!G:G, "新目标") +
COUNTIFS('能源|电力'!H:H, "工业转型", '能源|电力'!G:G, "强化或放宽目标（气候影响不明确）") +
COUNTIFS('能源|电力'!H:H, "工业转型", '能源|电力'!G:G, "强化或放宽目标（积极气候影响）") +
COUNTIFS('能源|电力'!H:H, "工业转型", '能源|电力'!G:G, "强化或放宽目标（消极气候影响）") +
COUNTIFS(工业!H:H, "工业转型", 工业!G:G, "新目标") +
COUNTIFS(工业!H:H, "工业转型", 工业!G:G, "强化或放宽目标（气候影响不明确）") +
COUNTIFS(工业!H:H, "工业转型", 工业!G:G, "强化或放宽目标（积极气候影响）") +
COUNTIFS(工业!H:H, "工业转型", 工业!G:G, "强化或放宽目标（消极气候影响）") +
COUNTIFS(建筑!H:H, "工业转型", 建筑!G:G, "新目标") +
COUNTIFS(建筑!H:H, "工业转型", 建筑!G:G, "强化或放宽目标（气候影响不明确）") +
COUNTIFS(建筑!H:H, "工业转型", 建筑!G:G, "强化或放宽目标（积极气候影响）") +
COUNTIFS(建筑!H:H, "工业转型", 建筑!G:G, "强化或放宽目标（消极气候影响）") +
COUNTIFS(交通!H:H, "工业转型", 交通!G:G, "新目标") +
COUNTIFS(交通!H:H, "工业转型", 交通!G:G, "强化或放宽目标（气候影响不明确）") +
COUNTIFS(交通!H:H, "工业转型", 交通!G:G, "强化或放宽目标（积极气候影响）") +
COUNTIFS(交通!H:H, "工业转型", 交通!G:G, "强化或放宽目标（消极气候影响）") +
COUNTIFS('土地利用、土地利用变化和林业'!H:H, "工业转型", '土地利用、土地利用变化和林业'!G:G, "新目标") +
COUNTIFS('土地利用、土地利用变化和林业'!H:H, "工业转型", '土地利用、土地利用变化和林业'!G:G, "强化或放宽目标（气候影响不明确）") +
COUNTIFS('土地利用、土地利用变化和林业'!H:H, "工业转型", '土地利用、土地利用变化和林业'!G:G, "强化或放宽目标（积极气候影响）") +
COUNTIFS('土地利用、土地利用变化和林业'!H:H, "工业转型", '土地利用、土地利用变化和林业'!G:G, "强化或放宽目标（消极气候影响）") +
COUNTIFS(循环经济!H:H, "工业转型", 循环经济!G:G, "新目标") +
COUNTIFS(循环经济!H:H, "工业转型", 循环经济!G:G, "强化或放宽目标（气候影响不明确）") +
COUNTIFS(循环经济!H:H, "工业转型", 循环经济!G:G, "强化或放宽目标（积极气候影响）") +
COUNTIFS(循环经济!H:H, "工业转型", 循环经济!G:G, "强化或放宽目标（消极气候影响）") +
COUNTIFS(金融!H:H, "工业转型", 金融!G:G, "新目标") +
COUNTIFS(金融!H:H, "工业转型", 金融!G:G, "强化或放宽目标（气候影响不明确）") +
COUNTIFS(金融!H:H, "工业转型", 金融!G:G, "强化或放宽目标（积极气候影响）") +
COUNTIFS(金融!H:H, "工业转型", 金融!G:G, "强化或放宽目标（消极气候影响）")</f>
        <v/>
      </c>
    </row>
    <row r="19" ht="19" customHeight="1" s="235">
      <c r="B19" s="39" t="n"/>
      <c r="C19" s="39" t="n"/>
      <c r="D19" s="39" t="n"/>
      <c r="E19" s="39" t="n"/>
      <c r="F19" s="39" t="n"/>
      <c r="K19" s="73" t="n">
        <v>2017</v>
      </c>
      <c r="L19" s="68">
        <f>COUNTIFS(温室气体排放!A:A, 2017, 温室气体排放!G:G, "新目标") +
COUNTIFS(温室气体排放!A:A, 2017, 温室气体排放!G:G, "强化或放宽目标（气候影响不明确）") +
COUNTIFS(温室气体排放!A:A, 2017, 温室气体排放!G:G, "强化或放宽目标（积极气候影响）") +
COUNTIFS(温室气体排放!A:A, 2017, 温室气体排放!G:G, "强化或放宽目标（消极气候影响）") +
COUNTIFS(污染!A:A, 2017, 污染!G:G, "新目标") +
COUNTIFS(污染!A:A, 2017, 污染!G:G, "强化或放宽目标（气候影响不明确）") +
COUNTIFS(污染!A:A, 2017, 污染!G:G, "强化或放宽目标（积极气候影响）") +
COUNTIFS(污染!A:A, 2017, 污染!G:G, "强化或放宽目标（消极气候影响）") +
COUNTIFS('能源|电力'!A:A, 2017, '能源|电力'!G:G, "新目标") +
COUNTIFS('能源|电力'!A:A, 2017, '能源|电力'!G:G, "强化或放宽目标（气候影响不明确）") +
COUNTIFS('能源|电力'!A:A, 2017, '能源|电力'!G:G, "强化或放宽目标（积极气候影响）") +
COUNTIFS('能源|电力'!A:A, 2017, '能源|电力'!G:G, "强化或放宽目标（消极气候影响）") +
COUNTIFS(工业!A:A, 2017, 工业!G:G, "新目标") +
COUNTIFS(工业!A:A, 2017, 工业!G:G, "强化或放宽目标（气候影响不明确）") +
COUNTIFS(工业!A:A, 2017, 工业!G:G, "强化或放宽目标（积极气候影响）") +
COUNTIFS(工业!A:A, 2017, 工业!G:G, "强化或放宽目标（消极气候影响）") +
COUNTIFS(建筑!A:A, 2017, 建筑!G:G, "新目标") +
COUNTIFS(建筑!A:A, 2017, 建筑!G:G, "强化或放宽目标（气候影响不明确）") +
COUNTIFS(建筑!A:A, 2017, 建筑!G:G, "强化或放宽目标（积极气候影响）") +
COUNTIFS(建筑!A:A, 2017, 建筑!G:G, "强化或放宽目标（消极气候影响）") +
COUNTIFS(交通!A:A, 2017, 交通!G:G, "新目标") +
COUNTIFS(交通!A:A, 2017, 交通!G:G, "强化或放宽目标（气候影响不明确）") +
COUNTIFS(交通!A:A, 2017, 交通!G:G, "强化或放宽目标（积极气候影响）") +
COUNTIFS(交通!A:A, 2017, 交通!G:G, "强化或放宽目标（消极气候影响）") +
COUNTIFS('土地利用、土地利用变化和林业'!A:A, 2017, '土地利用、土地利用变化和林业'!G:G, "新目标") +
COUNTIFS('土地利用、土地利用变化和林业'!A:A, 2017, '土地利用、土地利用变化和林业'!G:G, "强化或放宽目标（气候影响不明确）") +
COUNTIFS('土地利用、土地利用变化和林业'!A:A, 2017, '土地利用、土地利用变化和林业'!G:G, "强化或放宽目标（积极气候影响）") +
COUNTIFS('土地利用、土地利用变化和林业'!A:A, 2017, '土地利用、土地利用变化和林业'!G:G, "强化或放宽目标（消极气候影响）") +
COUNTIFS(循环经济!A:A, 2017, 循环经济!G:G, "新目标") +
COUNTIFS(循环经济!A:A, 2017, 循环经济!G:G, "强化或放宽目标（气候影响不明确）") +
COUNTIFS(循环经济!A:A, 2017, 循环经济!G:G, "强化或放宽目标（积极气候影响）") +
COUNTIFS(循环经济!A:A, 2017, 循环经济!G:G, "强化或放宽目标（消极气候影响）") +
COUNTIFS(金融!A:A, 2017, 金融!G:G, "新目标") +
COUNTIFS(金融!A:A, 2017, 金融!G:G, "强化或放宽目标（气候影响不明确）") +
COUNTIFS(金融!A:A, 2017, 金融!G:G, "强化或放宽目标（积极气候影响）") +
COUNTIFS(金融!A:A, 2017, 金融!G:G, "强化或放宽目标（消极气候影响）")</f>
        <v/>
      </c>
      <c r="N19" s="73" t="inlineStr">
        <is>
          <t>十三五</t>
        </is>
      </c>
      <c r="O19" s="74">
        <f>COUNTIFS(温室气体排放!F:F, "十三五", 温室气体排放!G:G, "新目标") +
COUNTIFS(温室气体排放!F:F, "十三五", 温室气体排放!G:G, "强化或放宽目标（气候影响不明确）") +
COUNTIFS(温室气体排放!F:F, "十三五", 温室气体排放!G:G, "强化或放宽目标（积极气候影响）") +
COUNTIFS(温室气体排放!F:F, "十三五", 温室气体排放!G:G, "强化或放宽目标（消极气候影响）") +
COUNTIFS(污染!F:F, "十三五", 污染!G:G, "新目标") +
COUNTIFS(污染!F:F, "十三五", 污染!G:G, "强化或放宽目标（气候影响不明确）") +
COUNTIFS(污染!F:F, "十三五", 污染!G:G, "强化或放宽目标（积极气候影响）") +
COUNTIFS(污染!F:F, "十三五", 污染!G:G, "强化或放宽目标（消极气候影响）") +
COUNTIFS('能源|电力'!F:F, "十三五", '能源|电力'!G:G, "新目标") +
COUNTIFS('能源|电力'!F:F, "十三五", '能源|电力'!G:G, "强化或放宽目标（气候影响不明确）") +
COUNTIFS('能源|电力'!F:F, "十三五", '能源|电力'!G:G, "强化或放宽目标（积极气候影响）") +
COUNTIFS('能源|电力'!F:F, "十三五", '能源|电力'!G:G, "强化或放宽目标（消极气候影响）") +
COUNTIFS(工业!F:F, "十三五", 工业!G:G, "新目标") +
COUNTIFS(工业!F:F, "十三五", 工业!G:G, "强化或放宽目标（气候影响不明确）") +
COUNTIFS(工业!F:F, "十三五", 工业!G:G, "强化或放宽目标（积极气候影响）") +
COUNTIFS(工业!F:F, "十三五", 工业!G:G, "强化或放宽目标（消极气候影响）") +
COUNTIFS(建筑!F:F, "十三五", 建筑!G:G, "新目标") +
COUNTIFS(建筑!F:F, "十三五", 建筑!G:G, "强化或放宽目标（气候影响不明确）") +
COUNTIFS(建筑!F:F, "十三五", 建筑!G:G, "强化或放宽目标（积极气候影响）") +
COUNTIFS(建筑!F:F, "十三五", 建筑!G:G, "强化或放宽目标（消极气候影响）") +
COUNTIFS(交通!F:F, "十三五", 交通!G:G, "新目标") +
COUNTIFS(交通!F:F, "十三五", 交通!G:G, "强化或放宽目标（气候影响不明确）") +
COUNTIFS(交通!F:F, "十三五", 交通!G:G, "强化或放宽目标（积极气候影响）") +
COUNTIFS(交通!F:F, "十三五", 交通!G:G, "强化或放宽目标（消极气候影响）") +
COUNTIFS('土地利用、土地利用变化和林业'!F:F, "十三五", '土地利用、土地利用变化和林业'!G:G, "新目标") +
COUNTIFS('土地利用、土地利用变化和林业'!F:F, "十三五", '土地利用、土地利用变化和林业'!G:G, "强化或放宽目标（气候影响不明确）") +
COUNTIFS('土地利用、土地利用变化和林业'!F:F, "十三五", '土地利用、土地利用变化和林业'!G:G, "强化或放宽目标（积极气候影响）") +
COUNTIFS('土地利用、土地利用变化和林业'!F:F, "十三五", '土地利用、土地利用变化和林业'!G:G, "强化或放宽目标（消极气候影响）") +
COUNTIFS(循环经济!F:F, "十三五", 循环经济!G:G, "新目标") +
COUNTIFS(循环经济!F:F, "十三五", 循环经济!G:G, "强化或放宽目标（气候影响不明确）") +
COUNTIFS(循环经济!F:F, "十三五", 循环经济!G:G, "强化或放宽目标（积极气候影响）") +
COUNTIFS(循环经济!F:F, "十三五", 循环经济!G:G, "强化或放宽目标（消极气候影响）") +
COUNTIFS(金融!F:F, "十三五", 金融!G:G, "新目标") +
COUNTIFS(金融!F:F, "十三五", 金融!G:G, "强化或放宽目标（气候影响不明确）") +
COUNTIFS(金融!F:F, "十三五", 金融!G:G, "强化或放宽目标（积极气候影响）") +
COUNTIFS(金融!F:F, "十三五", 金融!G:G, "强化或放宽目标（消极气候影响）")</f>
        <v/>
      </c>
      <c r="Q19" s="75" t="inlineStr">
        <is>
          <t>技术创新</t>
        </is>
      </c>
      <c r="R19" s="74">
        <f>COUNTIFS(温室气体排放!H:H, "技术创新", 温室气体排放!G:G, "新目标") +
COUNTIFS(温室气体排放!H:H, "技术创新", 温室气体排放!G:G, "强化或放宽目标（气候影响不明确）") +
COUNTIFS(温室气体排放!H:H, "技术创新", 温室气体排放!G:G, "强化或放宽目标（积极气候影响）") +
COUNTIFS(温室气体排放!H:H, "技术创新", 温室气体排放!G:G, "强化或放宽目标（消极气候影响）") +
COUNTIFS(污染!H:H, "技术创新", 污染!G:G, "新目标") +
COUNTIFS(污染!H:H, "技术创新", 污染!G:G, "强化或放宽目标（气候影响不明确）") +
COUNTIFS(污染!H:H, "技术创新", 污染!G:G, "强化或放宽目标（积极气候影响）") +
COUNTIFS(污染!H:H, "技术创新", 污染!G:G, "强化或放宽目标（消极气候影响）") +
COUNTIFS('能源|电力'!H:H, "技术创新", '能源|电力'!G:G, "新目标") +
COUNTIFS('能源|电力'!H:H, "技术创新", '能源|电力'!G:G, "强化或放宽目标（气候影响不明确）") +
COUNTIFS('能源|电力'!H:H, "技术创新", '能源|电力'!G:G, "强化或放宽目标（积极气候影响）") +
COUNTIFS('能源|电力'!H:H, "技术创新", '能源|电力'!G:G, "强化或放宽目标（消极气候影响）") +
COUNTIFS(工业!H:H, "技术创新", 工业!G:G, "新目标") +
COUNTIFS(工业!H:H, "技术创新", 工业!G:G, "强化或放宽目标（气候影响不明确）") +
COUNTIFS(工业!H:H, "技术创新", 工业!G:G, "强化或放宽目标（积极气候影响）") +
COUNTIFS(工业!H:H, "技术创新", 工业!G:G, "强化或放宽目标（消极气候影响）") +
COUNTIFS(建筑!H:H, "技术创新", 建筑!G:G, "新目标") +
COUNTIFS(建筑!H:H, "技术创新", 建筑!G:G, "强化或放宽目标（气候影响不明确）") +
COUNTIFS(建筑!H:H, "技术创新", 建筑!G:G, "强化或放宽目标（积极气候影响）") +
COUNTIFS(建筑!H:H, "技术创新", 建筑!G:G, "强化或放宽目标（消极气候影响）") +
COUNTIFS(交通!H:H, "技术创新", 交通!G:G, "新目标") +
COUNTIFS(交通!H:H, "技术创新", 交通!G:G, "强化或放宽目标（气候影响不明确）") +
COUNTIFS(交通!H:H, "技术创新", 交通!G:G, "强化或放宽目标（积极气候影响）") +
COUNTIFS(交通!H:H, "技术创新", 交通!G:G, "强化或放宽目标（消极气候影响）") +
COUNTIFS('土地利用、土地利用变化和林业'!H:H, "技术创新", '土地利用、土地利用变化和林业'!G:G, "新目标") +
COUNTIFS('土地利用、土地利用变化和林业'!H:H, "技术创新", '土地利用、土地利用变化和林业'!G:G, "强化或放宽目标（气候影响不明确）") +
COUNTIFS('土地利用、土地利用变化和林业'!H:H, "技术创新", '土地利用、土地利用变化和林业'!G:G, "强化或放宽目标（积极气候影响）") +
COUNTIFS('土地利用、土地利用变化和林业'!H:H, "技术创新", '土地利用、土地利用变化和林业'!G:G, "强化或放宽目标（消极气候影响）") +
COUNTIFS(循环经济!H:H, "技术创新", 循环经济!G:G, "新目标") +
COUNTIFS(循环经济!H:H, "技术创新", 循环经济!G:G, "强化或放宽目标（气候影响不明确）") +
COUNTIFS(循环经济!H:H, "技术创新", 循环经济!G:G, "强化或放宽目标（积极气候影响）") +
COUNTIFS(循环经济!H:H, "技术创新", 循环经济!G:G, "强化或放宽目标（消极气候影响）") +
COUNTIFS(金融!H:H, "技术创新", 金融!G:G, "新目标") +
COUNTIFS(金融!H:H, "技术创新", 金融!G:G, "强化或放宽目标（气候影响不明确）") +
COUNTIFS(金融!H:H, "技术创新", 金融!G:G, "强化或放宽目标（积极气候影响）") +
COUNTIFS(金融!H:H, "技术创新", 金融!G:G, "强化或放宽目标（消极气候影响）")</f>
        <v/>
      </c>
    </row>
    <row r="20" ht="19" customHeight="1" s="235">
      <c r="B20" s="39" t="n"/>
      <c r="C20" s="39" t="n"/>
      <c r="D20" s="39" t="n"/>
      <c r="E20" s="39" t="n"/>
      <c r="F20" s="39" t="n"/>
      <c r="K20" s="73" t="n">
        <v>2018</v>
      </c>
      <c r="L20" s="68">
        <f>COUNTIFS(温室气体排放!A:A, 2018, 温室气体排放!G:G, "新目标") +
COUNTIFS(温室气体排放!A:A, 2018, 温室气体排放!G:G, "强化或放宽目标（气候影响不明确）") +
COUNTIFS(温室气体排放!A:A, 2018, 温室气体排放!G:G, "强化或放宽目标（积极气候影响）") +
COUNTIFS(温室气体排放!A:A, 2018, 温室气体排放!G:G, "强化或放宽目标（消极气候影响）") +
COUNTIFS(污染!A:A, 2018, 污染!G:G, "新目标") +
COUNTIFS(污染!A:A, 2018, 污染!G:G, "强化或放宽目标（气候影响不明确）") +
COUNTIFS(污染!A:A, 2018, 污染!G:G, "强化或放宽目标（积极气候影响）") +
COUNTIFS(污染!A:A, 2018, 污染!G:G, "强化或放宽目标（消极气候影响）") +
COUNTIFS('能源|电力'!A:A, 2018, '能源|电力'!G:G, "新目标") +
COUNTIFS('能源|电力'!A:A, 2018, '能源|电力'!G:G, "强化或放宽目标（气候影响不明确）") +
COUNTIFS('能源|电力'!A:A, 2018, '能源|电力'!G:G, "强化或放宽目标（积极气候影响）") +
COUNTIFS('能源|电力'!A:A, 2018, '能源|电力'!G:G, "强化或放宽目标（消极气候影响）") +
COUNTIFS(工业!A:A, 2018, 工业!G:G, "新目标") +
COUNTIFS(工业!A:A, 2018, 工业!G:G, "强化或放宽目标（气候影响不明确）") +
COUNTIFS(工业!A:A, 2018, 工业!G:G, "强化或放宽目标（积极气候影响）") +
COUNTIFS(工业!A:A, 2018, 工业!G:G, "强化或放宽目标（消极气候影响）") +
COUNTIFS(建筑!A:A, 2018, 建筑!G:G, "新目标") +
COUNTIFS(建筑!A:A, 2018, 建筑!G:G, "强化或放宽目标（气候影响不明确）") +
COUNTIFS(建筑!A:A, 2018, 建筑!G:G, "强化或放宽目标（积极气候影响）") +
COUNTIFS(建筑!A:A, 2018, 建筑!G:G, "强化或放宽目标（消极气候影响）") +
COUNTIFS(交通!A:A, 2018, 交通!G:G, "新目标") +
COUNTIFS(交通!A:A, 2018, 交通!G:G, "强化或放宽目标（气候影响不明确）") +
COUNTIFS(交通!A:A, 2018, 交通!G:G, "强化或放宽目标（积极气候影响）") +
COUNTIFS(交通!A:A, 2018, 交通!G:G, "强化或放宽目标（消极气候影响）") +
COUNTIFS('土地利用、土地利用变化和林业'!A:A, 2018, '土地利用、土地利用变化和林业'!G:G, "新目标") +
COUNTIFS('土地利用、土地利用变化和林业'!A:A, 2018, '土地利用、土地利用变化和林业'!G:G, "强化或放宽目标（气候影响不明确）") +
COUNTIFS('土地利用、土地利用变化和林业'!A:A, 2018, '土地利用、土地利用变化和林业'!G:G, "强化或放宽目标（积极气候影响）") +
COUNTIFS('土地利用、土地利用变化和林业'!A:A, 2018, '土地利用、土地利用变化和林业'!G:G, "强化或放宽目标（消极气候影响）") +
COUNTIFS(循环经济!A:A, 2018, 循环经济!G:G, "新目标") +
COUNTIFS(循环经济!A:A, 2018, 循环经济!G:G, "强化或放宽目标（气候影响不明确）") +
COUNTIFS(循环经济!A:A, 2018, 循环经济!G:G, "强化或放宽目标（积极气候影响）") +
COUNTIFS(循环经济!A:A, 2018, 循环经济!G:G, "强化或放宽目标（消极气候影响）") +
COUNTIFS(金融!A:A, 2018, 金融!G:G, "新目标") +
COUNTIFS(金融!A:A, 2018, 金融!G:G, "强化或放宽目标（气候影响不明确）") +
COUNTIFS(金融!A:A, 2018, 金融!G:G, "强化或放宽目标（积极气候影响）") +
COUNTIFS(金融!A:A, 2018, 金融!G:G, "强化或放宽目标（消极气候影响）")</f>
        <v/>
      </c>
      <c r="N20" s="73" t="n">
        <v>2021</v>
      </c>
      <c r="O20" s="74">
        <f>COUNTIFS(温室气体排放!F:F, 2021, 温室气体排放!G:G, "新目标") +
COUNTIFS(温室气体排放!F:F, 2021, 温室气体排放!G:G, "强化或放宽目标（气候影响不明确）") +
COUNTIFS(温室气体排放!F:F, 2021, 温室气体排放!G:G, "强化或放宽目标（积极气候影响）") +
COUNTIFS(温室气体排放!F:F, 2021, 温室气体排放!G:G, "强化或放宽目标（消极气候影响）") +
COUNTIFS(污染!F:F, 2021, 污染!G:G, "新目标") +
COUNTIFS(污染!F:F, 2021, 污染!G:G, "强化或放宽目标（气候影响不明确）") +
COUNTIFS(污染!F:F, 2021, 污染!G:G, "强化或放宽目标（积极气候影响）") +
COUNTIFS(污染!F:F, 2021, 污染!G:G, "强化或放宽目标（消极气候影响）") +
COUNTIFS('能源|电力'!F:F, 2021, '能源|电力'!G:G, "新目标") +
COUNTIFS('能源|电力'!F:F, 2021, '能源|电力'!G:G, "强化或放宽目标（气候影响不明确）") +
COUNTIFS('能源|电力'!F:F, 2021, '能源|电力'!G:G, "强化或放宽目标（积极气候影响）") +
COUNTIFS('能源|电力'!F:F, 2021, '能源|电力'!G:G, "强化或放宽目标（消极气候影响）") +
COUNTIFS(工业!F:F, 2021, 工业!G:G, "新目标") +
COUNTIFS(工业!F:F, 2021, 工业!G:G, "强化或放宽目标（气候影响不明确）") +
COUNTIFS(工业!F:F, 2021, 工业!G:G, "强化或放宽目标（积极气候影响）") +
COUNTIFS(工业!F:F, 2021, 工业!G:G, "强化或放宽目标（消极气候影响）") +
COUNTIFS(建筑!F:F, 2021, 建筑!G:G, "新目标") +
COUNTIFS(建筑!F:F, 2021, 建筑!G:G, "强化或放宽目标（气候影响不明确）") +
COUNTIFS(建筑!F:F, 2021, 建筑!G:G, "强化或放宽目标（积极气候影响）") +
COUNTIFS(建筑!F:F, 2021, 建筑!G:G, "强化或放宽目标（消极气候影响）") +
COUNTIFS(交通!F:F, 2021, 交通!G:G, "新目标") +
COUNTIFS(交通!F:F, 2021, 交通!G:G, "强化或放宽目标（气候影响不明确）") +
COUNTIFS(交通!F:F, 2021, 交通!G:G, "强化或放宽目标（积极气候影响）") +
COUNTIFS(交通!F:F, 2021, 交通!G:G, "强化或放宽目标（消极气候影响）") +
COUNTIFS('土地利用、土地利用变化和林业'!F:F, 2021, '土地利用、土地利用变化和林业'!G:G, "新目标") +
COUNTIFS('土地利用、土地利用变化和林业'!F:F, 2021, '土地利用、土地利用变化和林业'!G:G, "强化或放宽目标（气候影响不明确）") +
COUNTIFS('土地利用、土地利用变化和林业'!F:F, 2021, '土地利用、土地利用变化和林业'!G:G, "强化或放宽目标（积极气候影响）") +
COUNTIFS('土地利用、土地利用变化和林业'!F:F, 2021, '土地利用、土地利用变化和林业'!G:G, "强化或放宽目标（消极气候影响）") +
COUNTIFS(循环经济!F:F, 2021, 循环经济!G:G, "新目标") +
COUNTIFS(循环经济!F:F, 2021, 循环经济!G:G, "强化或放宽目标（气候影响不明确）") +
COUNTIFS(循环经济!F:F, 2021, 循环经济!G:G, "强化或放宽目标（积极气候影响）") +
COUNTIFS(循环经济!F:F, 2021, 循环经济!G:G, "强化或放宽目标（消极气候影响）") +
COUNTIFS(金融!F:F, 2021, 金融!G:G, "新目标") +
COUNTIFS(金融!F:F, 2021, 金融!G:G, "强化或放宽目标（气候影响不明确）") +
COUNTIFS(金融!F:F, 2021, 金融!G:G, "强化或放宽目标（积极气候影响）") +
COUNTIFS(金融!F:F, 2021, 金融!G:G, "强化或放宽目标（消极气候影响）")</f>
        <v/>
      </c>
      <c r="Q20" s="75" t="inlineStr">
        <is>
          <t>绿色交通</t>
        </is>
      </c>
      <c r="R20" s="74">
        <f>COUNTIFS(温室气体排放!H:H, "绿色交通", 温室气体排放!G:G, "新目标") +
COUNTIFS(温室气体排放!H:H, "绿色交通", 温室气体排放!G:G, "强化或放宽目标（气候影响不明确）") +
COUNTIFS(温室气体排放!H:H, "绿色交通", 温室气体排放!G:G, "强化或放宽目标（积极气候影响）") +
COUNTIFS(温室气体排放!H:H, "绿色交通", 温室气体排放!G:G, "强化或放宽目标（消极气候影响）") +
COUNTIFS(污染!H:H, "绿色交通", 污染!G:G, "新目标") +
COUNTIFS(污染!H:H, "绿色交通", 污染!G:G, "强化或放宽目标（气候影响不明确）") +
COUNTIFS(污染!H:H, "绿色交通", 污染!G:G, "强化或放宽目标（积极气候影响）") +
COUNTIFS(污染!H:H, "绿色交通", 污染!G:G, "强化或放宽目标（消极气候影响）") +
COUNTIFS('能源|电力'!H:H, "绿色交通", '能源|电力'!G:G, "新目标") +
COUNTIFS('能源|电力'!H:H, "绿色交通", '能源|电力'!G:G, "强化或放宽目标（气候影响不明确）") +
COUNTIFS('能源|电力'!H:H, "绿色交通", '能源|电力'!G:G, "强化或放宽目标（积极气候影响）") +
COUNTIFS('能源|电力'!H:H, "绿色交通", '能源|电力'!G:G, "强化或放宽目标（消极气候影响）") +
COUNTIFS(工业!H:H, "绿色交通", 工业!G:G, "新目标") +
COUNTIFS(工业!H:H, "绿色交通", 工业!G:G, "强化或放宽目标（气候影响不明确）") +
COUNTIFS(工业!H:H, "绿色交通", 工业!G:G, "强化或放宽目标（积极气候影响）") +
COUNTIFS(工业!H:H, "绿色交通", 工业!G:G, "强化或放宽目标（消极气候影响）") +
COUNTIFS(建筑!H:H, "绿色交通", 建筑!G:G, "新目标") +
COUNTIFS(建筑!H:H, "绿色交通", 建筑!G:G, "强化或放宽目标（气候影响不明确）") +
COUNTIFS(建筑!H:H, "绿色交通", 建筑!G:G, "强化或放宽目标（积极气候影响）") +
COUNTIFS(建筑!H:H, "绿色交通", 建筑!G:G, "强化或放宽目标（消极气候影响）") +
COUNTIFS(交通!H:H, "绿色交通", 交通!G:G, "新目标") +
COUNTIFS(交通!H:H, "绿色交通", 交通!G:G, "强化或放宽目标（气候影响不明确）") +
COUNTIFS(交通!H:H, "绿色交通", 交通!G:G, "强化或放宽目标（积极气候影响）") +
COUNTIFS(交通!H:H, "绿色交通", 交通!G:G, "强化或放宽目标（消极气候影响）") +
COUNTIFS('土地利用、土地利用变化和林业'!H:H, "绿色交通", '土地利用、土地利用变化和林业'!G:G, "新目标") +
COUNTIFS('土地利用、土地利用变化和林业'!H:H, "绿色交通", '土地利用、土地利用变化和林业'!G:G, "强化或放宽目标（气候影响不明确）") +
COUNTIFS('土地利用、土地利用变化和林业'!H:H, "绿色交通", '土地利用、土地利用变化和林业'!G:G, "强化或放宽目标（积极气候影响）") +
COUNTIFS('土地利用、土地利用变化和林业'!H:H, "绿色交通", '土地利用、土地利用变化和林业'!G:G, "强化或放宽目标（消极气候影响）") +
COUNTIFS(循环经济!H:H, "绿色交通", 循环经济!G:G, "新目标") +
COUNTIFS(循环经济!H:H, "绿色交通", 循环经济!G:G, "强化或放宽目标（气候影响不明确）") +
COUNTIFS(循环经济!H:H, "绿色交通", 循环经济!G:G, "强化或放宽目标（积极气候影响）") +
COUNTIFS(循环经济!H:H, "绿色交通", 循环经济!G:G, "强化或放宽目标（消极气候影响）") +
COUNTIFS(金融!H:H, "绿色交通", 金融!G:G, "新目标") +
COUNTIFS(金融!H:H, "绿色交通", 金融!G:G, "强化或放宽目标（气候影响不明确）") +
COUNTIFS(金融!H:H, "绿色交通", 金融!G:G, "强化或放宽目标（积极气候影响）") +
COUNTIFS(金融!H:H, "绿色交通", 金融!G:G, "强化或放宽目标（消极气候影响）")</f>
        <v/>
      </c>
    </row>
    <row r="21" ht="19" customHeight="1" s="235">
      <c r="B21" s="39" t="n"/>
      <c r="C21" s="39" t="n"/>
      <c r="D21" s="39" t="n"/>
      <c r="E21" s="39" t="n"/>
      <c r="F21" s="39" t="n"/>
      <c r="K21" s="73" t="n">
        <v>2019</v>
      </c>
      <c r="L21" s="68">
        <f>COUNTIFS(温室气体排放!A:A, 2019, 温室气体排放!G:G, "新目标") +
COUNTIFS(温室气体排放!A:A, 2019, 温室气体排放!G:G, "强化或放宽目标（气候影响不明确）") +
COUNTIFS(温室气体排放!A:A, 2019, 温室气体排放!G:G, "强化或放宽目标（积极气候影响）") +
COUNTIFS(温室气体排放!A:A, 2019, 温室气体排放!G:G, "强化或放宽目标（消极气候影响）") +
COUNTIFS(污染!A:A, 2019, 污染!G:G, "新目标") +
COUNTIFS(污染!A:A, 2019, 污染!G:G, "强化或放宽目标（气候影响不明确）") +
COUNTIFS(污染!A:A, 2019, 污染!G:G, "强化或放宽目标（积极气候影响）") +
COUNTIFS(污染!A:A, 2019, 污染!G:G, "强化或放宽目标（消极气候影响）") +
COUNTIFS('能源|电力'!A:A, 2019, '能源|电力'!G:G, "新目标") +
COUNTIFS('能源|电力'!A:A, 2019, '能源|电力'!G:G, "强化或放宽目标（气候影响不明确）") +
COUNTIFS('能源|电力'!A:A, 2019, '能源|电力'!G:G, "强化或放宽目标（积极气候影响）") +
COUNTIFS('能源|电力'!A:A, 2019, '能源|电力'!G:G, "强化或放宽目标（消极气候影响）") +
COUNTIFS(工业!A:A, 2019, 工业!G:G, "新目标") +
COUNTIFS(工业!A:A, 2019, 工业!G:G, "强化或放宽目标（气候影响不明确）") +
COUNTIFS(工业!A:A, 2019, 工业!G:G, "强化或放宽目标（积极气候影响）") +
COUNTIFS(工业!A:A, 2019, 工业!G:G, "强化或放宽目标（消极气候影响）") +
COUNTIFS(建筑!A:A, 2019, 建筑!G:G, "新目标") +
COUNTIFS(建筑!A:A, 2019, 建筑!G:G, "强化或放宽目标（气候影响不明确）") +
COUNTIFS(建筑!A:A, 2019, 建筑!G:G, "强化或放宽目标（积极气候影响）") +
COUNTIFS(建筑!A:A, 2019, 建筑!G:G, "强化或放宽目标（消极气候影响）") +
COUNTIFS(交通!A:A, 2019, 交通!G:G, "新目标") +
COUNTIFS(交通!A:A, 2019, 交通!G:G, "强化或放宽目标（气候影响不明确）") +
COUNTIFS(交通!A:A, 2019, 交通!G:G, "强化或放宽目标（积极气候影响）") +
COUNTIFS(交通!A:A, 2019, 交通!G:G, "强化或放宽目标（消极气候影响）") +
COUNTIFS('土地利用、土地利用变化和林业'!A:A, 2019, '土地利用、土地利用变化和林业'!G:G, "新目标") +
COUNTIFS('土地利用、土地利用变化和林业'!A:A, 2019, '土地利用、土地利用变化和林业'!G:G, "强化或放宽目标（气候影响不明确）") +
COUNTIFS('土地利用、土地利用变化和林业'!A:A, 2019, '土地利用、土地利用变化和林业'!G:G, "强化或放宽目标（积极气候影响）") +
COUNTIFS('土地利用、土地利用变化和林业'!A:A, 2019, '土地利用、土地利用变化和林业'!G:G, "强化或放宽目标（消极气候影响）") +
COUNTIFS(循环经济!A:A, 2019, 循环经济!G:G, "新目标") +
COUNTIFS(循环经济!A:A, 2019, 循环经济!G:G, "强化或放宽目标（气候影响不明确）") +
COUNTIFS(循环经济!A:A, 2019, 循环经济!G:G, "强化或放宽目标（积极气候影响）") +
COUNTIFS(循环经济!A:A, 2019, 循环经济!G:G, "强化或放宽目标（消极气候影响）") +
COUNTIFS(金融!A:A, 2019, 金融!G:G, "新目标") +
COUNTIFS(金融!A:A, 2019, 金融!G:G, "强化或放宽目标（气候影响不明确）") +
COUNTIFS(金融!A:A, 2019, 金融!G:G, "强化或放宽目标（积极气候影响）") +
COUNTIFS(金融!A:A, 2019, 金融!G:G, "强化或放宽目标（消极气候影响）")</f>
        <v/>
      </c>
      <c r="N21" s="73" t="n">
        <v>2022</v>
      </c>
      <c r="O21" s="74">
        <f>COUNTIFS(温室气体排放!F:F, 2022, 温室气体排放!G:G, "新目标") +
COUNTIFS(温室气体排放!F:F, 2022, 温室气体排放!G:G, "强化或放宽目标（气候影响不明确）") +
COUNTIFS(温室气体排放!F:F, 2022, 温室气体排放!G:G, "强化或放宽目标（积极气候影响）") +
COUNTIFS(温室气体排放!F:F, 2022, 温室气体排放!G:G, "强化或放宽目标（消极气候影响）") +
COUNTIFS(污染!F:F, 2022, 污染!G:G, "新目标") +
COUNTIFS(污染!F:F, 2022, 污染!G:G, "强化或放宽目标（气候影响不明确）") +
COUNTIFS(污染!F:F, 2022, 污染!G:G, "强化或放宽目标（积极气候影响）") +
COUNTIFS(污染!F:F, 2022, 污染!G:G, "强化或放宽目标（消极气候影响）") +
COUNTIFS('能源|电力'!F:F, 2022, '能源|电力'!G:G, "新目标") +
COUNTIFS('能源|电力'!F:F, 2022, '能源|电力'!G:G, "强化或放宽目标（气候影响不明确）") +
COUNTIFS('能源|电力'!F:F, 2022, '能源|电力'!G:G, "强化或放宽目标（积极气候影响）") +
COUNTIFS('能源|电力'!F:F, 2022, '能源|电力'!G:G, "强化或放宽目标（消极气候影响）") +
COUNTIFS(工业!F:F, 2022, 工业!G:G, "新目标") +
COUNTIFS(工业!F:F, 2022, 工业!G:G, "强化或放宽目标（气候影响不明确）") +
COUNTIFS(工业!F:F, 2022, 工业!G:G, "强化或放宽目标（积极气候影响）") +
COUNTIFS(工业!F:F, 2022, 工业!G:G, "强化或放宽目标（消极气候影响）") +
COUNTIFS(建筑!F:F, 2022, 建筑!G:G, "新目标") +
COUNTIFS(建筑!F:F, 2022, 建筑!G:G, "强化或放宽目标（气候影响不明确）") +
COUNTIFS(建筑!F:F, 2022, 建筑!G:G, "强化或放宽目标（积极气候影响）") +
COUNTIFS(建筑!F:F, 2022, 建筑!G:G, "强化或放宽目标（消极气候影响）") +
COUNTIFS(交通!F:F, 2022, 交通!G:G, "新目标") +
COUNTIFS(交通!F:F, 2022, 交通!G:G, "强化或放宽目标（气候影响不明确）") +
COUNTIFS(交通!F:F, 2022, 交通!G:G, "强化或放宽目标（积极气候影响）") +
COUNTIFS(交通!F:F, 2022, 交通!G:G, "强化或放宽目标（消极气候影响）") +
COUNTIFS('土地利用、土地利用变化和林业'!F:F, 2022, '土地利用、土地利用变化和林业'!G:G, "新目标") +
COUNTIFS('土地利用、土地利用变化和林业'!F:F, 2022, '土地利用、土地利用变化和林业'!G:G, "强化或放宽目标（气候影响不明确）") +
COUNTIFS('土地利用、土地利用变化和林业'!F:F, 2022, '土地利用、土地利用变化和林业'!G:G, "强化或放宽目标（积极气候影响）") +
COUNTIFS('土地利用、土地利用变化和林业'!F:F, 2022, '土地利用、土地利用变化和林业'!G:G, "强化或放宽目标（消极气候影响）") +
COUNTIFS(循环经济!F:F, 2022, 循环经济!G:G, "新目标") +
COUNTIFS(循环经济!F:F, 2022, 循环经济!G:G, "强化或放宽目标（气候影响不明确）") +
COUNTIFS(循环经济!F:F, 2022, 循环经济!G:G, "强化或放宽目标（积极气候影响）") +
COUNTIFS(循环经济!F:F, 2022, 循环经济!G:G, "强化或放宽目标（消极气候影响）") +
COUNTIFS(金融!F:F, 2022, 金融!G:G, "新目标") +
COUNTIFS(金融!F:F, 2022, 金融!G:G, "强化或放宽目标（气候影响不明确）") +
COUNTIFS(金融!F:F, 2022, 金融!G:G, "强化或放宽目标（积极气候影响）") +
COUNTIFS(金融!F:F, 2022, 金融!G:G, "强化或放宽目标（消极气候影响）")</f>
        <v/>
      </c>
      <c r="Q21" s="75" t="inlineStr">
        <is>
          <t>环境质量</t>
        </is>
      </c>
      <c r="R21" s="74">
        <f>COUNTIFS(温室气体排放!H:H, "环境质量", 温室气体排放!G:G, "新目标") +
COUNTIFS(温室气体排放!H:H, "环境质量", 温室气体排放!G:G, "强化或放宽目标（气候影响不明确）") +
COUNTIFS(温室气体排放!H:H, "环境质量", 温室气体排放!G:G, "强化或放宽目标（积极气候影响）") +
COUNTIFS(温室气体排放!H:H, "环境质量", 温室气体排放!G:G, "强化或放宽目标（消极气候影响）") +
COUNTIFS(污染!H:H, "环境质量", 污染!G:G, "新目标") +
COUNTIFS(污染!H:H, "环境质量", 污染!G:G, "强化或放宽目标（气候影响不明确）") +
COUNTIFS(污染!H:H, "环境质量", 污染!G:G, "强化或放宽目标（积极气候影响）") +
COUNTIFS(污染!H:H, "环境质量", 污染!G:G, "强化或放宽目标（消极气候影响）") +
COUNTIFS('能源|电力'!H:H, "环境质量", '能源|电力'!G:G, "新目标") +
COUNTIFS('能源|电力'!H:H, "环境质量", '能源|电力'!G:G, "强化或放宽目标（气候影响不明确）") +
COUNTIFS('能源|电力'!H:H, "环境质量", '能源|电力'!G:G, "强化或放宽目标（积极气候影响）") +
COUNTIFS('能源|电力'!H:H, "环境质量", '能源|电力'!G:G, "强化或放宽目标（消极气候影响）") +
COUNTIFS(工业!H:H, "环境质量", 工业!G:G, "新目标") +
COUNTIFS(工业!H:H, "环境质量", 工业!G:G, "强化或放宽目标（气候影响不明确）") +
COUNTIFS(工业!H:H, "环境质量", 工业!G:G, "强化或放宽目标（积极气候影响）") +
COUNTIFS(工业!H:H, "环境质量", 工业!G:G, "强化或放宽目标（消极气候影响）") +
COUNTIFS(建筑!H:H, "环境质量", 建筑!G:G, "新目标") +
COUNTIFS(建筑!H:H, "环境质量", 建筑!G:G, "强化或放宽目标（气候影响不明确）") +
COUNTIFS(建筑!H:H, "环境质量", 建筑!G:G, "强化或放宽目标（积极气候影响）") +
COUNTIFS(建筑!H:H, "环境质量", 建筑!G:G, "强化或放宽目标（消极气候影响）") +
COUNTIFS(交通!H:H, "环境质量", 交通!G:G, "新目标") +
COUNTIFS(交通!H:H, "环境质量", 交通!G:G, "强化或放宽目标（气候影响不明确）") +
COUNTIFS(交通!H:H, "环境质量", 交通!G:G, "强化或放宽目标（积极气候影响）") +
COUNTIFS(交通!H:H, "环境质量", 交通!G:G, "强化或放宽目标（消极气候影响）") +
COUNTIFS('土地利用、土地利用变化和林业'!H:H, "环境质量", '土地利用、土地利用变化和林业'!G:G, "新目标") +
COUNTIFS('土地利用、土地利用变化和林业'!H:H, "环境质量", '土地利用、土地利用变化和林业'!G:G, "强化或放宽目标（气候影响不明确）") +
COUNTIFS('土地利用、土地利用变化和林业'!H:H, "环境质量", '土地利用、土地利用变化和林业'!G:G, "强化或放宽目标（积极气候影响）") +
COUNTIFS('土地利用、土地利用变化和林业'!H:H, "环境质量", '土地利用、土地利用变化和林业'!G:G, "强化或放宽目标（消极气候影响）") +
COUNTIFS(循环经济!H:H, "环境质量", 循环经济!G:G, "新目标") +
COUNTIFS(循环经济!H:H, "环境质量", 循环经济!G:G, "强化或放宽目标（气候影响不明确）") +
COUNTIFS(循环经济!H:H, "环境质量", 循环经济!G:G, "强化或放宽目标（积极气候影响）") +
COUNTIFS(循环经济!H:H, "环境质量", 循环经济!G:G, "强化或放宽目标（消极气候影响）") +
COUNTIFS(金融!H:H, "环境质量", 金融!G:G, "新目标") +
COUNTIFS(金融!H:H, "环境质量", 金融!G:G, "强化或放宽目标（气候影响不明确）") +
COUNTIFS(金融!H:H, "环境质量", 金融!G:G, "强化或放宽目标（积极气候影响）") +
COUNTIFS(金融!H:H, "环境质量", 金融!G:G, "强化或放宽目标（消极气候影响）")</f>
        <v/>
      </c>
    </row>
    <row r="22" ht="19" customHeight="1" s="235">
      <c r="B22" s="39" t="n"/>
      <c r="C22" s="39" t="n"/>
      <c r="D22" s="39" t="n"/>
      <c r="E22" s="39" t="n"/>
      <c r="F22" s="39" t="n"/>
      <c r="K22" s="73" t="n">
        <v>2020</v>
      </c>
      <c r="L22" s="68">
        <f>COUNTIFS(温室气体排放!A:A, 2020, 温室气体排放!G:G, "新目标") +
COUNTIFS(温室气体排放!A:A, 2020, 温室气体排放!G:G, "强化或放宽目标（气候影响不明确）") +
COUNTIFS(温室气体排放!A:A, 2020, 温室气体排放!G:G, "强化或放宽目标（积极气候影响）") +
COUNTIFS(温室气体排放!A:A, 2020, 温室气体排放!G:G, "强化或放宽目标（消极气候影响）") +
COUNTIFS(污染!A:A, 2020, 污染!G:G, "新目标") +
COUNTIFS(污染!A:A, 2020, 污染!G:G, "强化或放宽目标（气候影响不明确）") +
COUNTIFS(污染!A:A, 2020, 污染!G:G, "强化或放宽目标（积极气候影响）") +
COUNTIFS(污染!A:A, 2020, 污染!G:G, "强化或放宽目标（消极气候影响）") +
COUNTIFS('能源|电力'!A:A, 2020, '能源|电力'!G:G, "新目标") +
COUNTIFS('能源|电力'!A:A, 2020, '能源|电力'!G:G, "强化或放宽目标（气候影响不明确）") +
COUNTIFS('能源|电力'!A:A, 2020, '能源|电力'!G:G, "强化或放宽目标（积极气候影响）") +
COUNTIFS('能源|电力'!A:A, 2020, '能源|电力'!G:G, "强化或放宽目标（消极气候影响）") +
COUNTIFS(工业!A:A, 2020, 工业!G:G, "新目标") +
COUNTIFS(工业!A:A, 2020, 工业!G:G, "强化或放宽目标（气候影响不明确）") +
COUNTIFS(工业!A:A, 2020, 工业!G:G, "强化或放宽目标（积极气候影响）") +
COUNTIFS(工业!A:A, 2020, 工业!G:G, "强化或放宽目标（消极气候影响）") +
COUNTIFS(建筑!A:A, 2020, 建筑!G:G, "新目标") +
COUNTIFS(建筑!A:A, 2020, 建筑!G:G, "强化或放宽目标（气候影响不明确）") +
COUNTIFS(建筑!A:A, 2020, 建筑!G:G, "强化或放宽目标（积极气候影响）") +
COUNTIFS(建筑!A:A, 2020, 建筑!G:G, "强化或放宽目标（消极气候影响）") +
COUNTIFS(交通!A:A, 2020, 交通!G:G, "新目标") +
COUNTIFS(交通!A:A, 2020, 交通!G:G, "强化或放宽目标（气候影响不明确）") +
COUNTIFS(交通!A:A, 2020, 交通!G:G, "强化或放宽目标（积极气候影响）") +
COUNTIFS(交通!A:A, 2020, 交通!G:G, "强化或放宽目标（消极气候影响）") +
COUNTIFS('土地利用、土地利用变化和林业'!A:A, 2020, '土地利用、土地利用变化和林业'!G:G, "新目标") +
COUNTIFS('土地利用、土地利用变化和林业'!A:A, 2020, '土地利用、土地利用变化和林业'!G:G, "强化或放宽目标（气候影响不明确）") +
COUNTIFS('土地利用、土地利用变化和林业'!A:A, 2020, '土地利用、土地利用变化和林业'!G:G, "强化或放宽目标（积极气候影响）") +
COUNTIFS('土地利用、土地利用变化和林业'!A:A, 2020, '土地利用、土地利用变化和林业'!G:G, "强化或放宽目标（消极气候影响）") +
COUNTIFS(循环经济!A:A, 2020, 循环经济!G:G, "新目标") +
COUNTIFS(循环经济!A:A, 2020, 循环经济!G:G, "强化或放宽目标（气候影响不明确）") +
COUNTIFS(循环经济!A:A, 2020, 循环经济!G:G, "强化或放宽目标（积极气候影响）") +
COUNTIFS(循环经济!A:A, 2020, 循环经济!G:G, "强化或放宽目标（消极气候影响）") +
COUNTIFS(金融!A:A, 2020, 金融!G:G, "新目标") +
COUNTIFS(金融!A:A, 2020, 金融!G:G, "强化或放宽目标（气候影响不明确）") +
COUNTIFS(金融!A:A, 2020, 金融!G:G, "强化或放宽目标（积极气候影响）") +
COUNTIFS(金融!A:A, 2020, 金融!G:G, "强化或放宽目标（消极气候影响）")</f>
        <v/>
      </c>
      <c r="N22" s="73" t="n">
        <v>2023</v>
      </c>
      <c r="O22" s="74">
        <f>COUNTIFS(温室气体排放!F:F, 2023, 温室气体排放!G:G, "新目标") +
COUNTIFS(温室气体排放!F:F, 2023, 温室气体排放!G:G, "强化或放宽目标（气候影响不明确）") +
COUNTIFS(温室气体排放!F:F, 2023, 温室气体排放!G:G, "强化或放宽目标（积极气候影响）") +
COUNTIFS(温室气体排放!F:F, 2023, 温室气体排放!G:G, "强化或放宽目标（消极气候影响）") +
COUNTIFS(污染!F:F, 2023, 污染!G:G, "新目标") +
COUNTIFS(污染!F:F, 2023, 污染!G:G, "强化或放宽目标（气候影响不明确）") +
COUNTIFS(污染!F:F, 2023, 污染!G:G, "强化或放宽目标（积极气候影响）") +
COUNTIFS(污染!F:F, 2023, 污染!G:G, "强化或放宽目标（消极气候影响）") +
COUNTIFS('能源|电力'!F:F, 2023, '能源|电力'!G:G, "新目标") +
COUNTIFS('能源|电力'!F:F, 2023, '能源|电力'!G:G, "强化或放宽目标（气候影响不明确）") +
COUNTIFS('能源|电力'!F:F, 2023, '能源|电力'!G:G, "强化或放宽目标（积极气候影响）") +
COUNTIFS('能源|电力'!F:F, 2023, '能源|电力'!G:G, "强化或放宽目标（消极气候影响）") +
COUNTIFS(工业!F:F, 2023, 工业!G:G, "新目标") +
COUNTIFS(工业!F:F, 2023, 工业!G:G, "强化或放宽目标（气候影响不明确）") +
COUNTIFS(工业!F:F, 2023, 工业!G:G, "强化或放宽目标（积极气候影响）") +
COUNTIFS(工业!F:F, 2023, 工业!G:G, "强化或放宽目标（消极气候影响）") +
COUNTIFS(建筑!F:F, 2023, 建筑!G:G, "新目标") +
COUNTIFS(建筑!F:F, 2023, 建筑!G:G, "强化或放宽目标（气候影响不明确）") +
COUNTIFS(建筑!F:F, 2023, 建筑!G:G, "强化或放宽目标（积极气候影响）") +
COUNTIFS(建筑!F:F, 2023, 建筑!G:G, "强化或放宽目标（消极气候影响）") +
COUNTIFS(交通!F:F, 2023, 交通!G:G, "新目标") +
COUNTIFS(交通!F:F, 2023, 交通!G:G, "强化或放宽目标（气候影响不明确）") +
COUNTIFS(交通!F:F, 2023, 交通!G:G, "强化或放宽目标（积极气候影响）") +
COUNTIFS(交通!F:F, 2023, 交通!G:G, "强化或放宽目标（消极气候影响）") +
COUNTIFS('土地利用、土地利用变化和林业'!F:F, 2023, '土地利用、土地利用变化和林业'!G:G, "新目标") +
COUNTIFS('土地利用、土地利用变化和林业'!F:F, 2023, '土地利用、土地利用变化和林业'!G:G, "强化或放宽目标（气候影响不明确）") +
COUNTIFS('土地利用、土地利用变化和林业'!F:F, 2023, '土地利用、土地利用变化和林业'!G:G, "强化或放宽目标（积极气候影响）") +
COUNTIFS('土地利用、土地利用变化和林业'!F:F, 2023, '土地利用、土地利用变化和林业'!G:G, "强化或放宽目标（消极气候影响）") +
COUNTIFS(循环经济!F:F, 2023, 循环经济!G:G, "新目标") +
COUNTIFS(循环经济!F:F, 2023, 循环经济!G:G, "强化或放宽目标（气候影响不明确）") +
COUNTIFS(循环经济!F:F, 2023, 循环经济!G:G, "强化或放宽目标（积极气候影响）") +
COUNTIFS(循环经济!F:F, 2023, 循环经济!G:G, "强化或放宽目标（消极气候影响）") +
COUNTIFS(金融!F:F, 2023, 金融!G:G, "新目标") +
COUNTIFS(金融!F:F, 2023, 金融!G:G, "强化或放宽目标（气候影响不明确）") +
COUNTIFS(金融!F:F, 2023, 金融!G:G, "强化或放宽目标（积极气候影响）") +
COUNTIFS(金融!F:F, 2023, 金融!G:G, "强化或放宽目标（消极气候影响）")</f>
        <v/>
      </c>
      <c r="Q22" s="75" t="inlineStr">
        <is>
          <t>循环利用</t>
        </is>
      </c>
      <c r="R22" s="74">
        <f>COUNTIFS(温室气体排放!H:H, "循环利用", 温室气体排放!G:G, "新目标") +
COUNTIFS(温室气体排放!H:H, "循环利用", 温室气体排放!G:G, "强化或放宽目标（气候影响不明确）") +
COUNTIFS(温室气体排放!H:H, "循环利用", 温室气体排放!G:G, "强化或放宽目标（积极气候影响）") +
COUNTIFS(温室气体排放!H:H, "循环利用", 温室气体排放!G:G, "强化或放宽目标（消极气候影响）") +
COUNTIFS(污染!H:H, "循环利用", 污染!G:G, "新目标") +
COUNTIFS(污染!H:H, "循环利用", 污染!G:G, "强化或放宽目标（气候影响不明确）") +
COUNTIFS(污染!H:H, "循环利用", 污染!G:G, "强化或放宽目标（积极气候影响）") +
COUNTIFS(污染!H:H, "循环利用", 污染!G:G, "强化或放宽目标（消极气候影响）") +
COUNTIFS('能源|电力'!H:H, "循环利用", '能源|电力'!G:G, "新目标") +
COUNTIFS('能源|电力'!H:H, "循环利用", '能源|电力'!G:G, "强化或放宽目标（气候影响不明确）") +
COUNTIFS('能源|电力'!H:H, "循环利用", '能源|电力'!G:G, "强化或放宽目标（积极气候影响）") +
COUNTIFS('能源|电力'!H:H, "循环利用", '能源|电力'!G:G, "强化或放宽目标（消极气候影响）") +
COUNTIFS(工业!H:H, "循环利用", 工业!G:G, "新目标") +
COUNTIFS(工业!H:H, "循环利用", 工业!G:G, "强化或放宽目标（气候影响不明确）") +
COUNTIFS(工业!H:H, "循环利用", 工业!G:G, "强化或放宽目标（积极气候影响）") +
COUNTIFS(工业!H:H, "循环利用", 工业!G:G, "强化或放宽目标（消极气候影响）") +
COUNTIFS(建筑!H:H, "循环利用", 建筑!G:G, "新目标") +
COUNTIFS(建筑!H:H, "循环利用", 建筑!G:G, "强化或放宽目标（气候影响不明确）") +
COUNTIFS(建筑!H:H, "循环利用", 建筑!G:G, "强化或放宽目标（积极气候影响）") +
COUNTIFS(建筑!H:H, "循环利用", 建筑!G:G, "强化或放宽目标（消极气候影响）") +
COUNTIFS(交通!H:H, "循环利用", 交通!G:G, "新目标") +
COUNTIFS(交通!H:H, "循环利用", 交通!G:G, "强化或放宽目标（气候影响不明确）") +
COUNTIFS(交通!H:H, "循环利用", 交通!G:G, "强化或放宽目标（积极气候影响）") +
COUNTIFS(交通!H:H, "循环利用", 交通!G:G, "强化或放宽目标（消极气候影响）") +
COUNTIFS('土地利用、土地利用变化和林业'!H:H, "循环利用", '土地利用、土地利用变化和林业'!G:G, "新目标") +
COUNTIFS('土地利用、土地利用变化和林业'!H:H, "循环利用", '土地利用、土地利用变化和林业'!G:G, "强化或放宽目标（气候影响不明确）") +
COUNTIFS('土地利用、土地利用变化和林业'!H:H, "循环利用", '土地利用、土地利用变化和林业'!G:G, "强化或放宽目标（积极气候影响）") +
COUNTIFS('土地利用、土地利用变化和林业'!H:H, "循环利用", '土地利用、土地利用变化和林业'!G:G, "强化或放宽目标（消极气候影响）") +
COUNTIFS(循环经济!H:H, "循环利用", 循环经济!G:G, "新目标") +
COUNTIFS(循环经济!H:H, "循环利用", 循环经济!G:G, "强化或放宽目标（气候影响不明确）") +
COUNTIFS(循环经济!H:H, "循环利用", 循环经济!G:G, "强化或放宽目标（积极气候影响）") +
COUNTIFS(循环经济!H:H, "循环利用", 循环经济!G:G, "强化或放宽目标（消极气候影响）") +
COUNTIFS(金融!H:H, "循环利用", 金融!G:G, "新目标") +
COUNTIFS(金融!H:H, "循环利用", 金融!G:G, "强化或放宽目标（气候影响不明确）") +
COUNTIFS(金融!H:H, "循环利用", 金融!G:G, "强化或放宽目标（积极气候影响）") +
COUNTIFS(金融!H:H, "循环利用", 金融!G:G, "强化或放宽目标（消极气候影响）")</f>
        <v/>
      </c>
    </row>
    <row r="23" ht="19" customHeight="1" s="235">
      <c r="B23" s="39" t="n"/>
      <c r="C23" s="39" t="n"/>
      <c r="D23" s="39" t="n"/>
      <c r="E23" s="39" t="n"/>
      <c r="F23" s="39" t="n"/>
      <c r="K23" s="73" t="n">
        <v>2021</v>
      </c>
      <c r="L23" s="68">
        <f>COUNTIFS(温室气体排放!A:A, 2021, 温室气体排放!G:G, "新目标") +
COUNTIFS(温室气体排放!A:A, 2021, 温室气体排放!G:G, "强化或放宽目标（气候影响不明确）") +
COUNTIFS(温室气体排放!A:A, 2021, 温室气体排放!G:G, "强化或放宽目标（积极气候影响）") +
COUNTIFS(温室气体排放!A:A, 2021, 温室气体排放!G:G, "强化或放宽目标（消极气候影响）") +
COUNTIFS(污染!A:A, 2021, 污染!G:G, "新目标") +
COUNTIFS(污染!A:A, 2021, 污染!G:G, "强化或放宽目标（气候影响不明确）") +
COUNTIFS(污染!A:A, 2021, 污染!G:G, "强化或放宽目标（积极气候影响）") +
COUNTIFS(污染!A:A, 2021, 污染!G:G, "强化或放宽目标（消极气候影响）") +
COUNTIFS('能源|电力'!A:A, 2021, '能源|电力'!G:G, "新目标") +
COUNTIFS('能源|电力'!A:A, 2021, '能源|电力'!G:G, "强化或放宽目标（气候影响不明确）") +
COUNTIFS('能源|电力'!A:A, 2021, '能源|电力'!G:G, "强化或放宽目标（积极气候影响）") +
COUNTIFS('能源|电力'!A:A, 2021, '能源|电力'!G:G, "强化或放宽目标（消极气候影响）") +
COUNTIFS(工业!A:A, 2021, 工业!G:G, "新目标") +
COUNTIFS(工业!A:A, 2021, 工业!G:G, "强化或放宽目标（气候影响不明确）") +
COUNTIFS(工业!A:A, 2021, 工业!G:G, "强化或放宽目标（积极气候影响）") +
COUNTIFS(工业!A:A, 2021, 工业!G:G, "强化或放宽目标（消极气候影响）") +
COUNTIFS(建筑!A:A, 2021, 建筑!G:G, "新目标") +
COUNTIFS(建筑!A:A, 2021, 建筑!G:G, "强化或放宽目标（气候影响不明确）") +
COUNTIFS(建筑!A:A, 2021, 建筑!G:G, "强化或放宽目标（积极气候影响）") +
COUNTIFS(建筑!A:A, 2021, 建筑!G:G, "强化或放宽目标（消极气候影响）") +
COUNTIFS(交通!A:A, 2021, 交通!G:G, "新目标") +
COUNTIFS(交通!A:A, 2021, 交通!G:G, "强化或放宽目标（气候影响不明确）") +
COUNTIFS(交通!A:A, 2021, 交通!G:G, "强化或放宽目标（积极气候影响）") +
COUNTIFS(交通!A:A, 2021, 交通!G:G, "强化或放宽目标（消极气候影响）") +
COUNTIFS('土地利用、土地利用变化和林业'!A:A, 2021, '土地利用、土地利用变化和林业'!G:G, "新目标") +
COUNTIFS('土地利用、土地利用变化和林业'!A:A, 2021, '土地利用、土地利用变化和林业'!G:G, "强化或放宽目标（气候影响不明确）") +
COUNTIFS('土地利用、土地利用变化和林业'!A:A, 2021, '土地利用、土地利用变化和林业'!G:G, "强化或放宽目标（积极气候影响）") +
COUNTIFS('土地利用、土地利用变化和林业'!A:A, 2021, '土地利用、土地利用变化和林业'!G:G, "强化或放宽目标（消极气候影响）") +
COUNTIFS(循环经济!A:A, 2021, 循环经济!G:G, "新目标") +
COUNTIFS(循环经济!A:A, 2021, 循环经济!G:G, "强化或放宽目标（气候影响不明确）") +
COUNTIFS(循环经济!A:A, 2021, 循环经济!G:G, "强化或放宽目标（积极气候影响）") +
COUNTIFS(循环经济!A:A, 2021, 循环经济!G:G, "强化或放宽目标（消极气候影响）") +
COUNTIFS(金融!A:A, 2021, 金融!G:G, "新目标") +
COUNTIFS(金融!A:A, 2021, 金融!G:G, "强化或放宽目标（气候影响不明确）") +
COUNTIFS(金融!A:A, 2021, 金融!G:G, "强化或放宽目标（积极气候影响）") +
COUNTIFS(金融!A:A, 2021, 金融!G:G, "强化或放宽目标（消极气候影响）")</f>
        <v/>
      </c>
      <c r="N23" s="73" t="n">
        <v>2024</v>
      </c>
      <c r="O23" s="74">
        <f>COUNTIFS(温室气体排放!F:F, 2024, 温室气体排放!G:G, "新目标") +
COUNTIFS(温室气体排放!F:F, 2024, 温室气体排放!G:G, "强化或放宽目标（气候影响不明确）") +
COUNTIFS(温室气体排放!F:F, 2024, 温室气体排放!G:G, "强化或放宽目标（积极气候影响）") +
COUNTIFS(温室气体排放!F:F, 2024, 温室气体排放!G:G, "强化或放宽目标（消极气候影响）") +
COUNTIFS(污染!F:F, 2024, 污染!G:G, "新目标") +
COUNTIFS(污染!F:F, 2024, 污染!G:G, "强化或放宽目标（气候影响不明确）") +
COUNTIFS(污染!F:F, 2024, 污染!G:G, "强化或放宽目标（积极气候影响）") +
COUNTIFS(污染!F:F, 2024, 污染!G:G, "强化或放宽目标（消极气候影响）") +
COUNTIFS('能源|电力'!F:F, 2024, '能源|电力'!G:G, "新目标") +
COUNTIFS('能源|电力'!F:F, 2024, '能源|电力'!G:G, "强化或放宽目标（气候影响不明确）") +
COUNTIFS('能源|电力'!F:F, 2024, '能源|电力'!G:G, "强化或放宽目标（积极气候影响）") +
COUNTIFS('能源|电力'!F:F, 2024, '能源|电力'!G:G, "强化或放宽目标（消极气候影响）") +
COUNTIFS(工业!F:F, 2024, 工业!G:G, "新目标") +
COUNTIFS(工业!F:F, 2024, 工业!G:G, "强化或放宽目标（气候影响不明确）") +
COUNTIFS(工业!F:F, 2024, 工业!G:G, "强化或放宽目标（积极气候影响）") +
COUNTIFS(工业!F:F, 2024, 工业!G:G, "强化或放宽目标（消极气候影响）") +
COUNTIFS(建筑!F:F, 2024, 建筑!G:G, "新目标") +
COUNTIFS(建筑!F:F, 2024, 建筑!G:G, "强化或放宽目标（气候影响不明确）") +
COUNTIFS(建筑!F:F, 2024, 建筑!G:G, "强化或放宽目标（积极气候影响）") +
COUNTIFS(建筑!F:F, 2024, 建筑!G:G, "强化或放宽目标（消极气候影响）") +
COUNTIFS(交通!F:F, 2024, 交通!G:G, "新目标") +
COUNTIFS(交通!F:F, 2024, 交通!G:G, "强化或放宽目标（气候影响不明确）") +
COUNTIFS(交通!F:F, 2024, 交通!G:G, "强化或放宽目标（积极气候影响）") +
COUNTIFS(交通!F:F, 2024, 交通!G:G, "强化或放宽目标（消极气候影响）") +
COUNTIFS('土地利用、土地利用变化和林业'!F:F, 2024, '土地利用、土地利用变化和林业'!G:G, "新目标") +
COUNTIFS('土地利用、土地利用变化和林业'!F:F, 2024, '土地利用、土地利用变化和林业'!G:G, "强化或放宽目标（气候影响不明确）") +
COUNTIFS('土地利用、土地利用变化和林业'!F:F, 2024, '土地利用、土地利用变化和林业'!G:G, "强化或放宽目标（积极气候影响）") +
COUNTIFS('土地利用、土地利用变化和林业'!F:F, 2024, '土地利用、土地利用变化和林业'!G:G, "强化或放宽目标（消极气候影响）") +
COUNTIFS(循环经济!F:F, 2024, 循环经济!G:G, "新目标") +
COUNTIFS(循环经济!F:F, 2024, 循环经济!G:G, "强化或放宽目标（气候影响不明确）") +
COUNTIFS(循环经济!F:F, 2024, 循环经济!G:G, "强化或放宽目标（积极气候影响）") +
COUNTIFS(循环经济!F:F, 2024, 循环经济!G:G, "强化或放宽目标（消极气候影响）") +
COUNTIFS(金融!F:F, 2024, 金融!G:G, "新目标") +
COUNTIFS(金融!F:F, 2024, 金融!G:G, "强化或放宽目标（气候影响不明确）") +
COUNTIFS(金融!F:F, 2024, 金融!G:G, "强化或放宽目标（积极气候影响）") +
COUNTIFS(金融!F:F, 2024, 金融!G:G, "强化或放宽目标（消极气候影响）")</f>
        <v/>
      </c>
      <c r="Q23" s="79" t="inlineStr">
        <is>
          <t>气候金融</t>
        </is>
      </c>
      <c r="R23" s="87">
        <f>COUNTIFS(温室气体排放!H:H, "气候金融", 温室气体排放!G:G, "新目标") +
COUNTIFS(温室气体排放!H:H, "气候金融", 温室气体排放!G:G, "强化或放宽目标（气候影响不明确）") +
COUNTIFS(温室气体排放!H:H, "气候金融", 温室气体排放!G:G, "强化或放宽目标（积极气候影响）") +
COUNTIFS(温室气体排放!H:H, "气候金融", 温室气体排放!G:G, "强化或放宽目标（消极气候影响）") +
COUNTIFS(污染!H:H, "气候金融", 污染!G:G, "新目标") +
COUNTIFS(污染!H:H, "气候金融", 污染!G:G, "强化或放宽目标（气候影响不明确）") +
COUNTIFS(污染!H:H, "气候金融", 污染!G:G, "强化或放宽目标（积极气候影响）") +
COUNTIFS(污染!H:H, "气候金融", 污染!G:G, "强化或放宽目标（消极气候影响）") +
COUNTIFS('能源|电力'!H:H, "气候金融", '能源|电力'!G:G, "新目标") +
COUNTIFS('能源|电力'!H:H, "气候金融", '能源|电力'!G:G, "强化或放宽目标（气候影响不明确）") +
COUNTIFS('能源|电力'!H:H, "气候金融", '能源|电力'!G:G, "强化或放宽目标（积极气候影响）") +
COUNTIFS('能源|电力'!H:H, "气候金融", '能源|电力'!G:G, "强化或放宽目标（消极气候影响）") +
COUNTIFS(工业!H:H, "气候金融", 工业!G:G, "新目标") +
COUNTIFS(工业!H:H, "气候金融", 工业!G:G, "强化或放宽目标（气候影响不明确）") +
COUNTIFS(工业!H:H, "气候金融", 工业!G:G, "强化或放宽目标（积极气候影响）") +
COUNTIFS(工业!H:H, "气候金融", 工业!G:G, "强化或放宽目标（消极气候影响）") +
COUNTIFS(建筑!H:H, "气候金融", 建筑!G:G, "新目标") +
COUNTIFS(建筑!H:H, "气候金融", 建筑!G:G, "强化或放宽目标（气候影响不明确）") +
COUNTIFS(建筑!H:H, "气候金融", 建筑!G:G, "强化或放宽目标（积极气候影响）") +
COUNTIFS(建筑!H:H, "气候金融", 建筑!G:G, "强化或放宽目标（消极气候影响）") +
COUNTIFS(交通!H:H, "气候金融", 交通!G:G, "新目标") +
COUNTIFS(交通!H:H, "气候金融", 交通!G:G, "强化或放宽目标（气候影响不明确）") +
COUNTIFS(交通!H:H, "气候金融", 交通!G:G, "强化或放宽目标（积极气候影响）") +
COUNTIFS(交通!H:H, "气候金融", 交通!G:G, "强化或放宽目标（消极气候影响）") +
COUNTIFS('土地利用、土地利用变化和林业'!H:H, "气候金融", '土地利用、土地利用变化和林业'!G:G, "新目标") +
COUNTIFS('土地利用、土地利用变化和林业'!H:H, "气候金融", '土地利用、土地利用变化和林业'!G:G, "强化或放宽目标（气候影响不明确）") +
COUNTIFS('土地利用、土地利用变化和林业'!H:H, "气候金融", '土地利用、土地利用变化和林业'!G:G, "强化或放宽目标（积极气候影响）") +
COUNTIFS('土地利用、土地利用变化和林业'!H:H, "气候金融", '土地利用、土地利用变化和林业'!G:G, "强化或放宽目标（消极气候影响）") +
COUNTIFS(循环经济!H:H, "气候金融", 循环经济!G:G, "新目标") +
COUNTIFS(循环经济!H:H, "气候金融", 循环经济!G:G, "强化或放宽目标（气候影响不明确）") +
COUNTIFS(循环经济!H:H, "气候金融", 循环经济!G:G, "强化或放宽目标（积极气候影响）") +
COUNTIFS(循环经济!H:H, "气候金融", 循环经济!G:G, "强化或放宽目标（消极气候影响）") +
COUNTIFS(金融!H:H, "气候金融", 金融!G:G, "新目标") +
COUNTIFS(金融!H:H, "气候金融", 金融!G:G, "强化或放宽目标（气候影响不明确）") +
COUNTIFS(金融!H:H, "气候金融", 金融!G:G, "强化或放宽目标（积极气候影响）") +
COUNTIFS(金融!H:H, "气候金融", 金融!G:G, "强化或放宽目标（消极气候影响）")</f>
        <v/>
      </c>
    </row>
    <row r="24" ht="19" customHeight="1" s="235">
      <c r="K24" s="73" t="n">
        <v>2022</v>
      </c>
      <c r="L24" s="68">
        <f>COUNTIFS(温室气体排放!A:A, 2022, 温室气体排放!G:G, "新目标") +
COUNTIFS(温室气体排放!A:A, 2022, 温室气体排放!G:G, "强化或放宽目标（气候影响不明确）") +
COUNTIFS(温室气体排放!A:A, 2022, 温室气体排放!G:G, "强化或放宽目标（积极气候影响）") +
COUNTIFS(温室气体排放!A:A, 2022, 温室气体排放!G:G, "强化或放宽目标（消极气候影响）") +
COUNTIFS(污染!A:A, 2022, 污染!G:G, "新目标") +
COUNTIFS(污染!A:A, 2022, 污染!G:G, "强化或放宽目标（气候影响不明确）") +
COUNTIFS(污染!A:A, 2022, 污染!G:G, "强化或放宽目标（积极气候影响）") +
COUNTIFS(污染!A:A, 2022, 污染!G:G, "强化或放宽目标（消极气候影响）") +
COUNTIFS('能源|电力'!A:A, 2022, '能源|电力'!G:G, "新目标") +
COUNTIFS('能源|电力'!A:A, 2022, '能源|电力'!G:G, "强化或放宽目标（气候影响不明确）") +
COUNTIFS('能源|电力'!A:A, 2022, '能源|电力'!G:G, "强化或放宽目标（积极气候影响）") +
COUNTIFS('能源|电力'!A:A, 2022, '能源|电力'!G:G, "强化或放宽目标（消极气候影响）") +
COUNTIFS(工业!A:A, 2022, 工业!G:G, "新目标") +
COUNTIFS(工业!A:A, 2022, 工业!G:G, "强化或放宽目标（气候影响不明确）") +
COUNTIFS(工业!A:A, 2022, 工业!G:G, "强化或放宽目标（积极气候影响）") +
COUNTIFS(工业!A:A, 2022, 工业!G:G, "强化或放宽目标（消极气候影响）") +
COUNTIFS(建筑!A:A, 2022, 建筑!G:G, "新目标") +
COUNTIFS(建筑!A:A, 2022, 建筑!G:G, "强化或放宽目标（气候影响不明确）") +
COUNTIFS(建筑!A:A, 2022, 建筑!G:G, "强化或放宽目标（积极气候影响）") +
COUNTIFS(建筑!A:A, 2022, 建筑!G:G, "强化或放宽目标（消极气候影响）") +
COUNTIFS(交通!A:A, 2022, 交通!G:G, "新目标") +
COUNTIFS(交通!A:A, 2022, 交通!G:G, "强化或放宽目标（气候影响不明确）") +
COUNTIFS(交通!A:A, 2022, 交通!G:G, "强化或放宽目标（积极气候影响）") +
COUNTIFS(交通!A:A, 2022, 交通!G:G, "强化或放宽目标（消极气候影响）") +
COUNTIFS('土地利用、土地利用变化和林业'!A:A, 2022, '土地利用、土地利用变化和林业'!G:G, "新目标") +
COUNTIFS('土地利用、土地利用变化和林业'!A:A, 2022, '土地利用、土地利用变化和林业'!G:G, "强化或放宽目标（气候影响不明确）") +
COUNTIFS('土地利用、土地利用变化和林业'!A:A, 2022, '土地利用、土地利用变化和林业'!G:G, "强化或放宽目标（积极气候影响）") +
COUNTIFS('土地利用、土地利用变化和林业'!A:A, 2022, '土地利用、土地利用变化和林业'!G:G, "强化或放宽目标（消极气候影响）") +
COUNTIFS(循环经济!A:A, 2022, 循环经济!G:G, "新目标") +
COUNTIFS(循环经济!A:A, 2022, 循环经济!G:G, "强化或放宽目标（气候影响不明确）") +
COUNTIFS(循环经济!A:A, 2022, 循环经济!G:G, "强化或放宽目标（积极气候影响）") +
COUNTIFS(循环经济!A:A, 2022, 循环经济!G:G, "强化或放宽目标（消极气候影响）") +
COUNTIFS(金融!A:A, 2022, 金融!G:G, "新目标") +
COUNTIFS(金融!A:A, 2022, 金融!G:G, "强化或放宽目标（气候影响不明确）") +
COUNTIFS(金融!A:A, 2022, 金融!G:G, "强化或放宽目标（积极气候影响）") +
COUNTIFS(金融!A:A, 2022, 金融!G:G, "强化或放宽目标（消极气候影响）")</f>
        <v/>
      </c>
      <c r="N24" s="73" t="n">
        <v>2025</v>
      </c>
      <c r="O24" s="74">
        <f>COUNTIFS(温室气体排放!F:F, 2025, 温室气体排放!G:G, "新目标") +
COUNTIFS(温室气体排放!F:F, 2025, 温室气体排放!G:G, "强化或放宽目标（气候影响不明确）") +
COUNTIFS(温室气体排放!F:F, 2025, 温室气体排放!G:G, "强化或放宽目标（积极气候影响）") +
COUNTIFS(温室气体排放!F:F, 2025, 温室气体排放!G:G, "强化或放宽目标（消极气候影响）") +
COUNTIFS(污染!F:F, 2025, 污染!G:G, "新目标") +
COUNTIFS(污染!F:F, 2025, 污染!G:G, "强化或放宽目标（气候影响不明确）") +
COUNTIFS(污染!F:F, 2025, 污染!G:G, "强化或放宽目标（积极气候影响）") +
COUNTIFS(污染!F:F, 2025, 污染!G:G, "强化或放宽目标（消极气候影响）") +
COUNTIFS('能源|电力'!F:F, 2025, '能源|电力'!G:G, "新目标") +
COUNTIFS('能源|电力'!F:F, 2025, '能源|电力'!G:G, "强化或放宽目标（气候影响不明确）") +
COUNTIFS('能源|电力'!F:F, 2025, '能源|电力'!G:G, "强化或放宽目标（积极气候影响）") +
COUNTIFS('能源|电力'!F:F, 2025, '能源|电力'!G:G, "强化或放宽目标（消极气候影响）") +
COUNTIFS(工业!F:F, 2025, 工业!G:G, "新目标") +
COUNTIFS(工业!F:F, 2025, 工业!G:G, "强化或放宽目标（气候影响不明确）") +
COUNTIFS(工业!F:F, 2025, 工业!G:G, "强化或放宽目标（积极气候影响）") +
COUNTIFS(工业!F:F, 2025, 工业!G:G, "强化或放宽目标（消极气候影响）") +
COUNTIFS(建筑!F:F, 2025, 建筑!G:G, "新目标") +
COUNTIFS(建筑!F:F, 2025, 建筑!G:G, "强化或放宽目标（气候影响不明确）") +
COUNTIFS(建筑!F:F, 2025, 建筑!G:G, "强化或放宽目标（积极气候影响）") +
COUNTIFS(建筑!F:F, 2025, 建筑!G:G, "强化或放宽目标（消极气候影响）") +
COUNTIFS(交通!F:F, 2025, 交通!G:G, "新目标") +
COUNTIFS(交通!F:F, 2025, 交通!G:G, "强化或放宽目标（气候影响不明确）") +
COUNTIFS(交通!F:F, 2025, 交通!G:G, "强化或放宽目标（积极气候影响）") +
COUNTIFS(交通!F:F, 2025, 交通!G:G, "强化或放宽目标（消极气候影响）") +
COUNTIFS('土地利用、土地利用变化和林业'!F:F, 2025, '土地利用、土地利用变化和林业'!G:G, "新目标") +
COUNTIFS('土地利用、土地利用变化和林业'!F:F, 2025, '土地利用、土地利用变化和林业'!G:G, "强化或放宽目标（气候影响不明确）") +
COUNTIFS('土地利用、土地利用变化和林业'!F:F, 2025, '土地利用、土地利用变化和林业'!G:G, "强化或放宽目标（积极气候影响）") +
COUNTIFS('土地利用、土地利用变化和林业'!F:F, 2025, '土地利用、土地利用变化和林业'!G:G, "强化或放宽目标（消极气候影响）") +
COUNTIFS(循环经济!F:F, 2025, 循环经济!G:G, "新目标") +
COUNTIFS(循环经济!F:F, 2025, 循环经济!G:G, "强化或放宽目标（气候影响不明确）") +
COUNTIFS(循环经济!F:F, 2025, 循环经济!G:G, "强化或放宽目标（积极气候影响）") +
COUNTIFS(循环经济!F:F, 2025, 循环经济!G:G, "强化或放宽目标（消极气候影响）") +
COUNTIFS(金融!F:F, 2025, 金融!G:G, "新目标") +
COUNTIFS(金融!F:F, 2025, 金融!G:G, "强化或放宽目标（气候影响不明确）") +
COUNTIFS(金融!F:F, 2025, 金融!G:G, "强化或放宽目标（积极气候影响）") +
COUNTIFS(金融!F:F, 2025, 金融!G:G, "强化或放宽目标（消极气候影响）")</f>
        <v/>
      </c>
    </row>
    <row r="25" ht="19" customHeight="1" s="235">
      <c r="K25" s="73" t="n">
        <v>2023</v>
      </c>
      <c r="L25" s="68">
        <f>COUNTIFS(温室气体排放!A:A, 2023, 温室气体排放!G:G, "新目标") +
COUNTIFS(温室气体排放!A:A, 2023, 温室气体排放!G:G, "强化或放宽目标（气候影响不明确）") +
COUNTIFS(温室气体排放!A:A, 2023, 温室气体排放!G:G, "强化或放宽目标（积极气候影响）") +
COUNTIFS(温室气体排放!A:A, 2023, 温室气体排放!G:G, "强化或放宽目标（消极气候影响）") +
COUNTIFS(污染!A:A, 2023, 污染!G:G, "新目标") +
COUNTIFS(污染!A:A, 2023, 污染!G:G, "强化或放宽目标（气候影响不明确）") +
COUNTIFS(污染!A:A, 2023, 污染!G:G, "强化或放宽目标（积极气候影响）") +
COUNTIFS(污染!A:A, 2023, 污染!G:G, "强化或放宽目标（消极气候影响）") +
COUNTIFS('能源|电力'!A:A, 2023, '能源|电力'!G:G, "新目标") +
COUNTIFS('能源|电力'!A:A, 2023, '能源|电力'!G:G, "强化或放宽目标（气候影响不明确）") +
COUNTIFS('能源|电力'!A:A, 2023, '能源|电力'!G:G, "强化或放宽目标（积极气候影响）") +
COUNTIFS('能源|电力'!A:A, 2023, '能源|电力'!G:G, "强化或放宽目标（消极气候影响）") +
COUNTIFS(工业!A:A, 2023, 工业!G:G, "新目标") +
COUNTIFS(工业!A:A, 2023, 工业!G:G, "强化或放宽目标（气候影响不明确）") +
COUNTIFS(工业!A:A, 2023, 工业!G:G, "强化或放宽目标（积极气候影响）") +
COUNTIFS(工业!A:A, 2023, 工业!G:G, "强化或放宽目标（消极气候影响）") +
COUNTIFS(建筑!A:A, 2023, 建筑!G:G, "新目标") +
COUNTIFS(建筑!A:A, 2023, 建筑!G:G, "强化或放宽目标（气候影响不明确）") +
COUNTIFS(建筑!A:A, 2023, 建筑!G:G, "强化或放宽目标（积极气候影响）") +
COUNTIFS(建筑!A:A, 2023, 建筑!G:G, "强化或放宽目标（消极气候影响）") +
COUNTIFS(交通!A:A, 2023, 交通!G:G, "新目标") +
COUNTIFS(交通!A:A, 2023, 交通!G:G, "强化或放宽目标（气候影响不明确）") +
COUNTIFS(交通!A:A, 2023, 交通!G:G, "强化或放宽目标（积极气候影响）") +
COUNTIFS(交通!A:A, 2023, 交通!G:G, "强化或放宽目标（消极气候影响）") +
COUNTIFS('土地利用、土地利用变化和林业'!A:A, 2023, '土地利用、土地利用变化和林业'!G:G, "新目标") +
COUNTIFS('土地利用、土地利用变化和林业'!A:A, 2023, '土地利用、土地利用变化和林业'!G:G, "强化或放宽目标（气候影响不明确）") +
COUNTIFS('土地利用、土地利用变化和林业'!A:A, 2023, '土地利用、土地利用变化和林业'!G:G, "强化或放宽目标（积极气候影响）") +
COUNTIFS('土地利用、土地利用变化和林业'!A:A, 2023, '土地利用、土地利用变化和林业'!G:G, "强化或放宽目标（消极气候影响）") +
COUNTIFS(循环经济!A:A, 2023, 循环经济!G:G, "新目标") +
COUNTIFS(循环经济!A:A, 2023, 循环经济!G:G, "强化或放宽目标（气候影响不明确）") +
COUNTIFS(循环经济!A:A, 2023, 循环经济!G:G, "强化或放宽目标（积极气候影响）") +
COUNTIFS(循环经济!A:A, 2023, 循环经济!G:G, "强化或放宽目标（消极气候影响）") +
COUNTIFS(金融!A:A, 2023, 金融!G:G, "新目标") +
COUNTIFS(金融!A:A, 2023, 金融!G:G, "强化或放宽目标（气候影响不明确）") +
COUNTIFS(金融!A:A, 2023, 金融!G:G, "强化或放宽目标（积极气候影响）") +
COUNTIFS(金融!A:A, 2023, 金融!G:G, "强化或放宽目标（消极气候影响）")</f>
        <v/>
      </c>
      <c r="N25" s="73" t="inlineStr">
        <is>
          <t>十四五</t>
        </is>
      </c>
      <c r="O25" s="74">
        <f>COUNTIFS(温室气体排放!F:F, "十四五", 温室气体排放!G:G, "新目标") +
COUNTIFS(温室气体排放!F:F, "十四五", 温室气体排放!G:G, "强化或放宽目标（气候影响不明确）") +
COUNTIFS(温室气体排放!F:F, "十四五", 温室气体排放!G:G, "强化或放宽目标（积极气候影响）") +
COUNTIFS(温室气体排放!F:F, "十四五", 温室气体排放!G:G, "强化或放宽目标（消极气候影响）") +
COUNTIFS(污染!F:F, "十四五", 污染!G:G, "新目标") +
COUNTIFS(污染!F:F, "十四五", 污染!G:G, "强化或放宽目标（气候影响不明确）") +
COUNTIFS(污染!F:F, "十四五", 污染!G:G, "强化或放宽目标（积极气候影响）") +
COUNTIFS(污染!F:F, "十四五", 污染!G:G, "强化或放宽目标（消极气候影响）") +
COUNTIFS('能源|电力'!F:F, "十四五", '能源|电力'!G:G, "新目标") +
COUNTIFS('能源|电力'!F:F, "十四五", '能源|电力'!G:G, "强化或放宽目标（气候影响不明确）") +
COUNTIFS('能源|电力'!F:F, "十四五", '能源|电力'!G:G, "强化或放宽目标（积极气候影响）") +
COUNTIFS('能源|电力'!F:F, "十四五", '能源|电力'!G:G, "强化或放宽目标（消极气候影响）") +
COUNTIFS(工业!F:F, "十四五", 工业!G:G, "新目标") +
COUNTIFS(工业!F:F, "十四五", 工业!G:G, "强化或放宽目标（气候影响不明确）") +
COUNTIFS(工业!F:F, "十四五", 工业!G:G, "强化或放宽目标（积极气候影响）") +
COUNTIFS(工业!F:F, "十四五", 工业!G:G, "强化或放宽目标（消极气候影响）") +
COUNTIFS(建筑!F:F, "十四五", 建筑!G:G, "新目标") +
COUNTIFS(建筑!F:F, "十四五", 建筑!G:G, "强化或放宽目标（气候影响不明确）") +
COUNTIFS(建筑!F:F, "十四五", 建筑!G:G, "强化或放宽目标（积极气候影响）") +
COUNTIFS(建筑!F:F, "十四五", 建筑!G:G, "强化或放宽目标（消极气候影响）") +
COUNTIFS(交通!F:F, "十四五", 交通!G:G, "新目标") +
COUNTIFS(交通!F:F, "十四五", 交通!G:G, "强化或放宽目标（气候影响不明确）") +
COUNTIFS(交通!F:F, "十四五", 交通!G:G, "强化或放宽目标（积极气候影响）") +
COUNTIFS(交通!F:F, "十四五", 交通!G:G, "强化或放宽目标（消极气候影响）") +
COUNTIFS('土地利用、土地利用变化和林业'!F:F, "十四五", '土地利用、土地利用变化和林业'!G:G, "新目标") +
COUNTIFS('土地利用、土地利用变化和林业'!F:F, "十四五", '土地利用、土地利用变化和林业'!G:G, "强化或放宽目标（气候影响不明确）") +
COUNTIFS('土地利用、土地利用变化和林业'!F:F, "十四五", '土地利用、土地利用变化和林业'!G:G, "强化或放宽目标（积极气候影响）") +
COUNTIFS('土地利用、土地利用变化和林业'!F:F, "十四五", '土地利用、土地利用变化和林业'!G:G, "强化或放宽目标（消极气候影响）") +
COUNTIFS(循环经济!F:F, "十四五", 循环经济!G:G, "新目标") +
COUNTIFS(循环经济!F:F, "十四五", 循环经济!G:G, "强化或放宽目标（气候影响不明确）") +
COUNTIFS(循环经济!F:F, "十四五", 循环经济!G:G, "强化或放宽目标（积极气候影响）") +
COUNTIFS(循环经济!F:F, "十四五", 循环经济!G:G, "强化或放宽目标（消极气候影响）") +
COUNTIFS(金融!F:F, "十四五", 金融!G:G, "新目标") +
COUNTIFS(金融!F:F, "十四五", 金融!G:G, "强化或放宽目标（气候影响不明确）") +
COUNTIFS(金融!F:F, "十四五", 金融!G:G, "强化或放宽目标（积极气候影响）") +
COUNTIFS(金融!F:F, "十四五", 金融!G:G, "强化或放宽目标（消极气候影响）")</f>
        <v/>
      </c>
    </row>
    <row r="26" ht="19" customHeight="1" s="235">
      <c r="K26" s="73" t="n">
        <v>2024</v>
      </c>
      <c r="L26" s="68">
        <f>COUNTIFS(温室气体排放!A:A, 2024, 温室气体排放!G:G, "新目标") +
COUNTIFS(温室气体排放!A:A, 2024, 温室气体排放!G:G, "强化或放宽目标（气候影响不明确）") +
COUNTIFS(温室气体排放!A:A, 2024, 温室气体排放!G:G, "强化或放宽目标（积极气候影响）") +
COUNTIFS(温室气体排放!A:A, 2024, 温室气体排放!G:G, "强化或放宽目标（消极气候影响）") +
COUNTIFS(污染!A:A, 2024, 污染!G:G, "新目标") +
COUNTIFS(污染!A:A, 2024, 污染!G:G, "强化或放宽目标（气候影响不明确）") +
COUNTIFS(污染!A:A, 2024, 污染!G:G, "强化或放宽目标（积极气候影响）") +
COUNTIFS(污染!A:A, 2024, 污染!G:G, "强化或放宽目标（消极气候影响）") +
COUNTIFS('能源|电力'!A:A, 2024, '能源|电力'!G:G, "新目标") +
COUNTIFS('能源|电力'!A:A, 2024, '能源|电力'!G:G, "强化或放宽目标（气候影响不明确）") +
COUNTIFS('能源|电力'!A:A, 2024, '能源|电力'!G:G, "强化或放宽目标（积极气候影响）") +
COUNTIFS('能源|电力'!A:A, 2024, '能源|电力'!G:G, "强化或放宽目标（消极气候影响）") +
COUNTIFS(工业!A:A, 2024, 工业!G:G, "新目标") +
COUNTIFS(工业!A:A, 2024, 工业!G:G, "强化或放宽目标（气候影响不明确）") +
COUNTIFS(工业!A:A, 2024, 工业!G:G, "强化或放宽目标（积极气候影响）") +
COUNTIFS(工业!A:A, 2024, 工业!G:G, "强化或放宽目标（消极气候影响）") +
COUNTIFS(建筑!A:A, 2024, 建筑!G:G, "新目标") +
COUNTIFS(建筑!A:A, 2024, 建筑!G:G, "强化或放宽目标（气候影响不明确）") +
COUNTIFS(建筑!A:A, 2024, 建筑!G:G, "强化或放宽目标（积极气候影响）") +
COUNTIFS(建筑!A:A, 2024, 建筑!G:G, "强化或放宽目标（消极气候影响）") +
COUNTIFS(交通!A:A, 2024, 交通!G:G, "新目标") +
COUNTIFS(交通!A:A, 2024, 交通!G:G, "强化或放宽目标（气候影响不明确）") +
COUNTIFS(交通!A:A, 2024, 交通!G:G, "强化或放宽目标（积极气候影响）") +
COUNTIFS(交通!A:A, 2024, 交通!G:G, "强化或放宽目标（消极气候影响）") +
COUNTIFS('土地利用、土地利用变化和林业'!A:A, 2024, '土地利用、土地利用变化和林业'!G:G, "新目标") +
COUNTIFS('土地利用、土地利用变化和林业'!A:A, 2024, '土地利用、土地利用变化和林业'!G:G, "强化或放宽目标（气候影响不明确）") +
COUNTIFS('土地利用、土地利用变化和林业'!A:A, 2024, '土地利用、土地利用变化和林业'!G:G, "强化或放宽目标（积极气候影响）") +
COUNTIFS('土地利用、土地利用变化和林业'!A:A, 2024, '土地利用、土地利用变化和林业'!G:G, "强化或放宽目标（消极气候影响）") +
COUNTIFS(循环经济!A:A, 2024, 循环经济!G:G, "新目标") +
COUNTIFS(循环经济!A:A, 2024, 循环经济!G:G, "强化或放宽目标（气候影响不明确）") +
COUNTIFS(循环经济!A:A, 2024, 循环经济!G:G, "强化或放宽目标（积极气候影响）") +
COUNTIFS(循环经济!A:A, 2024, 循环经济!G:G, "强化或放宽目标（消极气候影响）") +
COUNTIFS(金融!A:A, 2024, 金融!G:G, "新目标") +
COUNTIFS(金融!A:A, 2024, 金融!G:G, "强化或放宽目标（气候影响不明确）") +
COUNTIFS(金融!A:A, 2024, 金融!G:G, "强化或放宽目标（积极气候影响）") +
COUNTIFS(金融!A:A, 2024, 金融!G:G, "强化或放宽目标（消极气候影响）")</f>
        <v/>
      </c>
      <c r="N26" s="73" t="n">
        <v>2027</v>
      </c>
      <c r="O26" s="74">
        <f>COUNTIFS(温室气体排放!F:F, 2027, 温室气体排放!G:G, "新目标") +
COUNTIFS(温室气体排放!F:F, 2027, 温室气体排放!G:G, "强化或放宽目标（气候影响不明确）") +
COUNTIFS(温室气体排放!F:F, 2027, 温室气体排放!G:G, "强化或放宽目标（积极气候影响）") +
COUNTIFS(温室气体排放!F:F, 2027, 温室气体排放!G:G, "强化或放宽目标（消极气候影响）") +
COUNTIFS(污染!F:F, 2027, 污染!G:G, "新目标") +
COUNTIFS(污染!F:F, 2027, 污染!G:G, "强化或放宽目标（气候影响不明确）") +
COUNTIFS(污染!F:F, 2027, 污染!G:G, "强化或放宽目标（积极气候影响）") +
COUNTIFS(污染!F:F, 2027, 污染!G:G, "强化或放宽目标（消极气候影响）") +
COUNTIFS('能源|电力'!F:F, 2027, '能源|电力'!G:G, "新目标") +
COUNTIFS('能源|电力'!F:F, 2027, '能源|电力'!G:G, "强化或放宽目标（气候影响不明确）") +
COUNTIFS('能源|电力'!F:F, 2027, '能源|电力'!G:G, "强化或放宽目标（积极气候影响）") +
COUNTIFS('能源|电力'!F:F, 2027, '能源|电力'!G:G, "强化或放宽目标（消极气候影响）") +
COUNTIFS(工业!F:F, 2027, 工业!G:G, "新目标") +
COUNTIFS(工业!F:F, 2027, 工业!G:G, "强化或放宽目标（气候影响不明确）") +
COUNTIFS(工业!F:F, 2027, 工业!G:G, "强化或放宽目标（积极气候影响）") +
COUNTIFS(工业!F:F, 2027, 工业!G:G, "强化或放宽目标（消极气候影响）") +
COUNTIFS(建筑!F:F, 2027, 建筑!G:G, "新目标") +
COUNTIFS(建筑!F:F, 2027, 建筑!G:G, "强化或放宽目标（气候影响不明确）") +
COUNTIFS(建筑!F:F, 2027, 建筑!G:G, "强化或放宽目标（积极气候影响）") +
COUNTIFS(建筑!F:F, 2027, 建筑!G:G, "强化或放宽目标（消极气候影响）") +
COUNTIFS(交通!F:F, 2027, 交通!G:G, "新目标") +
COUNTIFS(交通!F:F, 2027, 交通!G:G, "强化或放宽目标（气候影响不明确）") +
COUNTIFS(交通!F:F, 2027, 交通!G:G, "强化或放宽目标（积极气候影响）") +
COUNTIFS(交通!F:F, 2027, 交通!G:G, "强化或放宽目标（消极气候影响）") +
COUNTIFS('土地利用、土地利用变化和林业'!F:F, 2027, '土地利用、土地利用变化和林业'!G:G, "新目标") +
COUNTIFS('土地利用、土地利用变化和林业'!F:F, 2027, '土地利用、土地利用变化和林业'!G:G, "强化或放宽目标（气候影响不明确）") +
COUNTIFS('土地利用、土地利用变化和林业'!F:F, 2027, '土地利用、土地利用变化和林业'!G:G, "强化或放宽目标（积极气候影响）") +
COUNTIFS('土地利用、土地利用变化和林业'!F:F, 2027, '土地利用、土地利用变化和林业'!G:G, "强化或放宽目标（消极气候影响）") +
COUNTIFS(循环经济!F:F, 2027, 循环经济!G:G, "新目标") +
COUNTIFS(循环经济!F:F, 2027, 循环经济!G:G, "强化或放宽目标（气候影响不明确）") +
COUNTIFS(循环经济!F:F, 2027, 循环经济!G:G, "强化或放宽目标（积极气候影响）") +
COUNTIFS(循环经济!F:F, 2027, 循环经济!G:G, "强化或放宽目标（消极气候影响）") +
COUNTIFS(金融!F:F, 2027, 金融!G:G, "新目标") +
COUNTIFS(金融!F:F, 2027, 金融!G:G, "强化或放宽目标（气候影响不明确）") +
COUNTIFS(金融!F:F, 2027, 金融!G:G, "强化或放宽目标（积极气候影响）") +
COUNTIFS(金融!F:F, 2027, 金融!G:G, "强化或放宽目标（消极气候影响）")</f>
        <v/>
      </c>
    </row>
    <row r="27" ht="19" customHeight="1" s="235">
      <c r="K27" s="73" t="n">
        <v>2025</v>
      </c>
      <c r="L27" s="68">
        <f>COUNTIFS(温室气体排放!B:B, 2025, 温室气体排放!G:G, "新目标") +
COUNTIFS(温室气体排放!B:B, 2025, 温室气体排放!G:G, "强化或放宽目标（气候影响不明确）") +
COUNTIFS(温室气体排放!B:B, 2025, 温室气体排放!G:G, "强化或放宽目标（积极气候影响）") +
COUNTIFS(温室气体排放!B:B, 2025, 温室气体排放!G:G, "强化或放宽目标（消极气候影响）") +
COUNTIFS(污染!A:A, 2025, 污染!G:G, "新目标") +
COUNTIFS(污染!A:A, 2025, 污染!G:G, "强化或放宽目标（气候影响不明确）") +
COUNTIFS(污染!A:A, 2025, 污染!G:G, "强化或放宽目标（积极气候影响）") +
COUNTIFS(污染!A:A, 2025, 污染!G:G, "强化或放宽目标（消极气候影响）") +
COUNTIFS('能源|电力'!A:A, 2025, '能源|电力'!G:G, "新目标") +
COUNTIFS('能源|电力'!A:A, 2025, '能源|电力'!G:G, "强化或放宽目标（气候影响不明确）") +
COUNTIFS('能源|电力'!A:A, 2025, '能源|电力'!G:G, "强化或放宽目标（积极气候影响）") +
COUNTIFS('能源|电力'!A:A, 2025, '能源|电力'!G:G, "强化或放宽目标（消极气候影响）") +
COUNTIFS(工业!A:A, 2025, 工业!G:G, "新目标") +
COUNTIFS(工业!A:A, 2025, 工业!G:G, "强化或放宽目标（气候影响不明确）") +
COUNTIFS(工业!A:A, 2025, 工业!G:G, "强化或放宽目标（积极气候影响）") +
COUNTIFS(工业!A:A, 2025, 工业!G:G, "强化或放宽目标（消极气候影响）") +
COUNTIFS(建筑!B:B, 2025, 建筑!G:G, "新目标") +
COUNTIFS(建筑!B:B, 2025, 建筑!G:G, "强化或放宽目标（气候影响不明确）") +
COUNTIFS(建筑!B:B, 2025, 建筑!G:G, "强化或放宽目标（积极气候影响）") +
COUNTIFS(建筑!B:B, 2025, 建筑!G:G, "强化或放宽目标（消极气候影响）") +
COUNTIFS(交通!A:A, 2025, 交通!G:G, "新目标") +
COUNTIFS(交通!A:A, 2025, 交通!G:G, "强化或放宽目标（气候影响不明确）") +
COUNTIFS(交通!A:A, 2025, 交通!G:G, "强化或放宽目标（积极气候影响）") +
COUNTIFS(交通!A:A, 2025, 交通!G:G, "强化或放宽目标（消极气候影响）") +
COUNTIFS('土地利用、土地利用变化和林业'!A:A, 2025, '土地利用、土地利用变化和林业'!G:G, "新目标") +
COUNTIFS('土地利用、土地利用变化和林业'!A:A, 2025, '土地利用、土地利用变化和林业'!G:G, "强化或放宽目标（气候影响不明确）") +
COUNTIFS('土地利用、土地利用变化和林业'!A:A, 2025, '土地利用、土地利用变化和林业'!G:G, "强化或放宽目标（积极气候影响）") +
COUNTIFS('土地利用、土地利用变化和林业'!A:A, 2025, '土地利用、土地利用变化和林业'!G:G, "强化或放宽目标（消极气候影响）") +
COUNTIFS(循环经济!A:A, 2025, 循环经济!G:G, "新目标") +
COUNTIFS(循环经济!A:A, 2025, 循环经济!G:G, "强化或放宽目标（气候影响不明确）") +
COUNTIFS(循环经济!A:A, 2025, 循环经济!G:G, "强化或放宽目标（积极气候影响）") +
COUNTIFS(循环经济!A:A, 2025, 循环经济!G:G, "强化或放宽目标（消极气候影响）") +
COUNTIFS(金融!A:A, 2025, 金融!G:G, "新目标") +
COUNTIFS(金融!A:A, 2025, 金融!G:G, "强化或放宽目标（气候影响不明确）") +
COUNTIFS(金融!A:A, 2025, 金融!G:G, "强化或放宽目标（积极气候影响）") +
COUNTIFS(金融!A:A, 2025, 金融!G:G, "强化或放宽目标（消极气候影响）")</f>
        <v/>
      </c>
      <c r="N27" s="73" t="n">
        <v>2030</v>
      </c>
      <c r="O27" s="74">
        <f>COUNTIFS(温室气体排放!F:F, 2030, 温室气体排放!G:G, "新目标") +
COUNTIFS(温室气体排放!F:F, 2030, 温室气体排放!G:G, "强化或放宽目标（气候影响不明确）") +
COUNTIFS(温室气体排放!F:F, 2030, 温室气体排放!G:G, "强化或放宽目标（积极气候影响）") +
COUNTIFS(温室气体排放!F:F, 2030, 温室气体排放!G:G, "强化或放宽目标（消极气候影响）") +
COUNTIFS(污染!F:F, 2030, 污染!G:G, "新目标") +
COUNTIFS(污染!F:F, 2030, 污染!G:G, "强化或放宽目标（气候影响不明确）") +
COUNTIFS(污染!F:F, 2030, 污染!G:G, "强化或放宽目标（积极气候影响）") +
COUNTIFS(污染!F:F, 2030, 污染!G:G, "强化或放宽目标（消极气候影响）") +
COUNTIFS('能源|电力'!F:F, 2030, '能源|电力'!G:G, "新目标") +
COUNTIFS('能源|电力'!F:F, 2030, '能源|电力'!G:G, "强化或放宽目标（气候影响不明确）") +
COUNTIFS('能源|电力'!F:F, 2030, '能源|电力'!G:G, "强化或放宽目标（积极气候影响）") +
COUNTIFS('能源|电力'!F:F, 2030, '能源|电力'!G:G, "强化或放宽目标（消极气候影响）") +
COUNTIFS(工业!F:F, 2030, 工业!G:G, "新目标") +
COUNTIFS(工业!F:F, 2030, 工业!G:G, "强化或放宽目标（气候影响不明确）") +
COUNTIFS(工业!F:F, 2030, 工业!G:G, "强化或放宽目标（积极气候影响）") +
COUNTIFS(工业!F:F, 2030, 工业!G:G, "强化或放宽目标（消极气候影响）") +
COUNTIFS(建筑!F:F, 2030, 建筑!G:G, "新目标") +
COUNTIFS(建筑!F:F, 2030, 建筑!G:G, "强化或放宽目标（气候影响不明确）") +
COUNTIFS(建筑!F:F, 2030, 建筑!G:G, "强化或放宽目标（积极气候影响）") +
COUNTIFS(建筑!F:F, 2030, 建筑!G:G, "强化或放宽目标（消极气候影响）") +
COUNTIFS(交通!F:F, 2030, 交通!G:G, "新目标") +
COUNTIFS(交通!F:F, 2030, 交通!G:G, "强化或放宽目标（气候影响不明确）") +
COUNTIFS(交通!F:F, 2030, 交通!G:G, "强化或放宽目标（积极气候影响）") +
COUNTIFS(交通!F:F, 2030, 交通!G:G, "强化或放宽目标（消极气候影响）") +
COUNTIFS('土地利用、土地利用变化和林业'!F:F, 2030, '土地利用、土地利用变化和林业'!G:G, "新目标") +
COUNTIFS('土地利用、土地利用变化和林业'!F:F, 2030, '土地利用、土地利用变化和林业'!G:G, "强化或放宽目标（气候影响不明确）") +
COUNTIFS('土地利用、土地利用变化和林业'!F:F, 2030, '土地利用、土地利用变化和林业'!G:G, "强化或放宽目标（积极气候影响）") +
COUNTIFS('土地利用、土地利用变化和林业'!F:F, 2030, '土地利用、土地利用变化和林业'!G:G, "强化或放宽目标（消极气候影响）") +
COUNTIFS(循环经济!F:F, 2030, 循环经济!G:G, "新目标") +
COUNTIFS(循环经济!F:F, 2030, 循环经济!G:G, "强化或放宽目标（气候影响不明确）") +
COUNTIFS(循环经济!F:F, 2030, 循环经济!G:G, "强化或放宽目标（积极气候影响）") +
COUNTIFS(循环经济!F:F, 2030, 循环经济!G:G, "强化或放宽目标（消极气候影响）") +
COUNTIFS(金融!F:F, 2030, 金融!G:G, "新目标") +
COUNTIFS(金融!F:F, 2030, 金融!G:G, "强化或放宽目标（气候影响不明确）") +
COUNTIFS(金融!F:F, 2030, 金融!G:G, "强化或放宽目标（积极气候影响）") +
COUNTIFS(金融!F:F, 2030, 金融!G:G, "强化或放宽目标（消极气候影响）")</f>
        <v/>
      </c>
    </row>
    <row r="28" ht="19" customHeight="1" s="235">
      <c r="K28" s="88" t="n">
        <v>2026</v>
      </c>
      <c r="L28" s="77">
        <f>COUNTIFS(温室气体排放!B:B, 2026, 温室气体排放!G:G, "新目标") +
COUNTIFS(温室气体排放!B:B, 2026, 温室气体排放!G:G, "强化或放宽目标（气候影响不明确）") +
COUNTIFS(温室气体排放!B:B, 2026, 温室气体排放!G:G, "强化或放宽目标（积极气候影响）") +
COUNTIFS(温室气体排放!B:B, 2026, 温室气体排放!G:G, "强化或放宽目标（消极气候影响）") +
COUNTIFS(污染!A:A, 2026, 污染!G:G, "新目标") +
COUNTIFS(污染!A:A, 2026, 污染!G:G, "强化或放宽目标（气候影响不明确）") +
COUNTIFS(污染!A:A, 2026, 污染!G:G, "强化或放宽目标（积极气候影响）") +
COUNTIFS(污染!A:A, 2026, 污染!G:G, "强化或放宽目标（消极气候影响）") +
COUNTIFS('能源|电力'!A:A, 2026, '能源|电力'!G:G, "新目标") +
COUNTIFS('能源|电力'!A:A, 2026, '能源|电力'!G:G, "强化或放宽目标（气候影响不明确）") +
COUNTIFS('能源|电力'!A:A, 2026, '能源|电力'!G:G, "强化或放宽目标（积极气候影响）") +
COUNTIFS('能源|电力'!A:A, 2026, '能源|电力'!G:G, "强化或放宽目标（消极气候影响）") +
COUNTIFS(工业!A:A, 2026, 工业!G:G, "新目标") +
COUNTIFS(工业!A:A, 2026, 工业!G:G, "强化或放宽目标（气候影响不明确）") +
COUNTIFS(工业!A:A, 2026, 工业!G:G, "强化或放宽目标（积极气候影响）") +
COUNTIFS(工业!A:A, 2026, 工业!G:G, "强化或放宽目标（消极气候影响）") +
COUNTIFS(建筑!B:B, 2026, 建筑!G:G, "新目标") +
COUNTIFS(建筑!B:B, 2026, 建筑!G:G, "强化或放宽目标（气候影响不明确）") +
COUNTIFS(建筑!B:B, 2026, 建筑!G:G, "强化或放宽目标（积极气候影响）") +
COUNTIFS(建筑!B:B, 2026, 建筑!G:G, "强化或放宽目标（消极气候影响）") +
COUNTIFS(交通!A:A, 2026, 交通!G:G, "新目标") +
COUNTIFS(交通!A:A, 2026, 交通!G:G, "强化或放宽目标（气候影响不明确）") +
COUNTIFS(交通!A:A, 2026, 交通!G:G, "强化或放宽目标（积极气候影响）") +
COUNTIFS(交通!A:A, 2026, 交通!G:G, "强化或放宽目标（消极气候影响）") +
COUNTIFS('土地利用、土地利用变化和林业'!A:A, 2026, '土地利用、土地利用变化和林业'!G:G, "新目标") +
COUNTIFS('土地利用、土地利用变化和林业'!A:A, 2026, '土地利用、土地利用变化和林业'!G:G, "强化或放宽目标（气候影响不明确）") +
COUNTIFS('土地利用、土地利用变化和林业'!A:A, 2026, '土地利用、土地利用变化和林业'!G:G, "强化或放宽目标（积极气候影响）") +
COUNTIFS('土地利用、土地利用变化和林业'!A:A, 2026, '土地利用、土地利用变化和林业'!G:G, "强化或放宽目标（消极气候影响）") +
COUNTIFS(循环经济!A:A, 2026, 循环经济!G:G, "新目标") +
COUNTIFS(循环经济!A:A, 2026, 循环经济!G:G, "强化或放宽目标（气候影响不明确）") +
COUNTIFS(循环经济!A:A, 2026, 循环经济!G:G, "强化或放宽目标（积极气候影响）") +
COUNTIFS(循环经济!A:A, 2026, 循环经济!G:G, "强化或放宽目标（消极气候影响）") +
COUNTIFS(金融!A:A, 2026, 金融!G:G, "新目标") +
COUNTIFS(金融!A:A, 2026, 金融!G:G, "强化或放宽目标（气候影响不明确）") +
COUNTIFS(金融!A:A, 2026, 金融!G:G, "强化或放宽目标（积极气候影响）") +
COUNTIFS(金融!A:A, 2026, 金融!G:G, "强化或放宽目标（消极气候影响）")</f>
        <v/>
      </c>
      <c r="N28" s="73" t="inlineStr">
        <is>
          <t>2030年前</t>
        </is>
      </c>
      <c r="O28" s="74">
        <f>COUNTIFS(温室气体排放!F:F, "2030年前", 温室气体排放!G:G, "新目标") +
COUNTIFS(温室气体排放!F:F, "2030年前", 温室气体排放!G:G, "强化或放宽目标（气候影响不明确）") +
COUNTIFS(温室气体排放!F:F, "2030年前", 温室气体排放!G:G, "强化或放宽目标（积极气候影响）") +
COUNTIFS(温室气体排放!F:F, "2030年前", 温室气体排放!G:G, "强化或放宽目标（消极气候影响）") +
COUNTIFS(污染!F:F, "2030年前", 污染!G:G, "新目标") +
COUNTIFS(污染!F:F, "2030年前", 污染!G:G, "强化或放宽目标（气候影响不明确）") +
COUNTIFS(污染!F:F, "2030年前", 污染!G:G, "强化或放宽目标（积极气候影响）") +
COUNTIFS(污染!F:F, "2030年前", 污染!G:G, "强化或放宽目标（消极气候影响）") +
COUNTIFS('能源|电力'!F:F, "2030年前", '能源|电力'!G:G, "新目标") +
COUNTIFS('能源|电力'!F:F, "2030年前", '能源|电力'!G:G, "强化或放宽目标（气候影响不明确）") +
COUNTIFS('能源|电力'!F:F, "2030年前", '能源|电力'!G:G, "强化或放宽目标（积极气候影响）") +
COUNTIFS('能源|电力'!F:F, "2030年前", '能源|电力'!G:G, "强化或放宽目标（消极气候影响）") +
COUNTIFS(工业!F:F, "2030年前", 工业!G:G, "新目标") +
COUNTIFS(工业!F:F, "2030年前", 工业!G:G, "强化或放宽目标（气候影响不明确）") +
COUNTIFS(工业!F:F, "2030年前", 工业!G:G, "强化或放宽目标（积极气候影响）") +
COUNTIFS(工业!F:F, "2030年前", 工业!G:G, "强化或放宽目标（消极气候影响）") +
COUNTIFS(建筑!F:F, "2030年前", 建筑!G:G, "新目标") +
COUNTIFS(建筑!F:F, "2030年前", 建筑!G:G, "强化或放宽目标（气候影响不明确）") +
COUNTIFS(建筑!F:F, "2030年前", 建筑!G:G, "强化或放宽目标（积极气候影响）") +
COUNTIFS(建筑!F:F, "2030年前", 建筑!G:G, "强化或放宽目标（消极气候影响）") +
COUNTIFS(交通!F:F, "2030年前", 交通!G:G, "新目标") +
COUNTIFS(交通!F:F, "2030年前", 交通!G:G, "强化或放宽目标（气候影响不明确）") +
COUNTIFS(交通!F:F, "2030年前", 交通!G:G, "强化或放宽目标（积极气候影响）") +
COUNTIFS(交通!F:F, "2030年前", 交通!G:G, "强化或放宽目标（消极气候影响）") +
COUNTIFS('土地利用、土地利用变化和林业'!F:F, "2030年前", '土地利用、土地利用变化和林业'!G:G, "新目标") +
COUNTIFS('土地利用、土地利用变化和林业'!F:F, "2030年前", '土地利用、土地利用变化和林业'!G:G, "强化或放宽目标（气候影响不明确）") +
COUNTIFS('土地利用、土地利用变化和林业'!F:F, "2030年前", '土地利用、土地利用变化和林业'!G:G, "强化或放宽目标（积极气候影响）") +
COUNTIFS('土地利用、土地利用变化和林业'!F:F, "2030年前", '土地利用、土地利用变化和林业'!G:G, "强化或放宽目标（消极气候影响）") +
COUNTIFS(循环经济!F:F, "2030年前", 循环经济!G:G, "新目标") +
COUNTIFS(循环经济!F:F, "2030年前", 循环经济!G:G, "强化或放宽目标（气候影响不明确）") +
COUNTIFS(循环经济!F:F, "2030年前", 循环经济!G:G, "强化或放宽目标（积极气候影响）") +
COUNTIFS(循环经济!F:F, "2030年前", 循环经济!G:G, "强化或放宽目标（消极气候影响）") +
COUNTIFS(金融!F:F, "2030年前", 金融!G:G, "新目标") +
COUNTIFS(金融!F:F, "2030年前", 金融!G:G, "强化或放宽目标（气候影响不明确）") +
COUNTIFS(金融!F:F, "2030年前", 金融!G:G, "强化或放宽目标（积极气候影响）") +
COUNTIFS(金融!F:F, "2030年前", 金融!G:G, "强化或放宽目标（消极气候影响）")</f>
        <v/>
      </c>
    </row>
    <row r="29" ht="19" customHeight="1" s="235">
      <c r="K29" s="59" t="n"/>
      <c r="L29" s="59" t="n"/>
      <c r="N29" s="73" t="inlineStr">
        <is>
          <t>2030年左右</t>
        </is>
      </c>
      <c r="O29" s="74">
        <f>COUNTIFS(温室气体排放!F:F, "2030年左右", 温室气体排放!G:G, "新目标") +
COUNTIFS(温室气体排放!F:F, "2030年左右", 温室气体排放!G:G, "强化或放宽目标（气候影响不明确）") +
COUNTIFS(温室气体排放!F:F, "2030年左右", 温室气体排放!G:G, "强化或放宽目标（积极气候影响）") +
COUNTIFS(温室气体排放!F:F, "2030年左右", 温室气体排放!G:G, "强化或放宽目标（消极气候影响）") +
COUNTIFS(污染!F:F, "2030年左右", 污染!G:G, "新目标") +
COUNTIFS(污染!F:F, "2030年左右", 污染!G:G, "强化或放宽目标（气候影响不明确）") +
COUNTIFS(污染!F:F, "2030年左右", 污染!G:G, "强化或放宽目标（积极气候影响）") +
COUNTIFS(污染!F:F, "2030年左右", 污染!G:G, "强化或放宽目标（消极气候影响）") +
COUNTIFS('能源|电力'!F:F, "2030年左右", '能源|电力'!G:G, "新目标") +
COUNTIFS('能源|电力'!F:F, "2030年左右", '能源|电力'!G:G, "强化或放宽目标（气候影响不明确）") +
COUNTIFS('能源|电力'!F:F, "2030年左右", '能源|电力'!G:G, "强化或放宽目标（积极气候影响）") +
COUNTIFS('能源|电力'!F:F, "2030年左右", '能源|电力'!G:G, "强化或放宽目标（消极气候影响）") +
COUNTIFS(工业!F:F, "2030年左右", 工业!G:G, "新目标") +
COUNTIFS(工业!F:F, "2030年左右", 工业!G:G, "强化或放宽目标（气候影响不明确）") +
COUNTIFS(工业!F:F, "2030年左右", 工业!G:G, "强化或放宽目标（积极气候影响）") +
COUNTIFS(工业!F:F, "2030年左右", 工业!G:G, "强化或放宽目标（消极气候影响）") +
COUNTIFS(建筑!F:F, "2030年左右", 建筑!G:G, "新目标") +
COUNTIFS(建筑!F:F, "2030年左右", 建筑!G:G, "强化或放宽目标（气候影响不明确）") +
COUNTIFS(建筑!F:F, "2030年左右", 建筑!G:G, "强化或放宽目标（积极气候影响）") +
COUNTIFS(建筑!F:F, "2030年左右", 建筑!G:G, "强化或放宽目标（消极气候影响）") +
COUNTIFS(交通!F:F, "2030年左右", 交通!G:G, "新目标") +
COUNTIFS(交通!F:F, "2030年左右", 交通!G:G, "强化或放宽目标（气候影响不明确）") +
COUNTIFS(交通!F:F, "2030年左右", 交通!G:G, "强化或放宽目标（积极气候影响）") +
COUNTIFS(交通!F:F, "2030年左右", 交通!G:G, "强化或放宽目标（消极气候影响）") +
COUNTIFS('土地利用、土地利用变化和林业'!F:F, "2030年左右", '土地利用、土地利用变化和林业'!G:G, "新目标") +
COUNTIFS('土地利用、土地利用变化和林业'!F:F, "2030年左右", '土地利用、土地利用变化和林业'!G:G, "强化或放宽目标（气候影响不明确）") +
COUNTIFS('土地利用、土地利用变化和林业'!F:F, "2030年左右", '土地利用、土地利用变化和林业'!G:G, "强化或放宽目标（积极气候影响）") +
COUNTIFS('土地利用、土地利用变化和林业'!F:F, "2030年左右", '土地利用、土地利用变化和林业'!G:G, "强化或放宽目标（消极气候影响）") +
COUNTIFS(循环经济!F:F, "2030年左右", 循环经济!G:G, "新目标") +
COUNTIFS(循环经济!F:F, "2030年左右", 循环经济!G:G, "强化或放宽目标（气候影响不明确）") +
COUNTIFS(循环经济!F:F, "2030年左右", 循环经济!G:G, "强化或放宽目标（积极气候影响）") +
COUNTIFS(循环经济!F:F, "2030年左右", 循环经济!G:G, "强化或放宽目标（消极气候影响）") +
COUNTIFS(金融!F:F, "2030年左右", 金融!G:G, "新目标") +
COUNTIFS(金融!F:F, "2030年左右", 金融!G:G, "强化或放宽目标（气候影响不明确）") +
COUNTIFS(金融!F:F, "2030年左右", 金融!G:G, "强化或放宽目标（积极气候影响）") +
COUNTIFS(金融!F:F, "2030年左右", 金融!G:G, "强化或放宽目标（消极气候影响）")</f>
        <v/>
      </c>
    </row>
    <row r="30" ht="19" customHeight="1" s="235">
      <c r="K30" s="59" t="n"/>
      <c r="L30" s="59" t="n"/>
      <c r="N30" s="73" t="inlineStr">
        <is>
          <t>（2030年/2030年前）</t>
        </is>
      </c>
      <c r="O30" s="74">
        <f>SUM(O27:O29)</f>
        <v/>
      </c>
    </row>
    <row r="31" ht="19" customHeight="1" s="235">
      <c r="N31" s="73" t="inlineStr">
        <is>
          <t>十五五</t>
        </is>
      </c>
      <c r="O31" s="74">
        <f>COUNTIFS(温室气体排放!F:F, "十五五", 温室气体排放!G:G, "新目标") +
COUNTIFS(温室气体排放!F:F, "十五五", 温室气体排放!G:G, "强化或放宽目标（气候影响不明确）") +
COUNTIFS(温室气体排放!F:F, "十五五", 温室气体排放!G:G, "强化或放宽目标（积极气候影响）") +
COUNTIFS(温室气体排放!F:F, "十五五", 温室气体排放!G:G, "强化或放宽目标（消极气候影响）") +
COUNTIFS(污染!F:F, "十五五", 污染!G:G, "新目标") +
COUNTIFS(污染!F:F, "十五五", 污染!G:G, "强化或放宽目标（气候影响不明确）") +
COUNTIFS(污染!F:F, "十五五", 污染!G:G, "强化或放宽目标（积极气候影响）") +
COUNTIFS(污染!F:F, "十五五", 污染!G:G, "强化或放宽目标（消极气候影响）") +
COUNTIFS('能源|电力'!F:F, "十五五", '能源|电力'!G:G, "新目标") +
COUNTIFS('能源|电力'!F:F, "十五五", '能源|电力'!G:G, "强化或放宽目标（气候影响不明确）") +
COUNTIFS('能源|电力'!F:F, "十五五", '能源|电力'!G:G, "强化或放宽目标（积极气候影响）") +
COUNTIFS('能源|电力'!F:F, "十五五", '能源|电力'!G:G, "强化或放宽目标（消极气候影响）") +
COUNTIFS(工业!F:F, "十五五", 工业!G:G, "新目标") +
COUNTIFS(工业!F:F, "十五五", 工业!G:G, "强化或放宽目标（气候影响不明确）") +
COUNTIFS(工业!F:F, "十五五", 工业!G:G, "强化或放宽目标（积极气候影响）") +
COUNTIFS(工业!F:F, "十五五", 工业!G:G, "强化或放宽目标（消极气候影响）") +
COUNTIFS(建筑!F:F, "十五五", 建筑!G:G, "新目标") +
COUNTIFS(建筑!F:F, "十五五", 建筑!G:G, "强化或放宽目标（气候影响不明确）") +
COUNTIFS(建筑!F:F, "十五五", 建筑!G:G, "强化或放宽目标（积极气候影响）") +
COUNTIFS(建筑!F:F, "十五五", 建筑!G:G, "强化或放宽目标（消极气候影响）") +
COUNTIFS(交通!F:F, "十五五", 交通!G:G, "新目标") +
COUNTIFS(交通!F:F, "十五五", 交通!G:G, "强化或放宽目标（气候影响不明确）") +
COUNTIFS(交通!F:F, "十五五", 交通!G:G, "强化或放宽目标（积极气候影响）") +
COUNTIFS(交通!F:F, "十五五", 交通!G:G, "强化或放宽目标（消极气候影响）") +
COUNTIFS('土地利用、土地利用变化和林业'!F:F, "十五五", '土地利用、土地利用变化和林业'!G:G, "新目标") +
COUNTIFS('土地利用、土地利用变化和林业'!F:F, "十五五", '土地利用、土地利用变化和林业'!G:G, "强化或放宽目标（气候影响不明确）") +
COUNTIFS('土地利用、土地利用变化和林业'!F:F, "十五五", '土地利用、土地利用变化和林业'!G:G, "强化或放宽目标（积极气候影响）") +
COUNTIFS('土地利用、土地利用变化和林业'!F:F, "十五五", '土地利用、土地利用变化和林业'!G:G, "强化或放宽目标（消极气候影响）") +
COUNTIFS(循环经济!F:F, "十五五", 循环经济!G:G, "新目标") +
COUNTIFS(循环经济!F:F, "十五五", 循环经济!G:G, "强化或放宽目标（气候影响不明确）") +
COUNTIFS(循环经济!F:F, "十五五", 循环经济!G:G, "强化或放宽目标（积极气候影响）") +
COUNTIFS(循环经济!F:F, "十五五", 循环经济!G:G, "强化或放宽目标（消极气候影响）") +
COUNTIFS(金融!F:F, "十五五", 金融!G:G, "新目标") +
COUNTIFS(金融!F:F, "十五五", 金融!G:G, "强化或放宽目标（气候影响不明确）") +
COUNTIFS(金融!F:F, "十五五", 金融!G:G, "强化或放宽目标（积极气候影响）") +
COUNTIFS(金融!F:F, "十五五", 金融!G:G, "强化或放宽目标（消极气候影响）")</f>
        <v/>
      </c>
    </row>
    <row r="32" ht="19" customHeight="1" s="235">
      <c r="N32" s="73" t="n">
        <v>2035</v>
      </c>
      <c r="O32" s="74">
        <f>COUNTIFS(温室气体排放!F:F, 2035, 温室气体排放!G:G, "新目标") +
COUNTIFS(温室气体排放!F:F, 2035, 温室气体排放!G:G, "强化或放宽目标（气候影响不明确）") +
COUNTIFS(温室气体排放!F:F, 2035, 温室气体排放!G:G, "强化或放宽目标（积极气候影响）") +
COUNTIFS(温室气体排放!F:F, 2035, 温室气体排放!G:G, "强化或放宽目标（消极气候影响）") +
COUNTIFS(污染!F:F, 2035, 污染!G:G, "新目标") +
COUNTIFS(污染!F:F, 2035, 污染!G:G, "强化或放宽目标（气候影响不明确）") +
COUNTIFS(污染!F:F, 2035, 污染!G:G, "强化或放宽目标（积极气候影响）") +
COUNTIFS(污染!F:F, 2035, 污染!G:G, "强化或放宽目标（消极气候影响）") +
COUNTIFS('能源|电力'!F:F, 2035, '能源|电力'!G:G, "新目标") +
COUNTIFS('能源|电力'!F:F, 2035, '能源|电力'!G:G, "强化或放宽目标（气候影响不明确）") +
COUNTIFS('能源|电力'!F:F, 2035, '能源|电力'!G:G, "强化或放宽目标（积极气候影响）") +
COUNTIFS('能源|电力'!F:F, 2035, '能源|电力'!G:G, "强化或放宽目标（消极气候影响）") +
COUNTIFS(工业!F:F, 2035, 工业!G:G, "新目标") +
COUNTIFS(工业!F:F, 2035, 工业!G:G, "强化或放宽目标（气候影响不明确）") +
COUNTIFS(工业!F:F, 2035, 工业!G:G, "强化或放宽目标（积极气候影响）") +
COUNTIFS(工业!F:F, 2035, 工业!G:G, "强化或放宽目标（消极气候影响）") +
COUNTIFS(建筑!F:F, 2035, 建筑!G:G, "新目标") +
COUNTIFS(建筑!F:F, 2035, 建筑!G:G, "强化或放宽目标（气候影响不明确）") +
COUNTIFS(建筑!F:F, 2035, 建筑!G:G, "强化或放宽目标（积极气候影响）") +
COUNTIFS(建筑!F:F, 2035, 建筑!G:G, "强化或放宽目标（消极气候影响）") +
COUNTIFS(交通!F:F, 2035, 交通!G:G, "新目标") +
COUNTIFS(交通!F:F, 2035, 交通!G:G, "强化或放宽目标（气候影响不明确）") +
COUNTIFS(交通!F:F, 2035, 交通!G:G, "强化或放宽目标（积极气候影响）") +
COUNTIFS(交通!F:F, 2035, 交通!G:G, "强化或放宽目标（消极气候影响）") +
COUNTIFS('土地利用、土地利用变化和林业'!F:F, 2035, '土地利用、土地利用变化和林业'!G:G, "新目标") +
COUNTIFS('土地利用、土地利用变化和林业'!F:F, 2035, '土地利用、土地利用变化和林业'!G:G, "强化或放宽目标（气候影响不明确）") +
COUNTIFS('土地利用、土地利用变化和林业'!F:F, 2035, '土地利用、土地利用变化和林业'!G:G, "强化或放宽目标（积极气候影响）") +
COUNTIFS('土地利用、土地利用变化和林业'!F:F, 2035, '土地利用、土地利用变化和林业'!G:G, "强化或放宽目标（消极气候影响）") +
COUNTIFS(循环经济!F:F, 2035, 循环经济!G:G, "新目标") +
COUNTIFS(循环经济!F:F, 2035, 循环经济!G:G, "强化或放宽目标（气候影响不明确）") +
COUNTIFS(循环经济!F:F, 2035, 循环经济!G:G, "强化或放宽目标（积极气候影响）") +
COUNTIFS(循环经济!F:F, 2035, 循环经济!G:G, "强化或放宽目标（消极气候影响）") +
COUNTIFS(金融!F:F, 2035, 金融!G:G, "新目标") +
COUNTIFS(金融!F:F, 2035, 金融!G:G, "强化或放宽目标（气候影响不明确）") +
COUNTIFS(金融!F:F, 2035, 金融!G:G, "强化或放宽目标（积极气候影响）") +
COUNTIFS(金融!F:F, 2035, 金融!G:G, "强化或放宽目标（消极气候影响）")</f>
        <v/>
      </c>
    </row>
    <row r="33" ht="19" customHeight="1" s="235">
      <c r="N33" s="73" t="inlineStr">
        <is>
          <t>2060年前</t>
        </is>
      </c>
      <c r="O33" s="74">
        <f>COUNTIFS(温室气体排放!F:F, "2060年前", 温室气体排放!G:G, "新目标") +
COUNTIFS(温室气体排放!F:F, "2060年前", 温室气体排放!G:G, "强化或放宽目标（气候影响不明确）") +
COUNTIFS(温室气体排放!F:F, "2060年前", 温室气体排放!G:G, "强化或放宽目标（积极气候影响）") +
COUNTIFS(温室气体排放!F:F, "2060年前", 温室气体排放!G:G, "强化或放宽目标（消极气候影响）") +
COUNTIFS(污染!F:F, "2060年前", 污染!G:G, "新目标") +
COUNTIFS(污染!F:F, "2060年前", 污染!G:G, "强化或放宽目标（气候影响不明确）") +
COUNTIFS(污染!F:F, "2060年前", 污染!G:G, "强化或放宽目标（积极气候影响）") +
COUNTIFS(污染!F:F, "2060年前", 污染!G:G, "强化或放宽目标（消极气候影响）") +
COUNTIFS('能源|电力'!F:F, "2060年前", '能源|电力'!G:G, "新目标") +
COUNTIFS('能源|电力'!F:F, "2060年前", '能源|电力'!G:G, "强化或放宽目标（气候影响不明确）") +
COUNTIFS('能源|电力'!F:F, "2060年前", '能源|电力'!G:G, "强化或放宽目标（积极气候影响）") +
COUNTIFS('能源|电力'!F:F, "2060年前", '能源|电力'!G:G, "强化或放宽目标（消极气候影响）") +
COUNTIFS(工业!F:F, "2060年前", 工业!G:G, "新目标") +
COUNTIFS(工业!F:F, "2060年前", 工业!G:G, "强化或放宽目标（气候影响不明确）") +
COUNTIFS(工业!F:F, "2060年前", 工业!G:G, "强化或放宽目标（积极气候影响）") +
COUNTIFS(工业!F:F, "2060年前", 工业!G:G, "强化或放宽目标（消极气候影响）") +
COUNTIFS(建筑!F:F, "2060年前", 建筑!G:G, "新目标") +
COUNTIFS(建筑!F:F, "2060年前", 建筑!G:G, "强化或放宽目标（气候影响不明确）") +
COUNTIFS(建筑!F:F, "2060年前", 建筑!G:G, "强化或放宽目标（积极气候影响）") +
COUNTIFS(建筑!F:F, "2060年前", 建筑!G:G, "强化或放宽目标（消极气候影响）") +
COUNTIFS(交通!F:F, "2060年前", 交通!G:G, "新目标") +
COUNTIFS(交通!F:F, "2060年前", 交通!G:G, "强化或放宽目标（气候影响不明确）") +
COUNTIFS(交通!F:F, "2060年前", 交通!G:G, "强化或放宽目标（积极气候影响）") +
COUNTIFS(交通!F:F, "2060年前", 交通!G:G, "强化或放宽目标（消极气候影响）") +
COUNTIFS('土地利用、土地利用变化和林业'!F:F, "2060年前", '土地利用、土地利用变化和林业'!G:G, "新目标") +
COUNTIFS('土地利用、土地利用变化和林业'!F:F, "2060年前", '土地利用、土地利用变化和林业'!G:G, "强化或放宽目标（气候影响不明确）") +
COUNTIFS('土地利用、土地利用变化和林业'!F:F, "2060年前", '土地利用、土地利用变化和林业'!G:G, "强化或放宽目标（积极气候影响）") +
COUNTIFS('土地利用、土地利用变化和林业'!F:F, "2060年前", '土地利用、土地利用变化和林业'!G:G, "强化或放宽目标（消极气候影响）") +
COUNTIFS(循环经济!F:F, "2060年前", 循环经济!G:G, "新目标") +
COUNTIFS(循环经济!F:F, "2060年前", 循环经济!G:G, "强化或放宽目标（气候影响不明确）") +
COUNTIFS(循环经济!F:F, "2060年前", 循环经济!G:G, "强化或放宽目标（积极气候影响）") +
COUNTIFS(循环经济!F:F, "2060年前", 循环经济!G:G, "强化或放宽目标（消极气候影响）") +
COUNTIFS(金融!F:F, "2060年前", 金融!G:G, "新目标") +
COUNTIFS(金融!F:F, "2060年前", 金融!G:G, "强化或放宽目标（气候影响不明确）") +
COUNTIFS(金融!F:F, "2060年前", 金融!G:G, "强化或放宽目标（积极气候影响）") +
COUNTIFS(金融!F:F, "2060年前", 金融!G:G, "强化或放宽目标（消极气候影响）")</f>
        <v/>
      </c>
    </row>
    <row r="34" ht="19" customHeight="1" s="235">
      <c r="N34" s="73" t="inlineStr">
        <is>
          <t>2003-2020</t>
        </is>
      </c>
      <c r="O34" s="74">
        <f>COUNTIFS(温室气体排放!F:F, "2003-2020", 温室气体排放!G:G, "新目标") +
COUNTIFS(温室气体排放!F:F, "2003-2020", 温室气体排放!G:G, "强化或放宽目标（气候影响不明确）") +
COUNTIFS(温室气体排放!F:F, "2003-2020", 温室气体排放!G:G, "强化或放宽目标（积极气候影响）") +
COUNTIFS(温室气体排放!F:F, "2003-2020", 温室气体排放!G:G, "强化或放宽目标（消极气候影响）") +
COUNTIFS(污染!F:F, "2003-2020", 污染!G:G, "新目标") +
COUNTIFS(污染!F:F, "2003-2020", 污染!G:G, "强化或放宽目标（气候影响不明确）") +
COUNTIFS(污染!F:F, "2003-2020", 污染!G:G, "强化或放宽目标（积极气候影响）") +
COUNTIFS(污染!F:F, "2003-2020", 污染!G:G, "强化或放宽目标（消极气候影响）") +
COUNTIFS('能源|电力'!F:F, "2003-2020", '能源|电力'!G:G, "新目标") +
COUNTIFS('能源|电力'!F:F, "2003-2020", '能源|电力'!G:G, "强化或放宽目标（气候影响不明确）") +
COUNTIFS('能源|电力'!F:F, "2003-2020", '能源|电力'!G:G, "强化或放宽目标（积极气候影响）") +
COUNTIFS('能源|电力'!F:F, "2003-2020", '能源|电力'!G:G, "强化或放宽目标（消极气候影响）") +
COUNTIFS(工业!F:F, "2003-2020", 工业!G:G, "新目标") +
COUNTIFS(工业!F:F, "2003-2020", 工业!G:G, "强化或放宽目标（气候影响不明确）") +
COUNTIFS(工业!F:F, "2003-2020", 工业!G:G, "强化或放宽目标（积极气候影响）") +
COUNTIFS(工业!F:F, "2003-2020", 工业!G:G, "强化或放宽目标（消极气候影响）") +
COUNTIFS(建筑!F:F, "2003-2020", 建筑!G:G, "新目标") +
COUNTIFS(建筑!F:F, "2003-2020", 建筑!G:G, "强化或放宽目标（气候影响不明确）") +
COUNTIFS(建筑!F:F, "2003-2020", 建筑!G:G, "强化或放宽目标（积极气候影响）") +
COUNTIFS(建筑!F:F, "2003-2020", 建筑!G:G, "强化或放宽目标（消极气候影响）") +
COUNTIFS(交通!F:F, "2003-2020", 交通!G:G, "新目标") +
COUNTIFS(交通!F:F, "2003-2020", 交通!G:G, "强化或放宽目标（气候影响不明确）") +
COUNTIFS(交通!F:F, "2003-2020", 交通!G:G, "强化或放宽目标（积极气候影响）") +
COUNTIFS(交通!F:F, "2003-2020", 交通!G:G, "强化或放宽目标（消极气候影响）") +
COUNTIFS('土地利用、土地利用变化和林业'!F:F, "2003-2020", '土地利用、土地利用变化和林业'!G:G, "新目标") +
COUNTIFS('土地利用、土地利用变化和林业'!F:F, "2003-2020", '土地利用、土地利用变化和林业'!G:G, "强化或放宽目标（气候影响不明确）") +
COUNTIFS('土地利用、土地利用变化和林业'!F:F, "2003-2020", '土地利用、土地利用变化和林业'!G:G, "强化或放宽目标（积极气候影响）") +
COUNTIFS('土地利用、土地利用变化和林业'!F:F, "2003-2020", '土地利用、土地利用变化和林业'!G:G, "强化或放宽目标（消极气候影响）") +
COUNTIFS(循环经济!F:F, "2003-2020", 循环经济!G:G, "新目标") +
COUNTIFS(循环经济!F:F, "2003-2020", 循环经济!G:G, "强化或放宽目标（气候影响不明确）") +
COUNTIFS(循环经济!F:F, "2003-2020", 循环经济!G:G, "强化或放宽目标（积极气候影响）") +
COUNTIFS(循环经济!F:F, "2003-2020", 循环经济!G:G, "强化或放宽目标（消极气候影响）") +
COUNTIFS(金融!F:F, "2003-2020", 金融!G:G, "新目标") +
COUNTIFS(金融!F:F, "2003-2020", 金融!G:G, "强化或放宽目标（气候影响不明确）") +
COUNTIFS(金融!F:F, "2003-2020", 金融!G:G, "强化或放宽目标（积极气候影响）") +
COUNTIFS(金融!F:F, "2003-2020", 金融!G:G, "强化或放宽目标（消极气候影响）")</f>
        <v/>
      </c>
    </row>
    <row r="35" ht="19" customHeight="1" s="235">
      <c r="N35" s="73" t="inlineStr">
        <is>
          <t>2007-2010</t>
        </is>
      </c>
      <c r="O35" s="74">
        <f>COUNTIFS(温室气体排放!F:F, "2007-2010", 温室气体排放!G:G, "新目标") +
COUNTIFS(温室气体排放!F:F, "2007-2010", 温室气体排放!G:G, "强化或放宽目标（气候影响不明确）") +
COUNTIFS(温室气体排放!F:F, "2007-2010", 温室气体排放!G:G, "强化或放宽目标（积极气候影响）") +
COUNTIFS(温室气体排放!F:F, "2007-2010", 温室气体排放!G:G, "强化或放宽目标（消极气候影响）") +
COUNTIFS(污染!F:F, "2007-2010", 污染!G:G, "新目标") +
COUNTIFS(污染!F:F, "2007-2010", 污染!G:G, "强化或放宽目标（气候影响不明确）") +
COUNTIFS(污染!F:F, "2007-2010", 污染!G:G, "强化或放宽目标（积极气候影响）") +
COUNTIFS(污染!F:F, "2007-2010", 污染!G:G, "强化或放宽目标（消极气候影响）") +
COUNTIFS('能源|电力'!F:F, "2007-2010", '能源|电力'!G:G, "新目标") +
COUNTIFS('能源|电力'!F:F, "2007-2010", '能源|电力'!G:G, "强化或放宽目标（气候影响不明确）") +
COUNTIFS('能源|电力'!F:F, "2007-2010", '能源|电力'!G:G, "强化或放宽目标（积极气候影响）") +
COUNTIFS('能源|电力'!F:F, "2007-2010", '能源|电力'!G:G, "强化或放宽目标（消极气候影响）") +
COUNTIFS(工业!F:F, "2007-2010", 工业!G:G, "新目标") +
COUNTIFS(工业!F:F, "2007-2010", 工业!G:G, "强化或放宽目标（气候影响不明确）") +
COUNTIFS(工业!F:F, "2007-2010", 工业!G:G, "强化或放宽目标（积极气候影响）") +
COUNTIFS(工业!F:F, "2007-2010", 工业!G:G, "强化或放宽目标（消极气候影响）") +
COUNTIFS(建筑!F:F, "2007-2010", 建筑!G:G, "新目标") +
COUNTIFS(建筑!F:F, "2007-2010", 建筑!G:G, "强化或放宽目标（气候影响不明确）") +
COUNTIFS(建筑!F:F, "2007-2010", 建筑!G:G, "强化或放宽目标（积极气候影响）") +
COUNTIFS(建筑!F:F, "2007-2010", 建筑!G:G, "强化或放宽目标（消极气候影响）") +
COUNTIFS(交通!F:F, "2007-2010", 交通!G:G, "新目标") +
COUNTIFS(交通!F:F, "2007-2010", 交通!G:G, "强化或放宽目标（气候影响不明确）") +
COUNTIFS(交通!F:F, "2007-2010", 交通!G:G, "强化或放宽目标（积极气候影响）") +
COUNTIFS(交通!F:F, "2007-2010", 交通!G:G, "强化或放宽目标（消极气候影响）") +
COUNTIFS('土地利用、土地利用变化和林业'!F:F, "2007-2010", '土地利用、土地利用变化和林业'!G:G, "新目标") +
COUNTIFS('土地利用、土地利用变化和林业'!F:F, "2007-2010", '土地利用、土地利用变化和林业'!G:G, "强化或放宽目标（气候影响不明确）") +
COUNTIFS('土地利用、土地利用变化和林业'!F:F, "2007-2010", '土地利用、土地利用变化和林业'!G:G, "强化或放宽目标（积极气候影响）") +
COUNTIFS('土地利用、土地利用变化和林业'!F:F, "2007-2010", '土地利用、土地利用变化和林业'!G:G, "强化或放宽目标（消极气候影响）") +
COUNTIFS(循环经济!F:F, "2007-2010", 循环经济!G:G, "新目标") +
COUNTIFS(循环经济!F:F, "2007-2010", 循环经济!G:G, "强化或放宽目标（气候影响不明确）") +
COUNTIFS(循环经济!F:F, "2007-2010", 循环经济!G:G, "强化或放宽目标（积极气候影响）") +
COUNTIFS(循环经济!F:F, "2007-2010", 循环经济!G:G, "强化或放宽目标（消极气候影响）") +
COUNTIFS(金融!F:F, "2007-2010", 金融!G:G, "新目标") +
COUNTIFS(金融!F:F, "2007-2010", 金融!G:G, "强化或放宽目标（气候影响不明确）") +
COUNTIFS(金融!F:F, "2007-2010", 金融!G:G, "强化或放宽目标（积极气候影响）") +
COUNTIFS(金融!F:F, "2007-2010", 金融!G:G, "强化或放宽目标（消极气候影响）")</f>
        <v/>
      </c>
    </row>
    <row r="36" ht="19" customHeight="1" s="235">
      <c r="N36" s="73" t="inlineStr">
        <is>
          <t>2007-2020</t>
        </is>
      </c>
      <c r="O36" s="74">
        <f>COUNTIFS(温室气体排放!F:F, "2007-2020", 温室气体排放!G:G, "新目标") +
COUNTIFS(温室气体排放!F:F, "2007-2020", 温室气体排放!G:G, "强化或放宽目标（气候影响不明确）") +
COUNTIFS(温室气体排放!F:F, "2007-2020", 温室气体排放!G:G, "强化或放宽目标（积极气候影响）") +
COUNTIFS(温室气体排放!F:F, "2007-2020", 温室气体排放!G:G, "强化或放宽目标（消极气候影响）") +
COUNTIFS(污染!F:F, "2007-2020", 污染!G:G, "新目标") +
COUNTIFS(污染!F:F, "2007-2020", 污染!G:G, "强化或放宽目标（气候影响不明确）") +
COUNTIFS(污染!F:F, "2007-2020", 污染!G:G, "强化或放宽目标（积极气候影响）") +
COUNTIFS(污染!F:F, "2007-2020", 污染!G:G, "强化或放宽目标（消极气候影响）") +
COUNTIFS('能源|电力'!F:F, "2007-2020", '能源|电力'!G:G, "新目标") +
COUNTIFS('能源|电力'!F:F, "2007-2020", '能源|电力'!G:G, "强化或放宽目标（气候影响不明确）") +
COUNTIFS('能源|电力'!F:F, "2007-2020", '能源|电力'!G:G, "强化或放宽目标（积极气候影响）") +
COUNTIFS('能源|电力'!F:F, "2007-2020", '能源|电力'!G:G, "强化或放宽目标（消极气候影响）") +
COUNTIFS(工业!F:F, "2007-2020", 工业!G:G, "新目标") +
COUNTIFS(工业!F:F, "2007-2020", 工业!G:G, "强化或放宽目标（气候影响不明确）") +
COUNTIFS(工业!F:F, "2007-2020", 工业!G:G, "强化或放宽目标（积极气候影响）") +
COUNTIFS(工业!F:F, "2007-2020", 工业!G:G, "强化或放宽目标（消极气候影响）") +
COUNTIFS(建筑!F:F, "2007-2020", 建筑!G:G, "新目标") +
COUNTIFS(建筑!F:F, "2007-2020", 建筑!G:G, "强化或放宽目标（气候影响不明确）") +
COUNTIFS(建筑!F:F, "2007-2020", 建筑!G:G, "强化或放宽目标（积极气候影响）") +
COUNTIFS(建筑!F:F, "2007-2020", 建筑!G:G, "强化或放宽目标（消极气候影响）") +
COUNTIFS(交通!F:F, "2007-2020", 交通!G:G, "新目标") +
COUNTIFS(交通!F:F, "2007-2020", 交通!G:G, "强化或放宽目标（气候影响不明确）") +
COUNTIFS(交通!F:F, "2007-2020", 交通!G:G, "强化或放宽目标（积极气候影响）") +
COUNTIFS(交通!F:F, "2007-2020", 交通!G:G, "强化或放宽目标（消极气候影响）") +
COUNTIFS('土地利用、土地利用变化和林业'!F:F, "2007-2020", '土地利用、土地利用变化和林业'!G:G, "新目标") +
COUNTIFS('土地利用、土地利用变化和林业'!F:F, "2007-2020", '土地利用、土地利用变化和林业'!G:G, "强化或放宽目标（气候影响不明确）") +
COUNTIFS('土地利用、土地利用变化和林业'!F:F, "2007-2020", '土地利用、土地利用变化和林业'!G:G, "强化或放宽目标（积极气候影响）") +
COUNTIFS('土地利用、土地利用变化和林业'!F:F, "2007-2020", '土地利用、土地利用变化和林业'!G:G, "强化或放宽目标（消极气候影响）") +
COUNTIFS(循环经济!F:F, "2007-2020", 循环经济!G:G, "新目标") +
COUNTIFS(循环经济!F:F, "2007-2020", 循环经济!G:G, "强化或放宽目标（气候影响不明确）") +
COUNTIFS(循环经济!F:F, "2007-2020", 循环经济!G:G, "强化或放宽目标（积极气候影响）") +
COUNTIFS(循环经济!F:F, "2007-2020", 循环经济!G:G, "强化或放宽目标（消极气候影响）") +
COUNTIFS(金融!F:F, "2007-2020", 金融!G:G, "新目标") +
COUNTIFS(金融!F:F, "2007-2020", 金融!G:G, "强化或放宽目标（气候影响不明确）") +
COUNTIFS(金融!F:F, "2007-2020", 金融!G:G, "强化或放宽目标（积极气候影响）") +
COUNTIFS(金融!F:F, "2007-2020", 金融!G:G, "强化或放宽目标（消极气候影响）")</f>
        <v/>
      </c>
    </row>
    <row r="37" ht="19" customHeight="1" s="235">
      <c r="N37" s="73" t="inlineStr">
        <is>
          <t>2014-2015</t>
        </is>
      </c>
      <c r="O37" s="74">
        <f>COUNTIFS(温室气体排放!F:F, "2014-2015", 温室气体排放!G:G, "新目标") +
COUNTIFS(温室气体排放!F:F, "2014-2015", 温室气体排放!G:G, "强化或放宽目标（气候影响不明确）") +
COUNTIFS(温室气体排放!F:F, "2014-2015", 温室气体排放!G:G, "强化或放宽目标（积极气候影响）") +
COUNTIFS(温室气体排放!F:F, "2014-2015", 温室气体排放!G:G, "强化或放宽目标（消极气候影响）") +
COUNTIFS(污染!F:F, "2014-2015", 污染!G:G, "新目标") +
COUNTIFS(污染!F:F, "2014-2015", 污染!G:G, "强化或放宽目标（气候影响不明确）") +
COUNTIFS(污染!F:F, "2014-2015", 污染!G:G, "强化或放宽目标（积极气候影响）") +
COUNTIFS(污染!F:F, "2014-2015", 污染!G:G, "强化或放宽目标（消极气候影响）") +
COUNTIFS('能源|电力'!F:F, "2014-2015", '能源|电力'!G:G, "新目标") +
COUNTIFS('能源|电力'!F:F, "2014-2015", '能源|电力'!G:G, "强化或放宽目标（气候影响不明确）") +
COUNTIFS('能源|电力'!F:F, "2014-2015", '能源|电力'!G:G, "强化或放宽目标（积极气候影响）") +
COUNTIFS('能源|电力'!F:F, "2014-2015", '能源|电力'!G:G, "强化或放宽目标（消极气候影响）") +
COUNTIFS(工业!F:F, "2014-2015", 工业!G:G, "新目标") +
COUNTIFS(工业!F:F, "2014-2015", 工业!G:G, "强化或放宽目标（气候影响不明确）") +
COUNTIFS(工业!F:F, "2014-2015", 工业!G:G, "强化或放宽目标（积极气候影响）") +
COUNTIFS(工业!F:F, "2014-2015", 工业!G:G, "强化或放宽目标（消极气候影响）") +
COUNTIFS(建筑!F:F, "2014-2015", 建筑!G:G, "新目标") +
COUNTIFS(建筑!F:F, "2014-2015", 建筑!G:G, "强化或放宽目标（气候影响不明确）") +
COUNTIFS(建筑!F:F, "2014-2015", 建筑!G:G, "强化或放宽目标（积极气候影响）") +
COUNTIFS(建筑!F:F, "2014-2015", 建筑!G:G, "强化或放宽目标（消极气候影响）") +
COUNTIFS(交通!F:F, "2014-2015", 交通!G:G, "新目标") +
COUNTIFS(交通!F:F, "2014-2015", 交通!G:G, "强化或放宽目标（气候影响不明确）") +
COUNTIFS(交通!F:F, "2014-2015", 交通!G:G, "强化或放宽目标（积极气候影响）") +
COUNTIFS(交通!F:F, "2014-2015", 交通!G:G, "强化或放宽目标（消极气候影响）") +
COUNTIFS('土地利用、土地利用变化和林业'!F:F, "2014-2015", '土地利用、土地利用变化和林业'!G:G, "新目标") +
COUNTIFS('土地利用、土地利用变化和林业'!F:F, "2014-2015", '土地利用、土地利用变化和林业'!G:G, "强化或放宽目标（气候影响不明确）") +
COUNTIFS('土地利用、土地利用变化和林业'!F:F, "2014-2015", '土地利用、土地利用变化和林业'!G:G, "强化或放宽目标（积极气候影响）") +
COUNTIFS('土地利用、土地利用变化和林业'!F:F, "2014-2015", '土地利用、土地利用变化和林业'!G:G, "强化或放宽目标（消极气候影响）") +
COUNTIFS(循环经济!F:F, "2014-2015", 循环经济!G:G, "新目标") +
COUNTIFS(循环经济!F:F, "2014-2015", 循环经济!G:G, "强化或放宽目标（气候影响不明确）") +
COUNTIFS(循环经济!F:F, "2014-2015", 循环经济!G:G, "强化或放宽目标（积极气候影响）") +
COUNTIFS(循环经济!F:F, "2014-2015", 循环经济!G:G, "强化或放宽目标（消极气候影响）") +
COUNTIFS(金融!F:F, "2014-2015", 金融!G:G, "新目标") +
COUNTIFS(金融!F:F, "2014-2015", 金融!G:G, "强化或放宽目标（气候影响不明确）") +
COUNTIFS(金融!F:F, "2014-2015", 金融!G:G, "强化或放宽目标（积极气候影响）") +
COUNTIFS(金融!F:F, "2014-2015", 金融!G:G, "强化或放宽目标（消极气候影响）")</f>
        <v/>
      </c>
    </row>
    <row r="38" ht="19" customHeight="1" s="235">
      <c r="N38" s="73" t="inlineStr">
        <is>
          <t>2014-2016</t>
        </is>
      </c>
      <c r="O38" s="74">
        <f>COUNTIFS(温室气体排放!F:F, "2014-2016", 温室气体排放!G:G, "新目标") +
COUNTIFS(温室气体排放!F:F, "2014-2016", 温室气体排放!G:G, "强化或放宽目标（气候影响不明确）") +
COUNTIFS(温室气体排放!F:F, "2014-2016", 温室气体排放!G:G, "强化或放宽目标（积极气候影响）") +
COUNTIFS(温室气体排放!F:F, "2014-2016", 温室气体排放!G:G, "强化或放宽目标（消极气候影响）") +
COUNTIFS(污染!F:F, "2014-2016", 污染!G:G, "新目标") +
COUNTIFS(污染!F:F, "2014-2016", 污染!G:G, "强化或放宽目标（气候影响不明确）") +
COUNTIFS(污染!F:F, "2014-2016", 污染!G:G, "强化或放宽目标（积极气候影响）") +
COUNTIFS(污染!F:F, "2014-2016", 污染!G:G, "强化或放宽目标（消极气候影响）") +
COUNTIFS('能源|电力'!F:F, "2014-2016", '能源|电力'!G:G, "新目标") +
COUNTIFS('能源|电力'!F:F, "2014-2016", '能源|电力'!G:G, "强化或放宽目标（气候影响不明确）") +
COUNTIFS('能源|电力'!F:F, "2014-2016", '能源|电力'!G:G, "强化或放宽目标（积极气候影响）") +
COUNTIFS('能源|电力'!F:F, "2014-2016", '能源|电力'!G:G, "强化或放宽目标（消极气候影响）") +
COUNTIFS(工业!F:F, "2014-2016", 工业!G:G, "新目标") +
COUNTIFS(工业!F:F, "2014-2016", 工业!G:G, "强化或放宽目标（气候影响不明确）") +
COUNTIFS(工业!F:F, "2014-2016", 工业!G:G, "强化或放宽目标（积极气候影响）") +
COUNTIFS(工业!F:F, "2014-2016", 工业!G:G, "强化或放宽目标（消极气候影响）") +
COUNTIFS(建筑!F:F, "2014-2016", 建筑!G:G, "新目标") +
COUNTIFS(建筑!F:F, "2014-2016", 建筑!G:G, "强化或放宽目标（气候影响不明确）") +
COUNTIFS(建筑!F:F, "2014-2016", 建筑!G:G, "强化或放宽目标（积极气候影响）") +
COUNTIFS(建筑!F:F, "2014-2016", 建筑!G:G, "强化或放宽目标（消极气候影响）") +
COUNTIFS(交通!F:F, "2014-2016", 交通!G:G, "新目标") +
COUNTIFS(交通!F:F, "2014-2016", 交通!G:G, "强化或放宽目标（气候影响不明确）") +
COUNTIFS(交通!F:F, "2014-2016", 交通!G:G, "强化或放宽目标（积极气候影响）") +
COUNTIFS(交通!F:F, "2014-2016", 交通!G:G, "强化或放宽目标（消极气候影响）") +
COUNTIFS('土地利用、土地利用变化和林业'!F:F, "2014-2016", '土地利用、土地利用变化和林业'!G:G, "新目标") +
COUNTIFS('土地利用、土地利用变化和林业'!F:F, "2014-2016", '土地利用、土地利用变化和林业'!G:G, "强化或放宽目标（气候影响不明确）") +
COUNTIFS('土地利用、土地利用变化和林业'!F:F, "2014-2016", '土地利用、土地利用变化和林业'!G:G, "强化或放宽目标（积极气候影响）") +
COUNTIFS('土地利用、土地利用变化和林业'!F:F, "2014-2016", '土地利用、土地利用变化和林业'!G:G, "强化或放宽目标（消极气候影响）") +
COUNTIFS(循环经济!F:F, "2014-2016", 循环经济!G:G, "新目标") +
COUNTIFS(循环经济!F:F, "2014-2016", 循环经济!G:G, "强化或放宽目标（气候影响不明确）") +
COUNTIFS(循环经济!F:F, "2014-2016", 循环经济!G:G, "强化或放宽目标（积极气候影响）") +
COUNTIFS(循环经济!F:F, "2014-2016", 循环经济!G:G, "强化或放宽目标（消极气候影响）") +
COUNTIFS(金融!F:F, "2014-2016", 金融!G:G, "新目标") +
COUNTIFS(金融!F:F, "2014-2016", 金融!G:G, "强化或放宽目标（气候影响不明确）") +
COUNTIFS(金融!F:F, "2014-2016", 金融!G:G, "强化或放宽目标（积极气候影响）") +
COUNTIFS(金融!F:F, "2014-2016", 金融!G:G, "强化或放宽目标（消极气候影响）")</f>
        <v/>
      </c>
    </row>
    <row r="39" ht="19" customHeight="1" s="235">
      <c r="N39" s="73" t="inlineStr">
        <is>
          <t>2016-2020</t>
        </is>
      </c>
      <c r="O39" s="74">
        <f>COUNTIFS(温室气体排放!F:F, "2016-2020", 温室气体排放!G:G, "新目标") +
COUNTIFS(温室气体排放!F:F, "2016-2020", 温室气体排放!G:G, "强化或放宽目标（气候影响不明确）") +
COUNTIFS(温室气体排放!F:F, "2016-2020", 温室气体排放!G:G, "强化或放宽目标（积极气候影响）") +
COUNTIFS(温室气体排放!F:F, "2016-2020", 温室气体排放!G:G, "强化或放宽目标（消极气候影响）") +
COUNTIFS(污染!F:F, "2016-2020", 污染!G:G, "新目标") +
COUNTIFS(污染!F:F, "2016-2020", 污染!G:G, "强化或放宽目标（气候影响不明确）") +
COUNTIFS(污染!F:F, "2016-2020", 污染!G:G, "强化或放宽目标（积极气候影响）") +
COUNTIFS(污染!F:F, "2016-2020", 污染!G:G, "强化或放宽目标（消极气候影响）") +
COUNTIFS('能源|电力'!F:F, "2016-2020", '能源|电力'!G:G, "新目标") +
COUNTIFS('能源|电力'!F:F, "2016-2020", '能源|电力'!G:G, "强化或放宽目标（气候影响不明确）") +
COUNTIFS('能源|电力'!F:F, "2016-2020", '能源|电力'!G:G, "强化或放宽目标（积极气候影响）") +
COUNTIFS('能源|电力'!F:F, "2016-2020", '能源|电力'!G:G, "强化或放宽目标（消极气候影响）") +
COUNTIFS(工业!F:F, "2016-2020", 工业!G:G, "新目标") +
COUNTIFS(工业!F:F, "2016-2020", 工业!G:G, "强化或放宽目标（气候影响不明确）") +
COUNTIFS(工业!F:F, "2016-2020", 工业!G:G, "强化或放宽目标（积极气候影响）") +
COUNTIFS(工业!F:F, "2016-2020", 工业!G:G, "强化或放宽目标（消极气候影响）") +
COUNTIFS(建筑!F:F, "2016-2020", 建筑!G:G, "新目标") +
COUNTIFS(建筑!F:F, "2016-2020", 建筑!G:G, "强化或放宽目标（气候影响不明确）") +
COUNTIFS(建筑!F:F, "2016-2020", 建筑!G:G, "强化或放宽目标（积极气候影响）") +
COUNTIFS(建筑!F:F, "2016-2020", 建筑!G:G, "强化或放宽目标（消极气候影响）") +
COUNTIFS(交通!F:F, "2016-2020", 交通!G:G, "新目标") +
COUNTIFS(交通!F:F, "2016-2020", 交通!G:G, "强化或放宽目标（气候影响不明确）") +
COUNTIFS(交通!F:F, "2016-2020", 交通!G:G, "强化或放宽目标（积极气候影响）") +
COUNTIFS(交通!F:F, "2016-2020", 交通!G:G, "强化或放宽目标（消极气候影响）") +
COUNTIFS('土地利用、土地利用变化和林业'!F:F, "2016-2020", '土地利用、土地利用变化和林业'!G:G, "新目标") +
COUNTIFS('土地利用、土地利用变化和林业'!F:F, "2016-2020", '土地利用、土地利用变化和林业'!G:G, "强化或放宽目标（气候影响不明确）") +
COUNTIFS('土地利用、土地利用变化和林业'!F:F, "2016-2020", '土地利用、土地利用变化和林业'!G:G, "强化或放宽目标（积极气候影响）") +
COUNTIFS('土地利用、土地利用变化和林业'!F:F, "2016-2020", '土地利用、土地利用变化和林业'!G:G, "强化或放宽目标（消极气候影响）") +
COUNTIFS(循环经济!F:F, "2016-2020", 循环经济!G:G, "新目标") +
COUNTIFS(循环经济!F:F, "2016-2020", 循环经济!G:G, "强化或放宽目标（气候影响不明确）") +
COUNTIFS(循环经济!F:F, "2016-2020", 循环经济!G:G, "强化或放宽目标（积极气候影响）") +
COUNTIFS(循环经济!F:F, "2016-2020", 循环经济!G:G, "强化或放宽目标（消极气候影响）") +
COUNTIFS(金融!F:F, "2016-2020", 金融!G:G, "新目标") +
COUNTIFS(金融!F:F, "2016-2020", 金融!G:G, "强化或放宽目标（气候影响不明确）") +
COUNTIFS(金融!F:F, "2016-2020", 金融!G:G, "强化或放宽目标（积极气候影响）") +
COUNTIFS(金融!F:F, "2016-2020", 金融!G:G, "强化或放宽目标（消极气候影响）")</f>
        <v/>
      </c>
    </row>
    <row r="40" ht="19" customHeight="1" s="235">
      <c r="N40" s="73" t="inlineStr">
        <is>
          <t>2016-2030</t>
        </is>
      </c>
      <c r="O40" s="74">
        <f>COUNTIFS(温室气体排放!F:F, "2016-2030", 温室气体排放!G:G, "新目标") +
COUNTIFS(温室气体排放!F:F, "2016-2030", 温室气体排放!G:G, "强化或放宽目标（气候影响不明确）") +
COUNTIFS(温室气体排放!F:F, "2016-2030", 温室气体排放!G:G, "强化或放宽目标（积极气候影响）") +
COUNTIFS(温室气体排放!F:F, "2016-2030", 温室气体排放!G:G, "强化或放宽目标（消极气候影响）") +
COUNTIFS(污染!F:F, "2016-2030", 污染!G:G, "新目标") +
COUNTIFS(污染!F:F, "2016-2030", 污染!G:G, "强化或放宽目标（气候影响不明确）") +
COUNTIFS(污染!F:F, "2016-2030", 污染!G:G, "强化或放宽目标（积极气候影响）") +
COUNTIFS(污染!F:F, "2016-2030", 污染!G:G, "强化或放宽目标（消极气候影响）") +
COUNTIFS('能源|电力'!F:F, "2016-2030", '能源|电力'!G:G, "新目标") +
COUNTIFS('能源|电力'!F:F, "2016-2030", '能源|电力'!G:G, "强化或放宽目标（气候影响不明确）") +
COUNTIFS('能源|电力'!F:F, "2016-2030", '能源|电力'!G:G, "强化或放宽目标（积极气候影响）") +
COUNTIFS('能源|电力'!F:F, "2016-2030", '能源|电力'!G:G, "强化或放宽目标（消极气候影响）") +
COUNTIFS(工业!F:F, "2016-2030", 工业!G:G, "新目标") +
COUNTIFS(工业!F:F, "2016-2030", 工业!G:G, "强化或放宽目标（气候影响不明确）") +
COUNTIFS(工业!F:F, "2016-2030", 工业!G:G, "强化或放宽目标（积极气候影响）") +
COUNTIFS(工业!F:F, "2016-2030", 工业!G:G, "强化或放宽目标（消极气候影响）") +
COUNTIFS(建筑!F:F, "2016-2030", 建筑!G:G, "新目标") +
COUNTIFS(建筑!F:F, "2016-2030", 建筑!G:G, "强化或放宽目标（气候影响不明确）") +
COUNTIFS(建筑!F:F, "2016-2030", 建筑!G:G, "强化或放宽目标（积极气候影响）") +
COUNTIFS(建筑!F:F, "2016-2030", 建筑!G:G, "强化或放宽目标（消极气候影响）") +
COUNTIFS(交通!F:F, "2016-2030", 交通!G:G, "新目标") +
COUNTIFS(交通!F:F, "2016-2030", 交通!G:G, "强化或放宽目标（气候影响不明确）") +
COUNTIFS(交通!F:F, "2016-2030", 交通!G:G, "强化或放宽目标（积极气候影响）") +
COUNTIFS(交通!F:F, "2016-2030", 交通!G:G, "强化或放宽目标（消极气候影响）") +
COUNTIFS('土地利用、土地利用变化和林业'!F:F, "2016-2030", '土地利用、土地利用变化和林业'!G:G, "新目标") +
COUNTIFS('土地利用、土地利用变化和林业'!F:F, "2016-2030", '土地利用、土地利用变化和林业'!G:G, "强化或放宽目标（气候影响不明确）") +
COUNTIFS('土地利用、土地利用变化和林业'!F:F, "2016-2030", '土地利用、土地利用变化和林业'!G:G, "强化或放宽目标（积极气候影响）") +
COUNTIFS('土地利用、土地利用变化和林业'!F:F, "2016-2030", '土地利用、土地利用变化和林业'!G:G, "强化或放宽目标（消极气候影响）") +
COUNTIFS(循环经济!F:F, "2016-2030", 循环经济!G:G, "新目标") +
COUNTIFS(循环经济!F:F, "2016-2030", 循环经济!G:G, "强化或放宽目标（气候影响不明确）") +
COUNTIFS(循环经济!F:F, "2016-2030", 循环经济!G:G, "强化或放宽目标（积极气候影响）") +
COUNTIFS(循环经济!F:F, "2016-2030", 循环经济!G:G, "强化或放宽目标（消极气候影响）") +
COUNTIFS(金融!F:F, "2016-2030", 金融!G:G, "新目标") +
COUNTIFS(金融!F:F, "2016-2030", 金融!G:G, "强化或放宽目标（气候影响不明确）") +
COUNTIFS(金融!F:F, "2016-2030", 金融!G:G, "强化或放宽目标（积极气候影响）") +
COUNTIFS(金融!F:F, "2016-2030", 金融!G:G, "强化或放宽目标（消极气候影响）")</f>
        <v/>
      </c>
    </row>
    <row r="41" ht="19" customHeight="1" s="235">
      <c r="N41" s="73" t="inlineStr">
        <is>
          <t>2021-2030</t>
        </is>
      </c>
      <c r="O41" s="74">
        <f>COUNTIFS(温室气体排放!F:F, "2021-2030", 温室气体排放!G:G, "新目标") +
COUNTIFS(温室气体排放!F:F, "2021-2030", 温室气体排放!G:G, "强化或放宽目标（气候影响不明确）") +
COUNTIFS(温室气体排放!F:F, "2021-2030", 温室气体排放!G:G, "强化或放宽目标（积极气候影响）") +
COUNTIFS(温室气体排放!F:F, "2021-2030", 温室气体排放!G:G, "强化或放宽目标（消极气候影响）") +
COUNTIFS(污染!F:F, "2021-2030", 污染!G:G, "新目标") +
COUNTIFS(污染!F:F, "2021-2030", 污染!G:G, "强化或放宽目标（气候影响不明确）") +
COUNTIFS(污染!F:F, "2021-2030", 污染!G:G, "强化或放宽目标（积极气候影响）") +
COUNTIFS(污染!F:F, "2021-2030", 污染!G:G, "强化或放宽目标（消极气候影响）") +
COUNTIFS('能源|电力'!F:F, "2021-2030", '能源|电力'!G:G, "新目标") +
COUNTIFS('能源|电力'!F:F, "2021-2030", '能源|电力'!G:G, "强化或放宽目标（气候影响不明确）") +
COUNTIFS('能源|电力'!F:F, "2021-2030", '能源|电力'!G:G, "强化或放宽目标（积极气候影响）") +
COUNTIFS('能源|电力'!F:F, "2021-2030", '能源|电力'!G:G, "强化或放宽目标（消极气候影响）") +
COUNTIFS(工业!F:F, "2021-2030", 工业!G:G, "新目标") +
COUNTIFS(工业!F:F, "2021-2030", 工业!G:G, "强化或放宽目标（气候影响不明确）") +
COUNTIFS(工业!F:F, "2021-2030", 工业!G:G, "强化或放宽目标（积极气候影响）") +
COUNTIFS(工业!F:F, "2021-2030", 工业!G:G, "强化或放宽目标（消极气候影响）") +
COUNTIFS(建筑!F:F, "2021-2030", 建筑!G:G, "新目标") +
COUNTIFS(建筑!F:F, "2021-2030", 建筑!G:G, "强化或放宽目标（气候影响不明确）") +
COUNTIFS(建筑!F:F, "2021-2030", 建筑!G:G, "强化或放宽目标（积极气候影响）") +
COUNTIFS(建筑!F:F, "2021-2030", 建筑!G:G, "强化或放宽目标（消极气候影响）") +
COUNTIFS(交通!F:F, "2021-2030", 交通!G:G, "新目标") +
COUNTIFS(交通!F:F, "2021-2030", 交通!G:G, "强化或放宽目标（气候影响不明确）") +
COUNTIFS(交通!F:F, "2021-2030", 交通!G:G, "强化或放宽目标（积极气候影响）") +
COUNTIFS(交通!F:F, "2021-2030", 交通!G:G, "强化或放宽目标（消极气候影响）") +
COUNTIFS('土地利用、土地利用变化和林业'!F:F, "2021-2030", '土地利用、土地利用变化和林业'!G:G, "新目标") +
COUNTIFS('土地利用、土地利用变化和林业'!F:F, "2021-2030", '土地利用、土地利用变化和林业'!G:G, "强化或放宽目标（气候影响不明确）") +
COUNTIFS('土地利用、土地利用变化和林业'!F:F, "2021-2030", '土地利用、土地利用变化和林业'!G:G, "强化或放宽目标（积极气候影响）") +
COUNTIFS('土地利用、土地利用变化和林业'!F:F, "2021-2030", '土地利用、土地利用变化和林业'!G:G, "强化或放宽目标（消极气候影响）") +
COUNTIFS(循环经济!F:F, "2021-2030", 循环经济!G:G, "新目标") +
COUNTIFS(循环经济!F:F, "2021-2030", 循环经济!G:G, "强化或放宽目标（气候影响不明确）") +
COUNTIFS(循环经济!F:F, "2021-2030", 循环经济!G:G, "强化或放宽目标（积极气候影响）") +
COUNTIFS(循环经济!F:F, "2021-2030", 循环经济!G:G, "强化或放宽目标（消极气候影响）") +
COUNTIFS(金融!F:F, "2021-2030", 金融!G:G, "新目标") +
COUNTIFS(金融!F:F, "2021-2030", 金融!G:G, "强化或放宽目标（气候影响不明确）") +
COUNTIFS(金融!F:F, "2021-2030", 金融!G:G, "强化或放宽目标（积极气候影响）") +
COUNTIFS(金融!F:F, "2021-2030", 金融!G:G, "强化或放宽目标（消极气候影响）")</f>
        <v/>
      </c>
    </row>
    <row r="42" ht="19" customHeight="1" s="235">
      <c r="N42" s="88" t="inlineStr">
        <is>
          <t>2021-2060</t>
        </is>
      </c>
      <c r="O42" s="87">
        <f>COUNTIFS(温室气体排放!F:F, "2021-2060", 温室气体排放!G:G, "新目标") +
COUNTIFS(温室气体排放!F:F, "2021-2060", 温室气体排放!G:G, "强化或放宽目标（气候影响不明确）") +
COUNTIFS(温室气体排放!F:F, "2021-2060", 温室气体排放!G:G, "强化或放宽目标（积极气候影响）") +
COUNTIFS(温室气体排放!F:F, "2021-2060", 温室气体排放!G:G, "强化或放宽目标（消极气候影响）") +
COUNTIFS(污染!F:F, "2021-2060", 污染!G:G, "新目标") +
COUNTIFS(污染!F:F, "2021-2060", 污染!G:G, "强化或放宽目标（气候影响不明确）") +
COUNTIFS(污染!F:F, "2021-2060", 污染!G:G, "强化或放宽目标（积极气候影响）") +
COUNTIFS(污染!F:F, "2021-2060", 污染!G:G, "强化或放宽目标（消极气候影响）") +
COUNTIFS('能源|电力'!F:F, "2021-2060", '能源|电力'!G:G, "新目标") +
COUNTIFS('能源|电力'!F:F, "2021-2060", '能源|电力'!G:G, "强化或放宽目标（气候影响不明确）") +
COUNTIFS('能源|电力'!F:F, "2021-2060", '能源|电力'!G:G, "强化或放宽目标（积极气候影响）") +
COUNTIFS('能源|电力'!F:F, "2021-2060", '能源|电力'!G:G, "强化或放宽目标（消极气候影响）") +
COUNTIFS(工业!F:F, "2021-2060", 工业!G:G, "新目标") +
COUNTIFS(工业!F:F, "2021-2060", 工业!G:G, "强化或放宽目标（气候影响不明确）") +
COUNTIFS(工业!F:F, "2021-2060", 工业!G:G, "强化或放宽目标（积极气候影响）") +
COUNTIFS(工业!F:F, "2021-2060", 工业!G:G, "强化或放宽目标（消极气候影响）") +
COUNTIFS(建筑!F:F, "2021-2060", 建筑!G:G, "新目标") +
COUNTIFS(建筑!F:F, "2021-2060", 建筑!G:G, "强化或放宽目标（气候影响不明确）") +
COUNTIFS(建筑!F:F, "2021-2060", 建筑!G:G, "强化或放宽目标（积极气候影响）") +
COUNTIFS(建筑!F:F, "2021-2060", 建筑!G:G, "强化或放宽目标（消极气候影响）") +
COUNTIFS(交通!F:F, "2021-2060", 交通!G:G, "新目标") +
COUNTIFS(交通!F:F, "2021-2060", 交通!G:G, "强化或放宽目标（气候影响不明确）") +
COUNTIFS(交通!F:F, "2021-2060", 交通!G:G, "强化或放宽目标（积极气候影响）") +
COUNTIFS(交通!F:F, "2021-2060", 交通!G:G, "强化或放宽目标（消极气候影响）") +
COUNTIFS('土地利用、土地利用变化和林业'!F:F, "2021-2060", '土地利用、土地利用变化和林业'!G:G, "新目标") +
COUNTIFS('土地利用、土地利用变化和林业'!F:F, "2021-2060", '土地利用、土地利用变化和林业'!G:G, "强化或放宽目标（气候影响不明确）") +
COUNTIFS('土地利用、土地利用变化和林业'!F:F, "2021-2060", '土地利用、土地利用变化和林业'!G:G, "强化或放宽目标（积极气候影响）") +
COUNTIFS('土地利用、土地利用变化和林业'!F:F, "2021-2060", '土地利用、土地利用变化和林业'!G:G, "强化或放宽目标（消极气候影响）") +
COUNTIFS(循环经济!F:F, "2021-2060", 循环经济!G:G, "新目标") +
COUNTIFS(循环经济!F:F, "2021-2060", 循环经济!G:G, "强化或放宽目标（气候影响不明确）") +
COUNTIFS(循环经济!F:F, "2021-2060", 循环经济!G:G, "强化或放宽目标（积极气候影响）") +
COUNTIFS(循环经济!F:F, "2021-2060", 循环经济!G:G, "强化或放宽目标（消极气候影响）") +
COUNTIFS(金融!F:F, "2021-2060", 金融!G:G, "新目标") +
COUNTIFS(金融!F:F, "2021-2060", 金融!G:G, "强化或放宽目标（气候影响不明确）") +
COUNTIFS(金融!F:F, "2021-2060", 金融!G:G, "强化或放宽目标（积极气候影响）") +
COUNTIFS(金融!F:F, "2021-2060", 金融!G:G, "强化或放宽目标（消极气候影响）")</f>
        <v/>
      </c>
    </row>
    <row r="43" ht="19" customHeight="1" s="235">
      <c r="O43" s="7" t="n"/>
      <c r="R43" s="7" t="n"/>
    </row>
    <row r="44" ht="15" customHeight="1" s="235">
      <c r="N44" s="64" t="inlineStr">
        <is>
          <t>2010年合计</t>
        </is>
      </c>
      <c r="O44" s="58">
        <f>O8+O9+O35</f>
        <v/>
      </c>
      <c r="P44" s="78" t="n"/>
      <c r="R44" s="7" t="n"/>
    </row>
    <row r="45" ht="15" customHeight="1" s="235">
      <c r="N45" s="73" t="inlineStr">
        <is>
          <t>2015年合计</t>
        </is>
      </c>
      <c r="O45" s="68">
        <f>O12+O13+O37</f>
        <v/>
      </c>
      <c r="P45" s="78" t="n"/>
      <c r="R45" s="7" t="n"/>
    </row>
    <row r="46" ht="15" customHeight="1" s="235">
      <c r="N46" s="73" t="inlineStr">
        <is>
          <t>2020年合计</t>
        </is>
      </c>
      <c r="O46" s="68">
        <f>O18+O19+O34+O36+O39</f>
        <v/>
      </c>
      <c r="P46" s="78" t="n"/>
      <c r="R46" s="7" t="n"/>
    </row>
    <row r="47" ht="15" customHeight="1" s="235">
      <c r="N47" s="73" t="inlineStr">
        <is>
          <t>2025年合计</t>
        </is>
      </c>
      <c r="O47" s="68">
        <f>O24+O25</f>
        <v/>
      </c>
      <c r="P47" s="78" t="n"/>
      <c r="R47" s="7" t="n"/>
    </row>
    <row r="48" ht="16" customHeight="1" s="235">
      <c r="N48" s="88" t="inlineStr">
        <is>
          <t>2030年合计</t>
        </is>
      </c>
      <c r="O48" s="77">
        <f>O30+O31+O40+O41</f>
        <v/>
      </c>
      <c r="P48" s="78" t="n"/>
    </row>
    <row r="49" ht="15" customHeight="1" s="235"/>
    <row r="50" ht="15" customHeight="1" s="235"/>
    <row r="51" ht="15" customHeight="1" s="235"/>
    <row r="52" ht="15" customHeight="1" s="235"/>
    <row r="53" ht="15" customHeight="1" s="235"/>
    <row r="54" ht="15" customHeight="1" s="235"/>
    <row r="55" ht="15" customHeight="1" s="235"/>
    <row r="56" ht="15" customHeight="1" s="235"/>
    <row r="57" ht="15" customHeight="1" s="235"/>
    <row r="58" ht="15" customHeight="1" s="235"/>
    <row r="59" ht="15" customHeight="1" s="235"/>
    <row r="60" ht="15" customHeight="1" s="235"/>
    <row r="61" ht="15" customHeight="1" s="235"/>
    <row r="62" ht="15" customHeight="1" s="235"/>
    <row r="63" ht="15" customHeight="1" s="235"/>
    <row r="64" ht="15" customHeight="1" s="235"/>
    <row r="65" ht="15" customHeight="1" s="235"/>
    <row r="66" ht="15" customHeight="1" s="235"/>
    <row r="67" ht="15" customHeight="1" s="235"/>
    <row r="68" ht="15" customHeight="1" s="235"/>
    <row r="69" ht="15" customHeight="1" s="235"/>
    <row r="70" ht="15" customHeight="1" s="235"/>
    <row r="71" ht="15" customHeight="1" s="235"/>
    <row r="72" ht="15" customHeight="1" s="235"/>
    <row r="73" ht="15" customHeight="1" s="235"/>
    <row r="74" ht="15" customHeight="1" s="235"/>
    <row r="75" ht="15" customHeight="1" s="235"/>
    <row r="76" ht="15" customHeight="1" s="235"/>
    <row r="77" ht="15" customHeight="1" s="235"/>
    <row r="78" ht="15" customHeight="1" s="235"/>
    <row r="79" ht="15" customHeight="1" s="235"/>
    <row r="80" ht="15" customHeight="1" s="235"/>
    <row r="81" ht="15" customHeight="1" s="235"/>
    <row r="82" ht="15" customHeight="1" s="235"/>
    <row r="83" ht="15" customHeight="1" s="235"/>
    <row r="84" ht="15" customHeight="1" s="235"/>
    <row r="85" ht="15" customHeight="1" s="235"/>
    <row r="86" ht="15" customHeight="1" s="235"/>
    <row r="87" ht="15" customHeight="1" s="235"/>
    <row r="88" ht="15" customHeight="1" s="235"/>
    <row r="89" ht="15" customHeight="1" s="235"/>
    <row r="90" ht="15" customHeight="1" s="235"/>
    <row r="91" ht="15" customHeight="1" s="235"/>
    <row r="92" ht="15" customHeight="1" s="235"/>
    <row r="93" ht="15" customHeight="1" s="235"/>
    <row r="94" ht="15" customHeight="1" s="235"/>
    <row r="95" ht="15" customHeight="1" s="235"/>
    <row r="96" ht="15" customHeight="1" s="235"/>
    <row r="97" ht="15" customHeight="1" s="235"/>
    <row r="98" ht="15" customHeight="1" s="235"/>
    <row r="99" ht="15" customHeight="1" s="235"/>
    <row r="100" ht="15" customHeight="1" s="235"/>
    <row r="101" ht="15" customHeight="1" s="235"/>
    <row r="102" ht="15" customHeight="1" s="235"/>
    <row r="103" ht="15" customHeight="1" s="235"/>
    <row r="104" ht="15" customHeight="1" s="235"/>
    <row r="105" ht="15" customHeight="1" s="235"/>
    <row r="106" ht="15" customHeight="1" s="235"/>
    <row r="107" ht="15" customHeight="1" s="235"/>
    <row r="108" ht="15" customHeight="1" s="235"/>
    <row r="109" ht="15" customHeight="1" s="235"/>
    <row r="110" ht="15" customHeight="1" s="235"/>
    <row r="111" ht="15" customHeight="1" s="235"/>
    <row r="112" ht="15" customHeight="1" s="235"/>
    <row r="113" ht="15" customHeight="1" s="235"/>
    <row r="114" ht="15" customHeight="1" s="235"/>
    <row r="115" ht="15" customHeight="1" s="235"/>
    <row r="116" ht="15" customHeight="1" s="235"/>
    <row r="117" ht="15" customHeight="1" s="235"/>
    <row r="118" ht="15" customHeight="1" s="235"/>
    <row r="119" ht="15" customHeight="1" s="235"/>
    <row r="120" ht="15" customHeight="1" s="235"/>
    <row r="121" ht="15" customHeight="1" s="235"/>
    <row r="122" ht="15" customHeight="1" s="235"/>
    <row r="123" ht="15" customHeight="1" s="235"/>
    <row r="124" ht="15" customHeight="1" s="235"/>
    <row r="125" ht="15" customHeight="1" s="235"/>
    <row r="126" ht="15" customHeight="1" s="235"/>
    <row r="127" ht="15" customHeight="1" s="235"/>
    <row r="128" ht="15" customHeight="1" s="235"/>
    <row r="129" ht="15" customHeight="1" s="235"/>
    <row r="130" ht="15" customHeight="1" s="235"/>
    <row r="131" ht="15" customHeight="1" s="235"/>
    <row r="132" ht="15" customHeight="1" s="235"/>
    <row r="133" ht="15" customHeight="1" s="235"/>
    <row r="134" ht="15" customHeight="1" s="235"/>
    <row r="135" ht="15" customHeight="1" s="235"/>
    <row r="136" ht="15" customHeight="1" s="235"/>
    <row r="137" ht="15" customHeight="1" s="235"/>
    <row r="138" ht="15" customHeight="1" s="235"/>
    <row r="139" ht="15" customHeight="1" s="235"/>
    <row r="140" ht="15" customHeight="1" s="235"/>
    <row r="141" ht="15" customHeight="1" s="235"/>
    <row r="142" ht="15" customHeight="1" s="235"/>
    <row r="143" ht="15" customHeight="1" s="235"/>
    <row r="144" ht="15" customHeight="1" s="235"/>
    <row r="145" ht="15" customHeight="1" s="235"/>
    <row r="146" ht="15" customHeight="1" s="235"/>
    <row r="147" ht="15" customHeight="1" s="235"/>
    <row r="148" ht="15" customHeight="1" s="235"/>
    <row r="149" ht="15" customHeight="1" s="235"/>
    <row r="150" ht="15" customHeight="1" s="235"/>
    <row r="151" ht="15" customHeight="1" s="235"/>
    <row r="152" ht="15" customHeight="1" s="235"/>
    <row r="153" ht="15" customHeight="1" s="235"/>
    <row r="154" ht="15" customHeight="1" s="235"/>
    <row r="155" ht="15" customHeight="1" s="235"/>
    <row r="156" ht="15" customHeight="1" s="235"/>
    <row r="157" ht="15" customHeight="1" s="235"/>
    <row r="158" ht="15" customHeight="1" s="235"/>
    <row r="159" ht="15" customHeight="1" s="235"/>
    <row r="160" ht="15" customHeight="1" s="235"/>
    <row r="161" ht="15" customHeight="1" s="235"/>
    <row r="162" ht="15" customHeight="1" s="235"/>
    <row r="163" ht="15" customHeight="1" s="235"/>
    <row r="164" ht="15" customHeight="1" s="235"/>
    <row r="165" ht="15" customHeight="1" s="235"/>
    <row r="166" ht="15" customHeight="1" s="235"/>
    <row r="167" ht="15" customHeight="1" s="235"/>
    <row r="168" ht="15" customHeight="1" s="235"/>
    <row r="169" ht="15" customHeight="1" s="235"/>
    <row r="170" ht="15" customHeight="1" s="235"/>
    <row r="171" ht="15" customHeight="1" s="235"/>
    <row r="172" ht="15" customHeight="1" s="235"/>
    <row r="173" ht="15" customHeight="1" s="235"/>
    <row r="174" ht="15" customHeight="1" s="235"/>
    <row r="175" ht="15" customHeight="1" s="235"/>
    <row r="176" ht="15" customHeight="1" s="235"/>
    <row r="177" ht="15" customHeight="1" s="235"/>
    <row r="178" ht="15" customHeight="1" s="235"/>
    <row r="179" ht="15" customHeight="1" s="235"/>
    <row r="180" ht="15" customHeight="1" s="235"/>
    <row r="181" ht="15" customHeight="1" s="235"/>
    <row r="182" ht="15" customHeight="1" s="235"/>
    <row r="183" ht="15" customHeight="1" s="235"/>
    <row r="184" ht="15" customHeight="1" s="235"/>
    <row r="185" ht="15" customHeight="1" s="235"/>
    <row r="186" ht="15" customHeight="1" s="235"/>
    <row r="187" ht="15" customHeight="1" s="235"/>
    <row r="188" ht="15" customHeight="1" s="235"/>
    <row r="189" ht="15" customHeight="1" s="235"/>
    <row r="190" ht="15" customHeight="1" s="235"/>
    <row r="191" ht="15" customHeight="1" s="235"/>
    <row r="192" ht="15" customHeight="1" s="235"/>
    <row r="193" ht="15" customHeight="1" s="235"/>
    <row r="194" ht="15" customHeight="1" s="235"/>
    <row r="195" ht="15" customHeight="1" s="235"/>
    <row r="196" ht="15" customHeight="1" s="235"/>
    <row r="197" ht="15" customHeight="1" s="235"/>
    <row r="198" ht="15" customHeight="1" s="235"/>
    <row r="199" ht="15" customHeight="1" s="235"/>
    <row r="200" ht="15" customHeight="1" s="235"/>
  </sheetData>
  <mergeCells count="7">
    <mergeCell ref="E4:F4"/>
    <mergeCell ref="H4:I4"/>
    <mergeCell ref="K4:L4"/>
    <mergeCell ref="B4:C4"/>
    <mergeCell ref="Q4:R4"/>
    <mergeCell ref="N4:O4"/>
    <mergeCell ref="T4:U4"/>
  </mergeCells>
  <conditionalFormatting sqref="D6:D11 D12:F14">
    <cfRule type="colorScale" priority="3">
      <colorScale>
        <cfvo type="min"/>
        <cfvo type="percentile" val="50"/>
        <cfvo type="max"/>
        <color rgb="FFF8696B"/>
        <color rgb="FFFCFCFF"/>
        <color rgb="FF63BE7B"/>
      </colorScale>
    </cfRule>
  </conditionalFormatting>
  <conditionalFormatting sqref="L29:L30">
    <cfRule type="colorScale" priority="2">
      <colorScale>
        <cfvo type="min"/>
        <cfvo type="percentile" val="50"/>
        <cfvo type="max"/>
        <color rgb="FFF8696B"/>
        <color rgb="FFFCFCFF"/>
        <color rgb="FF63BE7B"/>
      </colorScale>
    </cfRule>
  </conditionalFormatting>
  <pageMargins left="0.7" right="0.7" top="0.75" bottom="0.75" header="0.3" footer="0.3"/>
  <pageSetup orientation="portrait" paperSize="9"/>
</worksheet>
</file>

<file path=xl/worksheets/sheet3.xml><?xml version="1.0" encoding="utf-8"?>
<worksheet xmlns="http://schemas.openxmlformats.org/spreadsheetml/2006/main">
  <sheetPr>
    <outlinePr summaryBelow="0" summaryRight="0"/>
    <pageSetUpPr/>
  </sheetPr>
  <dimension ref="A1:L128"/>
  <sheetViews>
    <sheetView topLeftCell="A37" zoomScale="75" workbookViewId="0">
      <selection activeCell="K1" sqref="K1"/>
    </sheetView>
  </sheetViews>
  <sheetFormatPr baseColWidth="8" defaultColWidth="14" defaultRowHeight="13"/>
  <cols>
    <col width="9.7968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05" customWidth="1" style="235" min="13" max="13"/>
    <col width="17" customWidth="1" style="235" min="14" max="15"/>
    <col width="13" customWidth="1" style="235" min="16"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row>
    <row r="2" ht="18" customHeight="1" s="235">
      <c r="A2" s="90" t="n">
        <v>2024</v>
      </c>
      <c r="B2" s="90" t="inlineStr">
        <is>
          <t>重点领域和行业年度温室气体减排量</t>
        </is>
      </c>
      <c r="C2" s="90" t="inlineStr">
        <is>
          <t>实现</t>
        </is>
      </c>
      <c r="D2" s="90" t="inlineStr">
        <is>
          <t>1.3亿吨</t>
        </is>
      </c>
      <c r="E2" s="90" t="n"/>
      <c r="F2" s="91" t="n">
        <v>2024</v>
      </c>
      <c r="G2" s="90" t="inlineStr">
        <is>
          <t>新目标</t>
        </is>
      </c>
      <c r="H2" s="90" t="inlineStr">
        <is>
          <t>碳减排</t>
        </is>
      </c>
      <c r="I2" s="90" t="inlineStr">
        <is>
          <t>地区</t>
        </is>
      </c>
      <c r="J2" s="90" t="inlineStr">
        <is>
          <t>重点领域和行业节能降碳改造形成减排二氧化碳约1.3亿吨</t>
        </is>
      </c>
      <c r="K2" s="92" t="inlineStr">
        <is>
          <t>AP2405.htm</t>
        </is>
      </c>
      <c r="L2" s="93" t="inlineStr">
        <is>
          <t>温室气体排放</t>
        </is>
      </c>
    </row>
    <row r="3" ht="18" customHeight="1" s="235">
      <c r="A3" s="90" t="n">
        <v>2024</v>
      </c>
      <c r="B3" s="90" t="inlineStr">
        <is>
          <t>重点领域和行业节能降碳改造形成的温室气体年减排量</t>
        </is>
      </c>
      <c r="C3" s="90" t="inlineStr">
        <is>
          <t>实现</t>
        </is>
      </c>
      <c r="D3" s="90" t="inlineStr">
        <is>
          <t>1.3亿吨</t>
        </is>
      </c>
      <c r="E3" s="90" t="n"/>
      <c r="F3" s="91" t="n">
        <v>2025</v>
      </c>
      <c r="G3" s="90" t="inlineStr">
        <is>
          <t>新目标</t>
        </is>
      </c>
      <c r="H3" s="90" t="inlineStr">
        <is>
          <t>碳减排</t>
        </is>
      </c>
      <c r="I3" s="90" t="inlineStr">
        <is>
          <t>地区</t>
        </is>
      </c>
      <c r="J3" s="90" t="inlineStr">
        <is>
          <t>到2025年，非化石能源消费占比达到20%左右，重点领域和行业节能降碳改造形成节能量约5000万吨标准煤、减排二氧化碳约1.3亿吨。</t>
        </is>
      </c>
      <c r="K3" s="92" t="inlineStr">
        <is>
          <t>AP2405.htm</t>
        </is>
      </c>
      <c r="L3" s="90" t="inlineStr">
        <is>
          <t>温室气体排放</t>
        </is>
      </c>
    </row>
    <row r="4" ht="18" customHeight="1" s="235">
      <c r="A4" s="0" t="n">
        <v>2026</v>
      </c>
      <c r="B4" s="0" t="inlineStr">
        <is>
          <t>重点行业节能降碳改造形成的二氧化碳减排量</t>
        </is>
      </c>
      <c r="C4" s="0" t="inlineStr">
        <is>
          <t>实现</t>
        </is>
      </c>
      <c r="D4" s="0" t="inlineStr">
        <is>
          <t>2亿吨以上</t>
        </is>
      </c>
      <c r="F4" s="0" t="n">
        <v>2028</v>
      </c>
      <c r="G4" s="0" t="inlineStr">
        <is>
          <t>新目标</t>
        </is>
      </c>
      <c r="H4" s="0" t="inlineStr">
        <is>
          <t>碳减排</t>
        </is>
      </c>
      <c r="I4" s="0" t="inlineStr">
        <is>
          <t>全社会经济</t>
        </is>
      </c>
      <c r="J4" s="0" t="inlineStr">
        <is>
          <t>……累计形成节能量 1 亿吨标准煤以上、减排二氧化碳 2 亿吨以上。</t>
        </is>
      </c>
      <c r="K4" s="0" t="inlineStr">
        <is>
          <t>AP2607.htm</t>
        </is>
      </c>
      <c r="L4" s="0" t="inlineStr">
        <is>
          <t>温室气体排放</t>
        </is>
      </c>
    </row>
    <row r="5" ht="18" customHeight="1" s="235">
      <c r="A5" s="90" t="n">
        <v>2026</v>
      </c>
      <c r="B5" s="90" t="inlineStr">
        <is>
          <t>国际航行船舶二氧化碳排放强度</t>
        </is>
      </c>
      <c r="C5" s="90" t="inlineStr">
        <is>
          <t>降低</t>
        </is>
      </c>
      <c r="D5" s="90" t="inlineStr">
        <is>
          <t>超过15%</t>
        </is>
      </c>
      <c r="E5" s="90" t="n">
        <v>2025</v>
      </c>
      <c r="F5" s="91" t="n">
        <v>2030</v>
      </c>
      <c r="G5" s="90" t="inlineStr">
        <is>
          <t>新目标</t>
        </is>
      </c>
      <c r="H5" s="90" t="inlineStr">
        <is>
          <t>碳强度</t>
        </is>
      </c>
      <c r="I5" s="90" t="inlineStr">
        <is>
          <t>行业</t>
        </is>
      </c>
      <c r="J5" s="90" t="inlineStr">
        <is>
          <t>到2030年，国际航行船舶碳排放强度相比2025年下降超过15%。</t>
        </is>
      </c>
      <c r="K5" s="92" t="inlineStr">
        <is>
          <t>O2602.htm</t>
        </is>
      </c>
      <c r="L5" s="90" t="inlineStr">
        <is>
          <t>温室气体排放</t>
        </is>
      </c>
    </row>
    <row r="6" ht="18" customHeight="1" s="235">
      <c r="A6" s="90" t="n">
        <v>2020</v>
      </c>
      <c r="B6" s="90" t="inlineStr">
        <is>
          <t>二氧化碳排放碳中和</t>
        </is>
      </c>
      <c r="C6" s="90" t="inlineStr">
        <is>
          <t>实现</t>
        </is>
      </c>
      <c r="D6" s="90" t="n"/>
      <c r="E6" s="90" t="n"/>
      <c r="F6" s="91" t="inlineStr">
        <is>
          <t>2060年前</t>
        </is>
      </c>
      <c r="G6" s="90" t="inlineStr">
        <is>
          <t>重申目标</t>
        </is>
      </c>
      <c r="H6" s="90" t="inlineStr">
        <is>
          <t>碳减排</t>
        </is>
      </c>
      <c r="I6" s="90" t="inlineStr">
        <is>
          <t>全社会经济</t>
        </is>
      </c>
      <c r="J6" s="90" t="inlineStr">
        <is>
          <t>2020年9月21日，习近平主席在第七十六届联合国大会一般性辩论上宣布，中国将力争于2030年前实现碳达峰、2060年前实现碳中和。</t>
        </is>
      </c>
      <c r="K6" s="92" t="inlineStr">
        <is>
          <t>HL2105.pdf</t>
        </is>
      </c>
      <c r="L6" s="90" t="inlineStr">
        <is>
          <t>温室气体排放</t>
        </is>
      </c>
    </row>
    <row r="7" ht="18" customHeight="1" s="235">
      <c r="A7" s="90" t="n">
        <v>2020</v>
      </c>
      <c r="B7" s="90" t="inlineStr">
        <is>
          <t>二氧化碳排放碳中和</t>
        </is>
      </c>
      <c r="C7" s="90" t="inlineStr">
        <is>
          <t>实现</t>
        </is>
      </c>
      <c r="D7" s="90" t="n"/>
      <c r="E7" s="90" t="n"/>
      <c r="F7" s="91" t="inlineStr">
        <is>
          <t>2060年前</t>
        </is>
      </c>
      <c r="G7" s="90" t="inlineStr">
        <is>
          <t>新目标</t>
        </is>
      </c>
      <c r="H7" s="90" t="inlineStr">
        <is>
          <t>碳减排</t>
        </is>
      </c>
      <c r="I7" s="90" t="inlineStr">
        <is>
          <t>全社会经济</t>
        </is>
      </c>
      <c r="J7" s="90" t="inlineStr">
        <is>
          <t>2020年9月22日，习近平主席在第七十五届联合国大会一般性辩论上宣布，中国将提高国家自主贡献力度，采取更加有力的政策和措施，力争于2030年前二氧化碳排放达到峰值，努力争取于2060年前实现碳中和。</t>
        </is>
      </c>
      <c r="K7" s="92" t="inlineStr">
        <is>
          <t>GO2102.htm</t>
        </is>
      </c>
      <c r="L7" s="90" t="inlineStr">
        <is>
          <t>温室气体排放</t>
        </is>
      </c>
    </row>
    <row r="8" ht="18" customHeight="1" s="235">
      <c r="A8" s="90" t="n">
        <v>2016</v>
      </c>
      <c r="B8" s="90" t="inlineStr">
        <is>
          <t>大型发电集团单位供电二氧化碳排放</t>
        </is>
      </c>
      <c r="C8" s="90" t="inlineStr">
        <is>
          <t>控制在…以内</t>
        </is>
      </c>
      <c r="D8" s="90" t="inlineStr">
        <is>
          <t>550克二氧化碳/千瓦时</t>
        </is>
      </c>
      <c r="E8" s="90" t="n"/>
      <c r="F8" s="91" t="n">
        <v>2020</v>
      </c>
      <c r="G8" s="90" t="inlineStr">
        <is>
          <t>新目标</t>
        </is>
      </c>
      <c r="H8" s="90" t="inlineStr">
        <is>
          <t>碳强度</t>
        </is>
      </c>
      <c r="I8" s="90" t="inlineStr">
        <is>
          <t>不明确</t>
        </is>
      </c>
      <c r="J8" s="90" t="inlineStr">
        <is>
          <t>到2020年，大型发电集团单位供电二氧化碳排放控制在550克二氧化碳/千瓦时以内。</t>
        </is>
      </c>
      <c r="K8" s="92" t="inlineStr">
        <is>
          <t>FYP1615.htm</t>
        </is>
      </c>
      <c r="L8" s="90" t="inlineStr">
        <is>
          <t>温室气体排放</t>
        </is>
      </c>
    </row>
    <row r="9" ht="18" customHeight="1" s="235">
      <c r="A9" s="90" t="n">
        <v>2015</v>
      </c>
      <c r="B9" s="90" t="inlineStr">
        <is>
          <t>二氧化碳排放达峰</t>
        </is>
      </c>
      <c r="C9" s="90" t="inlineStr">
        <is>
          <t>实现</t>
        </is>
      </c>
      <c r="D9" s="90" t="n"/>
      <c r="E9" s="90" t="n"/>
      <c r="F9" s="91" t="inlineStr">
        <is>
          <t>2030年左右</t>
        </is>
      </c>
      <c r="G9" s="90" t="inlineStr">
        <is>
          <t>新目标</t>
        </is>
      </c>
      <c r="H9" s="90" t="inlineStr">
        <is>
          <t>碳减排</t>
        </is>
      </c>
      <c r="I9" s="90" t="inlineStr">
        <is>
          <t>全社会经济</t>
        </is>
      </c>
      <c r="J9" s="90" t="inlineStr">
        <is>
          <t>二氧化碳排放2030年左右达到峰值并争取尽早达峰</t>
        </is>
      </c>
      <c r="K9" s="92" t="inlineStr">
        <is>
          <t>HL1601.pdf</t>
        </is>
      </c>
      <c r="L9" s="90" t="inlineStr">
        <is>
          <t>温室气体排放</t>
        </is>
      </c>
    </row>
    <row r="10" ht="18" customHeight="1" s="235">
      <c r="A10" s="90" t="n">
        <v>2020</v>
      </c>
      <c r="B10" s="90" t="inlineStr">
        <is>
          <t>二氧化碳排放达峰</t>
        </is>
      </c>
      <c r="C10" s="90" t="inlineStr">
        <is>
          <t>实现</t>
        </is>
      </c>
      <c r="D10" s="90" t="n"/>
      <c r="E10" s="90" t="n"/>
      <c r="F10" s="91" t="inlineStr">
        <is>
          <t>2030年前</t>
        </is>
      </c>
      <c r="G10" s="90" t="inlineStr">
        <is>
          <t>强化或放宽目标（积极气候影响）</t>
        </is>
      </c>
      <c r="H10" s="90" t="inlineStr">
        <is>
          <t>碳减排</t>
        </is>
      </c>
      <c r="I10" s="90" t="inlineStr">
        <is>
          <t>全社会经济</t>
        </is>
      </c>
      <c r="J10" s="90" t="inlineStr">
        <is>
          <t>习近平总书记在第七十五届联合国大会一般性辩论上宣布我国力争于2030年前二氧化碳排放达到峰值的目标与努力争取于2060年前实现碳中和的愿景，并在气候雄心峰会上进一步宣布国家自主贡献最新举措。</t>
        </is>
      </c>
      <c r="K10" s="92" t="inlineStr">
        <is>
          <t>GO2102.htm</t>
        </is>
      </c>
      <c r="L10" s="90" t="inlineStr">
        <is>
          <t>温室气体排放</t>
        </is>
      </c>
    </row>
    <row r="11" ht="18" customHeight="1" s="235">
      <c r="A11" s="90" t="n">
        <v>2022</v>
      </c>
      <c r="B11" s="90" t="inlineStr">
        <is>
          <t>建材行业二氧化碳排放达峰</t>
        </is>
      </c>
      <c r="C11" s="90" t="inlineStr">
        <is>
          <t>实现</t>
        </is>
      </c>
      <c r="D11" s="90" t="n"/>
      <c r="E11" s="90" t="n"/>
      <c r="F11" s="91" t="inlineStr">
        <is>
          <t>2030年前</t>
        </is>
      </c>
      <c r="G11" s="90" t="inlineStr">
        <is>
          <t>新目标</t>
        </is>
      </c>
      <c r="H11" s="90" t="inlineStr">
        <is>
          <t>碳减排</t>
        </is>
      </c>
      <c r="I11" s="90" t="inlineStr">
        <is>
          <t>行业</t>
        </is>
      </c>
      <c r="J11" s="90" t="inlineStr">
        <is>
          <t>确保2030年前建材行业实现碳达峰</t>
        </is>
      </c>
      <c r="K11" s="92" t="inlineStr">
        <is>
          <t>IP2220.htm</t>
        </is>
      </c>
      <c r="L11" s="90" t="inlineStr">
        <is>
          <t>温室气体排放</t>
        </is>
      </c>
    </row>
    <row r="12" ht="18" customHeight="1" s="235">
      <c r="A12" s="90" t="n">
        <v>2022</v>
      </c>
      <c r="B12" s="90" t="inlineStr">
        <is>
          <t>工业领域二氧化碳排放达峰</t>
        </is>
      </c>
      <c r="C12" s="90" t="inlineStr">
        <is>
          <t>实现</t>
        </is>
      </c>
      <c r="D12" s="90" t="inlineStr">
        <is>
          <t>2030年前</t>
        </is>
      </c>
      <c r="E12" s="90" t="n"/>
      <c r="F12" s="91" t="inlineStr">
        <is>
          <t>2030年前</t>
        </is>
      </c>
      <c r="G12" s="90" t="inlineStr">
        <is>
          <t>新目标</t>
        </is>
      </c>
      <c r="H12" s="90" t="inlineStr">
        <is>
          <t>碳减排</t>
        </is>
      </c>
      <c r="I12" s="90" t="inlineStr">
        <is>
          <t>行业</t>
        </is>
      </c>
      <c r="J12" s="90" t="inlineStr">
        <is>
          <t>确保工业领域二氧化碳排放在2030年前达峰</t>
        </is>
      </c>
      <c r="K12" s="92" t="inlineStr">
        <is>
          <t>IP2206.pdf</t>
        </is>
      </c>
      <c r="L12" s="90" t="inlineStr">
        <is>
          <t>温室气体排放</t>
        </is>
      </c>
    </row>
    <row r="13" ht="18" customHeight="1" s="235">
      <c r="A13" s="90" t="n">
        <v>2022</v>
      </c>
      <c r="B13" s="90" t="inlineStr">
        <is>
          <t>有色金属行业二氧化碳排放达峰</t>
        </is>
      </c>
      <c r="C13" s="90" t="inlineStr">
        <is>
          <t>实现</t>
        </is>
      </c>
      <c r="D13" s="90" t="n"/>
      <c r="E13" s="90" t="n"/>
      <c r="F13" s="91" t="inlineStr">
        <is>
          <t>2030年前</t>
        </is>
      </c>
      <c r="G13" s="90" t="inlineStr">
        <is>
          <t>新目标</t>
        </is>
      </c>
      <c r="H13" s="90" t="inlineStr">
        <is>
          <t>碳减排</t>
        </is>
      </c>
      <c r="I13" s="90" t="inlineStr">
        <is>
          <t>行业</t>
        </is>
      </c>
      <c r="J13" s="90" t="inlineStr">
        <is>
          <t>确保2030年前有色金属行业实现碳达峰</t>
        </is>
      </c>
      <c r="K13" s="92" t="inlineStr">
        <is>
          <t>IP2221.htm</t>
        </is>
      </c>
      <c r="L13" s="90" t="inlineStr">
        <is>
          <t>温室气体排放</t>
        </is>
      </c>
    </row>
    <row r="14" ht="18" customHeight="1" s="235">
      <c r="A14" s="90" t="n">
        <v>2022</v>
      </c>
      <c r="B14" s="90" t="inlineStr">
        <is>
          <t>钢铁行业二氧化碳排放达峰</t>
        </is>
      </c>
      <c r="C14" s="90" t="inlineStr">
        <is>
          <t>实现</t>
        </is>
      </c>
      <c r="D14" s="90" t="n"/>
      <c r="E14" s="90" t="n"/>
      <c r="F14" s="91" t="inlineStr">
        <is>
          <t>2030年前</t>
        </is>
      </c>
      <c r="G14" s="90" t="inlineStr">
        <is>
          <t>新目标</t>
        </is>
      </c>
      <c r="H14" s="90" t="inlineStr">
        <is>
          <t>碳减排</t>
        </is>
      </c>
      <c r="I14" s="90" t="inlineStr">
        <is>
          <t>行业</t>
        </is>
      </c>
      <c r="J14" s="90" t="inlineStr">
        <is>
          <t>确保2030年前钢铁行业实现碳达峰</t>
        </is>
      </c>
      <c r="K14" s="92" t="inlineStr">
        <is>
          <t>GO2204.htm</t>
        </is>
      </c>
      <c r="L14" s="90" t="inlineStr">
        <is>
          <t>温室气体排放</t>
        </is>
      </c>
    </row>
    <row r="15" ht="18" customHeight="1" s="235">
      <c r="A15" s="90" t="n">
        <v>2024</v>
      </c>
      <c r="B15" s="90" t="inlineStr">
        <is>
          <t>煤电低碳化改造建设项目的单位供电二氧化碳排放量</t>
        </is>
      </c>
      <c r="C15" s="90" t="inlineStr">
        <is>
          <t>降低</t>
        </is>
      </c>
      <c r="D15" s="90" t="inlineStr">
        <is>
          <t>约20%</t>
        </is>
      </c>
      <c r="E15" s="90" t="n">
        <v>2023</v>
      </c>
      <c r="F15" s="91" t="n">
        <v>2025</v>
      </c>
      <c r="G15" s="90" t="inlineStr">
        <is>
          <t>新目标</t>
        </is>
      </c>
      <c r="H15" s="90" t="inlineStr">
        <is>
          <t>碳强度</t>
        </is>
      </c>
      <c r="I15" s="90" t="inlineStr">
        <is>
          <t>企业</t>
        </is>
      </c>
      <c r="J15" s="90" t="inlineStr">
        <is>
          <t>到2025年，相关煤电低碳化改造建设项目的单位供电碳排放量较2023年同类煤电机组平均碳排放水平降低约20%。</t>
        </is>
      </c>
      <c r="K15" s="92" t="inlineStr">
        <is>
          <t>AP2406.pdf</t>
        </is>
      </c>
      <c r="L15" s="90" t="inlineStr">
        <is>
          <t>温室气体排放</t>
        </is>
      </c>
    </row>
    <row r="16" ht="18" customHeight="1" s="235">
      <c r="A16" s="90" t="n">
        <v>2024</v>
      </c>
      <c r="B16" s="90" t="inlineStr">
        <is>
          <t>煤电低碳化改造建设项目单位千瓦时二氧化碳排放量</t>
        </is>
      </c>
      <c r="C16" s="90" t="inlineStr">
        <is>
          <t>降低</t>
        </is>
      </c>
      <c r="D16" s="90" t="inlineStr">
        <is>
          <t>约50%</t>
        </is>
      </c>
      <c r="E16" s="90" t="n">
        <v>2023</v>
      </c>
      <c r="F16" s="91" t="n">
        <v>2027</v>
      </c>
      <c r="G16" s="90" t="inlineStr">
        <is>
          <t>新目标</t>
        </is>
      </c>
      <c r="H16" s="90" t="inlineStr">
        <is>
          <t>碳强度</t>
        </is>
      </c>
      <c r="I16" s="90" t="inlineStr">
        <is>
          <t>企业</t>
        </is>
      </c>
      <c r="J16" s="90" t="inlineStr">
        <is>
          <t>到2027年，相关煤电低碳化改造建设项目单位千瓦时二氧化碳排放量较2023年同类煤电机组平均碳排放水平降低约50%</t>
        </is>
      </c>
      <c r="K16" s="92" t="inlineStr">
        <is>
          <t>AP2406.pdf</t>
        </is>
      </c>
      <c r="L16" s="90" t="inlineStr">
        <is>
          <t>温室气体排放</t>
        </is>
      </c>
    </row>
    <row r="17" ht="18" customHeight="1" s="235">
      <c r="A17" s="90" t="n">
        <v>2010</v>
      </c>
      <c r="B17" s="90" t="inlineStr">
        <is>
          <t>单位国内生产总值二氧化碳排放量</t>
        </is>
      </c>
      <c r="C17" s="90" t="inlineStr">
        <is>
          <t>降低</t>
        </is>
      </c>
      <c r="D17" s="90" t="inlineStr">
        <is>
          <t>40%-45%</t>
        </is>
      </c>
      <c r="E17" s="90" t="n">
        <v>2005</v>
      </c>
      <c r="F17" s="91" t="inlineStr">
        <is>
          <t>2020</t>
        </is>
      </c>
      <c r="G17" s="90" t="inlineStr">
        <is>
          <t>重申目标</t>
        </is>
      </c>
      <c r="H17" s="90" t="inlineStr">
        <is>
          <t>碳强度</t>
        </is>
      </c>
      <c r="I17" s="90" t="inlineStr">
        <is>
          <t>全社会经济</t>
        </is>
      </c>
      <c r="J17" s="90" t="inlineStr">
        <is>
          <t>到2020年，中国政府将实现单位国内生产总值二氧化碳排放比2005年下降40%至45%。</t>
        </is>
      </c>
      <c r="K17" s="92" t="inlineStr">
        <is>
          <t>N1001.htm</t>
        </is>
      </c>
      <c r="L17" s="90" t="inlineStr">
        <is>
          <t>温室气体排放</t>
        </is>
      </c>
    </row>
    <row r="18" ht="18" customHeight="1" s="235">
      <c r="A18" s="90" t="n">
        <v>2011</v>
      </c>
      <c r="B18" s="90" t="inlineStr">
        <is>
          <t>单位国内生产总值二氧化碳排放</t>
        </is>
      </c>
      <c r="C18" s="90" t="inlineStr">
        <is>
          <t>降低</t>
        </is>
      </c>
      <c r="D18" s="90" t="inlineStr">
        <is>
          <t>40%-45%</t>
        </is>
      </c>
      <c r="E18" s="90" t="n">
        <v>2005</v>
      </c>
      <c r="F18" s="91" t="inlineStr">
        <is>
          <t>2020</t>
        </is>
      </c>
      <c r="G18" s="90" t="inlineStr">
        <is>
          <t>重申目标</t>
        </is>
      </c>
      <c r="H18" s="90" t="inlineStr">
        <is>
          <t>碳强度</t>
        </is>
      </c>
      <c r="I18" s="90" t="inlineStr">
        <is>
          <t>全社会经济</t>
        </is>
      </c>
      <c r="J18" s="90" t="inlineStr">
        <is>
          <t>对此，党中央、国务院明确提出要大力发展绿色经济，积极发展低碳经济和循环经济，将应对气候变化纳入经济社会发展规划，并向世界郑重承诺到2020年单位国内生产总值二氧化碳排放比2005年下降40%～45%的减排目标。</t>
        </is>
      </c>
      <c r="K18" s="92" t="inlineStr">
        <is>
          <t>FYP1102.htm</t>
        </is>
      </c>
      <c r="L18" s="90" t="inlineStr">
        <is>
          <t>温室气体排放</t>
        </is>
      </c>
    </row>
    <row r="19" ht="18" customHeight="1" s="235">
      <c r="A19" s="90" t="n">
        <v>2011</v>
      </c>
      <c r="B19" s="90" t="inlineStr">
        <is>
          <t>单位国内生产总值二氧化碳排放</t>
        </is>
      </c>
      <c r="C19" s="90" t="inlineStr">
        <is>
          <t>降低</t>
        </is>
      </c>
      <c r="D19" s="90" t="inlineStr">
        <is>
          <t>17%</t>
        </is>
      </c>
      <c r="E19" s="90" t="n">
        <v>2010</v>
      </c>
      <c r="F19" s="91" t="inlineStr">
        <is>
          <t>2015</t>
        </is>
      </c>
      <c r="G19" s="90" t="inlineStr">
        <is>
          <t>重申目标</t>
        </is>
      </c>
      <c r="H19" s="90" t="inlineStr">
        <is>
          <t>碳强度</t>
        </is>
      </c>
      <c r="I19" s="90" t="inlineStr">
        <is>
          <t>全社会经济</t>
        </is>
      </c>
      <c r="J19" s="90" t="inlineStr">
        <is>
          <t>要围绕到2015年全国单位国内生产总值二氧化碳排放比2010年下降17%的目标，大力开展节能降耗，优化能源结构，努力增加碳汇，加快形成以低碳为特征的产业体系和生活方式。</t>
        </is>
      </c>
      <c r="K19" s="92" t="inlineStr">
        <is>
          <t>FYP1101.htm</t>
        </is>
      </c>
      <c r="L19" s="90" t="inlineStr">
        <is>
          <t>温室气体排放</t>
        </is>
      </c>
    </row>
    <row r="20" ht="18" customHeight="1" s="235">
      <c r="A20" s="90" t="n">
        <v>2012</v>
      </c>
      <c r="B20" s="90" t="inlineStr">
        <is>
          <t>单位国内生产总值二氧化碳排放量</t>
        </is>
      </c>
      <c r="C20" s="90" t="inlineStr">
        <is>
          <t>降低</t>
        </is>
      </c>
      <c r="D20" s="90" t="inlineStr">
        <is>
          <t>40%-45%</t>
        </is>
      </c>
      <c r="E20" s="90" t="n">
        <v>2005</v>
      </c>
      <c r="F20" s="91" t="inlineStr">
        <is>
          <t>2020</t>
        </is>
      </c>
      <c r="G20" s="90" t="inlineStr">
        <is>
          <t>重申目标</t>
        </is>
      </c>
      <c r="H20" s="90" t="inlineStr">
        <is>
          <t>碳强度</t>
        </is>
      </c>
      <c r="I20" s="90" t="inlineStr">
        <is>
          <t>全社会经济</t>
        </is>
      </c>
      <c r="J20" s="90" t="inlineStr">
        <is>
          <t>中国政府宣布，到2020年，单位国内生产总值二氧化碳排放量将比2005年下降40%-45%。</t>
        </is>
      </c>
      <c r="K20" s="92" t="inlineStr">
        <is>
          <t>HL1201.pdf</t>
        </is>
      </c>
      <c r="L20" s="90" t="inlineStr">
        <is>
          <t>温室气体排放</t>
        </is>
      </c>
    </row>
    <row r="21" ht="18" customHeight="1" s="235">
      <c r="A21" s="90" t="n">
        <v>2012</v>
      </c>
      <c r="B21" s="90" t="inlineStr">
        <is>
          <t>单位国内生产总值二氧化碳排放</t>
        </is>
      </c>
      <c r="C21" s="90" t="inlineStr">
        <is>
          <t>降低</t>
        </is>
      </c>
      <c r="D21" s="90" t="inlineStr">
        <is>
          <t>17%</t>
        </is>
      </c>
      <c r="E21" s="90" t="n"/>
      <c r="F21" s="91" t="inlineStr">
        <is>
          <t>十二五</t>
        </is>
      </c>
      <c r="G21" s="90" t="inlineStr">
        <is>
          <t>重申目标</t>
        </is>
      </c>
      <c r="H21" s="90" t="inlineStr">
        <is>
          <t>碳强度</t>
        </is>
      </c>
      <c r="I21" s="90" t="inlineStr">
        <is>
          <t>全社会经济</t>
        </is>
      </c>
      <c r="J21" s="90" t="inlineStr">
        <is>
          <t>“十二五”规划纲要明确将单位国内生产总值二氧化碳排放降低17%作为约束性指标。</t>
        </is>
      </c>
      <c r="K21" s="92" t="inlineStr">
        <is>
          <t>HL1201.pdf</t>
        </is>
      </c>
      <c r="L21" s="90" t="inlineStr">
        <is>
          <t>温室气体排放</t>
        </is>
      </c>
    </row>
    <row r="22" ht="18" customHeight="1" s="235">
      <c r="A22" s="90" t="n">
        <v>2012</v>
      </c>
      <c r="B22" s="90" t="inlineStr">
        <is>
          <t>单位国内生产总值二氧化碳排放量</t>
        </is>
      </c>
      <c r="C22" s="90" t="inlineStr">
        <is>
          <t>降低</t>
        </is>
      </c>
      <c r="D22" s="90" t="inlineStr">
        <is>
          <t>17%</t>
        </is>
      </c>
      <c r="E22" s="90" t="n"/>
      <c r="F22" s="91" t="inlineStr">
        <is>
          <t>十二五</t>
        </is>
      </c>
      <c r="G22" s="90" t="inlineStr">
        <is>
          <t>重申目标</t>
        </is>
      </c>
      <c r="H22" s="90" t="inlineStr">
        <is>
          <t>碳强度</t>
        </is>
      </c>
      <c r="I22" s="90" t="inlineStr">
        <is>
          <t>全社会经济</t>
        </is>
      </c>
      <c r="J22" s="90" t="inlineStr">
        <is>
          <t>中华人民共和国国民经济和社会发展第十二个五年规划纲要首次将单位国内生产总值二氧化碳排放降低17%作为约束性指标。</t>
        </is>
      </c>
      <c r="K22" s="92" t="inlineStr">
        <is>
          <t>HL1201.pdf</t>
        </is>
      </c>
      <c r="L22" s="90" t="inlineStr">
        <is>
          <t>温室气体排放</t>
        </is>
      </c>
    </row>
    <row r="23" ht="18" customHeight="1" s="235">
      <c r="A23" s="90" t="n">
        <v>2012</v>
      </c>
      <c r="B23" s="90" t="inlineStr">
        <is>
          <t>单位国内生产总值二氧化碳排放</t>
        </is>
      </c>
      <c r="C23" s="90" t="inlineStr">
        <is>
          <t>降低</t>
        </is>
      </c>
      <c r="D23" s="90" t="inlineStr">
        <is>
          <t>40%-45%</t>
        </is>
      </c>
      <c r="E23" s="90" t="n">
        <v>2005</v>
      </c>
      <c r="F23" s="91" t="inlineStr">
        <is>
          <t>2020</t>
        </is>
      </c>
      <c r="G23" s="90" t="inlineStr">
        <is>
          <t>重申目标</t>
        </is>
      </c>
      <c r="H23" s="90" t="inlineStr">
        <is>
          <t>碳强度</t>
        </is>
      </c>
      <c r="I23" s="90" t="inlineStr">
        <is>
          <t>全社会经济</t>
        </is>
      </c>
      <c r="J23" s="90" t="inlineStr">
        <is>
          <t>中国单位国内生产总值二氧化碳排放到2020年将比2005年下降40%-45%，并将其作为约束性指标纳入国民经济和社会发展中长期规划，并制定相应的国内统计、监测、考核办法加以落实。</t>
        </is>
      </c>
      <c r="K23" s="92" t="inlineStr">
        <is>
          <t>HL1201.pdf</t>
        </is>
      </c>
      <c r="L23" s="90" t="inlineStr">
        <is>
          <t>温室气体排放</t>
        </is>
      </c>
    </row>
    <row r="24" ht="18" customHeight="1" s="235">
      <c r="A24" s="90" t="n">
        <v>2012</v>
      </c>
      <c r="B24" s="90" t="inlineStr">
        <is>
          <t>单位国内生产总值二氧化碳排放</t>
        </is>
      </c>
      <c r="C24" s="90" t="inlineStr">
        <is>
          <t>降低</t>
        </is>
      </c>
      <c r="D24" s="90" t="inlineStr">
        <is>
          <t>40%-45%</t>
        </is>
      </c>
      <c r="E24" s="90" t="n">
        <v>2005</v>
      </c>
      <c r="F24" s="91" t="inlineStr">
        <is>
          <t>2020</t>
        </is>
      </c>
      <c r="G24" s="90" t="inlineStr">
        <is>
          <t>重申目标</t>
        </is>
      </c>
      <c r="H24" s="90" t="inlineStr">
        <is>
          <t>碳强度</t>
        </is>
      </c>
      <c r="I24" s="90" t="inlineStr">
        <is>
          <t>全社会经济</t>
        </is>
      </c>
      <c r="J24" s="90" t="inlineStr">
        <is>
          <t>中国政府承诺，到2020年单位国内生产总值二氧化碳排放比2005年下降40%—45%。</t>
        </is>
      </c>
      <c r="K24" s="92" t="inlineStr">
        <is>
          <t>WP1201.htm</t>
        </is>
      </c>
      <c r="L24" s="90" t="inlineStr">
        <is>
          <t>温室气体排放</t>
        </is>
      </c>
    </row>
    <row r="25" ht="18" customHeight="1" s="235">
      <c r="A25" s="90" t="n">
        <v>2013</v>
      </c>
      <c r="B25" s="90" t="inlineStr">
        <is>
          <t>单位国内生产总值二氧化碳排放</t>
        </is>
      </c>
      <c r="C25" s="90" t="inlineStr">
        <is>
          <t>降低</t>
        </is>
      </c>
      <c r="D25" s="90" t="inlineStr">
        <is>
          <t>17%</t>
        </is>
      </c>
      <c r="E25" s="90" t="n"/>
      <c r="F25" s="91" t="inlineStr">
        <is>
          <t>2015</t>
        </is>
      </c>
      <c r="G25" s="90" t="inlineStr">
        <is>
          <t>重申目标</t>
        </is>
      </c>
      <c r="H25" s="90" t="inlineStr">
        <is>
          <t>碳强度</t>
        </is>
      </c>
      <c r="I25" s="90" t="inlineStr">
        <is>
          <t>全社会经济</t>
        </is>
      </c>
      <c r="J25" s="90" t="inlineStr">
        <is>
          <t>到2015年，单位国内生产总值二氧化碳排放比2010年下降17%。</t>
        </is>
      </c>
      <c r="K25" s="92" t="inlineStr">
        <is>
          <t>FYP1302.htm</t>
        </is>
      </c>
      <c r="L25" s="90" t="inlineStr">
        <is>
          <t>温室气体排放</t>
        </is>
      </c>
    </row>
    <row r="26" ht="18" customHeight="1" s="235">
      <c r="A26" s="90" t="n">
        <v>2016</v>
      </c>
      <c r="B26" s="90" t="inlineStr">
        <is>
          <t>单位国内生产总值二氧化碳排放</t>
        </is>
      </c>
      <c r="C26" s="90" t="inlineStr">
        <is>
          <t>降低</t>
        </is>
      </c>
      <c r="D26" s="90" t="inlineStr">
        <is>
          <t>18%</t>
        </is>
      </c>
      <c r="E26" s="90" t="n"/>
      <c r="F26" s="91" t="n">
        <v>2020</v>
      </c>
      <c r="G26" s="90" t="inlineStr">
        <is>
          <t>重申目标</t>
        </is>
      </c>
      <c r="H26" s="90" t="inlineStr">
        <is>
          <t>碳强度</t>
        </is>
      </c>
      <c r="I26" s="90" t="inlineStr">
        <is>
          <t>全社会经济</t>
        </is>
      </c>
      <c r="J26" s="90" t="inlineStr">
        <is>
          <t>到2020年，单位国内生产总值二氧化碳排放比2015年下降18%，碳排放总量得到有效控制。</t>
        </is>
      </c>
      <c r="K26" s="92" t="inlineStr">
        <is>
          <t>FYP1615.htm</t>
        </is>
      </c>
      <c r="L26" s="90" t="inlineStr">
        <is>
          <t>温室气体排放</t>
        </is>
      </c>
    </row>
    <row r="27" ht="18" customHeight="1" s="235">
      <c r="A27" s="90" t="n">
        <v>2016</v>
      </c>
      <c r="B27" s="90" t="inlineStr">
        <is>
          <t>单位国内生产总值二氧化碳排放量</t>
        </is>
      </c>
      <c r="C27" s="90" t="inlineStr">
        <is>
          <t>降低</t>
        </is>
      </c>
      <c r="D27" s="90" t="inlineStr">
        <is>
          <t>3.9%以上</t>
        </is>
      </c>
      <c r="E27" s="90" t="n">
        <v>2015</v>
      </c>
      <c r="F27" s="91" t="n">
        <v>2016</v>
      </c>
      <c r="G27" s="90" t="inlineStr">
        <is>
          <t>新目标</t>
        </is>
      </c>
      <c r="H27" s="90" t="inlineStr">
        <is>
          <t>碳强度</t>
        </is>
      </c>
      <c r="I27" s="90" t="inlineStr">
        <is>
          <t>全社会经济</t>
        </is>
      </c>
      <c r="J27" s="90" t="inlineStr">
        <is>
          <t>单位国内生产总值能耗和二氧化碳排放量分别下降3.4%以上、3.9%以上</t>
        </is>
      </c>
      <c r="K27" s="92" t="inlineStr">
        <is>
          <t>HL1604.htm</t>
        </is>
      </c>
      <c r="L27" s="90" t="inlineStr">
        <is>
          <t>温室气体排放</t>
        </is>
      </c>
    </row>
    <row r="28" ht="18" customHeight="1" s="235">
      <c r="A28" s="92" t="n">
        <v>2017</v>
      </c>
      <c r="B28" s="90" t="inlineStr">
        <is>
          <t>单位国内生产总值二氧化碳排放量</t>
        </is>
      </c>
      <c r="C28" s="90" t="inlineStr">
        <is>
          <t>降低</t>
        </is>
      </c>
      <c r="D28" s="90" t="inlineStr">
        <is>
          <t>40%-45%</t>
        </is>
      </c>
      <c r="E28" s="90" t="n">
        <v>2005</v>
      </c>
      <c r="F28" s="91" t="n">
        <v>2020</v>
      </c>
      <c r="G28" s="90" t="inlineStr">
        <is>
          <t>重申目标</t>
        </is>
      </c>
      <c r="H28" s="90" t="inlineStr">
        <is>
          <t>碳强度</t>
        </is>
      </c>
      <c r="I28" s="90" t="inlineStr">
        <is>
          <t>全社会经济</t>
        </is>
      </c>
      <c r="J28" s="90" t="inlineStr">
        <is>
          <t>从国家层面看，为实现我国到2020年碳强度降低40%－45%的约束性目标以及2030年左右二氧化碳排放达到峰值、且将努力早日达峰的目标，国家生态文明制度体系建设将迈向新高度，环境保护与节能减排领域的硬约束将不断强化。</t>
        </is>
      </c>
      <c r="K28" s="92" t="inlineStr">
        <is>
          <t>FYP1702.pdf</t>
        </is>
      </c>
      <c r="L28" s="90" t="inlineStr">
        <is>
          <t>温室气体排放</t>
        </is>
      </c>
    </row>
    <row r="29" ht="18" customHeight="1" s="235">
      <c r="A29" s="92" t="n">
        <v>2017</v>
      </c>
      <c r="B29" s="90" t="inlineStr">
        <is>
          <t>单位国内生产总值二氧化碳排放</t>
        </is>
      </c>
      <c r="C29" s="90" t="inlineStr">
        <is>
          <t>降低</t>
        </is>
      </c>
      <c r="D29" s="90" t="inlineStr">
        <is>
          <t>40%-45%</t>
        </is>
      </c>
      <c r="E29" s="90" t="n">
        <v>2005</v>
      </c>
      <c r="F29" s="91" t="inlineStr">
        <is>
          <t>十二五</t>
        </is>
      </c>
      <c r="G29" s="90" t="inlineStr">
        <is>
          <t>重申目标</t>
        </is>
      </c>
      <c r="H29" s="90" t="inlineStr">
        <is>
          <t>碳强度</t>
        </is>
      </c>
      <c r="I29" s="90" t="inlineStr">
        <is>
          <t>全社会经济</t>
        </is>
      </c>
      <c r="J29" s="90" t="inlineStr">
        <is>
          <t>根据中国政府提出的国家适当减缓行动，例如“十二五”期间单位国内生产总值二氧化碳排放比2005年下降40%-45%</t>
        </is>
      </c>
      <c r="K29" s="92" t="inlineStr">
        <is>
          <t>HL1701.pdf</t>
        </is>
      </c>
      <c r="L29" s="90" t="inlineStr">
        <is>
          <t>温室气体排放</t>
        </is>
      </c>
    </row>
    <row r="30" ht="18" customHeight="1" s="235">
      <c r="A30" s="92" t="n">
        <v>2019</v>
      </c>
      <c r="B30" s="90" t="inlineStr">
        <is>
          <t>单位国内生产总值二氧化碳排放量</t>
        </is>
      </c>
      <c r="C30" s="90" t="inlineStr">
        <is>
          <t>降低</t>
        </is>
      </c>
      <c r="D30" s="90" t="inlineStr">
        <is>
          <t>18%</t>
        </is>
      </c>
      <c r="E30" s="90" t="n">
        <v>2015</v>
      </c>
      <c r="F30" s="91" t="n">
        <v>2020</v>
      </c>
      <c r="G30" s="90" t="inlineStr">
        <is>
          <t>重申目标</t>
        </is>
      </c>
      <c r="H30" s="90" t="inlineStr">
        <is>
          <t>碳强度</t>
        </is>
      </c>
      <c r="I30" s="90" t="inlineStr">
        <is>
          <t>全社会经济</t>
        </is>
      </c>
      <c r="J30" s="90" t="inlineStr">
        <is>
          <t>进一步强调中国确定的减缓行动，明确提出有效控制碳排放，到2020年碳强度比2015年下降18%；加大力度控制二氧化碳以外的温室气体排放，包括氢氟碳化物、甲烷、氧化亚氮、全氟化碳和六氟化硫；大幅提升碳汇能力。</t>
        </is>
      </c>
      <c r="K30" s="92" t="inlineStr">
        <is>
          <t>HL1901.pdf</t>
        </is>
      </c>
      <c r="L30" s="90" t="inlineStr">
        <is>
          <t>温室气体排放</t>
        </is>
      </c>
    </row>
    <row r="31" ht="18" customHeight="1" s="235">
      <c r="A31" s="92" t="n">
        <v>2019</v>
      </c>
      <c r="B31" s="90" t="inlineStr">
        <is>
          <t>单位国内生产总值二氧化碳排放量</t>
        </is>
      </c>
      <c r="C31" s="90" t="inlineStr">
        <is>
          <t>降低</t>
        </is>
      </c>
      <c r="D31" s="90" t="inlineStr">
        <is>
          <t>40%-45%</t>
        </is>
      </c>
      <c r="E31" s="90" t="n">
        <v>2005</v>
      </c>
      <c r="F31" s="91" t="n">
        <v>2020</v>
      </c>
      <c r="G31" s="90" t="inlineStr">
        <is>
          <t>重申目标</t>
        </is>
      </c>
      <c r="H31" s="90" t="inlineStr">
        <is>
          <t>碳强度</t>
        </is>
      </c>
      <c r="I31" s="90" t="inlineStr">
        <is>
          <t>全社会经济</t>
        </is>
      </c>
      <c r="J31" s="90" t="inlineStr">
        <is>
          <t>到2020年，单位国内生产总值二氧化碳排放量（以下简称碳强度）将比2005年降低40%至45%</t>
        </is>
      </c>
      <c r="K31" s="92" t="inlineStr">
        <is>
          <t>HL1902.pdf</t>
        </is>
      </c>
      <c r="L31" s="90" t="inlineStr">
        <is>
          <t>温室气体排放</t>
        </is>
      </c>
    </row>
    <row r="32" ht="18" customHeight="1" s="235">
      <c r="A32" s="90" t="n">
        <v>2019</v>
      </c>
      <c r="B32" s="90" t="inlineStr">
        <is>
          <t>单位国内生产总值二氧化碳排放量</t>
        </is>
      </c>
      <c r="C32" s="90" t="inlineStr">
        <is>
          <t>降低</t>
        </is>
      </c>
      <c r="D32" s="90" t="inlineStr">
        <is>
          <t>60%-65%</t>
        </is>
      </c>
      <c r="E32" s="90" t="n">
        <v>2005</v>
      </c>
      <c r="F32" s="91" t="n">
        <v>2030</v>
      </c>
      <c r="G32" s="90" t="inlineStr">
        <is>
          <t>重申目标</t>
        </is>
      </c>
      <c r="H32" s="90" t="inlineStr">
        <is>
          <t>碳强度</t>
        </is>
      </c>
      <c r="I32" s="90" t="inlineStr">
        <is>
          <t>全社会经济</t>
        </is>
      </c>
      <c r="J32" s="90" t="inlineStr">
        <is>
          <t>到2030年，单位国内生产总值二氧化碳排放量将比2005年下降60%至65%</t>
        </is>
      </c>
      <c r="K32" s="92" t="inlineStr">
        <is>
          <t>HL1902.pdf</t>
        </is>
      </c>
      <c r="L32" s="90" t="inlineStr">
        <is>
          <t>温室气体排放</t>
        </is>
      </c>
    </row>
    <row r="33" ht="18" customHeight="1" s="235">
      <c r="A33" s="90" t="n">
        <v>2019</v>
      </c>
      <c r="B33" s="90" t="inlineStr">
        <is>
          <t>单位国内生产总值二氧化碳排放</t>
        </is>
      </c>
      <c r="C33" s="90" t="inlineStr">
        <is>
          <t>降低</t>
        </is>
      </c>
      <c r="D33" s="90" t="inlineStr">
        <is>
          <t>18%</t>
        </is>
      </c>
      <c r="E33" s="90" t="n">
        <v>2015</v>
      </c>
      <c r="F33" s="91" t="n">
        <v>2020</v>
      </c>
      <c r="G33" s="90" t="inlineStr">
        <is>
          <t>重申目标</t>
        </is>
      </c>
      <c r="H33" s="90" t="inlineStr">
        <is>
          <t>碳强度</t>
        </is>
      </c>
      <c r="I33" s="90" t="inlineStr">
        <is>
          <t>全社会经济</t>
        </is>
      </c>
      <c r="J33" s="90" t="inlineStr">
        <is>
          <t>到2020年，单位国内生产总值二氧化碳排放比2015年下降18%</t>
        </is>
      </c>
      <c r="K33" s="92" t="inlineStr">
        <is>
          <t>HL1902.pdf</t>
        </is>
      </c>
      <c r="L33" s="90" t="inlineStr">
        <is>
          <t>温室气体排放</t>
        </is>
      </c>
    </row>
    <row r="34" ht="18" customHeight="1" s="235">
      <c r="A34" s="90" t="n">
        <v>2021</v>
      </c>
      <c r="B34" s="90" t="inlineStr">
        <is>
          <t>单位国内生产总值二氧化碳排放</t>
        </is>
      </c>
      <c r="C34" s="90" t="inlineStr">
        <is>
          <t>降低</t>
        </is>
      </c>
      <c r="D34" s="90" t="inlineStr">
        <is>
          <t>60%-65%</t>
        </is>
      </c>
      <c r="E34" s="90" t="n">
        <v>2005</v>
      </c>
      <c r="F34" s="91" t="n">
        <v>2030</v>
      </c>
      <c r="G34" s="90" t="inlineStr">
        <is>
          <t>重申目标</t>
        </is>
      </c>
      <c r="H34" s="90" t="inlineStr">
        <is>
          <t>碳强度</t>
        </is>
      </c>
      <c r="I34" s="90" t="inlineStr">
        <is>
          <t>全社会经济</t>
        </is>
      </c>
      <c r="J34" s="90" t="inlineStr">
        <is>
          <t>目标包括：到2030年，单位国内生产总值二氧化碳排放比2005年下降60%至65%。</t>
        </is>
      </c>
      <c r="K34" s="92" t="inlineStr">
        <is>
          <t>HL2105.pdf</t>
        </is>
      </c>
      <c r="L34" s="90" t="inlineStr">
        <is>
          <t>温室气体排放</t>
        </is>
      </c>
    </row>
    <row r="35" ht="18" customHeight="1" s="235">
      <c r="A35" s="90" t="n">
        <v>2021</v>
      </c>
      <c r="B35" s="90" t="inlineStr">
        <is>
          <t>单位国内生产总值二氧化碳排放</t>
        </is>
      </c>
      <c r="C35" s="90" t="inlineStr">
        <is>
          <t>降低</t>
        </is>
      </c>
      <c r="D35" s="90" t="inlineStr">
        <is>
          <t>65%以上</t>
        </is>
      </c>
      <c r="E35" s="90" t="n">
        <v>2005</v>
      </c>
      <c r="F35" s="91" t="n">
        <v>2030</v>
      </c>
      <c r="G35" s="90" t="inlineStr">
        <is>
          <t>重申目标</t>
        </is>
      </c>
      <c r="H35" s="90" t="inlineStr">
        <is>
          <t>碳强度</t>
        </is>
      </c>
      <c r="I35" s="90" t="inlineStr">
        <is>
          <t>全社会经济</t>
        </is>
      </c>
      <c r="J35" s="90" t="inlineStr">
        <is>
          <t>中国更新后的国家自主贡献目标如下：到2030年，单位国内生产总值二氧化碳排放将比2005年下降65%以上。</t>
        </is>
      </c>
      <c r="K35" s="92" t="inlineStr">
        <is>
          <t>HL2105.pdf</t>
        </is>
      </c>
      <c r="L35" s="90" t="inlineStr">
        <is>
          <t>温室气体排放</t>
        </is>
      </c>
    </row>
    <row r="36" ht="18" customHeight="1" s="235">
      <c r="A36" s="90" t="n">
        <v>2021</v>
      </c>
      <c r="B36" s="90" t="inlineStr">
        <is>
          <t>单位国内生产总值二氧化碳排放量（碳强度）</t>
        </is>
      </c>
      <c r="C36" s="90" t="inlineStr">
        <is>
          <t>降低</t>
        </is>
      </c>
      <c r="D36" s="90" t="inlineStr">
        <is>
          <t>18%</t>
        </is>
      </c>
      <c r="E36" s="90" t="n">
        <v>2020</v>
      </c>
      <c r="F36" s="91" t="inlineStr">
        <is>
          <t>2025</t>
        </is>
      </c>
      <c r="G36" s="90" t="inlineStr">
        <is>
          <t>重申目标</t>
        </is>
      </c>
      <c r="H36" s="90" t="inlineStr">
        <is>
          <t>碳强度</t>
        </is>
      </c>
      <c r="I36" s="90" t="inlineStr">
        <is>
          <t>全社会经济</t>
        </is>
      </c>
      <c r="J36" s="90" t="inlineStr">
        <is>
          <t>“十四五”时期（2021-2025年）单位国内生产总值二氧化碳排放降低18%的约束性指标</t>
        </is>
      </c>
      <c r="K36" s="92" t="inlineStr">
        <is>
          <t>HL2107.pdf</t>
        </is>
      </c>
      <c r="L36" s="90" t="inlineStr">
        <is>
          <t>温室气体排放</t>
        </is>
      </c>
    </row>
    <row r="37" ht="18" customHeight="1" s="235">
      <c r="A37" s="90" t="n">
        <v>2021</v>
      </c>
      <c r="B37" s="90" t="inlineStr">
        <is>
          <t>单位国内生产总值二氧化碳排放量</t>
        </is>
      </c>
      <c r="C37" s="90" t="inlineStr">
        <is>
          <t>降低</t>
        </is>
      </c>
      <c r="D37" s="90" t="inlineStr">
        <is>
          <t>超过65%</t>
        </is>
      </c>
      <c r="E37" s="90" t="n">
        <v>2005</v>
      </c>
      <c r="F37" s="91" t="inlineStr">
        <is>
          <t>2030</t>
        </is>
      </c>
      <c r="G37" s="90" t="inlineStr">
        <is>
          <t>重申目标</t>
        </is>
      </c>
      <c r="H37" s="90" t="inlineStr">
        <is>
          <t>碳强度</t>
        </is>
      </c>
      <c r="I37" s="90" t="inlineStr">
        <is>
          <t>全社会经济</t>
        </is>
      </c>
      <c r="J37" s="90" t="inlineStr">
        <is>
          <t>中国力争在2030年前实现单位国内生产总值二氧化碳排放量较2005年下降超过65%的目标。</t>
        </is>
      </c>
      <c r="K37" s="92" t="inlineStr">
        <is>
          <t>HL2107.htm</t>
        </is>
      </c>
      <c r="L37" s="90" t="inlineStr">
        <is>
          <t>温室气体排放</t>
        </is>
      </c>
    </row>
    <row r="38" ht="18" customHeight="1" s="235">
      <c r="A38" s="90" t="n">
        <v>2021</v>
      </c>
      <c r="B38" s="90" t="inlineStr">
        <is>
          <t>单位国内生产总值二氧化碳排放</t>
        </is>
      </c>
      <c r="C38" s="90" t="inlineStr">
        <is>
          <t>降低</t>
        </is>
      </c>
      <c r="D38" s="90" t="inlineStr">
        <is>
          <t>18%</t>
        </is>
      </c>
      <c r="E38" s="90" t="n">
        <v>2020</v>
      </c>
      <c r="F38" s="91" t="inlineStr">
        <is>
          <t>2025</t>
        </is>
      </c>
      <c r="G38" s="90" t="inlineStr">
        <is>
          <t>重申目标</t>
        </is>
      </c>
      <c r="H38" s="90" t="inlineStr">
        <is>
          <t>碳强度</t>
        </is>
      </c>
      <c r="I38" s="90" t="inlineStr">
        <is>
          <t>全社会经济</t>
        </is>
      </c>
      <c r="J38" s="90" t="inlineStr">
        <is>
          <t>到2025年，单位国内生产总值二氧化碳排放比2020年下降18%。</t>
        </is>
      </c>
      <c r="K38" s="92" t="inlineStr">
        <is>
          <t>HL2101.htm</t>
        </is>
      </c>
      <c r="L38" s="90" t="inlineStr">
        <is>
          <t>温室气体排放</t>
        </is>
      </c>
    </row>
    <row r="39" ht="18" customHeight="1" s="235">
      <c r="A39" s="90" t="n">
        <v>2021</v>
      </c>
      <c r="B39" s="90" t="inlineStr">
        <is>
          <t>单位国内生产总值二氧化碳排放</t>
        </is>
      </c>
      <c r="C39" s="90" t="inlineStr">
        <is>
          <t>降低</t>
        </is>
      </c>
      <c r="D39" s="90" t="inlineStr">
        <is>
          <t>65%以上</t>
        </is>
      </c>
      <c r="E39" s="90" t="n">
        <v>2005</v>
      </c>
      <c r="F39" s="91" t="inlineStr">
        <is>
          <t>2030</t>
        </is>
      </c>
      <c r="G39" s="90" t="inlineStr">
        <is>
          <t>重申目标</t>
        </is>
      </c>
      <c r="H39" s="90" t="inlineStr">
        <is>
          <t>碳强度</t>
        </is>
      </c>
      <c r="I39" s="90" t="inlineStr">
        <is>
          <t>全社会经济</t>
        </is>
      </c>
      <c r="J39" s="90" t="inlineStr">
        <is>
          <t>到2030年，单位国内生产总值二氧化碳排放比2005年下降65%以上。</t>
        </is>
      </c>
      <c r="K39" s="92" t="inlineStr">
        <is>
          <t>HL2101.htm</t>
        </is>
      </c>
      <c r="L39" s="90" t="inlineStr">
        <is>
          <t>温室气体排放</t>
        </is>
      </c>
    </row>
    <row r="40" ht="18" customHeight="1" s="235">
      <c r="A40" s="90" t="n">
        <v>2021</v>
      </c>
      <c r="B40" s="90" t="inlineStr">
        <is>
          <t>单位国内生产总值二氧化碳排放量</t>
        </is>
      </c>
      <c r="C40" s="90" t="inlineStr">
        <is>
          <t>降低</t>
        </is>
      </c>
      <c r="D40" s="90" t="inlineStr">
        <is>
          <t>18%</t>
        </is>
      </c>
      <c r="E40" s="90" t="n">
        <v>2020</v>
      </c>
      <c r="F40" s="91" t="inlineStr">
        <is>
          <t>2025</t>
        </is>
      </c>
      <c r="G40" s="90" t="inlineStr">
        <is>
          <t>重申目标</t>
        </is>
      </c>
      <c r="H40" s="90" t="inlineStr">
        <is>
          <t>碳强度</t>
        </is>
      </c>
      <c r="I40" s="90" t="inlineStr">
        <is>
          <t>全社会经济</t>
        </is>
      </c>
      <c r="J40" s="90" t="inlineStr">
        <is>
          <t>到2025年，单位国内生产总值二氧化碳排放较2020年下降18%</t>
        </is>
      </c>
      <c r="K40" s="92" t="inlineStr">
        <is>
          <t>HL2102.pdf</t>
        </is>
      </c>
      <c r="L40" s="90" t="inlineStr">
        <is>
          <t>温室气体排放</t>
        </is>
      </c>
    </row>
    <row r="41" ht="18" customHeight="1" s="235">
      <c r="A41" s="90" t="n">
        <v>2021</v>
      </c>
      <c r="B41" s="90" t="inlineStr">
        <is>
          <t>单位国内生产总值二氧化碳排放</t>
        </is>
      </c>
      <c r="C41" s="90" t="inlineStr">
        <is>
          <t>降低</t>
        </is>
      </c>
      <c r="D41" s="90" t="inlineStr">
        <is>
          <t>65%以上</t>
        </is>
      </c>
      <c r="E41" s="90" t="n">
        <v>2005</v>
      </c>
      <c r="F41" s="91" t="inlineStr">
        <is>
          <t>2030</t>
        </is>
      </c>
      <c r="G41" s="90" t="inlineStr">
        <is>
          <t>重申目标</t>
        </is>
      </c>
      <c r="H41" s="90" t="inlineStr">
        <is>
          <t>碳强度</t>
        </is>
      </c>
      <c r="I41" s="90" t="inlineStr">
        <is>
          <t>全社会经济</t>
        </is>
      </c>
      <c r="J41" s="90" t="inlineStr">
        <is>
          <t>到2030年，单位国内生产总值二氧化碳排放比2005年下降65%以上，顺利实现2030年前碳达峰目标。</t>
        </is>
      </c>
      <c r="K41" s="92" t="inlineStr">
        <is>
          <t>HL2102.pdf</t>
        </is>
      </c>
      <c r="L41" s="90" t="inlineStr">
        <is>
          <t>温室气体排放</t>
        </is>
      </c>
    </row>
    <row r="42" ht="18" customHeight="1" s="235">
      <c r="A42" s="90" t="n">
        <v>2015</v>
      </c>
      <c r="B42" s="90" t="inlineStr">
        <is>
          <t>单位国内生产总值二氧化碳排放强度</t>
        </is>
      </c>
      <c r="C42" s="90" t="inlineStr">
        <is>
          <t>降低</t>
        </is>
      </c>
      <c r="D42" s="90" t="inlineStr">
        <is>
          <t>40%-45%</t>
        </is>
      </c>
      <c r="E42" s="90" t="n">
        <v>2005</v>
      </c>
      <c r="F42" s="91" t="inlineStr">
        <is>
          <t>2020</t>
        </is>
      </c>
      <c r="G42" s="90" t="inlineStr">
        <is>
          <t>重申目标</t>
        </is>
      </c>
      <c r="H42" s="90" t="inlineStr">
        <is>
          <t>碳强度</t>
        </is>
      </c>
      <c r="I42" s="90" t="inlineStr">
        <is>
          <t>全社会经济</t>
        </is>
      </c>
      <c r="J42" s="90" t="inlineStr">
        <is>
          <t>到2020年，单位国内生产总值二氧化碳排放强度比2005年下降40%－45%</t>
        </is>
      </c>
      <c r="K42" s="92" t="inlineStr">
        <is>
          <t>HL1503.htm</t>
        </is>
      </c>
      <c r="L42" s="90" t="inlineStr">
        <is>
          <t>温室气体排放</t>
        </is>
      </c>
    </row>
    <row r="43" ht="18" customHeight="1" s="235">
      <c r="A43" s="90" t="n">
        <v>2014</v>
      </c>
      <c r="B43" s="90" t="inlineStr">
        <is>
          <t>单位国内生产总值二氧化碳排放量</t>
        </is>
      </c>
      <c r="C43" s="90" t="inlineStr">
        <is>
          <t>降低</t>
        </is>
      </c>
      <c r="D43" s="90" t="inlineStr">
        <is>
          <t>4%</t>
        </is>
      </c>
      <c r="E43" s="94" t="n">
        <v>2013</v>
      </c>
      <c r="F43" s="95" t="n">
        <v>2014</v>
      </c>
      <c r="G43" s="90" t="inlineStr">
        <is>
          <t>新目标</t>
        </is>
      </c>
      <c r="H43" s="90" t="inlineStr">
        <is>
          <t>碳强度</t>
        </is>
      </c>
      <c r="I43" s="90" t="inlineStr">
        <is>
          <t>全社会经济</t>
        </is>
      </c>
      <c r="J43" s="90" t="inlineStr">
        <is>
          <t>2014-2015年，单位GDP二氧化碳排放量两年分别下降4%、3.5%以上。</t>
        </is>
      </c>
      <c r="K43" s="92" t="inlineStr">
        <is>
          <t>AP1404.htm</t>
        </is>
      </c>
      <c r="L43" s="90" t="inlineStr">
        <is>
          <t>温室气体排放</t>
        </is>
      </c>
    </row>
    <row r="44" ht="18" customHeight="1" s="235">
      <c r="A44" s="90" t="n">
        <v>2011</v>
      </c>
      <c r="B44" s="90" t="inlineStr">
        <is>
          <t>单位国内生产总值二氧化碳排放</t>
        </is>
      </c>
      <c r="C44" s="90" t="inlineStr">
        <is>
          <t>降低</t>
        </is>
      </c>
      <c r="D44" s="90" t="inlineStr">
        <is>
          <t>17%</t>
        </is>
      </c>
      <c r="E44" s="90" t="n">
        <v>2010</v>
      </c>
      <c r="F44" s="91" t="n">
        <v>2015</v>
      </c>
      <c r="G44" s="90" t="inlineStr">
        <is>
          <t>新目标</t>
        </is>
      </c>
      <c r="H44" s="90" t="inlineStr">
        <is>
          <t>碳强度</t>
        </is>
      </c>
      <c r="I44" s="90" t="inlineStr">
        <is>
          <t>全社会经济</t>
        </is>
      </c>
      <c r="J44" s="90" t="inlineStr">
        <is>
          <t>到2015年，单位国内生产总值二氧化碳排放比2010年下降17%，单位国内生产总值能耗比2010年下降16%。</t>
        </is>
      </c>
      <c r="K44" s="92" t="inlineStr">
        <is>
          <t>HL1101.pdf</t>
        </is>
      </c>
      <c r="L44" s="90" t="inlineStr">
        <is>
          <t>温室气体排放</t>
        </is>
      </c>
    </row>
    <row r="45" ht="18" customHeight="1" s="235">
      <c r="A45" s="90" t="n">
        <v>2015</v>
      </c>
      <c r="B45" s="90" t="inlineStr">
        <is>
          <t>单位国内生产总值二氧化碳排放量</t>
        </is>
      </c>
      <c r="C45" s="90" t="inlineStr">
        <is>
          <t>降低</t>
        </is>
      </c>
      <c r="D45" s="90" t="inlineStr">
        <is>
          <t>3.1%以上</t>
        </is>
      </c>
      <c r="E45" s="94" t="n">
        <v>2014</v>
      </c>
      <c r="F45" s="91" t="n">
        <v>2015</v>
      </c>
      <c r="G45" s="90" t="inlineStr">
        <is>
          <t>强化或放宽目标（消极气候影响）</t>
        </is>
      </c>
      <c r="H45" s="90" t="inlineStr">
        <is>
          <t>碳强度</t>
        </is>
      </c>
      <c r="I45" s="90" t="inlineStr">
        <is>
          <t>全社会经济</t>
        </is>
      </c>
      <c r="J45" s="90" t="inlineStr">
        <is>
          <t>单位国内生产总值二氧化碳排放降低3.1%以上。</t>
        </is>
      </c>
      <c r="K45" s="92" t="inlineStr">
        <is>
          <t>HL1506.pdf</t>
        </is>
      </c>
      <c r="L45" s="90" t="inlineStr">
        <is>
          <t>温室气体排放</t>
        </is>
      </c>
    </row>
    <row r="46" ht="18" customHeight="1" s="235">
      <c r="A46" s="90" t="n">
        <v>2014</v>
      </c>
      <c r="B46" s="90" t="inlineStr">
        <is>
          <t>单位国内生产总值二氧化碳排放量</t>
        </is>
      </c>
      <c r="C46" s="90" t="inlineStr">
        <is>
          <t>降低</t>
        </is>
      </c>
      <c r="D46" s="90" t="inlineStr">
        <is>
          <t>3.5%</t>
        </is>
      </c>
      <c r="E46" s="94" t="n">
        <v>2014</v>
      </c>
      <c r="F46" s="95" t="n">
        <v>2015</v>
      </c>
      <c r="G46" s="90" t="inlineStr">
        <is>
          <t>新目标</t>
        </is>
      </c>
      <c r="H46" s="90" t="inlineStr">
        <is>
          <t>碳强度</t>
        </is>
      </c>
      <c r="I46" s="90" t="inlineStr">
        <is>
          <t>全社会经济</t>
        </is>
      </c>
      <c r="J46" s="94" t="inlineStr">
        <is>
          <t>2014-2015年，单位GDP能耗、化学需氧量、二氧化硫、氨氮、氮氧化物排放量分别逐年下降3.9%、2%、2%、2%、5%以上，单位GDP二氧化碳排放量两年分别下降4%、3.5%以上。</t>
        </is>
      </c>
      <c r="K46" s="92" t="inlineStr">
        <is>
          <t>AP1404.htm</t>
        </is>
      </c>
      <c r="L46" s="90" t="inlineStr">
        <is>
          <t>温室气体排放</t>
        </is>
      </c>
    </row>
    <row r="47" ht="18" customHeight="1" s="235">
      <c r="A47" s="90" t="n">
        <v>2009</v>
      </c>
      <c r="B47" s="90" t="inlineStr">
        <is>
          <t>单位国内生产总值二氧化碳排放量</t>
        </is>
      </c>
      <c r="C47" s="90" t="inlineStr">
        <is>
          <t>降低</t>
        </is>
      </c>
      <c r="D47" s="90" t="inlineStr">
        <is>
          <t>40%-45%</t>
        </is>
      </c>
      <c r="E47" s="90" t="n">
        <v>2005</v>
      </c>
      <c r="F47" s="91" t="n">
        <v>2020</v>
      </c>
      <c r="G47" s="90" t="inlineStr">
        <is>
          <t>新目标</t>
        </is>
      </c>
      <c r="H47" s="90" t="inlineStr">
        <is>
          <t>碳强度</t>
        </is>
      </c>
      <c r="I47" s="90" t="inlineStr">
        <is>
          <t>全社会经济</t>
        </is>
      </c>
      <c r="J47" s="90" t="inlineStr">
        <is>
          <t>中国于2009年提出，作为其适合本国的减缓行动，到2020年，在2005年水平基础上，将单位国内生产总值二氧化碳排放量降低40%至45%。</t>
        </is>
      </c>
      <c r="K47" s="92" t="inlineStr">
        <is>
          <t>HL2401.pdf</t>
        </is>
      </c>
      <c r="L47" s="90" t="inlineStr">
        <is>
          <t>温室气体排放</t>
        </is>
      </c>
    </row>
    <row r="48" ht="18" customHeight="1" s="235">
      <c r="A48" s="90" t="n">
        <v>2016</v>
      </c>
      <c r="B48" s="90" t="inlineStr">
        <is>
          <t>单位国内生产总值二氧化碳排放</t>
        </is>
      </c>
      <c r="C48" s="90" t="inlineStr">
        <is>
          <t>降低</t>
        </is>
      </c>
      <c r="D48" s="90" t="inlineStr">
        <is>
          <t>18%</t>
        </is>
      </c>
      <c r="E48" s="90" t="n">
        <v>2015</v>
      </c>
      <c r="F48" s="91" t="n">
        <v>2020</v>
      </c>
      <c r="G48" s="90" t="inlineStr">
        <is>
          <t>新目标</t>
        </is>
      </c>
      <c r="H48" s="90" t="inlineStr">
        <is>
          <t>碳强度</t>
        </is>
      </c>
      <c r="I48" s="90" t="inlineStr">
        <is>
          <t>全社会经济</t>
        </is>
      </c>
      <c r="J48" s="90" t="inlineStr">
        <is>
          <t>2016年，中国提出到2020年，单位国内生产总值二氧化碳排放比2015年下降18%的目标。</t>
        </is>
      </c>
      <c r="K48" s="92" t="inlineStr">
        <is>
          <t>HL2302.pdf</t>
        </is>
      </c>
      <c r="L48" s="90" t="inlineStr">
        <is>
          <t>温室气体排放</t>
        </is>
      </c>
    </row>
    <row r="49" ht="18" customHeight="1" s="235">
      <c r="A49" s="90" t="n">
        <v>2024</v>
      </c>
      <c r="B49" s="90" t="inlineStr">
        <is>
          <t>单位国内生产总值二氧化碳排放</t>
        </is>
      </c>
      <c r="C49" s="90" t="inlineStr">
        <is>
          <t>降低</t>
        </is>
      </c>
      <c r="D49" s="90" t="inlineStr">
        <is>
          <t>3.9%</t>
        </is>
      </c>
      <c r="E49" s="90" t="n">
        <v>2023</v>
      </c>
      <c r="F49" s="91" t="n">
        <v>2024</v>
      </c>
      <c r="G49" s="90" t="inlineStr">
        <is>
          <t>新目标</t>
        </is>
      </c>
      <c r="H49" s="90" t="inlineStr">
        <is>
          <t>碳强度</t>
        </is>
      </c>
      <c r="I49" s="90" t="inlineStr">
        <is>
          <t>全社会经济</t>
        </is>
      </c>
      <c r="J49" s="90" t="inlineStr">
        <is>
          <t>到2024年，单位国内生产总值能源消耗和二氧化碳排放分别降低2.5%左右、3.9%左右，规模以上工业单位增加值能源消耗降低3.5%左右</t>
        </is>
      </c>
      <c r="K49" s="92" t="inlineStr">
        <is>
          <t>AP2405.htm</t>
        </is>
      </c>
      <c r="L49" s="90" t="inlineStr">
        <is>
          <t>温室气体排放</t>
        </is>
      </c>
    </row>
    <row r="50" ht="18" customHeight="1" s="235">
      <c r="A50" s="90" t="n">
        <v>2021</v>
      </c>
      <c r="B50" s="90" t="inlineStr">
        <is>
          <t>单位国内生产总值二氧化碳排放</t>
        </is>
      </c>
      <c r="C50" s="90" t="inlineStr">
        <is>
          <t>降低</t>
        </is>
      </c>
      <c r="D50" s="90" t="inlineStr">
        <is>
          <t>18%</t>
        </is>
      </c>
      <c r="E50" s="90" t="n">
        <v>2020</v>
      </c>
      <c r="F50" s="91" t="n">
        <v>2025</v>
      </c>
      <c r="G50" s="90" t="inlineStr">
        <is>
          <t>新目标</t>
        </is>
      </c>
      <c r="H50" s="90" t="inlineStr">
        <is>
          <t>碳强度</t>
        </is>
      </c>
      <c r="I50" s="90" t="inlineStr">
        <is>
          <t>全社会经济</t>
        </is>
      </c>
      <c r="J50" s="90" t="inlineStr">
        <is>
          <t>值得注意的是，文件设定了量化目标，即到2025年，单位国内生产总值二氧化碳排放比2020年降低18%。</t>
        </is>
      </c>
      <c r="K50" s="92" t="inlineStr">
        <is>
          <t>HL2401.pdf</t>
        </is>
      </c>
      <c r="L50" s="90" t="inlineStr">
        <is>
          <t>温室气体排放</t>
        </is>
      </c>
    </row>
    <row r="51" ht="18" customHeight="1" s="235">
      <c r="A51" s="90" t="n">
        <v>2021</v>
      </c>
      <c r="B51" s="90" t="inlineStr">
        <is>
          <t>单位国内生产总值二氧化碳排放</t>
        </is>
      </c>
      <c r="C51" s="90" t="inlineStr">
        <is>
          <t>降低</t>
        </is>
      </c>
      <c r="D51" s="90" t="inlineStr">
        <is>
          <t>65%以上</t>
        </is>
      </c>
      <c r="E51" s="90" t="n">
        <v>2005</v>
      </c>
      <c r="F51" s="91" t="n">
        <v>2030</v>
      </c>
      <c r="G51" s="90" t="inlineStr">
        <is>
          <t>强化或放宽目标（积极气候影响）</t>
        </is>
      </c>
      <c r="H51" s="90" t="inlineStr">
        <is>
          <t>碳强度</t>
        </is>
      </c>
      <c r="I51" s="90" t="inlineStr">
        <is>
          <t>全社会经济</t>
        </is>
      </c>
      <c r="J51" s="90" t="inlineStr">
        <is>
          <t>到2030年，中国单位国内生产总值二氧化碳排放将比2005年下降65%以上。</t>
        </is>
      </c>
      <c r="K51" s="92" t="inlineStr">
        <is>
          <t>HL2105.pdf</t>
        </is>
      </c>
      <c r="L51" s="90" t="inlineStr">
        <is>
          <t>温室气体排放</t>
        </is>
      </c>
    </row>
    <row r="52" ht="18" customHeight="1" s="235">
      <c r="A52" s="90" t="n">
        <v>2015</v>
      </c>
      <c r="B52" s="90" t="inlineStr">
        <is>
          <t>单位国内生产总值二氧化碳排放</t>
        </is>
      </c>
      <c r="C52" s="90" t="inlineStr">
        <is>
          <t>降低</t>
        </is>
      </c>
      <c r="D52" s="90" t="inlineStr">
        <is>
          <t>60%-65%</t>
        </is>
      </c>
      <c r="E52" s="90" t="n">
        <v>2005</v>
      </c>
      <c r="F52" s="91" t="n">
        <v>2030</v>
      </c>
      <c r="G52" s="90" t="inlineStr">
        <is>
          <t>新目标</t>
        </is>
      </c>
      <c r="H52" s="90" t="inlineStr">
        <is>
          <t>碳强度</t>
        </is>
      </c>
      <c r="I52" s="90" t="inlineStr">
        <is>
          <t>全社会经济</t>
        </is>
      </c>
      <c r="J52" s="90" t="inlineStr">
        <is>
          <t>到2030年，单位国内生产总值二氧化碳排放比2005年下降60%－65%</t>
        </is>
      </c>
      <c r="K52" s="92" t="inlineStr">
        <is>
          <t>HL1601.pdf</t>
        </is>
      </c>
      <c r="L52" s="90" t="inlineStr">
        <is>
          <t>温室气体排放</t>
        </is>
      </c>
    </row>
    <row r="53" ht="18" customHeight="1" s="235">
      <c r="A53" s="90" t="n">
        <v>2011</v>
      </c>
      <c r="B53" s="90" t="inlineStr">
        <is>
          <t>单位国内生产总值二氧化碳排放</t>
        </is>
      </c>
      <c r="C53" s="90" t="inlineStr">
        <is>
          <t>降低</t>
        </is>
      </c>
      <c r="D53" s="90" t="inlineStr">
        <is>
          <t>17%</t>
        </is>
      </c>
      <c r="E53" s="90" t="n">
        <v>2010</v>
      </c>
      <c r="F53" s="91" t="inlineStr">
        <is>
          <t>2015</t>
        </is>
      </c>
      <c r="G53" s="90" t="inlineStr">
        <is>
          <t>重申目标</t>
        </is>
      </c>
      <c r="H53" s="90" t="inlineStr">
        <is>
          <t>碳强度</t>
        </is>
      </c>
      <c r="I53" s="90" t="inlineStr">
        <is>
          <t>全社会经济</t>
        </is>
      </c>
      <c r="J53" s="90" t="inlineStr">
        <is>
          <t>国家“十二五”规划纲要提出，到2015年，单位国内生产总值二氧化碳排放比2010年降低17%。</t>
        </is>
      </c>
      <c r="K53" s="92" t="inlineStr">
        <is>
          <t>FYP1102.htm</t>
        </is>
      </c>
      <c r="L53" s="90" t="inlineStr">
        <is>
          <t>温室气体排放</t>
        </is>
      </c>
    </row>
    <row r="54" ht="18" customHeight="1" s="235">
      <c r="A54" s="90" t="n">
        <v>2026</v>
      </c>
      <c r="B54" s="90" t="inlineStr">
        <is>
          <t>单位国内生产总值二氧化碳排放</t>
        </is>
      </c>
      <c r="C54" s="90" t="inlineStr">
        <is>
          <t>降低</t>
        </is>
      </c>
      <c r="D54" s="90" t="inlineStr">
        <is>
          <t>3.8%左右</t>
        </is>
      </c>
      <c r="E54" s="90" t="n">
        <v>2025</v>
      </c>
      <c r="F54" s="91" t="n">
        <v>2026</v>
      </c>
      <c r="G54" s="90" t="inlineStr">
        <is>
          <t>新目标</t>
        </is>
      </c>
      <c r="H54" s="90" t="inlineStr">
        <is>
          <t>碳强度</t>
        </is>
      </c>
      <c r="I54" s="90" t="inlineStr">
        <is>
          <t>全社会经济</t>
        </is>
      </c>
      <c r="J54" s="90" t="inlineStr">
        <is>
          <t>单位国内生产总值二氧化碳排放降低3.8%左右</t>
        </is>
      </c>
      <c r="K54" s="92" t="inlineStr">
        <is>
          <t>HL2602.htm</t>
        </is>
      </c>
      <c r="L54" s="90" t="inlineStr">
        <is>
          <t>温室气体排放</t>
        </is>
      </c>
    </row>
    <row r="55" ht="18" customHeight="1" s="235">
      <c r="A55" s="90" t="n">
        <v>2026</v>
      </c>
      <c r="B55" s="90" t="inlineStr">
        <is>
          <t>单位国内生产总值二氧化碳排放</t>
        </is>
      </c>
      <c r="C55" s="90" t="inlineStr">
        <is>
          <t>降低</t>
        </is>
      </c>
      <c r="D55" s="90" t="inlineStr">
        <is>
          <t>17%</t>
        </is>
      </c>
      <c r="E55" s="90" t="n"/>
      <c r="F55" s="91" t="inlineStr">
        <is>
          <t>十五五</t>
        </is>
      </c>
      <c r="G55" s="90" t="inlineStr">
        <is>
          <t>新目标</t>
        </is>
      </c>
      <c r="H55" s="90" t="inlineStr">
        <is>
          <t>碳强度</t>
        </is>
      </c>
      <c r="I55" s="90" t="inlineStr">
        <is>
          <t>全社会经济</t>
        </is>
      </c>
      <c r="J55" s="90" t="inlineStr">
        <is>
          <t>“十五五”时期，单位国内生产总值二氧化碳排放降低17%。</t>
        </is>
      </c>
      <c r="K55" s="92" t="inlineStr">
        <is>
          <t>HL2601.pdf</t>
        </is>
      </c>
      <c r="L55" s="90" t="inlineStr">
        <is>
          <t>温室气体排放</t>
        </is>
      </c>
    </row>
    <row r="56" ht="18" customHeight="1" s="235">
      <c r="A56" s="90" t="n">
        <v>2019</v>
      </c>
      <c r="B56" s="90" t="inlineStr">
        <is>
          <t>单位国内生产总值二氧化碳排放量</t>
        </is>
      </c>
      <c r="C56" s="90" t="inlineStr">
        <is>
          <t>降低</t>
        </is>
      </c>
      <c r="D56" s="90" t="inlineStr">
        <is>
          <t>约3.6%</t>
        </is>
      </c>
      <c r="E56" s="90" t="n">
        <v>2018</v>
      </c>
      <c r="F56" s="91" t="n">
        <v>2019</v>
      </c>
      <c r="G56" s="90" t="inlineStr">
        <is>
          <t>新目标</t>
        </is>
      </c>
      <c r="H56" s="90" t="inlineStr">
        <is>
          <t>碳强度</t>
        </is>
      </c>
      <c r="I56" s="90" t="inlineStr">
        <is>
          <t>全社会经济</t>
        </is>
      </c>
      <c r="J56" s="90" t="inlineStr">
        <is>
          <t>单位国内生产总值二氧化碳排放量降低百分之三点六</t>
        </is>
      </c>
      <c r="K56" s="92" t="inlineStr">
        <is>
          <t>HL2003.pdf</t>
        </is>
      </c>
      <c r="L56" s="90" t="inlineStr">
        <is>
          <t>温室气体排放</t>
        </is>
      </c>
    </row>
    <row r="57" ht="18" customHeight="1" s="235">
      <c r="A57" s="90" t="n">
        <v>2011</v>
      </c>
      <c r="B57" s="90" t="inlineStr">
        <is>
          <t>单位国内生产总值二氧化碳排放量</t>
        </is>
      </c>
      <c r="C57" s="90" t="inlineStr">
        <is>
          <t>降低</t>
        </is>
      </c>
      <c r="D57" s="90" t="inlineStr">
        <is>
          <t>3.5%左右</t>
        </is>
      </c>
      <c r="E57" s="90" t="n">
        <v>2010</v>
      </c>
      <c r="F57" s="91" t="n">
        <v>2011</v>
      </c>
      <c r="G57" s="90" t="inlineStr">
        <is>
          <t>新目标</t>
        </is>
      </c>
      <c r="H57" s="90" t="inlineStr">
        <is>
          <t>碳强度</t>
        </is>
      </c>
      <c r="I57" s="90" t="inlineStr">
        <is>
          <t>全社会经济</t>
        </is>
      </c>
      <c r="J57" s="90" t="inlineStr">
        <is>
          <t>二氧化碳排放强度下降3.5%左右。</t>
        </is>
      </c>
      <c r="K57" s="92" t="inlineStr">
        <is>
          <t>HL1103.htm</t>
        </is>
      </c>
      <c r="L57" s="90" t="inlineStr">
        <is>
          <t>温室气体排放</t>
        </is>
      </c>
    </row>
    <row r="58" ht="18" customHeight="1" s="235">
      <c r="A58" s="90" t="n">
        <v>2012</v>
      </c>
      <c r="B58" s="90" t="inlineStr">
        <is>
          <t>单位国内生产总值二氧化碳排放量</t>
        </is>
      </c>
      <c r="C58" s="90" t="inlineStr">
        <is>
          <t>降低</t>
        </is>
      </c>
      <c r="D58" s="90" t="inlineStr">
        <is>
          <t>超过3.5%</t>
        </is>
      </c>
      <c r="E58" s="90" t="n">
        <v>2011</v>
      </c>
      <c r="F58" s="91" t="n">
        <v>2012</v>
      </c>
      <c r="G58" s="90" t="inlineStr">
        <is>
          <t>新目标</t>
        </is>
      </c>
      <c r="H58" s="90" t="inlineStr">
        <is>
          <t>碳强度</t>
        </is>
      </c>
      <c r="I58" s="90" t="inlineStr">
        <is>
          <t>全社会经济</t>
        </is>
      </c>
      <c r="J58" s="90" t="inlineStr">
        <is>
          <t>单位国内生产总值能耗下降约3.5%，二氧化碳排放强度降幅更大一些</t>
        </is>
      </c>
      <c r="K58" s="92" t="inlineStr">
        <is>
          <t>HL1204.htm</t>
        </is>
      </c>
      <c r="L58" s="90" t="inlineStr">
        <is>
          <t>温室气体排放</t>
        </is>
      </c>
    </row>
    <row r="59" ht="18" customHeight="1" s="235">
      <c r="A59" s="90" t="n">
        <v>2018</v>
      </c>
      <c r="B59" s="90" t="inlineStr">
        <is>
          <t>单位国内生产总值二氧化碳排放量</t>
        </is>
      </c>
      <c r="C59" s="90" t="inlineStr">
        <is>
          <t>降低</t>
        </is>
      </c>
      <c r="D59" s="90" t="inlineStr">
        <is>
          <t>3.9%</t>
        </is>
      </c>
      <c r="E59" s="90" t="n">
        <v>2017</v>
      </c>
      <c r="F59" s="91" t="n">
        <v>2018</v>
      </c>
      <c r="G59" s="90" t="inlineStr">
        <is>
          <t>新目标</t>
        </is>
      </c>
      <c r="H59" s="90" t="inlineStr">
        <is>
          <t>碳强度</t>
        </is>
      </c>
      <c r="I59" s="90" t="inlineStr">
        <is>
          <t>全社会经济</t>
        </is>
      </c>
      <c r="J59" s="90" t="inlineStr">
        <is>
          <t>单位国内生产总值二氧化碳排放量降低3.9%</t>
        </is>
      </c>
      <c r="K59" s="92" t="inlineStr">
        <is>
          <t>HL1803.htm</t>
        </is>
      </c>
      <c r="L59" s="90" t="inlineStr">
        <is>
          <t>温室气体排放</t>
        </is>
      </c>
    </row>
    <row r="60" ht="18" customHeight="1" s="235">
      <c r="A60" s="0" t="n">
        <v>2026</v>
      </c>
      <c r="B60" s="0" t="inlineStr">
        <is>
          <t>单位国内生产总值二氧化碳排放</t>
        </is>
      </c>
      <c r="C60" s="0" t="inlineStr">
        <is>
          <t>降低</t>
        </is>
      </c>
      <c r="D60" s="0" t="inlineStr">
        <is>
          <t>17%</t>
        </is>
      </c>
      <c r="E60" s="0" t="inlineStr">
        <is>
          <t>2025</t>
        </is>
      </c>
      <c r="F60" s="0" t="n">
        <v>2030</v>
      </c>
      <c r="G60" s="0" t="inlineStr">
        <is>
          <t>新目标</t>
        </is>
      </c>
      <c r="H60" s="0" t="inlineStr">
        <is>
          <t>碳强度</t>
        </is>
      </c>
      <c r="I60" s="0" t="inlineStr">
        <is>
          <t>全社会经济</t>
        </is>
      </c>
      <c r="J60" s="0" t="inlineStr">
        <is>
          <t>到2030年，我国单位国内生产总值二氧化碳排放比2025年降低17%，非化石能源消费占比达到25%，确保如期实现碳达峰目标，……</t>
        </is>
      </c>
      <c r="K60" s="0" t="inlineStr">
        <is>
          <t>HL2604.htm</t>
        </is>
      </c>
      <c r="L60" s="0" t="inlineStr">
        <is>
          <t>温室气体排放</t>
        </is>
      </c>
    </row>
    <row r="61" ht="18" customHeight="1" s="235">
      <c r="A61" s="0" t="n">
        <v>2026</v>
      </c>
      <c r="B61" s="0" t="inlineStr">
        <is>
          <t>单位国内生产总值二氧化碳排放</t>
        </is>
      </c>
      <c r="C61" s="0" t="inlineStr">
        <is>
          <t>降低</t>
        </is>
      </c>
      <c r="D61" s="0" t="inlineStr">
        <is>
          <t>17%</t>
        </is>
      </c>
      <c r="E61" s="0" t="inlineStr">
        <is>
          <t>2025</t>
        </is>
      </c>
      <c r="F61" s="0" t="n">
        <v>2030</v>
      </c>
      <c r="G61" s="0" t="inlineStr">
        <is>
          <t>重申目标</t>
        </is>
      </c>
      <c r="H61" s="0" t="inlineStr">
        <is>
          <t>碳强度</t>
        </is>
      </c>
      <c r="I61" s="0" t="inlineStr">
        <is>
          <t>全社会经济</t>
        </is>
      </c>
      <c r="J61" s="0" t="inlineStr">
        <is>
          <t>到 2030 年，单位国内生产总值二氧化碳排放较 2025 年降低 17%，……</t>
        </is>
      </c>
      <c r="K61" s="0" t="inlineStr">
        <is>
          <t>HL2603.pdf</t>
        </is>
      </c>
      <c r="L61" s="0" t="inlineStr">
        <is>
          <t>温室气体排放</t>
        </is>
      </c>
    </row>
    <row r="62" ht="18" customHeight="1" s="235">
      <c r="A62" s="90" t="n">
        <v>2016</v>
      </c>
      <c r="B62" s="90" t="inlineStr">
        <is>
          <t>单位工业增加值二氧化碳排放量</t>
        </is>
      </c>
      <c r="C62" s="90" t="inlineStr">
        <is>
          <t>降低</t>
        </is>
      </c>
      <c r="D62" s="90" t="inlineStr">
        <is>
          <t>22%</t>
        </is>
      </c>
      <c r="E62" s="90" t="n">
        <v>2015</v>
      </c>
      <c r="F62" s="91" t="inlineStr">
        <is>
          <t>2020</t>
        </is>
      </c>
      <c r="G62" s="90" t="inlineStr">
        <is>
          <t>新目标</t>
        </is>
      </c>
      <c r="H62" s="90" t="inlineStr">
        <is>
          <t>碳强度</t>
        </is>
      </c>
      <c r="I62" s="90" t="inlineStr">
        <is>
          <t>行业</t>
        </is>
      </c>
      <c r="J62" s="90" t="inlineStr">
        <is>
          <t>2020年单位工业增加值二氧化碳排放量比2015年下降22%，工业领域二氧化碳排放总量趋于稳定，钢铁、建材等重点行业二氧化碳排放总量得到有效控制。</t>
        </is>
      </c>
      <c r="K62" s="92" t="inlineStr">
        <is>
          <t>FYP1615.htm</t>
        </is>
      </c>
      <c r="L62" s="90" t="inlineStr">
        <is>
          <t>温室气体排放</t>
        </is>
      </c>
    </row>
    <row r="63" ht="18" customHeight="1" s="235">
      <c r="A63" s="90" t="n">
        <v>2012</v>
      </c>
      <c r="B63" s="90" t="inlineStr">
        <is>
          <t>单位工业增加值二氧化碳排放量</t>
        </is>
      </c>
      <c r="C63" s="90" t="inlineStr">
        <is>
          <t>降低</t>
        </is>
      </c>
      <c r="D63" s="90" t="inlineStr">
        <is>
          <t>50%左右</t>
        </is>
      </c>
      <c r="E63" s="90" t="n">
        <v>2005</v>
      </c>
      <c r="F63" s="91" t="inlineStr">
        <is>
          <t>2020</t>
        </is>
      </c>
      <c r="G63" s="90" t="inlineStr">
        <is>
          <t>新目标</t>
        </is>
      </c>
      <c r="H63" s="90" t="inlineStr">
        <is>
          <t>碳强度</t>
        </is>
      </c>
      <c r="I63" s="90" t="inlineStr">
        <is>
          <t>行业</t>
        </is>
      </c>
      <c r="J63" s="90" t="inlineStr">
        <is>
          <t>到2020年，单位工业增加值二氧化碳排放量比2005年下降50%左右，基本形成以低碳排放为特征的工业体系。</t>
        </is>
      </c>
      <c r="K63" s="92" t="inlineStr">
        <is>
          <t>AP1201.pdf</t>
        </is>
      </c>
      <c r="L63" s="90" t="inlineStr">
        <is>
          <t>温室气体排放</t>
        </is>
      </c>
    </row>
    <row r="64" ht="18" customHeight="1" s="235">
      <c r="A64" s="90" t="n">
        <v>2012</v>
      </c>
      <c r="B64" s="90" t="inlineStr">
        <is>
          <t>单位工业增加值二氧化碳排放量</t>
        </is>
      </c>
      <c r="C64" s="90" t="inlineStr">
        <is>
          <t>降低</t>
        </is>
      </c>
      <c r="D64" s="90" t="inlineStr">
        <is>
          <t>21%以上</t>
        </is>
      </c>
      <c r="E64" s="90" t="n">
        <v>2010</v>
      </c>
      <c r="F64" s="91" t="inlineStr">
        <is>
          <t>2015</t>
        </is>
      </c>
      <c r="G64" s="90" t="inlineStr">
        <is>
          <t>新目标</t>
        </is>
      </c>
      <c r="H64" s="90" t="inlineStr">
        <is>
          <t>碳强度</t>
        </is>
      </c>
      <c r="I64" s="90" t="inlineStr">
        <is>
          <t>行业</t>
        </is>
      </c>
      <c r="J64" s="90" t="inlineStr">
        <is>
          <t>到2015年，全面落实国家温室气体排放控制目标，单位工业增加值二氧化碳排放量比2010年下降21%以上。</t>
        </is>
      </c>
      <c r="K64" s="92" t="inlineStr">
        <is>
          <t>AP1201.pdf</t>
        </is>
      </c>
      <c r="L64" s="90" t="inlineStr">
        <is>
          <t>温室气体排放</t>
        </is>
      </c>
    </row>
    <row r="65" ht="18" customHeight="1" s="235">
      <c r="A65" s="90" t="n">
        <v>2021</v>
      </c>
      <c r="B65" s="90" t="inlineStr">
        <is>
          <t>单位工业增加值二氧化碳排放量年均削减率</t>
        </is>
      </c>
      <c r="C65" s="90" t="inlineStr">
        <is>
          <t>达到</t>
        </is>
      </c>
      <c r="D65" s="90" t="inlineStr">
        <is>
          <t>4%以上</t>
        </is>
      </c>
      <c r="E65" s="90" t="n"/>
      <c r="F65" s="91" t="inlineStr">
        <is>
          <t>2025</t>
        </is>
      </c>
      <c r="G65" s="90" t="inlineStr">
        <is>
          <t>新目标</t>
        </is>
      </c>
      <c r="H65" s="90" t="inlineStr">
        <is>
          <t>碳强度</t>
        </is>
      </c>
      <c r="I65" s="90" t="inlineStr">
        <is>
          <t>行业</t>
        </is>
      </c>
      <c r="J65" s="90" t="inlineStr">
        <is>
          <t>到2025年，单位工业增加值二氧化碳排放量年均削减率高于4%。</t>
        </is>
      </c>
      <c r="K65" s="92" t="inlineStr">
        <is>
          <t>IP2102.htm</t>
        </is>
      </c>
      <c r="L65" s="90" t="inlineStr">
        <is>
          <t>温室气体排放</t>
        </is>
      </c>
    </row>
    <row r="66" ht="18" customHeight="1" s="235">
      <c r="A66" s="92" t="n">
        <v>2012</v>
      </c>
      <c r="B66" s="92" t="inlineStr">
        <is>
          <t>单位工业增加值二氧化碳排放量（建材工业）</t>
        </is>
      </c>
      <c r="C66" s="92" t="inlineStr">
        <is>
          <t>降低</t>
        </is>
      </c>
      <c r="D66" s="92" t="inlineStr">
        <is>
          <t>18%</t>
        </is>
      </c>
      <c r="E66" s="92" t="n">
        <v>2010</v>
      </c>
      <c r="F66" s="96" t="inlineStr">
        <is>
          <t>2015</t>
        </is>
      </c>
      <c r="G66" s="92" t="inlineStr">
        <is>
          <t>新目标</t>
        </is>
      </c>
      <c r="H66" s="90" t="inlineStr">
        <is>
          <t>碳强度</t>
        </is>
      </c>
      <c r="I66" s="92" t="inlineStr">
        <is>
          <t>行业</t>
        </is>
      </c>
      <c r="J66" s="92" t="inlineStr">
        <is>
          <t>到2015年，建材工业单位工业增加值二氧化碳排放量比2010年下降18%以上。</t>
        </is>
      </c>
      <c r="K66" s="92" t="inlineStr">
        <is>
          <t>AP1201.pdf</t>
        </is>
      </c>
      <c r="L66" s="92" t="inlineStr">
        <is>
          <t>温室气体排放</t>
        </is>
      </c>
    </row>
    <row r="67" ht="18" customHeight="1" s="235">
      <c r="A67" s="90" t="n">
        <v>2012</v>
      </c>
      <c r="B67" s="90" t="inlineStr">
        <is>
          <t>化工行业单位工业增加值二氧化碳排放量</t>
        </is>
      </c>
      <c r="C67" s="90" t="inlineStr">
        <is>
          <t>降低</t>
        </is>
      </c>
      <c r="D67" s="90" t="inlineStr">
        <is>
          <t>17%</t>
        </is>
      </c>
      <c r="E67" s="90" t="n">
        <v>2010</v>
      </c>
      <c r="F67" s="91" t="inlineStr">
        <is>
          <t>2015</t>
        </is>
      </c>
      <c r="G67" s="90" t="inlineStr">
        <is>
          <t>新目标</t>
        </is>
      </c>
      <c r="H67" s="90" t="inlineStr">
        <is>
          <t>碳强度</t>
        </is>
      </c>
      <c r="I67" s="90" t="inlineStr">
        <is>
          <t>行业</t>
        </is>
      </c>
      <c r="J67" s="90" t="inlineStr">
        <is>
          <t>到2015年，化工行业单位工业增加值二氧化碳排放量比2010年下降17%以上。</t>
        </is>
      </c>
      <c r="K67" s="92" t="inlineStr">
        <is>
          <t>AP1201.pdf</t>
        </is>
      </c>
      <c r="L67" s="90" t="inlineStr">
        <is>
          <t>温室气体排放</t>
        </is>
      </c>
    </row>
    <row r="68" ht="18" customHeight="1" s="235">
      <c r="A68" s="90" t="n">
        <v>2012</v>
      </c>
      <c r="B68" s="90" t="inlineStr">
        <is>
          <t>电子信息行业单位工业增加值二氧化碳排放量</t>
        </is>
      </c>
      <c r="C68" s="90" t="inlineStr">
        <is>
          <t>降低</t>
        </is>
      </c>
      <c r="D68" s="90" t="inlineStr">
        <is>
          <t>18%以上</t>
        </is>
      </c>
      <c r="E68" s="90" t="n">
        <v>2010</v>
      </c>
      <c r="F68" s="91" t="inlineStr">
        <is>
          <t>2015</t>
        </is>
      </c>
      <c r="G68" s="90" t="inlineStr">
        <is>
          <t>新目标</t>
        </is>
      </c>
      <c r="H68" s="90" t="inlineStr">
        <is>
          <t>碳强度</t>
        </is>
      </c>
      <c r="I68" s="90" t="inlineStr">
        <is>
          <t>行业</t>
        </is>
      </c>
      <c r="J68" s="90" t="inlineStr">
        <is>
          <t>到2015年，电子信息行业单位工业增加值二氧化碳排放量比2010年下降18%以上。</t>
        </is>
      </c>
      <c r="K68" s="92" t="inlineStr">
        <is>
          <t>AP1201.pdf</t>
        </is>
      </c>
      <c r="L68" s="90" t="inlineStr">
        <is>
          <t>温室气体排放</t>
        </is>
      </c>
    </row>
    <row r="69" ht="18" customHeight="1" s="235">
      <c r="A69" s="90" t="n">
        <v>2012</v>
      </c>
      <c r="B69" s="90" t="inlineStr">
        <is>
          <t>轻工业单位工业增加值二氧化碳排放量</t>
        </is>
      </c>
      <c r="C69" s="90" t="inlineStr">
        <is>
          <t>降低</t>
        </is>
      </c>
      <c r="D69" s="90" t="inlineStr">
        <is>
          <t>20%</t>
        </is>
      </c>
      <c r="E69" s="90" t="n">
        <v>2010</v>
      </c>
      <c r="F69" s="91" t="inlineStr">
        <is>
          <t>2015</t>
        </is>
      </c>
      <c r="G69" s="90" t="inlineStr">
        <is>
          <t>新目标</t>
        </is>
      </c>
      <c r="H69" s="90" t="inlineStr">
        <is>
          <t>碳强度</t>
        </is>
      </c>
      <c r="I69" s="90" t="inlineStr">
        <is>
          <t>行业</t>
        </is>
      </c>
      <c r="J69" s="90" t="inlineStr">
        <is>
          <t>到2015年，轻工业单位工业增加值二氧化碳排放量比2010年下降20%。</t>
        </is>
      </c>
      <c r="K69" s="92" t="inlineStr">
        <is>
          <t>AP1201.pdf</t>
        </is>
      </c>
      <c r="L69" s="90" t="inlineStr">
        <is>
          <t>温室气体排放</t>
        </is>
      </c>
    </row>
    <row r="70" ht="18" customHeight="1" s="235">
      <c r="A70" s="90" t="n">
        <v>2012</v>
      </c>
      <c r="B70" s="90" t="inlineStr">
        <is>
          <t>机械行业单位工业增加值二氧化碳排放量</t>
        </is>
      </c>
      <c r="C70" s="90" t="inlineStr">
        <is>
          <t>降低</t>
        </is>
      </c>
      <c r="D70" s="90" t="inlineStr">
        <is>
          <t>22%</t>
        </is>
      </c>
      <c r="E70" s="90" t="n">
        <v>2010</v>
      </c>
      <c r="F70" s="91" t="inlineStr">
        <is>
          <t>2015</t>
        </is>
      </c>
      <c r="G70" s="90" t="inlineStr">
        <is>
          <t>新目标</t>
        </is>
      </c>
      <c r="H70" s="90" t="inlineStr">
        <is>
          <t>碳强度</t>
        </is>
      </c>
      <c r="I70" s="90" t="inlineStr">
        <is>
          <t>行业</t>
        </is>
      </c>
      <c r="J70" s="90" t="inlineStr">
        <is>
          <t>到2015年，机械行业单位工业增加值二氧化碳排放量比2010年下降22%。</t>
        </is>
      </c>
      <c r="K70" s="92" t="inlineStr">
        <is>
          <t>AP1201.pdf</t>
        </is>
      </c>
      <c r="L70" s="90" t="inlineStr">
        <is>
          <t>温室气体排放</t>
        </is>
      </c>
    </row>
    <row r="71" ht="18" customHeight="1" s="235">
      <c r="A71" s="90" t="n">
        <v>2012</v>
      </c>
      <c r="B71" s="90" t="inlineStr">
        <is>
          <t>有色金属行业单位工业增加值二氧化碳排放量</t>
        </is>
      </c>
      <c r="C71" s="90" t="inlineStr">
        <is>
          <t>降低</t>
        </is>
      </c>
      <c r="D71" s="90" t="inlineStr">
        <is>
          <t>18%</t>
        </is>
      </c>
      <c r="E71" s="90" t="n">
        <v>2010</v>
      </c>
      <c r="F71" s="91" t="inlineStr">
        <is>
          <t>2015</t>
        </is>
      </c>
      <c r="G71" s="90" t="inlineStr">
        <is>
          <t>新目标</t>
        </is>
      </c>
      <c r="H71" s="90" t="inlineStr">
        <is>
          <t>碳强度</t>
        </is>
      </c>
      <c r="I71" s="90" t="inlineStr">
        <is>
          <t>行业</t>
        </is>
      </c>
      <c r="J71" s="90" t="inlineStr">
        <is>
          <t>到2015年，有色金属行业单位工业增加值二氧化碳排放量比2010年下降18%。</t>
        </is>
      </c>
      <c r="K71" s="92" t="inlineStr">
        <is>
          <t>AP1201.pdf</t>
        </is>
      </c>
      <c r="L71" s="90" t="inlineStr">
        <is>
          <t>温室气体排放</t>
        </is>
      </c>
    </row>
    <row r="72" ht="18" customHeight="1" s="235">
      <c r="A72" s="90" t="n">
        <v>2012</v>
      </c>
      <c r="B72" s="90" t="inlineStr">
        <is>
          <t>石化行业单位工业增加值二氧化碳排放量</t>
        </is>
      </c>
      <c r="C72" s="90" t="inlineStr">
        <is>
          <t>降低</t>
        </is>
      </c>
      <c r="D72" s="90" t="inlineStr">
        <is>
          <t>18%</t>
        </is>
      </c>
      <c r="E72" s="90" t="n">
        <v>2010</v>
      </c>
      <c r="F72" s="91" t="inlineStr">
        <is>
          <t>2015</t>
        </is>
      </c>
      <c r="G72" s="90" t="inlineStr">
        <is>
          <t>新目标</t>
        </is>
      </c>
      <c r="H72" s="90" t="inlineStr">
        <is>
          <t>碳强度</t>
        </is>
      </c>
      <c r="I72" s="90" t="inlineStr">
        <is>
          <t>行业</t>
        </is>
      </c>
      <c r="J72" s="90" t="inlineStr">
        <is>
          <t>到2015年，石化行业单位工业增加值二氧化碳排放量比2010年下降18%。</t>
        </is>
      </c>
      <c r="K72" s="92" t="inlineStr">
        <is>
          <t>AP1201.pdf</t>
        </is>
      </c>
      <c r="L72" s="90" t="inlineStr">
        <is>
          <t>温室气体排放</t>
        </is>
      </c>
    </row>
    <row r="73" ht="18" customHeight="1" s="235">
      <c r="A73" s="90" t="n">
        <v>2012</v>
      </c>
      <c r="B73" s="90" t="inlineStr">
        <is>
          <t>钢铁行业单位工业增加值二氧化碳排放量</t>
        </is>
      </c>
      <c r="C73" s="90" t="inlineStr">
        <is>
          <t>降低</t>
        </is>
      </c>
      <c r="D73" s="90" t="inlineStr">
        <is>
          <t>18%</t>
        </is>
      </c>
      <c r="E73" s="90" t="n">
        <v>2010</v>
      </c>
      <c r="F73" s="91" t="inlineStr">
        <is>
          <t>2015</t>
        </is>
      </c>
      <c r="G73" s="90" t="inlineStr">
        <is>
          <t>新目标</t>
        </is>
      </c>
      <c r="H73" s="90" t="inlineStr">
        <is>
          <t>碳强度</t>
        </is>
      </c>
      <c r="I73" s="90" t="inlineStr">
        <is>
          <t>行业</t>
        </is>
      </c>
      <c r="J73" s="90" t="inlineStr">
        <is>
          <t>到2015年，钢铁行业单位工业增加值二氧化碳排放量比2010年下降18%以上。</t>
        </is>
      </c>
      <c r="K73" s="92" t="inlineStr">
        <is>
          <t>AP1201.pdf</t>
        </is>
      </c>
      <c r="L73" s="90" t="inlineStr">
        <is>
          <t>温室气体排放</t>
        </is>
      </c>
    </row>
    <row r="74" ht="18" customHeight="1" s="235">
      <c r="A74" s="90" t="n">
        <v>2012</v>
      </c>
      <c r="B74" s="90" t="inlineStr">
        <is>
          <t>纺织行业单位工业增加值二氧化碳排放量</t>
        </is>
      </c>
      <c r="C74" s="90" t="inlineStr">
        <is>
          <t>降低</t>
        </is>
      </c>
      <c r="D74" s="90" t="inlineStr">
        <is>
          <t>20%</t>
        </is>
      </c>
      <c r="E74" s="90" t="n">
        <v>2010</v>
      </c>
      <c r="F74" s="91" t="inlineStr">
        <is>
          <t>2015</t>
        </is>
      </c>
      <c r="G74" s="90" t="inlineStr">
        <is>
          <t>新目标</t>
        </is>
      </c>
      <c r="H74" s="90" t="inlineStr">
        <is>
          <t>碳强度</t>
        </is>
      </c>
      <c r="I74" s="90" t="inlineStr">
        <is>
          <t>行业</t>
        </is>
      </c>
      <c r="J74" s="90" t="inlineStr">
        <is>
          <t>到2015年，纺织行业单位工业增加值二氧化碳排放量比2010年下降20%。</t>
        </is>
      </c>
      <c r="K74" s="92" t="inlineStr">
        <is>
          <t>AP1201.pdf</t>
        </is>
      </c>
      <c r="L74" s="90" t="inlineStr">
        <is>
          <t>温室气体排放</t>
        </is>
      </c>
    </row>
    <row r="75" ht="18" customHeight="1" s="235">
      <c r="A75" s="0" t="n">
        <v>2026</v>
      </c>
      <c r="B75" s="0" t="inlineStr">
        <is>
          <t>全国碳排放权交易市场覆盖行业单位产品二氧化碳排放</t>
        </is>
      </c>
      <c r="C75" s="0" t="inlineStr">
        <is>
          <t>下降</t>
        </is>
      </c>
      <c r="D75" s="0" t="inlineStr">
        <is>
          <t>3%左右</t>
        </is>
      </c>
      <c r="E75" s="0" t="inlineStr">
        <is>
          <t>2025</t>
        </is>
      </c>
      <c r="F75" s="0" t="n">
        <v>2030</v>
      </c>
      <c r="G75" s="0" t="inlineStr">
        <is>
          <t>重申目标</t>
        </is>
      </c>
      <c r="H75" s="0" t="inlineStr">
        <is>
          <t>碳强度</t>
        </is>
      </c>
      <c r="I75" s="0" t="inlineStr">
        <is>
          <t>行业</t>
        </is>
      </c>
      <c r="J75" s="0" t="inlineStr">
        <is>
          <t>……全国碳排放权交易市场覆盖行业单位产品二氧化碳排放比 2025 年下降3%左右，建成诚信透明、方法统一、参与广泛、与国际接轨的全国温室气体自愿减排交易市场，……</t>
        </is>
      </c>
      <c r="K75" s="0" t="inlineStr">
        <is>
          <t>HL2603.pdf</t>
        </is>
      </c>
      <c r="L75" s="0" t="inlineStr">
        <is>
          <t>温室气体排放</t>
        </is>
      </c>
    </row>
    <row r="76" ht="18" customHeight="1" s="235">
      <c r="A76" s="90" t="n">
        <v>2022</v>
      </c>
      <c r="B76" s="90" t="inlineStr">
        <is>
          <t>交通运输单位周转量二氧化碳排放强度</t>
        </is>
      </c>
      <c r="C76" s="90" t="inlineStr">
        <is>
          <t>降低</t>
        </is>
      </c>
      <c r="D76" s="90" t="inlineStr">
        <is>
          <t>9.5%</t>
        </is>
      </c>
      <c r="E76" s="90" t="n">
        <v>2020</v>
      </c>
      <c r="F76" s="91" t="n">
        <v>2030</v>
      </c>
      <c r="G76" s="90" t="inlineStr">
        <is>
          <t>重申目标</t>
        </is>
      </c>
      <c r="H76" s="90" t="inlineStr">
        <is>
          <t>碳强度</t>
        </is>
      </c>
      <c r="I76" s="90" t="inlineStr">
        <is>
          <t>行业</t>
        </is>
      </c>
      <c r="J76" s="90" t="inlineStr">
        <is>
          <t>力争到2030年，营运交通工具单位周转量碳排放强度比2020年下降约9.5%</t>
        </is>
      </c>
      <c r="K76" s="92" t="inlineStr">
        <is>
          <t>HL2404.pdf</t>
        </is>
      </c>
      <c r="L76" s="90" t="inlineStr">
        <is>
          <t>温室气体排放</t>
        </is>
      </c>
    </row>
    <row r="77" ht="18" customHeight="1" s="235">
      <c r="A77" s="90" t="n">
        <v>2016</v>
      </c>
      <c r="B77" s="90" t="inlineStr">
        <is>
          <t>营运客车单位运输周转量二氧化碳排放</t>
        </is>
      </c>
      <c r="C77" s="90" t="inlineStr">
        <is>
          <t>降低</t>
        </is>
      </c>
      <c r="D77" s="90" t="inlineStr">
        <is>
          <t>2.6%</t>
        </is>
      </c>
      <c r="E77" s="90" t="n">
        <v>2015</v>
      </c>
      <c r="F77" s="91" t="inlineStr">
        <is>
          <t>2020</t>
        </is>
      </c>
      <c r="G77" s="90" t="inlineStr">
        <is>
          <t>新目标</t>
        </is>
      </c>
      <c r="H77" s="90" t="inlineStr">
        <is>
          <t>碳强度</t>
        </is>
      </c>
      <c r="I77" s="90" t="inlineStr">
        <is>
          <t>行业</t>
        </is>
      </c>
      <c r="J77" s="90" t="inlineStr">
        <is>
          <t>到2020年，营运客车单位运输周转量二氧化碳排放比2015年下降2.6%。</t>
        </is>
      </c>
      <c r="K77" s="92" t="inlineStr">
        <is>
          <t>FYP1615.htm</t>
        </is>
      </c>
      <c r="L77" s="90" t="inlineStr">
        <is>
          <t>温室气体排放</t>
        </is>
      </c>
    </row>
    <row r="78" ht="18" customHeight="1" s="235">
      <c r="A78" s="90" t="n">
        <v>2016</v>
      </c>
      <c r="B78" s="90" t="inlineStr">
        <is>
          <t>营运船舶单位运输周转量二氧化碳排放</t>
        </is>
      </c>
      <c r="C78" s="90" t="inlineStr">
        <is>
          <t>降低</t>
        </is>
      </c>
      <c r="D78" s="90" t="inlineStr">
        <is>
          <t>7%</t>
        </is>
      </c>
      <c r="E78" s="90" t="n">
        <v>2015</v>
      </c>
      <c r="F78" s="91" t="inlineStr">
        <is>
          <t>2020</t>
        </is>
      </c>
      <c r="G78" s="90" t="inlineStr">
        <is>
          <t>新目标</t>
        </is>
      </c>
      <c r="H78" s="90" t="inlineStr">
        <is>
          <t>碳强度</t>
        </is>
      </c>
      <c r="I78" s="90" t="inlineStr">
        <is>
          <t>行业</t>
        </is>
      </c>
      <c r="J78" s="90" t="inlineStr">
        <is>
          <t>到2020年，中国营运船舶单位运输周转量二氧化碳排放比2015年下降7%。</t>
        </is>
      </c>
      <c r="K78" s="92" t="inlineStr">
        <is>
          <t>FYP1615.htm</t>
        </is>
      </c>
      <c r="L78" s="90" t="inlineStr">
        <is>
          <t>温室气体排放</t>
        </is>
      </c>
    </row>
    <row r="79" ht="18" customHeight="1" s="235">
      <c r="A79" s="90" t="n">
        <v>2016</v>
      </c>
      <c r="B79" s="90" t="inlineStr">
        <is>
          <t>营运货车单位运输周转量二氧化碳排放</t>
        </is>
      </c>
      <c r="C79" s="90" t="inlineStr">
        <is>
          <t>降低</t>
        </is>
      </c>
      <c r="D79" s="90" t="inlineStr">
        <is>
          <t>8%</t>
        </is>
      </c>
      <c r="E79" s="90" t="n">
        <v>2015</v>
      </c>
      <c r="F79" s="91" t="inlineStr">
        <is>
          <t>2020</t>
        </is>
      </c>
      <c r="G79" s="90" t="inlineStr">
        <is>
          <t>新目标</t>
        </is>
      </c>
      <c r="H79" s="90" t="inlineStr">
        <is>
          <t>碳强度</t>
        </is>
      </c>
      <c r="I79" s="90" t="inlineStr">
        <is>
          <t>行业</t>
        </is>
      </c>
      <c r="J79" s="90" t="inlineStr">
        <is>
          <t>到2020年，营运货车单位运输周转量二氧化碳排放比2015年下降8%。</t>
        </is>
      </c>
      <c r="K79" s="92" t="inlineStr">
        <is>
          <t>FYP1615.htm</t>
        </is>
      </c>
      <c r="L79" s="90" t="inlineStr">
        <is>
          <t>温室气体排放</t>
        </is>
      </c>
    </row>
    <row r="80" ht="18" customHeight="1" s="235">
      <c r="A80" s="90" t="n">
        <v>2022</v>
      </c>
      <c r="B80" s="90" t="inlineStr">
        <is>
          <t>营运车辆单位运输周转量二氧化碳排放</t>
        </is>
      </c>
      <c r="C80" s="90" t="inlineStr">
        <is>
          <t>降低</t>
        </is>
      </c>
      <c r="D80" s="90" t="inlineStr">
        <is>
          <t>5%</t>
        </is>
      </c>
      <c r="E80" s="90" t="n">
        <v>2020</v>
      </c>
      <c r="F80" s="91" t="inlineStr">
        <is>
          <t>2025</t>
        </is>
      </c>
      <c r="G80" s="90" t="inlineStr">
        <is>
          <t>新目标</t>
        </is>
      </c>
      <c r="H80" s="90" t="inlineStr">
        <is>
          <t>碳强度</t>
        </is>
      </c>
      <c r="I80" s="90" t="inlineStr">
        <is>
          <t>行业</t>
        </is>
      </c>
      <c r="J80" s="90" t="inlineStr">
        <is>
          <t>到2025年，营运车辆和船舶的单位运输周转量二氧化碳排放量较2020年分别下降5%和3.5%。</t>
        </is>
      </c>
      <c r="K80" s="92" t="inlineStr">
        <is>
          <t>HL2401.pdf</t>
        </is>
      </c>
      <c r="L80" s="90" t="inlineStr">
        <is>
          <t>温室气体排放</t>
        </is>
      </c>
    </row>
    <row r="81" ht="18" customHeight="1" s="235">
      <c r="A81" s="90" t="n">
        <v>2022</v>
      </c>
      <c r="B81" s="90" t="inlineStr">
        <is>
          <t>营运船舶单位运输周转量二氧化碳排放量</t>
        </is>
      </c>
      <c r="C81" s="90" t="inlineStr">
        <is>
          <t>降低</t>
        </is>
      </c>
      <c r="D81" s="90" t="inlineStr">
        <is>
          <t>3.5%</t>
        </is>
      </c>
      <c r="E81" s="90" t="n">
        <v>2020</v>
      </c>
      <c r="F81" s="91" t="inlineStr">
        <is>
          <t>2025</t>
        </is>
      </c>
      <c r="G81" s="90" t="inlineStr">
        <is>
          <t>新目标</t>
        </is>
      </c>
      <c r="H81" s="90" t="inlineStr">
        <is>
          <t>碳强度</t>
        </is>
      </c>
      <c r="I81" s="90" t="inlineStr">
        <is>
          <t>行业</t>
        </is>
      </c>
      <c r="J81" s="90" t="inlineStr">
        <is>
          <t>到2025年，营运车辆和船舶单位运输周转量二氧化碳排放量较2020年分别下降5%和3.5%。</t>
        </is>
      </c>
      <c r="K81" s="92" t="inlineStr">
        <is>
          <t>HL2401.pdf</t>
        </is>
      </c>
      <c r="L81" s="90" t="inlineStr">
        <is>
          <t>温室气体排放</t>
        </is>
      </c>
    </row>
    <row r="82" ht="18" customHeight="1" s="235">
      <c r="A82" s="90" t="n">
        <v>2024</v>
      </c>
      <c r="B82" s="90" t="inlineStr">
        <is>
          <t>交通运输领域单位周转量二氧化碳排放</t>
        </is>
      </c>
      <c r="C82" s="90" t="inlineStr">
        <is>
          <t>降低</t>
        </is>
      </c>
      <c r="D82" s="90" t="inlineStr">
        <is>
          <t>5%</t>
        </is>
      </c>
      <c r="E82" s="90" t="n">
        <v>2020</v>
      </c>
      <c r="F82" s="91" t="inlineStr">
        <is>
          <t>2025</t>
        </is>
      </c>
      <c r="G82" s="90" t="inlineStr">
        <is>
          <t>新目标</t>
        </is>
      </c>
      <c r="H82" s="90" t="inlineStr">
        <is>
          <t>碳强度</t>
        </is>
      </c>
      <c r="I82" s="90" t="inlineStr">
        <is>
          <t>行业</t>
        </is>
      </c>
      <c r="J82" s="90" t="inlineStr">
        <is>
          <t>到2025年底，交通运输领域二氧化碳排放强度较2020年降低5%。</t>
        </is>
      </c>
      <c r="K82" s="92" t="inlineStr">
        <is>
          <t>AP2405.htm</t>
        </is>
      </c>
      <c r="L82" s="90" t="inlineStr">
        <is>
          <t>温室气体排放</t>
        </is>
      </c>
    </row>
    <row r="83" ht="18" customHeight="1" s="235">
      <c r="A83" s="90" t="n">
        <v>2021</v>
      </c>
      <c r="B83" s="90" t="inlineStr">
        <is>
          <t>营运车辆单位运输周转量二氧化碳排放强度</t>
        </is>
      </c>
      <c r="C83" s="90" t="inlineStr">
        <is>
          <t>降低</t>
        </is>
      </c>
      <c r="D83" s="90" t="inlineStr">
        <is>
          <t>约9.5%</t>
        </is>
      </c>
      <c r="E83" s="90" t="n">
        <v>2020</v>
      </c>
      <c r="F83" s="91" t="inlineStr">
        <is>
          <t>2030</t>
        </is>
      </c>
      <c r="G83" s="90" t="inlineStr">
        <is>
          <t>新目标</t>
        </is>
      </c>
      <c r="H83" s="90" t="inlineStr">
        <is>
          <t>碳强度</t>
        </is>
      </c>
      <c r="I83" s="90" t="inlineStr">
        <is>
          <t>不明确</t>
        </is>
      </c>
      <c r="J83" s="90" t="inlineStr">
        <is>
          <t>到2030年，营运车辆单位换算周转量碳排放强度较2020年下降约9.5%。</t>
        </is>
      </c>
      <c r="K83" s="92" t="inlineStr">
        <is>
          <t>HL2102.pdf</t>
        </is>
      </c>
      <c r="L83" s="90" t="inlineStr">
        <is>
          <t>温室气体排放</t>
        </is>
      </c>
    </row>
    <row r="84" ht="18" customHeight="1" s="235">
      <c r="A84" s="97" t="n">
        <v>2021</v>
      </c>
      <c r="B84" s="97" t="inlineStr">
        <is>
          <t>公共交通单位周转量二氧化碳排放强度</t>
        </is>
      </c>
      <c r="C84" s="90" t="inlineStr">
        <is>
          <t>降低</t>
        </is>
      </c>
      <c r="D84" s="97" t="inlineStr">
        <is>
          <t>约9.5%</t>
        </is>
      </c>
      <c r="E84" s="97" t="n">
        <v>2020</v>
      </c>
      <c r="F84" s="98" t="inlineStr">
        <is>
          <t>2030</t>
        </is>
      </c>
      <c r="G84" s="90" t="inlineStr">
        <is>
          <t>新目标</t>
        </is>
      </c>
      <c r="H84" s="90" t="inlineStr">
        <is>
          <t>碳强度</t>
        </is>
      </c>
      <c r="I84" s="97" t="inlineStr">
        <is>
          <t>不明确</t>
        </is>
      </c>
      <c r="J84" s="97" t="inlineStr">
        <is>
          <t>到2030年，公共交通单位周转量二氧化碳排放强度较2020年下降约9.5%。</t>
        </is>
      </c>
      <c r="K84" s="99" t="inlineStr">
        <is>
          <t>HL2302.pdf</t>
        </is>
      </c>
      <c r="L84" s="97" t="inlineStr">
        <is>
          <t>温室气体排放</t>
        </is>
      </c>
    </row>
    <row r="85" ht="18" customHeight="1" s="235">
      <c r="A85" s="90" t="n">
        <v>2016</v>
      </c>
      <c r="B85" s="97" t="inlineStr">
        <is>
          <t>城市客运单位客运量二氧化碳排放</t>
        </is>
      </c>
      <c r="C85" s="90" t="inlineStr">
        <is>
          <t>降低</t>
        </is>
      </c>
      <c r="D85" s="90" t="inlineStr">
        <is>
          <t>12.5%</t>
        </is>
      </c>
      <c r="E85" s="90" t="n">
        <v>2015</v>
      </c>
      <c r="F85" s="91" t="inlineStr">
        <is>
          <t>2020</t>
        </is>
      </c>
      <c r="G85" s="90" t="inlineStr">
        <is>
          <t>新目标</t>
        </is>
      </c>
      <c r="H85" s="90" t="inlineStr">
        <is>
          <t>碳强度</t>
        </is>
      </c>
      <c r="I85" s="97" t="inlineStr">
        <is>
          <t>城市</t>
        </is>
      </c>
      <c r="J85" s="90" t="inlineStr">
        <is>
          <t>到2020年，城市客运单位客运量二氧化碳排放比2015年下降12.5%。</t>
        </is>
      </c>
      <c r="K85" s="92" t="inlineStr">
        <is>
          <t>FYP1615.htm</t>
        </is>
      </c>
      <c r="L85" s="97" t="inlineStr">
        <is>
          <t>温室气体排放</t>
        </is>
      </c>
    </row>
    <row r="86" ht="18" customHeight="1" s="235">
      <c r="A86" s="90" t="n">
        <v>2024</v>
      </c>
      <c r="B86" s="97" t="inlineStr">
        <is>
          <t>建材行业节能降碳改造形成的二氧化碳减排量</t>
        </is>
      </c>
      <c r="C86" s="90" t="inlineStr">
        <is>
          <t>达到</t>
        </is>
      </c>
      <c r="D86" s="90" t="inlineStr">
        <is>
          <t>2600万吨二氧化碳</t>
        </is>
      </c>
      <c r="E86" s="90" t="n"/>
      <c r="F86" s="91" t="inlineStr">
        <is>
          <t>2024-2025</t>
        </is>
      </c>
      <c r="G86" s="90" t="inlineStr">
        <is>
          <t>新目标</t>
        </is>
      </c>
      <c r="H86" s="90" t="inlineStr">
        <is>
          <t>碳减排</t>
        </is>
      </c>
      <c r="I86" s="97" t="inlineStr">
        <is>
          <t>行业</t>
        </is>
      </c>
      <c r="J86" s="90" t="inlineStr">
        <is>
          <t>2024—2025年，建材行业节能降碳改造形成减排二氧化碳约2600万吨。</t>
        </is>
      </c>
      <c r="K86" s="92" t="inlineStr">
        <is>
          <t>AP2405.htm</t>
        </is>
      </c>
      <c r="L86" s="97" t="inlineStr">
        <is>
          <t>温室气体排放</t>
        </is>
      </c>
    </row>
    <row r="87" ht="18" customHeight="1" s="235">
      <c r="A87" s="94" t="n">
        <v>2024</v>
      </c>
      <c r="B87" s="100" t="inlineStr">
        <is>
          <t>水泥行业节能降碳改造形成的二氧化碳减排量</t>
        </is>
      </c>
      <c r="C87" s="94" t="inlineStr">
        <is>
          <t>达到</t>
        </is>
      </c>
      <c r="D87" s="94" t="inlineStr">
        <is>
          <t>约1300万吨</t>
        </is>
      </c>
      <c r="E87" s="94" t="n"/>
      <c r="F87" s="95" t="inlineStr">
        <is>
          <t>2024-2025</t>
        </is>
      </c>
      <c r="G87" s="94" t="inlineStr">
        <is>
          <t>新目标</t>
        </is>
      </c>
      <c r="H87" s="94" t="inlineStr">
        <is>
          <t>碳减排</t>
        </is>
      </c>
      <c r="I87" s="100" t="inlineStr">
        <is>
          <t>行业</t>
        </is>
      </c>
      <c r="J87" s="94" t="inlineStr">
        <is>
          <t>2024—2025年，通过实施水泥行业节能降碳改造和用能设备更新形成节能量约500万吨标准煤、减排二氧化碳约1300万吨。</t>
        </is>
      </c>
      <c r="K87" s="101" t="inlineStr">
        <is>
          <t>AP2412.pdf</t>
        </is>
      </c>
      <c r="L87" s="100" t="inlineStr">
        <is>
          <t>温室气体排放</t>
        </is>
      </c>
    </row>
    <row r="88" ht="18" customHeight="1" s="235">
      <c r="A88" s="90" t="n">
        <v>2024</v>
      </c>
      <c r="B88" s="90" t="inlineStr">
        <is>
          <t>有色金属行业节能降碳改造二氧化碳减排量</t>
        </is>
      </c>
      <c r="C88" s="90" t="inlineStr">
        <is>
          <t>达到</t>
        </is>
      </c>
      <c r="D88" s="90" t="inlineStr">
        <is>
          <t>1300万吨</t>
        </is>
      </c>
      <c r="E88" s="90" t="n"/>
      <c r="F88" s="95" t="inlineStr">
        <is>
          <t>2024-2025</t>
        </is>
      </c>
      <c r="G88" s="90" t="inlineStr">
        <is>
          <t>新目标</t>
        </is>
      </c>
      <c r="H88" s="90" t="inlineStr">
        <is>
          <t>碳减排</t>
        </is>
      </c>
      <c r="I88" s="97" t="inlineStr">
        <is>
          <t>行业</t>
        </is>
      </c>
      <c r="J88" s="90" t="inlineStr">
        <is>
          <t>2024—2025年，有色金属行业节能降碳改造形成减排二氧化碳约1300万吨。</t>
        </is>
      </c>
      <c r="K88" s="92" t="inlineStr">
        <is>
          <t>AP2405.htm</t>
        </is>
      </c>
      <c r="L88" s="90" t="inlineStr">
        <is>
          <t>温室气体排放</t>
        </is>
      </c>
    </row>
    <row r="89" ht="18" customHeight="1" s="235">
      <c r="A89" s="90" t="n">
        <v>2024</v>
      </c>
      <c r="B89" s="90" t="inlineStr">
        <is>
          <t>石化化工行业节能降碳改造形成的二氧化碳减排量</t>
        </is>
      </c>
      <c r="C89" s="90" t="inlineStr">
        <is>
          <t>达到</t>
        </is>
      </c>
      <c r="D89" s="90" t="inlineStr">
        <is>
          <t>1.1亿吨</t>
        </is>
      </c>
      <c r="E89" s="90" t="n"/>
      <c r="F89" s="95" t="inlineStr">
        <is>
          <t>2024-2025</t>
        </is>
      </c>
      <c r="G89" s="90" t="inlineStr">
        <is>
          <t>新目标</t>
        </is>
      </c>
      <c r="H89" s="90" t="inlineStr">
        <is>
          <t>碳减排</t>
        </is>
      </c>
      <c r="I89" s="90" t="inlineStr">
        <is>
          <t>行业</t>
        </is>
      </c>
      <c r="J89" s="90" t="inlineStr">
        <is>
          <t>2024—2025年，石化化工行业节能降碳改造形成减排二氧化碳约1.1亿吨。</t>
        </is>
      </c>
      <c r="K89" s="92" t="inlineStr">
        <is>
          <t>AP2405.htm</t>
        </is>
      </c>
      <c r="L89" s="90" t="inlineStr">
        <is>
          <t>温室气体排放</t>
        </is>
      </c>
    </row>
    <row r="90" ht="18" customHeight="1" s="235">
      <c r="A90" s="90" t="n">
        <v>2024</v>
      </c>
      <c r="B90" s="90" t="inlineStr">
        <is>
          <t>钢铁行业节能降碳改造形成的二氧化碳减排量</t>
        </is>
      </c>
      <c r="C90" s="90" t="inlineStr">
        <is>
          <t>达到</t>
        </is>
      </c>
      <c r="D90" s="90" t="inlineStr">
        <is>
          <t>5300万吨二氧化碳</t>
        </is>
      </c>
      <c r="E90" s="90" t="n"/>
      <c r="F90" s="95" t="inlineStr">
        <is>
          <t>2024-2025</t>
        </is>
      </c>
      <c r="G90" s="90" t="inlineStr">
        <is>
          <t>新目标</t>
        </is>
      </c>
      <c r="H90" s="90" t="inlineStr">
        <is>
          <t>碳减排</t>
        </is>
      </c>
      <c r="I90" s="90" t="inlineStr">
        <is>
          <t>行业</t>
        </is>
      </c>
      <c r="J90" s="90" t="inlineStr">
        <is>
          <t>2024—2025年，钢铁行业节能降碳改造形成节能量约2000万吨标准煤、减排二氧化碳约5300万吨。</t>
        </is>
      </c>
      <c r="K90" s="92" t="inlineStr">
        <is>
          <t>AP2405.htm</t>
        </is>
      </c>
      <c r="L90" s="90" t="inlineStr">
        <is>
          <t>温室气体排放</t>
        </is>
      </c>
    </row>
    <row r="91" ht="18" customHeight="1" s="235">
      <c r="A91" s="90" t="n">
        <v>2013</v>
      </c>
      <c r="B91" s="90" t="inlineStr">
        <is>
          <t>节能型内燃机产品减少二氧化碳排放量</t>
        </is>
      </c>
      <c r="C91" s="90" t="inlineStr">
        <is>
          <t>降低</t>
        </is>
      </c>
      <c r="D91" s="90" t="inlineStr">
        <is>
          <t>6200万吨</t>
        </is>
      </c>
      <c r="E91" s="90" t="n">
        <v>2010</v>
      </c>
      <c r="F91" s="91" t="n">
        <v>2015</v>
      </c>
      <c r="G91" s="90" t="inlineStr">
        <is>
          <t>新目标</t>
        </is>
      </c>
      <c r="H91" s="90" t="inlineStr">
        <is>
          <t>碳减排</t>
        </is>
      </c>
      <c r="I91" s="90" t="inlineStr">
        <is>
          <t>不明确</t>
        </is>
      </c>
      <c r="J91" s="90" t="inlineStr">
        <is>
          <t>到2015年，通过节能型内燃机产品实现减少二氧化碳排放6200万吨。</t>
        </is>
      </c>
      <c r="K91" s="92" t="inlineStr">
        <is>
          <t>O1301.htm</t>
        </is>
      </c>
      <c r="L91" s="90" t="inlineStr">
        <is>
          <t>温室气体排放</t>
        </is>
      </c>
    </row>
    <row r="92" ht="18" customHeight="1" s="235">
      <c r="A92" s="90" t="n">
        <v>2007</v>
      </c>
      <c r="B92" s="90" t="inlineStr">
        <is>
          <t>可再生能源新增装机带来的二氧化碳减排量</t>
        </is>
      </c>
      <c r="C92" s="90" t="inlineStr">
        <is>
          <t>节约</t>
        </is>
      </c>
      <c r="D92" s="90" t="inlineStr">
        <is>
          <t>6亿吨二氧化碳</t>
        </is>
      </c>
      <c r="E92" s="90" t="n"/>
      <c r="F92" s="91" t="inlineStr">
        <is>
          <t>2007-2010</t>
        </is>
      </c>
      <c r="G92" s="90" t="inlineStr">
        <is>
          <t>新目标</t>
        </is>
      </c>
      <c r="H92" s="90" t="inlineStr">
        <is>
          <t>碳减排</t>
        </is>
      </c>
      <c r="I92" s="90" t="inlineStr">
        <is>
          <t>全社会经济</t>
        </is>
      </c>
      <c r="J92" s="90" t="inlineStr">
        <is>
          <t>达到2010年发展目标时，可再生能源年利用量相当于减少二氧化硫年排放量约400万吨，减少氮氧化物年排放量约150万吨，减少烟尘年排放量约200万吨，减少二氧化碳年排放量约6亿吨，年节约用水约15亿立方米，可使约1.5亿亩林地免遭破坏。</t>
        </is>
      </c>
      <c r="K92" s="92" t="inlineStr">
        <is>
          <t>MLT0701.htm</t>
        </is>
      </c>
      <c r="L92" s="90" t="inlineStr">
        <is>
          <t>温室气体排放</t>
        </is>
      </c>
    </row>
    <row r="93" ht="18" customHeight="1" s="235">
      <c r="A93" s="90" t="n">
        <v>2007</v>
      </c>
      <c r="B93" s="90" t="inlineStr">
        <is>
          <t>可再生能源新增量带来的二氧化碳减排量</t>
        </is>
      </c>
      <c r="C93" s="90" t="inlineStr">
        <is>
          <t>节约</t>
        </is>
      </c>
      <c r="D93" s="90" t="inlineStr">
        <is>
          <t>约12亿吨二氧化碳</t>
        </is>
      </c>
      <c r="E93" s="90" t="n"/>
      <c r="F93" s="91" t="inlineStr">
        <is>
          <t>2007-2020</t>
        </is>
      </c>
      <c r="G93" s="90" t="inlineStr">
        <is>
          <t>新目标</t>
        </is>
      </c>
      <c r="H93" s="90" t="inlineStr">
        <is>
          <t>碳减排</t>
        </is>
      </c>
      <c r="I93" s="90" t="inlineStr">
        <is>
          <t>不明确</t>
        </is>
      </c>
      <c r="J93" s="90" t="inlineStr">
        <is>
          <t>到2020年发展目标实现时，可再生能源年利用量相当于减少二氧化硫年排放量约800万吨，减少氮氧化物年排放量约300万吨，减少烟尘年排放量约400万吨，减少二氧化碳年排放量约12亿吨，年节约用水约20亿立方米，可使约3亿亩林地免遭破坏。</t>
        </is>
      </c>
      <c r="K93" s="92" t="inlineStr">
        <is>
          <t>MLT0701.htm</t>
        </is>
      </c>
      <c r="L93" s="90" t="inlineStr">
        <is>
          <t>温室气体排放</t>
        </is>
      </c>
    </row>
    <row r="94" ht="18" customHeight="1" s="235">
      <c r="A94" s="90" t="n">
        <v>2022</v>
      </c>
      <c r="B94" s="90" t="inlineStr">
        <is>
          <t>焦化行业碳排放量</t>
        </is>
      </c>
      <c r="C94" s="90" t="inlineStr">
        <is>
          <t>降低</t>
        </is>
      </c>
      <c r="D94" s="90" t="inlineStr">
        <is>
          <t>30%</t>
        </is>
      </c>
      <c r="E94" s="90" t="n">
        <v>2025</v>
      </c>
      <c r="F94" s="91" t="inlineStr">
        <is>
          <t>2035</t>
        </is>
      </c>
      <c r="G94" s="90" t="inlineStr">
        <is>
          <t>新目标</t>
        </is>
      </c>
      <c r="H94" s="90" t="inlineStr">
        <is>
          <t>碳减排</t>
        </is>
      </c>
      <c r="I94" s="90" t="inlineStr">
        <is>
          <t>行业</t>
        </is>
      </c>
      <c r="J94" s="90" t="inlineStr">
        <is>
          <t>通过采取有效的技术与管理措施，到2035年具备在2025年实现碳达峰基础上减碳30%的能力。</t>
        </is>
      </c>
      <c r="K94" s="92" t="inlineStr">
        <is>
          <t>AP2206.pdf</t>
        </is>
      </c>
      <c r="L94" s="90" t="inlineStr">
        <is>
          <t>温室气体排放</t>
        </is>
      </c>
    </row>
    <row r="95" ht="18" customHeight="1" s="235">
      <c r="A95" s="90" t="n">
        <v>2024</v>
      </c>
      <c r="B95" s="90" t="inlineStr">
        <is>
          <t>公共机构单位建筑面积碳排放</t>
        </is>
      </c>
      <c r="C95" s="90" t="inlineStr">
        <is>
          <t>降低</t>
        </is>
      </c>
      <c r="D95" s="90" t="inlineStr">
        <is>
          <t>7%</t>
        </is>
      </c>
      <c r="E95" s="90" t="n">
        <v>2020</v>
      </c>
      <c r="F95" s="91" t="inlineStr">
        <is>
          <t>2025</t>
        </is>
      </c>
      <c r="G95" s="90" t="inlineStr">
        <is>
          <t>新目标</t>
        </is>
      </c>
      <c r="H95" s="90" t="inlineStr">
        <is>
          <t>碳强度</t>
        </is>
      </c>
      <c r="I95" s="90" t="inlineStr">
        <is>
          <t>公共机构</t>
        </is>
      </c>
      <c r="J95" s="90" t="inlineStr">
        <is>
          <t>到2025年底，公共机构单位建筑面积碳排放较2020年降低7%。</t>
        </is>
      </c>
      <c r="K95" s="92" t="inlineStr">
        <is>
          <t>AP2405.htm</t>
        </is>
      </c>
      <c r="L95" s="90" t="inlineStr">
        <is>
          <t>温室气体排放</t>
        </is>
      </c>
    </row>
    <row r="96" ht="18" customHeight="1" s="235">
      <c r="A96" s="90" t="n">
        <v>2021</v>
      </c>
      <c r="B96" s="90" t="inlineStr">
        <is>
          <t>营运车辆单位运输周转量二氧化碳排放</t>
        </is>
      </c>
      <c r="C96" s="90" t="inlineStr">
        <is>
          <t>降低</t>
        </is>
      </c>
      <c r="D96" s="90" t="inlineStr">
        <is>
          <t>9.5%</t>
        </is>
      </c>
      <c r="E96" s="90" t="n">
        <v>2020</v>
      </c>
      <c r="F96" s="91" t="inlineStr">
        <is>
          <t>2030</t>
        </is>
      </c>
      <c r="G96" s="90" t="inlineStr">
        <is>
          <t>重申目标</t>
        </is>
      </c>
      <c r="H96" s="90" t="inlineStr">
        <is>
          <t>碳强度</t>
        </is>
      </c>
      <c r="I96" s="90" t="inlineStr">
        <is>
          <t>不明确</t>
        </is>
      </c>
      <c r="J96" s="90" t="inlineStr">
        <is>
          <t>到2030年，营运车辆换算周转量碳排放强度较2020年下降约9.5%</t>
        </is>
      </c>
      <c r="K96" s="92" t="inlineStr">
        <is>
          <t>HL2104.pdf</t>
        </is>
      </c>
      <c r="L96" s="90" t="inlineStr">
        <is>
          <t>温室气体排放</t>
        </is>
      </c>
    </row>
    <row r="97" ht="18" customHeight="1" s="235">
      <c r="A97" s="97" t="n">
        <v>2024</v>
      </c>
      <c r="B97" s="90" t="inlineStr">
        <is>
          <t>营运交通工具单位换算周转量碳排放强度</t>
        </is>
      </c>
      <c r="C97" s="90" t="inlineStr">
        <is>
          <t>降低</t>
        </is>
      </c>
      <c r="D97" s="97" t="inlineStr">
        <is>
          <t>约9.5%</t>
        </is>
      </c>
      <c r="E97" s="97" t="n">
        <v>2020</v>
      </c>
      <c r="F97" s="98" t="inlineStr">
        <is>
          <t>2030</t>
        </is>
      </c>
      <c r="G97" s="97" t="inlineStr">
        <is>
          <t>重申目标</t>
        </is>
      </c>
      <c r="H97" s="90" t="inlineStr">
        <is>
          <t>碳强度</t>
        </is>
      </c>
      <c r="I97" s="90" t="inlineStr">
        <is>
          <t>不明确</t>
        </is>
      </c>
      <c r="J97" s="97" t="inlineStr">
        <is>
          <t>到2030年，营运交通工具单位换算周转量碳排放强度比2020年下降9.5%左右。</t>
        </is>
      </c>
      <c r="K97" s="99" t="inlineStr">
        <is>
          <t>O2407.htm</t>
        </is>
      </c>
      <c r="L97" s="97" t="inlineStr">
        <is>
          <t>温室气体排放</t>
        </is>
      </c>
    </row>
    <row r="98" ht="18" customHeight="1" s="235">
      <c r="A98" s="0" t="n">
        <v>2026</v>
      </c>
      <c r="B98" s="0" t="inlineStr">
        <is>
          <t>公共机构单位建筑面积碳排放</t>
        </is>
      </c>
      <c r="C98" s="0" t="inlineStr">
        <is>
          <t>降低</t>
        </is>
      </c>
      <c r="D98" s="0" t="inlineStr">
        <is>
          <t>8.5%</t>
        </is>
      </c>
      <c r="F98" s="0" t="inlineStr">
        <is>
          <t>十五五</t>
        </is>
      </c>
      <c r="G98" s="0" t="inlineStr">
        <is>
          <t>重申目标</t>
        </is>
      </c>
      <c r="H98" s="0" t="inlineStr">
        <is>
          <t>碳强度</t>
        </is>
      </c>
      <c r="I98" s="0" t="inlineStr">
        <is>
          <t>企事业单位</t>
        </is>
      </c>
      <c r="J98" s="0" t="inlineStr">
        <is>
          <t>“十五五”期间，公共机构单位建筑面积能耗降低5%、碳排放降低8.5%。</t>
        </is>
      </c>
      <c r="K98" s="0" t="inlineStr">
        <is>
          <t>HL2604.htm</t>
        </is>
      </c>
      <c r="L98" s="0" t="inlineStr">
        <is>
          <t>温室气体排放</t>
        </is>
      </c>
    </row>
    <row r="99" ht="18" customHeight="1" s="235">
      <c r="A99" s="0" t="n">
        <v>2026</v>
      </c>
      <c r="B99" s="0" t="inlineStr">
        <is>
          <t>公共机构单位建筑面积碳排放</t>
        </is>
      </c>
      <c r="C99" s="0" t="inlineStr">
        <is>
          <t>降低</t>
        </is>
      </c>
      <c r="D99" s="0" t="inlineStr">
        <is>
          <t>8.5%</t>
        </is>
      </c>
      <c r="E99" s="0" t="inlineStr">
        <is>
          <t>2025</t>
        </is>
      </c>
      <c r="F99" s="0" t="n">
        <v>2030</v>
      </c>
      <c r="G99" s="0" t="inlineStr">
        <is>
          <t>新目标</t>
        </is>
      </c>
      <c r="H99" s="0" t="inlineStr">
        <is>
          <t>碳强度</t>
        </is>
      </c>
      <c r="I99" s="0" t="inlineStr">
        <is>
          <t>企事业单位</t>
        </is>
      </c>
      <c r="J99" s="0" t="inlineStr">
        <is>
          <t>以2025年碳排放、能源资源消费为基数，到2030年统计范围内公共机构单位建筑面积碳排放下降8.5%，……</t>
        </is>
      </c>
      <c r="K99" s="0" t="inlineStr">
        <is>
          <t>WOP2601.htm</t>
        </is>
      </c>
      <c r="L99" s="0" t="inlineStr">
        <is>
          <t>温室气体排放</t>
        </is>
      </c>
    </row>
    <row r="100" ht="18" customHeight="1" s="235">
      <c r="A100" s="0" t="n">
        <v>2026</v>
      </c>
      <c r="B100" s="0" t="inlineStr">
        <is>
          <t>全国碳排放权交易市场覆盖行业单位产品碳排放</t>
        </is>
      </c>
      <c r="C100" s="0" t="inlineStr">
        <is>
          <t>降低</t>
        </is>
      </c>
      <c r="D100" s="0" t="inlineStr">
        <is>
          <t>3%左右</t>
        </is>
      </c>
      <c r="F100" s="0" t="inlineStr">
        <is>
          <t>十五五</t>
        </is>
      </c>
      <c r="G100" s="0" t="inlineStr">
        <is>
          <t>新目标</t>
        </is>
      </c>
      <c r="H100" s="0" t="inlineStr">
        <is>
          <t>碳强度</t>
        </is>
      </c>
      <c r="I100" s="0" t="inlineStr">
        <is>
          <t>行业</t>
        </is>
      </c>
      <c r="J100" s="0" t="inlineStr">
        <is>
          <t>“十五五”期间，全国碳排放权交易市场覆盖行业的单位产品碳排放降低3%左右，重点排放单位碳排放配额清缴完成率稳定在较高水平。</t>
        </is>
      </c>
      <c r="K100" s="0" t="inlineStr">
        <is>
          <t>HL2604.htm</t>
        </is>
      </c>
      <c r="L100" s="0" t="inlineStr">
        <is>
          <t>温室气体排放</t>
        </is>
      </c>
    </row>
    <row r="101" ht="18" customHeight="1" s="235">
      <c r="A101" s="90" t="n">
        <v>2019</v>
      </c>
      <c r="B101" s="90" t="inlineStr">
        <is>
          <t>二氟一氯甲烷（HCFC-22）产量/产出</t>
        </is>
      </c>
      <c r="C101" s="90" t="inlineStr">
        <is>
          <t>降低</t>
        </is>
      </c>
      <c r="D101" s="90" t="inlineStr">
        <is>
          <t>35%</t>
        </is>
      </c>
      <c r="E101" s="90" t="n">
        <v>2010</v>
      </c>
      <c r="F101" s="91" t="inlineStr">
        <is>
          <t>2020</t>
        </is>
      </c>
      <c r="G101" s="90" t="inlineStr">
        <is>
          <t>新目标</t>
        </is>
      </c>
      <c r="H101" s="90" t="inlineStr">
        <is>
          <t>碳减排</t>
        </is>
      </c>
      <c r="I101" s="90" t="inlineStr">
        <is>
          <t>全社会经济</t>
        </is>
      </c>
      <c r="J101" s="90" t="inlineStr">
        <is>
          <t>到2020年，将二氟一氯甲烷（HCFC-22）的产出减少35%</t>
        </is>
      </c>
      <c r="K101" s="92" t="inlineStr">
        <is>
          <t>HL1902.pdf</t>
        </is>
      </c>
      <c r="L101" s="97" t="inlineStr">
        <is>
          <t>温室气体排放</t>
        </is>
      </c>
    </row>
    <row r="102" ht="18" customHeight="1" s="235">
      <c r="A102" s="90" t="n">
        <v>2019</v>
      </c>
      <c r="B102" s="90" t="inlineStr">
        <is>
          <t>二氟一氯甲烷（HCFC-22）产量</t>
        </is>
      </c>
      <c r="C102" s="90" t="inlineStr">
        <is>
          <t>降低</t>
        </is>
      </c>
      <c r="D102" s="90" t="inlineStr">
        <is>
          <t>67.5%</t>
        </is>
      </c>
      <c r="E102" s="90" t="n">
        <v>2010</v>
      </c>
      <c r="F102" s="91" t="inlineStr">
        <is>
          <t>2025</t>
        </is>
      </c>
      <c r="G102" s="90" t="inlineStr">
        <is>
          <t>新目标</t>
        </is>
      </c>
      <c r="H102" s="90" t="inlineStr">
        <is>
          <t>碳减排</t>
        </is>
      </c>
      <c r="I102" s="90" t="inlineStr">
        <is>
          <t>全社会经济</t>
        </is>
      </c>
      <c r="J102" s="90" t="inlineStr">
        <is>
          <t>到2025年，将二氟一氯甲烷（HCFC-22）产量削减67.5%</t>
        </is>
      </c>
      <c r="K102" s="92" t="inlineStr">
        <is>
          <t>HL1902.pdf</t>
        </is>
      </c>
      <c r="L102" s="97" t="inlineStr">
        <is>
          <t>温室气体排放</t>
        </is>
      </c>
    </row>
    <row r="103" ht="18" customHeight="1" s="235">
      <c r="A103" s="90" t="n">
        <v>2016</v>
      </c>
      <c r="B103" s="90" t="inlineStr">
        <is>
          <t>工业领域二氧化碳当量排放累计减排量</t>
        </is>
      </c>
      <c r="C103" s="90" t="inlineStr">
        <is>
          <t>实现</t>
        </is>
      </c>
      <c r="D103" s="90" t="inlineStr">
        <is>
          <t>超过11亿吨二氧化碳当量</t>
        </is>
      </c>
      <c r="E103" s="90" t="n"/>
      <c r="F103" s="91" t="inlineStr">
        <is>
          <t>十三五</t>
        </is>
      </c>
      <c r="G103" s="90" t="inlineStr">
        <is>
          <t>新目标</t>
        </is>
      </c>
      <c r="H103" s="90" t="inlineStr">
        <is>
          <t>碳减排</t>
        </is>
      </c>
      <c r="I103" s="90" t="inlineStr">
        <is>
          <t>全社会经济</t>
        </is>
      </c>
      <c r="J103" s="90" t="inlineStr">
        <is>
          <t>“十三五”期间，工业领域二氧化碳当量排放累计减排量超过11亿吨，并逐步减少受控用途的二氟一氯甲烷的生产和使用。</t>
        </is>
      </c>
      <c r="K103" s="92" t="inlineStr">
        <is>
          <t>FYP1615.htm</t>
        </is>
      </c>
      <c r="L103" s="97" t="inlineStr">
        <is>
          <t>温室气体排放</t>
        </is>
      </c>
    </row>
    <row r="104" ht="18" customHeight="1" s="235">
      <c r="A104" s="90" t="n">
        <v>2014</v>
      </c>
      <c r="B104" s="90" t="inlineStr">
        <is>
          <t>通过氢氟碳化物管理、销毁及替代实现的二氧化碳当量排放累计减排量</t>
        </is>
      </c>
      <c r="C104" s="90" t="inlineStr">
        <is>
          <t>实现</t>
        </is>
      </c>
      <c r="D104" s="90" t="inlineStr">
        <is>
          <t>2.8亿吨二氧化碳当量</t>
        </is>
      </c>
      <c r="E104" s="90" t="n"/>
      <c r="F104" s="91" t="inlineStr">
        <is>
          <t>十二五</t>
        </is>
      </c>
      <c r="G104" s="90" t="inlineStr">
        <is>
          <t>新目标</t>
        </is>
      </c>
      <c r="H104" s="90" t="inlineStr">
        <is>
          <t>碳减排</t>
        </is>
      </c>
      <c r="I104" s="90" t="inlineStr">
        <is>
          <t>全社会经济</t>
        </is>
      </c>
      <c r="J104" s="90" t="inlineStr">
        <is>
          <t>“十二五”期间，通过加强氢氟碳化物排放管理，加快其销毁和替代，累计实现2.8亿吨二氧化碳当量减排。</t>
        </is>
      </c>
      <c r="K104" s="92" t="inlineStr">
        <is>
          <t>AP1404.htm</t>
        </is>
      </c>
      <c r="L104" s="97" t="inlineStr">
        <is>
          <t>温室气体排放</t>
        </is>
      </c>
    </row>
    <row r="105" ht="18" customHeight="1" s="235">
      <c r="A105" s="90" t="n">
        <v>2016</v>
      </c>
      <c r="B105" s="90" t="inlineStr">
        <is>
          <t>二氟一氯甲烷（HCFC-22）产量/产出</t>
        </is>
      </c>
      <c r="C105" s="90" t="inlineStr">
        <is>
          <t>降低</t>
        </is>
      </c>
      <c r="D105" s="90" t="inlineStr">
        <is>
          <t>35%</t>
        </is>
      </c>
      <c r="E105" s="90" t="n">
        <v>2010</v>
      </c>
      <c r="F105" s="91" t="inlineStr">
        <is>
          <t>2020</t>
        </is>
      </c>
      <c r="G105" s="90" t="inlineStr">
        <is>
          <t>重申目标</t>
        </is>
      </c>
      <c r="H105" s="90" t="inlineStr">
        <is>
          <t>碳减排</t>
        </is>
      </c>
      <c r="I105" s="90" t="inlineStr">
        <is>
          <t>不明确</t>
        </is>
      </c>
      <c r="J105" s="90" t="inlineStr">
        <is>
          <t>到2020年，二氟一氯甲烷产出在基准线水平（2010年产量）基础上减少35%。</t>
        </is>
      </c>
      <c r="K105" s="92" t="inlineStr">
        <is>
          <t>FYP1615.htm</t>
        </is>
      </c>
      <c r="L105" s="97" t="inlineStr">
        <is>
          <t>温室气体排放</t>
        </is>
      </c>
    </row>
    <row r="106" ht="18" customHeight="1" s="235">
      <c r="A106" s="90" t="n">
        <v>2025</v>
      </c>
      <c r="B106" s="90" t="inlineStr">
        <is>
          <t>全经济范围温室气体净排放量</t>
        </is>
      </c>
      <c r="C106" s="90" t="inlineStr">
        <is>
          <t>降低</t>
        </is>
      </c>
      <c r="D106" s="90" t="inlineStr">
        <is>
          <t>7%-10%</t>
        </is>
      </c>
      <c r="E106" s="90" t="inlineStr">
        <is>
          <t>峰值水平</t>
        </is>
      </c>
      <c r="F106" s="91" t="n">
        <v>2035</v>
      </c>
      <c r="G106" s="91" t="inlineStr">
        <is>
          <t>新目标</t>
        </is>
      </c>
      <c r="H106" s="90" t="inlineStr">
        <is>
          <t>碳减排</t>
        </is>
      </c>
      <c r="I106" s="90" t="inlineStr">
        <is>
          <t>全社会经济</t>
        </is>
      </c>
      <c r="J106" s="90" t="inlineStr">
        <is>
          <t>到2035年，中国将实现全经济范围温室气体净排放量较峰值水平下降7%至10%，并力争取得更好成效。</t>
        </is>
      </c>
      <c r="K106" s="92" t="inlineStr">
        <is>
          <t>PA2501.htm</t>
        </is>
      </c>
      <c r="L106" s="97" t="inlineStr">
        <is>
          <t>温室气体排放</t>
        </is>
      </c>
    </row>
    <row r="107" ht="18" customHeight="1" s="235">
      <c r="A107" s="0" t="n">
        <v>2026</v>
      </c>
      <c r="B107" s="0" t="inlineStr">
        <is>
          <t>全经济范围温室气体净排放量</t>
        </is>
      </c>
      <c r="C107" s="0" t="inlineStr">
        <is>
          <t>下降</t>
        </is>
      </c>
      <c r="D107" s="0" t="inlineStr">
        <is>
          <t>比峰值下降7%—10%</t>
        </is>
      </c>
      <c r="E107" s="0" t="inlineStr">
        <is>
          <t>峰值水平</t>
        </is>
      </c>
      <c r="F107" s="0" t="n">
        <v>2035</v>
      </c>
      <c r="G107" s="0" t="inlineStr">
        <is>
          <t>重申目标</t>
        </is>
      </c>
      <c r="H107" s="0" t="inlineStr">
        <is>
          <t>碳减排</t>
        </is>
      </c>
      <c r="I107" s="0" t="inlineStr">
        <is>
          <t>全社会经济</t>
        </is>
      </c>
      <c r="J107" s="0" t="inlineStr">
        <is>
          <t>……全经济范围温室气体净排放量比峰值下降7%—10%、力争做得更好，……</t>
        </is>
      </c>
      <c r="K107" s="0" t="inlineStr">
        <is>
          <t>FYP2609.htm</t>
        </is>
      </c>
      <c r="L107" s="0" t="inlineStr">
        <is>
          <t>温室气体排放</t>
        </is>
      </c>
    </row>
    <row r="108" ht="18" customHeight="1" s="235">
      <c r="A108" s="90" t="n">
        <v>2007</v>
      </c>
      <c r="B108" s="90" t="inlineStr">
        <is>
          <t>通过发展生物能源实现温室气体减排</t>
        </is>
      </c>
      <c r="C108" s="90" t="inlineStr">
        <is>
          <t>达到</t>
        </is>
      </c>
      <c r="D108" s="90" t="inlineStr">
        <is>
          <t>3000万吨二氧化碳当量</t>
        </is>
      </c>
      <c r="E108" s="90" t="n"/>
      <c r="F108" s="91" t="inlineStr">
        <is>
          <t>2005-2010</t>
        </is>
      </c>
      <c r="G108" s="90" t="inlineStr">
        <is>
          <t>新目标</t>
        </is>
      </c>
      <c r="H108" s="90" t="inlineStr">
        <is>
          <t>碳减排</t>
        </is>
      </c>
      <c r="I108" s="90" t="inlineStr">
        <is>
          <t>不明确</t>
        </is>
      </c>
      <c r="J108" s="90" t="inlineStr">
        <is>
          <t>通过发展生物能源的相关对策，预计到2010年可减少约3000万吨二氧化碳当量的温室气体排放。</t>
        </is>
      </c>
      <c r="K108" s="92" t="inlineStr">
        <is>
          <t>HL0701.pdf</t>
        </is>
      </c>
      <c r="L108" s="97" t="inlineStr">
        <is>
          <t>温室气体排放</t>
        </is>
      </c>
    </row>
    <row r="109" ht="18" customHeight="1" s="235">
      <c r="A109" s="90" t="n">
        <v>2007</v>
      </c>
      <c r="B109" s="90" t="inlineStr">
        <is>
          <t>通过煤层气勘探实现温室气体减排</t>
        </is>
      </c>
      <c r="C109" s="90" t="inlineStr">
        <is>
          <t>达到</t>
        </is>
      </c>
      <c r="D109" s="90" t="inlineStr">
        <is>
          <t>2亿吨二氧化碳当量</t>
        </is>
      </c>
      <c r="E109" s="90" t="n"/>
      <c r="F109" s="91" t="inlineStr">
        <is>
          <t>2005-2010</t>
        </is>
      </c>
      <c r="G109" s="90" t="inlineStr">
        <is>
          <t>新目标</t>
        </is>
      </c>
      <c r="H109" s="90" t="inlineStr">
        <is>
          <t>碳减排</t>
        </is>
      </c>
      <c r="I109" s="90" t="inlineStr">
        <is>
          <t>不明确</t>
        </is>
      </c>
      <c r="J109" s="90" t="inlineStr">
        <is>
          <t>通过煤层气勘探、开发和利用等对策措施，预计到2010年温室气体减排量约为2亿吨二氧化碳当量。</t>
        </is>
      </c>
      <c r="K109" s="92" t="inlineStr">
        <is>
          <t>HL0701.pdf</t>
        </is>
      </c>
      <c r="L109" s="97" t="inlineStr">
        <is>
          <t>温室气体排放</t>
        </is>
      </c>
    </row>
    <row r="110" ht="18" customHeight="1" s="235">
      <c r="A110" s="90" t="n">
        <v>2007</v>
      </c>
      <c r="B110" s="90" t="inlineStr">
        <is>
          <t>通过水电开发实现的温室气体减排量</t>
        </is>
      </c>
      <c r="C110" s="90" t="inlineStr">
        <is>
          <t>达到</t>
        </is>
      </c>
      <c r="D110" s="90" t="inlineStr">
        <is>
          <t>5亿吨二氧化碳</t>
        </is>
      </c>
      <c r="E110" s="90" t="n"/>
      <c r="F110" s="91" t="inlineStr">
        <is>
          <t>2005-2010</t>
        </is>
      </c>
      <c r="G110" s="90" t="inlineStr">
        <is>
          <t>新目标</t>
        </is>
      </c>
      <c r="H110" s="90" t="inlineStr">
        <is>
          <t>碳减排</t>
        </is>
      </c>
      <c r="I110" s="90" t="inlineStr">
        <is>
          <t>不明确</t>
        </is>
      </c>
      <c r="J110" s="90" t="inlineStr">
        <is>
          <t>通过水电开发对策，预计到2010年，温室气体排放量将在2005年基础上减少约5亿吨二氧化碳。</t>
        </is>
      </c>
      <c r="K110" s="92" t="inlineStr">
        <is>
          <t>HL0701.pdf</t>
        </is>
      </c>
      <c r="L110" s="97" t="inlineStr">
        <is>
          <t>温室气体排放</t>
        </is>
      </c>
    </row>
    <row r="111" ht="18" customHeight="1" s="235">
      <c r="A111" s="90" t="n">
        <v>2007</v>
      </c>
      <c r="B111" s="90" t="inlineStr">
        <is>
          <t>通过发展核电实现的温室气体减排量</t>
        </is>
      </c>
      <c r="C111" s="90" t="inlineStr">
        <is>
          <t>达到</t>
        </is>
      </c>
      <c r="D111" s="90" t="inlineStr">
        <is>
          <t>5000万吨二氧化碳</t>
        </is>
      </c>
      <c r="E111" s="90" t="n"/>
      <c r="F111" s="91" t="inlineStr">
        <is>
          <t>2005-2010</t>
        </is>
      </c>
      <c r="G111" s="90" t="inlineStr">
        <is>
          <t>新目标</t>
        </is>
      </c>
      <c r="H111" s="90" t="inlineStr">
        <is>
          <t>碳减排</t>
        </is>
      </c>
      <c r="I111" s="90" t="inlineStr">
        <is>
          <t>不明确</t>
        </is>
      </c>
      <c r="J111" s="90" t="inlineStr">
        <is>
          <t>通过核电发展的应对措施，预计到2010年可减少温室气体排放约5000万吨二氧化碳。</t>
        </is>
      </c>
      <c r="K111" s="92" t="inlineStr">
        <is>
          <t>HL0701.pdf</t>
        </is>
      </c>
      <c r="L111" s="97" t="inlineStr">
        <is>
          <t>温室气体排放</t>
        </is>
      </c>
    </row>
    <row r="112" ht="18" customHeight="1" s="235">
      <c r="A112" s="90" t="n">
        <v>2007</v>
      </c>
      <c r="B112" s="90" t="inlineStr">
        <is>
          <t>通过火电技术进步实现温室气体减排</t>
        </is>
      </c>
      <c r="C112" s="90" t="inlineStr">
        <is>
          <t>达到</t>
        </is>
      </c>
      <c r="D112" s="90" t="inlineStr">
        <is>
          <t>1.1亿吨二氧化碳</t>
        </is>
      </c>
      <c r="E112" s="90" t="n"/>
      <c r="F112" s="91" t="inlineStr">
        <is>
          <t>2005-2010</t>
        </is>
      </c>
      <c r="G112" s="90" t="inlineStr">
        <is>
          <t>新目标</t>
        </is>
      </c>
      <c r="H112" s="90" t="inlineStr">
        <is>
          <t>碳减排</t>
        </is>
      </c>
      <c r="I112" s="90" t="inlineStr">
        <is>
          <t>不明确</t>
        </is>
      </c>
      <c r="J112" s="90" t="inlineStr">
        <is>
          <t>通过火电技术进步等对策，预计到2010年可实现温室气体减排约1.1亿吨二氧化碳。</t>
        </is>
      </c>
      <c r="K112" s="92" t="inlineStr">
        <is>
          <t>HL0701.pdf</t>
        </is>
      </c>
      <c r="L112" s="97" t="inlineStr">
        <is>
          <t>温室气体排放</t>
        </is>
      </c>
    </row>
    <row r="113" ht="18" customHeight="1" s="235">
      <c r="A113" s="90" t="n">
        <v>2007</v>
      </c>
      <c r="B113" s="90" t="inlineStr">
        <is>
          <t>通过利用风能、太阳能、地热能及潮汐能实现的温室气体减排量</t>
        </is>
      </c>
      <c r="C113" s="90" t="inlineStr">
        <is>
          <t>达到</t>
        </is>
      </c>
      <c r="D113" s="90" t="inlineStr">
        <is>
          <t>60 Mt CO2</t>
        </is>
      </c>
      <c r="E113" s="90" t="n"/>
      <c r="F113" s="91" t="inlineStr">
        <is>
          <t>2005-2010</t>
        </is>
      </c>
      <c r="G113" s="90" t="inlineStr">
        <is>
          <t>新目标</t>
        </is>
      </c>
      <c r="H113" s="90" t="inlineStr">
        <is>
          <t>碳减排</t>
        </is>
      </c>
      <c r="I113" s="90" t="inlineStr">
        <is>
          <t>不明确</t>
        </is>
      </c>
      <c r="J113" s="90" t="inlineStr">
        <is>
          <t>通过上述发展利用风能、太阳能、地热能和潮汐能的对策措施，预计到2010年可减少温室气体排放约6000万吨二氧化碳。</t>
        </is>
      </c>
      <c r="K113" s="92" t="inlineStr">
        <is>
          <t>HL0701.pdf</t>
        </is>
      </c>
      <c r="L113" s="97" t="inlineStr">
        <is>
          <t>温室气体排放</t>
        </is>
      </c>
    </row>
    <row r="114" ht="18" customHeight="1" s="235">
      <c r="A114" s="90" t="n">
        <v>2011</v>
      </c>
      <c r="B114" s="90" t="inlineStr">
        <is>
          <t>单位国内生产总值温室气体排放</t>
        </is>
      </c>
      <c r="C114" s="90" t="inlineStr">
        <is>
          <t>降低</t>
        </is>
      </c>
      <c r="D114" s="90" t="inlineStr">
        <is>
          <t>40%-45%</t>
        </is>
      </c>
      <c r="E114" s="90" t="n">
        <v>2005</v>
      </c>
      <c r="F114" s="91" t="n">
        <v>2020</v>
      </c>
      <c r="G114" s="90" t="inlineStr">
        <is>
          <t>重申目标</t>
        </is>
      </c>
      <c r="H114" s="90" t="inlineStr">
        <is>
          <t>碳强度</t>
        </is>
      </c>
      <c r="I114" s="90" t="inlineStr">
        <is>
          <t>全社会经济</t>
        </is>
      </c>
      <c r="J114" s="90" t="inlineStr">
        <is>
          <t>2009年，中国确定了到2020年单位国内生产总值温室气体排放比2005年下降40%–45%的行动目标。</t>
        </is>
      </c>
      <c r="K114" s="92" t="inlineStr">
        <is>
          <t>HL1101.htm</t>
        </is>
      </c>
      <c r="L114" s="97" t="inlineStr">
        <is>
          <t>温室气体排放</t>
        </is>
      </c>
    </row>
    <row r="115" ht="18" customHeight="1" s="235">
      <c r="A115" s="90" t="n">
        <v>2011</v>
      </c>
      <c r="B115" s="90" t="inlineStr">
        <is>
          <t>单位国内生产总值温室气体排放</t>
        </is>
      </c>
      <c r="C115" s="90" t="inlineStr">
        <is>
          <t>降低</t>
        </is>
      </c>
      <c r="D115" s="90" t="inlineStr">
        <is>
          <t>40%-45%</t>
        </is>
      </c>
      <c r="E115" s="90" t="n">
        <v>2005</v>
      </c>
      <c r="F115" s="91" t="n">
        <v>2020</v>
      </c>
      <c r="G115" s="90" t="inlineStr">
        <is>
          <t>重申目标</t>
        </is>
      </c>
      <c r="H115" s="90" t="inlineStr">
        <is>
          <t>碳强度</t>
        </is>
      </c>
      <c r="I115" s="90" t="inlineStr">
        <is>
          <t>全社会经济</t>
        </is>
      </c>
      <c r="J115" s="90" t="inlineStr">
        <is>
          <t>2009年哥本哈根会议召开前，中国政府宣布了到2020年单位国内生产总值温室气体排放比2005年下降40%—45%的行动目标。</t>
        </is>
      </c>
      <c r="K115" s="92" t="inlineStr">
        <is>
          <t>HL1101.htm</t>
        </is>
      </c>
      <c r="L115" s="97" t="inlineStr">
        <is>
          <t>温室气体排放</t>
        </is>
      </c>
    </row>
    <row r="116" ht="18" customHeight="1" s="235">
      <c r="A116" s="90" t="n">
        <v>2011</v>
      </c>
      <c r="B116" s="97" t="inlineStr">
        <is>
          <t>单位国内生产总值温室气体排放</t>
        </is>
      </c>
      <c r="C116" s="97" t="inlineStr">
        <is>
          <t>降低</t>
        </is>
      </c>
      <c r="D116" s="97" t="inlineStr">
        <is>
          <t>40%-45%</t>
        </is>
      </c>
      <c r="E116" s="97" t="n">
        <v>2005</v>
      </c>
      <c r="F116" s="98" t="n">
        <v>2020</v>
      </c>
      <c r="G116" s="97" t="inlineStr">
        <is>
          <t>重申目标</t>
        </is>
      </c>
      <c r="H116" s="90" t="inlineStr">
        <is>
          <t>碳强度</t>
        </is>
      </c>
      <c r="I116" s="97" t="inlineStr">
        <is>
          <t>全社会经济</t>
        </is>
      </c>
      <c r="J116" s="97" t="inlineStr">
        <is>
          <t>2009年哥本哈根会议召开前，中国政府宣布了到2020年单位国内生产总值温室气体排放比2005年下降40%—45%的行动目标，并作为约束性指标纳入国民经济和社会发展中长期规划。</t>
        </is>
      </c>
      <c r="K116" s="99" t="inlineStr">
        <is>
          <t>HL1101.pdf</t>
        </is>
      </c>
      <c r="L116" s="97" t="inlineStr">
        <is>
          <t>温室气体排放</t>
        </is>
      </c>
    </row>
    <row r="117" ht="18" customHeight="1" s="235">
      <c r="A117" s="97" t="n">
        <v>2025</v>
      </c>
      <c r="B117" s="102" t="inlineStr">
        <is>
          <t>含氢氯氟烃（受控用途）消费/使用量（以消耗臭氧潜能值计）</t>
        </is>
      </c>
      <c r="C117" s="103" t="inlineStr">
        <is>
          <t>降低</t>
        </is>
      </c>
      <c r="D117" s="102" t="inlineStr">
        <is>
          <t>73.2%</t>
        </is>
      </c>
      <c r="E117" s="102" t="inlineStr">
        <is>
          <t>18,900吨ODP</t>
        </is>
      </c>
      <c r="F117" s="104" t="n">
        <v>2025</v>
      </c>
      <c r="G117" s="105" t="inlineStr">
        <is>
          <t>新目标</t>
        </is>
      </c>
      <c r="H117" s="90" t="inlineStr">
        <is>
          <t>碳减排</t>
        </is>
      </c>
      <c r="I117" s="97" t="inlineStr">
        <is>
          <t>全社会经济</t>
        </is>
      </c>
      <c r="J117" s="106" t="inlineStr">
        <is>
          <t>具体而言，在含氢氯氟烃受控用途生产量和使用量基线值分别为2.91万吨和1.89万吨消耗臭氧潜能值的基础上，到2025年分别较基线削减67.5%和73.2%，到2030年均较基线削减97.5%，保留2.5%用于满足制冷空调维修等用途需求。</t>
        </is>
      </c>
      <c r="K117" s="107" t="inlineStr">
        <is>
          <t>WOP2501.pdf</t>
        </is>
      </c>
      <c r="L117" s="97" t="inlineStr">
        <is>
          <t>温室气体排放</t>
        </is>
      </c>
    </row>
    <row r="118" ht="18" customHeight="1" s="235">
      <c r="A118" s="97" t="n">
        <v>2025</v>
      </c>
      <c r="B118" s="103" t="inlineStr">
        <is>
          <t>含氢氯氟烃（受控用途）消费量/使用量（以消耗臭氧潜能值计）</t>
        </is>
      </c>
      <c r="C118" s="103" t="inlineStr">
        <is>
          <t>降低</t>
        </is>
      </c>
      <c r="D118" s="103" t="inlineStr">
        <is>
          <t>97.5%</t>
        </is>
      </c>
      <c r="E118" s="103" t="inlineStr">
        <is>
          <t>18,900吨ODP</t>
        </is>
      </c>
      <c r="F118" s="108" t="n">
        <v>2030</v>
      </c>
      <c r="G118" s="109" t="inlineStr">
        <is>
          <t>新目标</t>
        </is>
      </c>
      <c r="H118" s="90" t="inlineStr">
        <is>
          <t>碳减排</t>
        </is>
      </c>
      <c r="I118" s="97" t="inlineStr">
        <is>
          <t>全社会经济</t>
        </is>
      </c>
      <c r="J118" s="110" t="inlineStr">
        <is>
          <t>在含氢氯氟烃受控用途生产量和使用量基线值（分别为2.91万吨和1.89万吨消耗臭氧潜能值）基础上，到2025年分别削减基线值的67.5%和73.2%，到2030年两者均削减基线值的97.5%，保留2.5%用于满足制冷空调维修等用途需求。</t>
        </is>
      </c>
      <c r="K118" s="111" t="inlineStr">
        <is>
          <t>WOP2501.pdf</t>
        </is>
      </c>
      <c r="L118" s="97" t="inlineStr">
        <is>
          <t>温室气体排放</t>
        </is>
      </c>
    </row>
    <row r="119" ht="18" customHeight="1" s="235">
      <c r="A119" s="97" t="n">
        <v>2025</v>
      </c>
      <c r="B119" s="103" t="inlineStr">
        <is>
          <t>氢氟碳化物（受控用途）生产量（以消耗臭氧潜能值计）</t>
        </is>
      </c>
      <c r="C119" s="103" t="inlineStr">
        <is>
          <t>降低</t>
        </is>
      </c>
      <c r="D119" s="103" t="inlineStr">
        <is>
          <t>67.5%</t>
        </is>
      </c>
      <c r="E119" s="103" t="inlineStr">
        <is>
          <t>29,100吨ODP</t>
        </is>
      </c>
      <c r="F119" s="108" t="n">
        <v>2025</v>
      </c>
      <c r="G119" s="109" t="inlineStr">
        <is>
          <t>新目标</t>
        </is>
      </c>
      <c r="H119" s="90" t="inlineStr">
        <is>
          <t>碳减排</t>
        </is>
      </c>
      <c r="I119" s="97" t="inlineStr">
        <is>
          <t>全社会经济</t>
        </is>
      </c>
      <c r="J119" s="110" t="inlineStr">
        <is>
          <t>具体而言，在受控用途氢氟碳化物生产量和消费量基线值分别为2.91万吨和1.89万吨消耗臭氧潜能值的基础上，到2025年分别较基线值削减67.5%和73.2%，到2030年分别较基线值削减97.5%，保留2.5%用于满足制冷空调维修等用途的需求。</t>
        </is>
      </c>
      <c r="K119" s="111" t="inlineStr">
        <is>
          <t>WOP2501.pdf</t>
        </is>
      </c>
      <c r="L119" s="97" t="inlineStr">
        <is>
          <t>温室气体排放</t>
        </is>
      </c>
    </row>
    <row r="120" ht="18" customHeight="1" s="235">
      <c r="A120" s="97" t="n">
        <v>2025</v>
      </c>
      <c r="B120" s="103" t="inlineStr">
        <is>
          <t>含氢氯氟烃（受控用途）生产量（以消耗臭氧潜能值计）</t>
        </is>
      </c>
      <c r="C120" s="103" t="inlineStr">
        <is>
          <t>降低</t>
        </is>
      </c>
      <c r="D120" s="103" t="inlineStr">
        <is>
          <t>97.5%</t>
        </is>
      </c>
      <c r="E120" s="103" t="inlineStr">
        <is>
          <t>29,100吨ODP</t>
        </is>
      </c>
      <c r="F120" s="108" t="n">
        <v>2030</v>
      </c>
      <c r="G120" s="109" t="inlineStr">
        <is>
          <t>新目标</t>
        </is>
      </c>
      <c r="H120" s="90" t="inlineStr">
        <is>
          <t>碳减排</t>
        </is>
      </c>
      <c r="I120" s="97" t="inlineStr">
        <is>
          <t>全社会经济</t>
        </is>
      </c>
      <c r="J120" s="110" t="inlineStr">
        <is>
          <t>具体而言，在含氢氯氟烃受控用途生产量基线值2.91万吨消耗臭氧潜能值和使用量基线值1.89万吨消耗臭氧潜能值基础上，2025年分别削减基线值的67.5%和73.2%，2030年均削减基线值的97.5%，保留2.5%用于满足制冷空调维修等用途的需求。</t>
        </is>
      </c>
      <c r="K120" s="111" t="inlineStr">
        <is>
          <t>WOP2501.pdf</t>
        </is>
      </c>
      <c r="L120" s="97" t="inlineStr">
        <is>
          <t>温室气体排放</t>
        </is>
      </c>
    </row>
    <row r="121" ht="18" customHeight="1" s="235">
      <c r="A121" s="97" t="n">
        <v>2025</v>
      </c>
      <c r="B121" s="103" t="inlineStr">
        <is>
          <t>氢氟碳化物（受控用途）消费量/使用量（二氧化碳当量）</t>
        </is>
      </c>
      <c r="C121" s="103" t="inlineStr">
        <is>
          <t>降低</t>
        </is>
      </c>
      <c r="D121" s="103" t="inlineStr">
        <is>
          <t>10%</t>
        </is>
      </c>
      <c r="E121" s="103" t="inlineStr">
        <is>
          <t>9.05亿吨二氧化碳当量</t>
        </is>
      </c>
      <c r="F121" s="108" t="n">
        <v>2029</v>
      </c>
      <c r="G121" s="109" t="inlineStr">
        <is>
          <t>新目标</t>
        </is>
      </c>
      <c r="H121" s="90" t="inlineStr">
        <is>
          <t>碳减排</t>
        </is>
      </c>
      <c r="I121" s="97" t="inlineStr">
        <is>
          <t>全社会经济</t>
        </is>
      </c>
      <c r="J121" s="110" t="inlineStr">
        <is>
          <t>在氢氟碳化物受控用途生产量和使用量基线值18.53亿吨和9.05亿吨二氧化碳当量的基础上，2029年两者均较基线值削减10%。</t>
        </is>
      </c>
      <c r="K121" s="111" t="inlineStr">
        <is>
          <t>WOP2501.pdf</t>
        </is>
      </c>
      <c r="L121" s="97" t="inlineStr">
        <is>
          <t>温室气体排放</t>
        </is>
      </c>
    </row>
    <row r="122" ht="18" customHeight="1" s="235">
      <c r="A122" s="97" t="n">
        <v>2025</v>
      </c>
      <c r="B122" s="103" t="inlineStr">
        <is>
          <t>氢氟碳化物（受控用途）生产量（二氧化碳当量）</t>
        </is>
      </c>
      <c r="C122" s="103" t="inlineStr">
        <is>
          <t>降低</t>
        </is>
      </c>
      <c r="D122" s="103" t="inlineStr">
        <is>
          <t>10%</t>
        </is>
      </c>
      <c r="E122" s="103" t="inlineStr">
        <is>
          <t>18.53亿吨二氧化碳当量</t>
        </is>
      </c>
      <c r="F122" s="108" t="n">
        <v>2029</v>
      </c>
      <c r="G122" s="109" t="inlineStr">
        <is>
          <t>新目标</t>
        </is>
      </c>
      <c r="H122" s="90" t="inlineStr">
        <is>
          <t>碳减排</t>
        </is>
      </c>
      <c r="I122" s="97" t="inlineStr">
        <is>
          <t>全社会经济</t>
        </is>
      </c>
      <c r="J122" s="110" t="inlineStr">
        <is>
          <t>在氢氟碳化物受控用途生产量和使用量基线值分别为18.53亿吨和9.05亿吨二氧化碳当量的基础上，到2029年，两者均较基线值削减10%。</t>
        </is>
      </c>
      <c r="K122" s="111" t="inlineStr">
        <is>
          <t>WOP2501.pdf</t>
        </is>
      </c>
      <c r="L122" s="97" t="inlineStr">
        <is>
          <t>温室气体排放</t>
        </is>
      </c>
    </row>
    <row r="123" ht="18" customHeight="1" s="235">
      <c r="A123" s="97" t="n">
        <v>2026</v>
      </c>
      <c r="B123" s="103" t="inlineStr">
        <is>
          <t>非二氧化碳温室气体减排能力</t>
        </is>
      </c>
      <c r="C123" s="103" t="inlineStr">
        <is>
          <t>形成</t>
        </is>
      </c>
      <c r="D123" s="103" t="inlineStr">
        <is>
          <t>3000万吨二氧化碳当量</t>
        </is>
      </c>
      <c r="E123" s="103" t="n"/>
      <c r="F123" s="108" t="inlineStr">
        <is>
          <t>十五五</t>
        </is>
      </c>
      <c r="G123" s="109" t="inlineStr">
        <is>
          <t>新目标</t>
        </is>
      </c>
      <c r="H123" s="90" t="inlineStr">
        <is>
          <t>碳减排</t>
        </is>
      </c>
      <c r="I123" s="97" t="inlineStr">
        <is>
          <t>全社会经济</t>
        </is>
      </c>
      <c r="J123" s="110" t="inlineStr">
        <is>
          <t>在煤矿开采、种植养殖、废物处理、化工品生产等领域实施甲烷、氧化亚氮、氢氟碳化物等非二氧化碳温室气体治理工程，推动形成3000万吨二氧化碳当量减排能力。</t>
        </is>
      </c>
      <c r="K123" s="111" t="inlineStr">
        <is>
          <t>HL2601.pdf</t>
        </is>
      </c>
      <c r="L123" s="97" t="inlineStr">
        <is>
          <t>温室气体排放</t>
        </is>
      </c>
    </row>
    <row r="124" ht="18" customHeight="1" s="235">
      <c r="A124" s="0" t="n">
        <v>2026</v>
      </c>
      <c r="B124" s="0" t="inlineStr">
        <is>
          <t>非二氧化碳温室气体减排能力</t>
        </is>
      </c>
      <c r="C124" s="0" t="inlineStr">
        <is>
          <t>形成</t>
        </is>
      </c>
      <c r="D124" s="0" t="inlineStr">
        <is>
          <t>3000万吨二氧化碳当量</t>
        </is>
      </c>
      <c r="F124" s="0" t="inlineStr">
        <is>
          <t>十五五</t>
        </is>
      </c>
      <c r="G124" s="0" t="inlineStr">
        <is>
          <t>重申目标</t>
        </is>
      </c>
      <c r="H124" s="0" t="inlineStr">
        <is>
          <t>碳减排</t>
        </is>
      </c>
      <c r="I124" s="0" t="inlineStr">
        <is>
          <t>全社会经济</t>
        </is>
      </c>
      <c r="J124" s="0" t="inlineStr">
        <is>
          <t>……加强非二氧化碳温室气体监测管控，形成 3000 万吨二氧化碳当量减排能力。</t>
        </is>
      </c>
      <c r="K124" s="0" t="inlineStr">
        <is>
          <t>HL2603.pdf</t>
        </is>
      </c>
      <c r="L124" s="0" t="inlineStr">
        <is>
          <t>温室气体排放</t>
        </is>
      </c>
    </row>
    <row r="125" ht="18" customHeight="1" s="235">
      <c r="A125" s="0" t="n">
        <v>2026</v>
      </c>
      <c r="B125" s="0" t="inlineStr">
        <is>
          <t>改造后度电碳排放降低幅度</t>
        </is>
      </c>
      <c r="C125" s="0" t="inlineStr">
        <is>
          <t>降低</t>
        </is>
      </c>
      <c r="D125" s="0" t="inlineStr">
        <is>
          <t>10%左右</t>
        </is>
      </c>
      <c r="F125" s="0" t="n">
        <v>2028</v>
      </c>
      <c r="G125" s="0" t="inlineStr">
        <is>
          <t>新目标</t>
        </is>
      </c>
      <c r="H125" s="0" t="inlineStr">
        <is>
          <t>碳强度</t>
        </is>
      </c>
      <c r="I125" s="0" t="inlineStr">
        <is>
          <t>企事业单位</t>
        </is>
      </c>
      <c r="J125" s="0" t="inlineStr">
        <is>
          <t>支持对具备条件的机组实施零碳低碳燃料掺烧和碳捕集利用与封存（CCUS）改造建设，改造建设后度电碳排放水平应降低10%左右。</t>
        </is>
      </c>
      <c r="K125" s="0" t="inlineStr">
        <is>
          <t>AP2608.htm</t>
        </is>
      </c>
      <c r="L125" s="0" t="inlineStr">
        <is>
          <t>温室气体排放</t>
        </is>
      </c>
    </row>
    <row r="126" ht="18" customHeight="1" s="235">
      <c r="A126" s="0" t="n">
        <v>2026</v>
      </c>
      <c r="B126" s="0" t="inlineStr">
        <is>
          <t>改造后度电碳排放降低幅度</t>
        </is>
      </c>
      <c r="C126" s="0" t="inlineStr">
        <is>
          <t>降低</t>
        </is>
      </c>
      <c r="D126" s="0" t="inlineStr">
        <is>
          <t>10%—20%（力争20%以上）</t>
        </is>
      </c>
      <c r="F126" s="0" t="n">
        <v>2028</v>
      </c>
      <c r="G126" s="0" t="inlineStr">
        <is>
          <t>新目标</t>
        </is>
      </c>
      <c r="H126" s="0" t="inlineStr">
        <is>
          <t>碳强度</t>
        </is>
      </c>
      <c r="I126" s="0" t="inlineStr">
        <is>
          <t>企事业单位</t>
        </is>
      </c>
      <c r="J126" s="0" t="inlineStr">
        <is>
          <t>推动具备条件的 30 万千瓦以上现役煤电机组……实施低碳化改造，改造后度电碳排放降低 10%—20%，力争降低 20%以上。</t>
        </is>
      </c>
      <c r="K126" s="0" t="inlineStr">
        <is>
          <t>AP2607.htm</t>
        </is>
      </c>
      <c r="L126" s="0" t="inlineStr">
        <is>
          <t>温室气体排放</t>
        </is>
      </c>
    </row>
    <row r="127" ht="18" customHeight="1" s="235">
      <c r="A127" s="0" t="n">
        <v>2026</v>
      </c>
      <c r="B127" s="0" t="inlineStr">
        <is>
          <t>公共机构碳排放总量</t>
        </is>
      </c>
      <c r="C127" s="0" t="inlineStr">
        <is>
          <t>达峰</t>
        </is>
      </c>
      <c r="D127" s="0" t="inlineStr">
        <is>
          <t>2030年前尽早达峰</t>
        </is>
      </c>
      <c r="F127" s="0" t="n">
        <v>2030</v>
      </c>
      <c r="G127" s="0" t="inlineStr">
        <is>
          <t>新目标</t>
        </is>
      </c>
      <c r="H127" s="0" t="inlineStr">
        <is>
          <t>碳减排</t>
        </is>
      </c>
      <c r="I127" s="0" t="inlineStr">
        <is>
          <t>企事业单位</t>
        </is>
      </c>
      <c r="J127" s="0" t="inlineStr">
        <is>
          <t>……公共机构碳排放总量2030年前尽早达峰。</t>
        </is>
      </c>
      <c r="K127" s="0" t="inlineStr">
        <is>
          <t>WOP2601.htm</t>
        </is>
      </c>
      <c r="L127" s="0" t="inlineStr">
        <is>
          <t>温室气体排放</t>
        </is>
      </c>
    </row>
    <row r="128" ht="18" customHeight="1" s="235">
      <c r="A128" s="97" t="n">
        <v>2019</v>
      </c>
      <c r="B128" s="97" t="inlineStr">
        <is>
          <t>三氟甲烷（HFC-23）排放量</t>
        </is>
      </c>
      <c r="C128" s="90" t="inlineStr">
        <is>
          <t>有效控制</t>
        </is>
      </c>
      <c r="D128" s="90" t="inlineStr">
        <is>
          <t>有效控制三氟甲烷（HFC-23）排放</t>
        </is>
      </c>
      <c r="E128" s="97" t="n"/>
      <c r="F128" s="98" t="inlineStr">
        <is>
          <t>2020</t>
        </is>
      </c>
      <c r="G128" s="97" t="inlineStr">
        <is>
          <t>新目标</t>
        </is>
      </c>
      <c r="H128" s="90" t="inlineStr">
        <is>
          <t>碳减排</t>
        </is>
      </c>
      <c r="I128" s="97" t="inlineStr">
        <is>
          <t>不明确</t>
        </is>
      </c>
      <c r="J128" s="97" t="inlineStr">
        <is>
          <t>到2020年，有效控制三氟甲烷（HFC-23）排放</t>
        </is>
      </c>
      <c r="K128" s="92" t="inlineStr">
        <is>
          <t>HL1902.pdf</t>
        </is>
      </c>
      <c r="L128" s="97" t="inlineStr">
        <is>
          <t>温室气体排放</t>
        </is>
      </c>
    </row>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row r="203" ht="18" customHeight="1" s="235"/>
    <row r="204" ht="18" customHeight="1" s="235"/>
    <row r="205" ht="18" customHeight="1" s="235"/>
    <row r="206" ht="18" customHeight="1" s="235"/>
    <row r="207" ht="18" customHeight="1" s="235"/>
    <row r="208" ht="18" customHeight="1" s="235"/>
    <row r="209" ht="18" customHeight="1" s="235"/>
    <row r="210" ht="18" customHeight="1" s="235"/>
    <row r="211" ht="18" customHeight="1" s="235"/>
    <row r="212" ht="18" customHeight="1" s="235"/>
    <row r="213"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Q564"/>
  <sheetViews>
    <sheetView zoomScale="75" zoomScaleNormal="75" workbookViewId="0">
      <pane ySplit="1" topLeftCell="A2" activePane="bottomLeft" state="frozen"/>
      <selection activeCell="K400" sqref="K400"/>
      <selection pane="bottomLeft" activeCell="B188" sqref="B188"/>
    </sheetView>
  </sheetViews>
  <sheetFormatPr baseColWidth="8" defaultColWidth="14" defaultRowHeight="13"/>
  <cols>
    <col width="9.59765625" customWidth="1" style="235" min="1" max="1"/>
    <col width="110" customWidth="1" style="235" min="2" max="2"/>
    <col width="12" customWidth="1" style="235" min="3" max="3"/>
    <col width="23" customWidth="1" style="235" min="4" max="4"/>
    <col width="11" customWidth="1" style="235" min="5" max="5"/>
    <col width="23.8984375" customWidth="1" style="112" min="6" max="6"/>
    <col width="9" customWidth="1" style="235" min="7" max="7"/>
    <col width="24" customWidth="1" style="235" min="8" max="9"/>
    <col width="118" customWidth="1" style="235" min="10" max="10"/>
    <col width="13" customWidth="1" style="235" min="11" max="11"/>
    <col width="14.296875" customWidth="1" style="235" min="12" max="12"/>
    <col width="22" customWidth="1" style="235" min="13" max="13"/>
    <col width="17" customWidth="1" style="235" min="14" max="14"/>
    <col width="8" customWidth="1" style="235" min="15" max="15"/>
    <col width="14" customWidth="1" style="235" min="16" max="16"/>
    <col width="17" customWidth="1" style="235" min="17" max="18"/>
    <col width="10" customWidth="1" style="235" min="19"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c r="M1" s="89" t="inlineStr">
        <is>
          <t>子主题标签</t>
        </is>
      </c>
    </row>
    <row r="2" ht="18" customHeight="1" s="235">
      <c r="A2" s="113" t="n">
        <v>2018</v>
      </c>
      <c r="B2" s="113" t="inlineStr">
        <is>
          <t>“三北”地区可再生能源跨区消纳</t>
        </is>
      </c>
      <c r="C2" s="113" t="inlineStr">
        <is>
          <t>实现</t>
        </is>
      </c>
      <c r="D2" s="113" t="inlineStr">
        <is>
          <t>4000万千瓦以上</t>
        </is>
      </c>
      <c r="E2" s="113" t="n"/>
      <c r="F2" s="114" t="inlineStr">
        <is>
          <t>十三五</t>
        </is>
      </c>
      <c r="G2" s="113" t="inlineStr">
        <is>
          <t>新目标</t>
        </is>
      </c>
      <c r="H2" s="113" t="inlineStr">
        <is>
          <t>可再生能源</t>
        </is>
      </c>
      <c r="I2" s="113" t="inlineStr">
        <is>
          <t>不明确</t>
        </is>
      </c>
      <c r="J2" s="113" t="inlineStr">
        <is>
          <t>调整和放缓配套火电建设的跨区输电通道，富余容量优先安排新能源外送，力争“十三五”期间，“三北地区”可再生能源跨区消纳4000万千瓦以上。</t>
        </is>
      </c>
      <c r="K2" s="113" t="inlineStr">
        <is>
          <t>GO1801.htm</t>
        </is>
      </c>
      <c r="L2" s="113" t="inlineStr">
        <is>
          <t>能源|电力</t>
        </is>
      </c>
      <c r="M2" s="113" t="inlineStr">
        <is>
          <t>能源消费</t>
        </is>
      </c>
    </row>
    <row r="3" ht="18" customHeight="1" s="235">
      <c r="A3" s="113" t="n">
        <v>2016</v>
      </c>
      <c r="B3" s="113" t="inlineStr">
        <is>
          <t>“三北”地区煤电机组灵活性改造</t>
        </is>
      </c>
      <c r="C3" s="113" t="inlineStr">
        <is>
          <t>达到</t>
        </is>
      </c>
      <c r="D3" s="113" t="inlineStr">
        <is>
          <t>约1.33亿千瓦</t>
        </is>
      </c>
      <c r="E3" s="113" t="n"/>
      <c r="F3" s="114" t="inlineStr">
        <is>
          <t>十三五</t>
        </is>
      </c>
      <c r="G3" s="113" t="inlineStr">
        <is>
          <t>新目标</t>
        </is>
      </c>
      <c r="H3" s="113" t="inlineStr">
        <is>
          <t>涉煤</t>
        </is>
      </c>
      <c r="I3" s="113" t="inlineStr">
        <is>
          <t>地区</t>
        </is>
      </c>
      <c r="J3" s="113" t="inlineStr">
        <is>
          <t>“十三五”期间，“三北”地区热电机组灵活性改造约1.33亿千瓦。</t>
        </is>
      </c>
      <c r="K3" s="113" t="inlineStr">
        <is>
          <t>FYP1607.pdf</t>
        </is>
      </c>
      <c r="L3" s="113" t="inlineStr">
        <is>
          <t>能源|电力</t>
        </is>
      </c>
      <c r="M3" s="113" t="inlineStr">
        <is>
          <t>煤电</t>
        </is>
      </c>
    </row>
    <row r="4" ht="18" customHeight="1" s="235">
      <c r="A4" s="113" t="n">
        <v>2013</v>
      </c>
      <c r="B4" s="113" t="inlineStr">
        <is>
          <t>330千伏及以上输电线路建设规模</t>
        </is>
      </c>
      <c r="C4" s="113" t="inlineStr">
        <is>
          <t>达到</t>
        </is>
      </c>
      <c r="D4" s="113" t="inlineStr">
        <is>
          <t>20万公里</t>
        </is>
      </c>
      <c r="E4" s="113" t="n"/>
      <c r="F4" s="114" t="inlineStr">
        <is>
          <t>2015</t>
        </is>
      </c>
      <c r="G4" s="113" t="inlineStr">
        <is>
          <t>新目标</t>
        </is>
      </c>
      <c r="H4" s="113" t="inlineStr">
        <is>
          <t>可再生能源</t>
        </is>
      </c>
      <c r="I4" s="113" t="inlineStr">
        <is>
          <t>不明确</t>
        </is>
      </c>
      <c r="J4" s="113" t="inlineStr">
        <is>
          <t>到2015年，建成330千伏及以上输电线路20万公里。</t>
        </is>
      </c>
      <c r="K4" s="113" t="inlineStr">
        <is>
          <t>FYP1302.htm</t>
        </is>
      </c>
      <c r="L4" s="113" t="inlineStr">
        <is>
          <t>能源|电力</t>
        </is>
      </c>
      <c r="M4" s="113" t="inlineStr">
        <is>
          <t>电力传输/能源运输</t>
        </is>
      </c>
    </row>
    <row r="5" ht="18" customHeight="1" s="235">
      <c r="A5" s="113" t="n">
        <v>2023</v>
      </c>
      <c r="B5" s="113" t="inlineStr">
        <is>
          <t>PM2.5未达标城市每小时10蒸吨及以下燃煤锅炉</t>
        </is>
      </c>
      <c r="C5" s="113" t="inlineStr">
        <is>
          <t>基本淘汰</t>
        </is>
      </c>
      <c r="D5" s="113" t="inlineStr">
        <is>
          <t>基本淘汰</t>
        </is>
      </c>
      <c r="E5" s="113" t="n"/>
      <c r="F5" s="114" t="inlineStr">
        <is>
          <t>2025</t>
        </is>
      </c>
      <c r="G5" s="113" t="inlineStr">
        <is>
          <t>新目标</t>
        </is>
      </c>
      <c r="H5" s="113" t="inlineStr">
        <is>
          <t>涉煤</t>
        </is>
      </c>
      <c r="I5" s="113" t="inlineStr">
        <is>
          <t>行业</t>
        </is>
      </c>
      <c r="J5" s="113" t="inlineStr">
        <is>
          <t>到2025年，PM2.5未达标城市基本淘汰10蒸吨/小时及以下燃煤锅炉。</t>
        </is>
      </c>
      <c r="K5" s="113" t="inlineStr">
        <is>
          <t>AP2304.htm</t>
        </is>
      </c>
      <c r="L5" s="113" t="inlineStr">
        <is>
          <t>能源|电力</t>
        </is>
      </c>
      <c r="M5" s="113" t="inlineStr">
        <is>
          <t>煤电</t>
        </is>
      </c>
    </row>
    <row r="6" ht="18" customHeight="1" s="235">
      <c r="A6" s="113" t="n">
        <v>2014</v>
      </c>
      <c r="B6" s="113" t="inlineStr">
        <is>
          <t>一次能源消费中煤炭占比</t>
        </is>
      </c>
      <c r="C6" s="113" t="inlineStr">
        <is>
          <t>降低</t>
        </is>
      </c>
      <c r="D6" s="113" t="inlineStr">
        <is>
          <t>62%</t>
        </is>
      </c>
      <c r="E6" s="113" t="n"/>
      <c r="F6" s="114" t="inlineStr">
        <is>
          <t>2020</t>
        </is>
      </c>
      <c r="G6" s="113" t="inlineStr">
        <is>
          <t>重申目标</t>
        </is>
      </c>
      <c r="H6" s="113" t="inlineStr">
        <is>
          <t>涉煤</t>
        </is>
      </c>
      <c r="I6" s="113" t="inlineStr">
        <is>
          <t>全社会经济</t>
        </is>
      </c>
      <c r="J6" s="113" t="inlineStr">
        <is>
          <t>到2020年，全国煤炭消费比重降至62%以内。</t>
        </is>
      </c>
      <c r="K6" s="113" t="inlineStr">
        <is>
          <t>AP1401.htm</t>
        </is>
      </c>
      <c r="L6" s="113" t="inlineStr">
        <is>
          <t>能源|电力</t>
        </is>
      </c>
      <c r="M6" s="113" t="inlineStr">
        <is>
          <t>能源消费</t>
        </is>
      </c>
    </row>
    <row r="7" ht="18" customHeight="1" s="235">
      <c r="A7" s="113" t="n">
        <v>2013</v>
      </c>
      <c r="B7" s="113" t="inlineStr">
        <is>
          <t>一次能源消费总量</t>
        </is>
      </c>
      <c r="C7" s="113" t="inlineStr">
        <is>
          <t>达到</t>
        </is>
      </c>
      <c r="D7" s="113" t="inlineStr">
        <is>
          <t>40亿吨标准煤</t>
        </is>
      </c>
      <c r="E7" s="113" t="n"/>
      <c r="F7" s="114" t="inlineStr">
        <is>
          <t>2015</t>
        </is>
      </c>
      <c r="G7" s="113" t="inlineStr">
        <is>
          <t>新目标</t>
        </is>
      </c>
      <c r="H7" s="113" t="inlineStr">
        <is>
          <t>能源效率</t>
        </is>
      </c>
      <c r="I7" s="113" t="inlineStr">
        <is>
          <t>全社会经济</t>
        </is>
      </c>
      <c r="J7" s="113" t="inlineStr">
        <is>
          <t>到2015年，全国能源消费总量控制在40亿吨标准煤左右。</t>
        </is>
      </c>
      <c r="K7" s="113" t="inlineStr">
        <is>
          <t>FYP1302.htm</t>
        </is>
      </c>
      <c r="L7" s="113" t="inlineStr">
        <is>
          <t>能源|电力</t>
        </is>
      </c>
      <c r="M7" s="113" t="inlineStr">
        <is>
          <t>能源消费</t>
        </is>
      </c>
    </row>
    <row r="8" ht="18" customHeight="1" s="235">
      <c r="A8" s="113" t="n">
        <v>2018</v>
      </c>
      <c r="B8" s="113" t="inlineStr">
        <is>
          <t>上海市、江苏省、浙江省、安徽省及汾渭平原地区煤炭消费总量</t>
        </is>
      </c>
      <c r="C8" s="113" t="inlineStr">
        <is>
          <t>降低</t>
        </is>
      </c>
      <c r="D8" s="113" t="inlineStr">
        <is>
          <t>比2015年下降5%左右</t>
        </is>
      </c>
      <c r="E8" s="113" t="n">
        <v>2015</v>
      </c>
      <c r="F8" s="114" t="inlineStr">
        <is>
          <t>2020</t>
        </is>
      </c>
      <c r="G8" s="113" t="inlineStr">
        <is>
          <t>新目标</t>
        </is>
      </c>
      <c r="H8" s="113" t="inlineStr">
        <is>
          <t>涉煤</t>
        </is>
      </c>
      <c r="I8" s="113" t="inlineStr">
        <is>
          <t>地区</t>
        </is>
      </c>
      <c r="J8" s="113" t="inlineStr">
        <is>
          <t>到2020年，上海、江苏、浙江、安徽及汾渭平原煤炭消费总量均下降5%左右</t>
        </is>
      </c>
      <c r="K8" s="113" t="inlineStr">
        <is>
          <t>O1802.htm</t>
        </is>
      </c>
      <c r="L8" s="113" t="inlineStr">
        <is>
          <t>能源|电力</t>
        </is>
      </c>
      <c r="M8" s="113" t="inlineStr">
        <is>
          <t>煤电</t>
        </is>
      </c>
    </row>
    <row r="9" ht="18" customHeight="1" s="235">
      <c r="A9" s="113" t="n">
        <v>2016</v>
      </c>
      <c r="B9" s="113" t="inlineStr">
        <is>
          <t>东部11省市现役30万千瓦及以上公用煤电机组、10万千瓦及以上自备煤电机组超低排放改造</t>
        </is>
      </c>
      <c r="C9" s="113" t="inlineStr">
        <is>
          <t>完成</t>
        </is>
      </c>
      <c r="D9" s="113" t="n"/>
      <c r="E9" s="113" t="n"/>
      <c r="F9" s="114" t="inlineStr">
        <is>
          <t>2017</t>
        </is>
      </c>
      <c r="G9" s="113" t="inlineStr">
        <is>
          <t>新目标</t>
        </is>
      </c>
      <c r="H9" s="113" t="inlineStr">
        <is>
          <t>涉煤</t>
        </is>
      </c>
      <c r="I9" s="113" t="inlineStr">
        <is>
          <t>行业</t>
        </is>
      </c>
      <c r="J9" s="113" t="inlineStr">
        <is>
          <t>2017年前总体完成东部11省市现役30万千瓦及以上公用煤电机组、10万千瓦及以上自备煤电机组超低排放改造。</t>
        </is>
      </c>
      <c r="K9" s="113" t="inlineStr">
        <is>
          <t>FYP1603.pdf</t>
        </is>
      </c>
      <c r="L9" s="113" t="inlineStr">
        <is>
          <t>能源|电力</t>
        </is>
      </c>
      <c r="M9" s="113" t="inlineStr">
        <is>
          <t>煤电</t>
        </is>
      </c>
    </row>
    <row r="10" ht="18" customHeight="1" s="235">
      <c r="A10" s="113" t="n">
        <v>2021</v>
      </c>
      <c r="B10" s="113" t="inlineStr">
        <is>
          <t>东部和中部地区新增非化石能源年生产能力</t>
        </is>
      </c>
      <c r="C10" s="113" t="inlineStr">
        <is>
          <t>新增</t>
        </is>
      </c>
      <c r="D10" s="113" t="inlineStr">
        <is>
          <t>1.5亿吨标准煤</t>
        </is>
      </c>
      <c r="E10" s="113" t="n"/>
      <c r="F10" s="114" t="inlineStr">
        <is>
          <t>十四五</t>
        </is>
      </c>
      <c r="G10" s="113" t="inlineStr">
        <is>
          <t>新目标</t>
        </is>
      </c>
      <c r="H10" s="113" t="inlineStr">
        <is>
          <t>可再生能源</t>
        </is>
      </c>
      <c r="I10" s="113" t="inlineStr">
        <is>
          <t>全社会经济</t>
        </is>
      </c>
      <c r="J10" s="113" t="inlineStr">
        <is>
          <t>“十四五”期间，东部和中部地区新增非化石能源年生产能力1.5亿吨标准煤以上。</t>
        </is>
      </c>
      <c r="K10" s="113" t="inlineStr">
        <is>
          <t>FYP2105.pdf</t>
        </is>
      </c>
      <c r="L10" s="113" t="inlineStr">
        <is>
          <t>能源|电力</t>
        </is>
      </c>
      <c r="M10" s="113" t="inlineStr">
        <is>
          <t>电力供应</t>
        </is>
      </c>
    </row>
    <row r="11" ht="18" customHeight="1" s="235">
      <c r="A11" s="113" t="n">
        <v>2014</v>
      </c>
      <c r="B11" s="113" t="inlineStr">
        <is>
          <t>中厚煤层采区回采率</t>
        </is>
      </c>
      <c r="C11" s="113" t="inlineStr">
        <is>
          <t>达到</t>
        </is>
      </c>
      <c r="D11" s="113" t="inlineStr">
        <is>
          <t>85%</t>
        </is>
      </c>
      <c r="E11" s="113" t="n"/>
      <c r="F11" s="114" t="inlineStr">
        <is>
          <t>2020</t>
        </is>
      </c>
      <c r="G11" s="113" t="inlineStr">
        <is>
          <t>新目标</t>
        </is>
      </c>
      <c r="H11" s="113" t="inlineStr">
        <is>
          <t>涉煤</t>
        </is>
      </c>
      <c r="I11" s="113" t="inlineStr">
        <is>
          <t>不明确</t>
        </is>
      </c>
      <c r="J11" s="113" t="inlineStr">
        <is>
          <t>到2020年，中厚煤层采区回采率达到85%。</t>
        </is>
      </c>
      <c r="K11" s="113" t="inlineStr">
        <is>
          <t>O1401.htm</t>
        </is>
      </c>
      <c r="L11" s="113" t="inlineStr">
        <is>
          <t>能源|电力</t>
        </is>
      </c>
      <c r="M11" s="113" t="inlineStr">
        <is>
          <t>煤电</t>
        </is>
      </c>
    </row>
    <row r="12" ht="18" customHeight="1" s="235">
      <c r="A12" s="113" t="n">
        <v>2016</v>
      </c>
      <c r="B12" s="113" t="inlineStr">
        <is>
          <t>中部八省现役30万千瓦及以上煤电机组超低排放改造</t>
        </is>
      </c>
      <c r="C12" s="113" t="inlineStr">
        <is>
          <t>基本完成</t>
        </is>
      </c>
      <c r="D12" s="113" t="n"/>
      <c r="E12" s="113" t="n"/>
      <c r="F12" s="114" t="inlineStr">
        <is>
          <t>2018</t>
        </is>
      </c>
      <c r="G12" s="113" t="inlineStr">
        <is>
          <t>新目标</t>
        </is>
      </c>
      <c r="H12" s="113" t="inlineStr">
        <is>
          <t>涉煤</t>
        </is>
      </c>
      <c r="I12" s="113" t="inlineStr">
        <is>
          <t>行业</t>
        </is>
      </c>
      <c r="J12" s="113" t="inlineStr">
        <is>
          <t>2018年前基本完成中部八省现役30万千瓦及以上煤电机组超低排放改造</t>
        </is>
      </c>
      <c r="K12" s="113" t="inlineStr">
        <is>
          <t>FYP1603.pdf</t>
        </is>
      </c>
      <c r="L12" s="113" t="inlineStr">
        <is>
          <t>能源|电力</t>
        </is>
      </c>
      <c r="M12" s="113" t="inlineStr">
        <is>
          <t>煤电</t>
        </is>
      </c>
    </row>
    <row r="13" ht="18" customHeight="1" s="235">
      <c r="A13" s="113" t="n">
        <v>2023</v>
      </c>
      <c r="B13" s="113" t="inlineStr">
        <is>
          <t>京津冀及周边地区煤炭消费总量</t>
        </is>
      </c>
      <c r="C13" s="113" t="inlineStr">
        <is>
          <t>降低</t>
        </is>
      </c>
      <c r="D13" s="113" t="inlineStr">
        <is>
          <t>10%</t>
        </is>
      </c>
      <c r="E13" s="113" t="n">
        <v>2020</v>
      </c>
      <c r="F13" s="114" t="inlineStr">
        <is>
          <t>2025</t>
        </is>
      </c>
      <c r="G13" s="113" t="inlineStr">
        <is>
          <t>新目标</t>
        </is>
      </c>
      <c r="H13" s="113" t="inlineStr">
        <is>
          <t>涉煤</t>
        </is>
      </c>
      <c r="I13" s="113" t="inlineStr">
        <is>
          <t>地区</t>
        </is>
      </c>
      <c r="J13" s="113" t="inlineStr">
        <is>
          <t>到2025年，京津冀及周边地区煤炭消费量较2020年下降10%左右</t>
        </is>
      </c>
      <c r="K13" s="113" t="inlineStr">
        <is>
          <t>AP2304.htm</t>
        </is>
      </c>
      <c r="L13" s="113" t="inlineStr">
        <is>
          <t>能源|电力</t>
        </is>
      </c>
      <c r="M13" s="113" t="inlineStr">
        <is>
          <t>煤电</t>
        </is>
      </c>
    </row>
    <row r="14" ht="18" customHeight="1" s="235">
      <c r="A14" s="113" t="n">
        <v>2014</v>
      </c>
      <c r="B14" s="113" t="inlineStr">
        <is>
          <t>京津冀鲁四省市煤炭消费总量</t>
        </is>
      </c>
      <c r="C14" s="113" t="inlineStr">
        <is>
          <t>降低</t>
        </is>
      </c>
      <c r="D14" s="113" t="inlineStr">
        <is>
          <t>1亿吨</t>
        </is>
      </c>
      <c r="E14" s="113" t="n">
        <v>2012</v>
      </c>
      <c r="F14" s="114" t="inlineStr">
        <is>
          <t>2020</t>
        </is>
      </c>
      <c r="G14" s="113" t="inlineStr">
        <is>
          <t>新目标</t>
        </is>
      </c>
      <c r="H14" s="113" t="inlineStr">
        <is>
          <t>涉煤</t>
        </is>
      </c>
      <c r="I14" s="113" t="inlineStr">
        <is>
          <t>地区</t>
        </is>
      </c>
      <c r="J14" s="113" t="inlineStr">
        <is>
          <t>到2020年，京津冀鲁四省市煤炭消费比2012年净削减1亿吨，长三角和珠三角地区煤炭消费总量负增长。</t>
        </is>
      </c>
      <c r="K14" s="113" t="inlineStr">
        <is>
          <t>AP1401.htm</t>
        </is>
      </c>
      <c r="L14" s="113" t="inlineStr">
        <is>
          <t>能源|电力</t>
        </is>
      </c>
      <c r="M14" s="113" t="inlineStr">
        <is>
          <t>煤电</t>
        </is>
      </c>
    </row>
    <row r="15" ht="18" customHeight="1" s="235">
      <c r="A15" s="113" t="n">
        <v>2013</v>
      </c>
      <c r="B15" s="113" t="inlineStr">
        <is>
          <t>以分布式可再生能源为主的新能源示范城市</t>
        </is>
      </c>
      <c r="C15" s="113" t="inlineStr">
        <is>
          <t>建设</t>
        </is>
      </c>
      <c r="D15" s="113" t="inlineStr">
        <is>
          <t>100个</t>
        </is>
      </c>
      <c r="E15" s="113" t="n"/>
      <c r="F15" s="114" t="inlineStr">
        <is>
          <t>2015</t>
        </is>
      </c>
      <c r="G15" s="113" t="inlineStr">
        <is>
          <t>新目标</t>
        </is>
      </c>
      <c r="H15" s="113" t="inlineStr">
        <is>
          <t>可再生能源</t>
        </is>
      </c>
      <c r="I15" s="113" t="inlineStr">
        <is>
          <t>全社会经济</t>
        </is>
      </c>
      <c r="J15" s="113" t="inlineStr">
        <is>
          <t>到2015年，建成100个以分布式可再生能源应用为主的新能源示范城市。</t>
        </is>
      </c>
      <c r="K15" s="113" t="inlineStr">
        <is>
          <t>FYP1302.htm</t>
        </is>
      </c>
      <c r="L15" s="113" t="inlineStr">
        <is>
          <t>能源|电力</t>
        </is>
      </c>
      <c r="M15" s="113" t="inlineStr">
        <is>
          <t>电力供应</t>
        </is>
      </c>
    </row>
    <row r="16" ht="18" customHeight="1" s="235">
      <c r="A16" s="113" t="n">
        <v>2004</v>
      </c>
      <c r="B16" s="113" t="inlineStr">
        <is>
          <t>低温余热发电装置</t>
        </is>
      </c>
      <c r="C16" s="113" t="inlineStr">
        <is>
          <t>建设</t>
        </is>
      </c>
      <c r="D16" s="113" t="inlineStr">
        <is>
          <t>30套</t>
        </is>
      </c>
      <c r="E16" s="113" t="n"/>
      <c r="F16" s="114" t="inlineStr">
        <is>
          <t>十一五</t>
        </is>
      </c>
      <c r="G16" s="113" t="inlineStr">
        <is>
          <t>新目标</t>
        </is>
      </c>
      <c r="H16" s="113" t="inlineStr">
        <is>
          <t>能源效率</t>
        </is>
      </c>
      <c r="I16" s="113" t="inlineStr">
        <is>
          <t>不明确</t>
        </is>
      </c>
      <c r="J16" s="113" t="inlineStr">
        <is>
          <t>“十一五”期间，在日产2000吨以上水泥生产线上建设低温余热发电装置30套，形成年节能300万吨标准煤。</t>
        </is>
      </c>
      <c r="K16" s="113" t="inlineStr">
        <is>
          <t>MLT0401.htm</t>
        </is>
      </c>
      <c r="L16" s="113" t="inlineStr">
        <is>
          <t>能源|电力</t>
        </is>
      </c>
      <c r="M16" s="113" t="inlineStr">
        <is>
          <t>电力供应</t>
        </is>
      </c>
    </row>
    <row r="17" ht="18" customHeight="1" s="235">
      <c r="A17" s="113" t="n">
        <v>2013</v>
      </c>
      <c r="B17" s="113" t="inlineStr">
        <is>
          <t>低热值煤炭资源综合利用发电装机容量</t>
        </is>
      </c>
      <c r="C17" s="113" t="inlineStr">
        <is>
          <t>达到</t>
        </is>
      </c>
      <c r="D17" s="113" t="inlineStr">
        <is>
          <t>7600万千瓦</t>
        </is>
      </c>
      <c r="E17" s="113" t="n"/>
      <c r="F17" s="114" t="inlineStr">
        <is>
          <t>2015</t>
        </is>
      </c>
      <c r="G17" s="113" t="inlineStr">
        <is>
          <t>新目标</t>
        </is>
      </c>
      <c r="H17" s="113" t="inlineStr">
        <is>
          <t>涉煤</t>
        </is>
      </c>
      <c r="I17" s="113" t="inlineStr">
        <is>
          <t>全社会经济</t>
        </is>
      </c>
      <c r="J17" s="113" t="inlineStr">
        <is>
          <t>到2015年，低热值煤炭资源综合利用发电装机容量达到7600万千瓦。</t>
        </is>
      </c>
      <c r="K17" s="113" t="inlineStr">
        <is>
          <t>DP1301.htm</t>
        </is>
      </c>
      <c r="L17" s="113" t="inlineStr">
        <is>
          <t>能源|电力</t>
        </is>
      </c>
      <c r="M17" s="113" t="inlineStr">
        <is>
          <t>煤电</t>
        </is>
      </c>
    </row>
    <row r="18" ht="18" customHeight="1" s="235">
      <c r="A18" s="113" t="n">
        <v>2012</v>
      </c>
      <c r="B18" s="113" t="inlineStr">
        <is>
          <t>余热发电比例</t>
        </is>
      </c>
      <c r="C18" s="113" t="inlineStr">
        <is>
          <t>提高至</t>
        </is>
      </c>
      <c r="D18" s="113" t="inlineStr">
        <is>
          <t>30%以上</t>
        </is>
      </c>
      <c r="E18" s="113" t="n"/>
      <c r="F18" s="114" t="inlineStr">
        <is>
          <t>2015</t>
        </is>
      </c>
      <c r="G18" s="113" t="inlineStr">
        <is>
          <t>新目标</t>
        </is>
      </c>
      <c r="H18" s="113" t="inlineStr">
        <is>
          <t>能源效率</t>
        </is>
      </c>
      <c r="I18" s="113" t="inlineStr">
        <is>
          <t>全社会经济</t>
        </is>
      </c>
      <c r="J18" s="113" t="inlineStr">
        <is>
          <t>推进玻璃生产线余热发电，到2015年余热发电比例提高到30%以上。</t>
        </is>
      </c>
      <c r="K18" s="113" t="inlineStr">
        <is>
          <t>FYP1201.htm</t>
        </is>
      </c>
      <c r="L18" s="113" t="inlineStr">
        <is>
          <t>能源|电力</t>
        </is>
      </c>
      <c r="M18" s="113" t="inlineStr">
        <is>
          <t>电力供应</t>
        </is>
      </c>
    </row>
    <row r="19" ht="18" customHeight="1" s="235">
      <c r="A19" s="113" t="n">
        <v>2007</v>
      </c>
      <c r="B19" s="113" t="inlineStr">
        <is>
          <t>保留小型煤矿产量</t>
        </is>
      </c>
      <c r="C19" s="113" t="inlineStr">
        <is>
          <t>控制在…以内</t>
        </is>
      </c>
      <c r="D19" s="113" t="inlineStr">
        <is>
          <t>2亿吨</t>
        </is>
      </c>
      <c r="E19" s="113" t="n"/>
      <c r="F19" s="114" t="inlineStr">
        <is>
          <t>2010</t>
        </is>
      </c>
      <c r="G19" s="113" t="inlineStr">
        <is>
          <t>重申目标</t>
        </is>
      </c>
      <c r="H19" s="113" t="inlineStr">
        <is>
          <t>涉煤</t>
        </is>
      </c>
      <c r="I19" s="113" t="inlineStr">
        <is>
          <t>行业</t>
        </is>
      </c>
      <c r="J19" s="113" t="inlineStr">
        <is>
          <t>到2010年，保留的小型煤矿产量控制在2亿吨以内。</t>
        </is>
      </c>
      <c r="K19" s="113" t="inlineStr">
        <is>
          <t>FYP0701.htm</t>
        </is>
      </c>
      <c r="L19" s="113" t="inlineStr">
        <is>
          <t>能源|电力</t>
        </is>
      </c>
      <c r="M19" s="113" t="inlineStr">
        <is>
          <t>煤电</t>
        </is>
      </c>
    </row>
    <row r="20" ht="18" customHeight="1" s="235">
      <c r="A20" s="113" t="n">
        <v>2013</v>
      </c>
      <c r="B20" s="113" t="inlineStr">
        <is>
          <t>光伏电站太阳能发电装机容量</t>
        </is>
      </c>
      <c r="C20" s="113" t="inlineStr">
        <is>
          <t>达到</t>
        </is>
      </c>
      <c r="D20" s="113" t="inlineStr">
        <is>
          <t>3500万千瓦以上</t>
        </is>
      </c>
      <c r="E20" s="113" t="n"/>
      <c r="F20" s="114" t="inlineStr">
        <is>
          <t>2015</t>
        </is>
      </c>
      <c r="G20" s="113" t="inlineStr">
        <is>
          <t>新目标</t>
        </is>
      </c>
      <c r="H20" s="113" t="inlineStr">
        <is>
          <t>可再生能源</t>
        </is>
      </c>
      <c r="I20" s="113" t="inlineStr">
        <is>
          <t>全社会经济</t>
        </is>
      </c>
      <c r="J20" s="113" t="inlineStr">
        <is>
          <t>到2015年，光伏发电总装机容量达到3500万千瓦以上。</t>
        </is>
      </c>
      <c r="K20" s="113" t="inlineStr">
        <is>
          <t>O1303.htm</t>
        </is>
      </c>
      <c r="L20" s="113" t="inlineStr">
        <is>
          <t>能源|电力</t>
        </is>
      </c>
      <c r="M20" s="113" t="inlineStr">
        <is>
          <t>电力供应</t>
        </is>
      </c>
    </row>
    <row r="21" ht="18" customHeight="1" s="235">
      <c r="A21" s="113" t="n">
        <v>2018</v>
      </c>
      <c r="B21" s="113" t="inlineStr">
        <is>
          <t>全国光伏发电利用率</t>
        </is>
      </c>
      <c r="C21" s="113" t="inlineStr">
        <is>
          <t>超过</t>
        </is>
      </c>
      <c r="D21" s="113" t="inlineStr">
        <is>
          <t>95%</t>
        </is>
      </c>
      <c r="E21" s="113" t="n"/>
      <c r="F21" s="114" t="n">
        <v>2018</v>
      </c>
      <c r="G21" s="113" t="inlineStr">
        <is>
          <t>新目标</t>
        </is>
      </c>
      <c r="H21" s="113" t="inlineStr">
        <is>
          <t>可再生能源</t>
        </is>
      </c>
      <c r="I21" s="113" t="inlineStr">
        <is>
          <t>全社会经济</t>
        </is>
      </c>
      <c r="J21" s="113" t="inlineStr">
        <is>
          <t>2018年，确保光伏发电利用率高于95%，弃光率低于5%，确保弃风、弃光电量比2017年进一步下降。</t>
        </is>
      </c>
      <c r="K21" s="113" t="inlineStr">
        <is>
          <t>AP1804.pdf</t>
        </is>
      </c>
      <c r="L21" s="113" t="inlineStr">
        <is>
          <t>能源|电力</t>
        </is>
      </c>
      <c r="M21" s="113" t="inlineStr">
        <is>
          <t>电力供应</t>
        </is>
      </c>
    </row>
    <row r="22" ht="18" customHeight="1" s="235">
      <c r="A22" s="113" t="n">
        <v>2018</v>
      </c>
      <c r="B22" s="113" t="inlineStr">
        <is>
          <t>全国光伏发电利用率</t>
        </is>
      </c>
      <c r="C22" s="113" t="inlineStr">
        <is>
          <t>超过</t>
        </is>
      </c>
      <c r="D22" s="113" t="inlineStr">
        <is>
          <t>95%</t>
        </is>
      </c>
      <c r="E22" s="113" t="n"/>
      <c r="F22" s="114" t="n">
        <v>2019</v>
      </c>
      <c r="G22" s="113" t="inlineStr">
        <is>
          <t>新目标</t>
        </is>
      </c>
      <c r="H22" s="113" t="inlineStr">
        <is>
          <t>可再生能源</t>
        </is>
      </c>
      <c r="I22" s="113" t="inlineStr">
        <is>
          <t>全社会经济</t>
        </is>
      </c>
      <c r="J22" s="113" t="inlineStr">
        <is>
          <t>2019年，确保光伏发电利用率高于95%，弃光率低于5%。</t>
        </is>
      </c>
      <c r="K22" s="113" t="inlineStr">
        <is>
          <t>AP1804.pdf</t>
        </is>
      </c>
      <c r="L22" s="113" t="inlineStr">
        <is>
          <t>能源|电力</t>
        </is>
      </c>
      <c r="M22" s="113" t="inlineStr">
        <is>
          <t>电力供应</t>
        </is>
      </c>
    </row>
    <row r="23" ht="18" customHeight="1" s="235">
      <c r="A23" s="113" t="n">
        <v>2018</v>
      </c>
      <c r="B23" s="113" t="inlineStr">
        <is>
          <t>全国光伏发电利用率</t>
        </is>
      </c>
      <c r="C23" s="113" t="inlineStr">
        <is>
          <t>超过</t>
        </is>
      </c>
      <c r="D23" s="113" t="inlineStr">
        <is>
          <t>95%</t>
        </is>
      </c>
      <c r="E23" s="113" t="n"/>
      <c r="F23" s="114" t="n">
        <v>2020</v>
      </c>
      <c r="G23" s="113" t="inlineStr">
        <is>
          <t>新目标</t>
        </is>
      </c>
      <c r="H23" s="113" t="inlineStr">
        <is>
          <t>可再生能源</t>
        </is>
      </c>
      <c r="I23" s="113" t="inlineStr">
        <is>
          <t>全社会经济</t>
        </is>
      </c>
      <c r="J23" s="113" t="inlineStr">
        <is>
          <t>到2020年，确保光伏发电利用率高于95%，弃光率低于5%。</t>
        </is>
      </c>
      <c r="K23" s="113" t="inlineStr">
        <is>
          <t>AP1804.pdf</t>
        </is>
      </c>
      <c r="L23" s="113" t="inlineStr">
        <is>
          <t>能源|电力</t>
        </is>
      </c>
      <c r="M23" s="113" t="inlineStr">
        <is>
          <t>电力供应</t>
        </is>
      </c>
    </row>
    <row r="24" ht="18" customHeight="1" s="235">
      <c r="A24" s="113" t="n">
        <v>2018</v>
      </c>
      <c r="B24" s="113" t="inlineStr">
        <is>
          <t>全国光伏弃光率</t>
        </is>
      </c>
      <c r="C24" s="113" t="inlineStr">
        <is>
          <t>低于</t>
        </is>
      </c>
      <c r="D24" s="113" t="inlineStr">
        <is>
          <t>5%</t>
        </is>
      </c>
      <c r="E24" s="113" t="n"/>
      <c r="F24" s="114" t="n">
        <v>2020</v>
      </c>
      <c r="G24" s="113" t="inlineStr">
        <is>
          <t>新目标</t>
        </is>
      </c>
      <c r="H24" s="113" t="inlineStr">
        <is>
          <t>可再生能源</t>
        </is>
      </c>
      <c r="I24" s="113" t="inlineStr">
        <is>
          <t>全社会经济</t>
        </is>
      </c>
      <c r="J24" s="113" t="inlineStr">
        <is>
          <t>2020年，光伏发电利用率高于95%，弃光率低于5%。</t>
        </is>
      </c>
      <c r="K24" s="113" t="inlineStr">
        <is>
          <t>AP1804.pdf</t>
        </is>
      </c>
      <c r="L24" s="113" t="inlineStr">
        <is>
          <t>能源|电力</t>
        </is>
      </c>
      <c r="M24" s="113" t="inlineStr">
        <is>
          <t>电力供应</t>
        </is>
      </c>
    </row>
    <row r="25" ht="18" customHeight="1" s="235">
      <c r="A25" s="113" t="n">
        <v>2012</v>
      </c>
      <c r="B25" s="113" t="inlineStr">
        <is>
          <t>全国可再生能源利用量</t>
        </is>
      </c>
      <c r="C25" s="113" t="inlineStr">
        <is>
          <t>达到</t>
        </is>
      </c>
      <c r="D25" s="113" t="inlineStr">
        <is>
          <t>3亿吨标准煤</t>
        </is>
      </c>
      <c r="E25" s="113" t="n"/>
      <c r="F25" s="114" t="inlineStr">
        <is>
          <t>十一五</t>
        </is>
      </c>
      <c r="G25" s="113" t="inlineStr">
        <is>
          <t>新目标</t>
        </is>
      </c>
      <c r="H25" s="113" t="inlineStr">
        <is>
          <t>可再生能源</t>
        </is>
      </c>
      <c r="I25" s="113" t="inlineStr">
        <is>
          <t>全社会经济</t>
        </is>
      </c>
      <c r="J25" s="113" t="inlineStr">
        <is>
          <t>《可再生能源发展“十一五”规划》提出的主要发展指标包括：全国可再生能源利用量达到3亿吨标准煤。</t>
        </is>
      </c>
      <c r="K25" s="113" t="inlineStr">
        <is>
          <t>HL1201.pdf</t>
        </is>
      </c>
      <c r="L25" s="113" t="inlineStr">
        <is>
          <t>能源|电力</t>
        </is>
      </c>
      <c r="M25" s="113" t="inlineStr">
        <is>
          <t>能源消费</t>
        </is>
      </c>
    </row>
    <row r="26" ht="18" customHeight="1" s="235">
      <c r="A26" s="113" t="n">
        <v>2018</v>
      </c>
      <c r="B26" s="113" t="inlineStr">
        <is>
          <t>全国太阳能弃光率</t>
        </is>
      </c>
      <c r="C26" s="113" t="inlineStr">
        <is>
          <t>低于</t>
        </is>
      </c>
      <c r="D26" s="113" t="inlineStr">
        <is>
          <t>5%</t>
        </is>
      </c>
      <c r="E26" s="113" t="n"/>
      <c r="F26" s="114" t="n">
        <v>2019</v>
      </c>
      <c r="G26" s="113" t="inlineStr">
        <is>
          <t>新目标</t>
        </is>
      </c>
      <c r="H26" s="113" t="inlineStr">
        <is>
          <t>可再生能源</t>
        </is>
      </c>
      <c r="I26" s="113" t="inlineStr">
        <is>
          <t>全社会经济</t>
        </is>
      </c>
      <c r="J26" s="113" t="inlineStr">
        <is>
          <t>2019年，确保光伏发电利用率高于95%，弃光率低于5%。</t>
        </is>
      </c>
      <c r="K26" s="113" t="inlineStr">
        <is>
          <t>AP1804.pdf</t>
        </is>
      </c>
      <c r="L26" s="113" t="inlineStr">
        <is>
          <t>能源|电力</t>
        </is>
      </c>
      <c r="M26" s="113" t="inlineStr">
        <is>
          <t>电力供应</t>
        </is>
      </c>
    </row>
    <row r="27" ht="18" customHeight="1" s="235">
      <c r="A27" s="113" t="n">
        <v>2018</v>
      </c>
      <c r="B27" s="113" t="inlineStr">
        <is>
          <t>全国平均弃风率</t>
        </is>
      </c>
      <c r="C27" s="113" t="inlineStr">
        <is>
          <t>低于</t>
        </is>
      </c>
      <c r="D27" s="113" t="inlineStr">
        <is>
          <t>12%</t>
        </is>
      </c>
      <c r="E27" s="113" t="n"/>
      <c r="F27" s="114" t="n">
        <v>2018</v>
      </c>
      <c r="G27" s="113" t="inlineStr">
        <is>
          <t>新目标</t>
        </is>
      </c>
      <c r="H27" s="113" t="inlineStr">
        <is>
          <t>可再生能源</t>
        </is>
      </c>
      <c r="I27" s="113" t="inlineStr">
        <is>
          <t>全社会经济</t>
        </is>
      </c>
      <c r="J27" s="113" t="inlineStr">
        <is>
          <t>2018年，确保全国平均风电利用率高于88%（力争达到90%以上），弃风率低于12%（力争控制在10%以内）。</t>
        </is>
      </c>
      <c r="K27" s="113" t="inlineStr">
        <is>
          <t>AP1804.pdf</t>
        </is>
      </c>
      <c r="L27" s="113" t="inlineStr">
        <is>
          <t>能源|电力</t>
        </is>
      </c>
      <c r="M27" s="113" t="inlineStr">
        <is>
          <t>电力供应</t>
        </is>
      </c>
    </row>
    <row r="28" ht="18" customHeight="1" s="235">
      <c r="A28" s="113" t="n">
        <v>2018</v>
      </c>
      <c r="B28" s="113" t="inlineStr">
        <is>
          <t>全国平均弃风率</t>
        </is>
      </c>
      <c r="C28" s="113" t="inlineStr">
        <is>
          <t>低于</t>
        </is>
      </c>
      <c r="D28" s="113" t="inlineStr">
        <is>
          <t>10%</t>
        </is>
      </c>
      <c r="E28" s="113" t="n"/>
      <c r="F28" s="114" t="n">
        <v>2019</v>
      </c>
      <c r="G28" s="113" t="inlineStr">
        <is>
          <t>新目标</t>
        </is>
      </c>
      <c r="H28" s="113" t="inlineStr">
        <is>
          <t>可再生能源</t>
        </is>
      </c>
      <c r="I28" s="113" t="inlineStr">
        <is>
          <t>全社会经济</t>
        </is>
      </c>
      <c r="J28" s="113" t="inlineStr">
        <is>
          <t>2019年，确保全国平均风电利用率高于90%（力争达到92%左右），弃风率低于10%（力争控制在8%左右）。</t>
        </is>
      </c>
      <c r="K28" s="113" t="inlineStr">
        <is>
          <t>AP1804.pdf</t>
        </is>
      </c>
      <c r="L28" s="113" t="inlineStr">
        <is>
          <t>能源|电力</t>
        </is>
      </c>
      <c r="M28" s="113" t="inlineStr">
        <is>
          <t>电力供应</t>
        </is>
      </c>
    </row>
    <row r="29" ht="18" customHeight="1" s="235">
      <c r="A29" s="113" t="n">
        <v>2018</v>
      </c>
      <c r="B29" s="113" t="inlineStr">
        <is>
          <t>全国平均弃风率</t>
        </is>
      </c>
      <c r="C29" s="113" t="inlineStr">
        <is>
          <t>控制在…以内</t>
        </is>
      </c>
      <c r="D29" s="113" t="inlineStr">
        <is>
          <t>5%</t>
        </is>
      </c>
      <c r="E29" s="113" t="n"/>
      <c r="F29" s="114" t="n">
        <v>2020</v>
      </c>
      <c r="G29" s="113" t="inlineStr">
        <is>
          <t>新目标</t>
        </is>
      </c>
      <c r="H29" s="113" t="inlineStr">
        <is>
          <t>可再生能源</t>
        </is>
      </c>
      <c r="I29" s="113" t="inlineStr">
        <is>
          <t>全社会经济</t>
        </is>
      </c>
      <c r="J29" s="113" t="inlineStr">
        <is>
          <t>到2020年，确保全国平均风电利用率达到国际先进水平（力争达到95%左右），弃风率控制在合理水平（力争控制在5%左右）。</t>
        </is>
      </c>
      <c r="K29" s="113" t="inlineStr">
        <is>
          <t>AP1804.pdf</t>
        </is>
      </c>
      <c r="L29" s="113" t="inlineStr">
        <is>
          <t>能源|电力</t>
        </is>
      </c>
      <c r="M29" s="113" t="inlineStr">
        <is>
          <t>电力供应</t>
        </is>
      </c>
    </row>
    <row r="30" ht="18" customHeight="1" s="235">
      <c r="A30" s="113" t="n">
        <v>2018</v>
      </c>
      <c r="B30" s="113" t="inlineStr">
        <is>
          <t>全国平均风电利用率</t>
        </is>
      </c>
      <c r="C30" s="113" t="inlineStr">
        <is>
          <t>超过</t>
        </is>
      </c>
      <c r="D30" s="113" t="inlineStr">
        <is>
          <t>88%</t>
        </is>
      </c>
      <c r="E30" s="113" t="n"/>
      <c r="F30" s="114" t="n">
        <v>2018</v>
      </c>
      <c r="G30" s="113" t="inlineStr">
        <is>
          <t>新目标</t>
        </is>
      </c>
      <c r="H30" s="113" t="inlineStr">
        <is>
          <t>可再生能源</t>
        </is>
      </c>
      <c r="I30" s="113" t="inlineStr">
        <is>
          <t>全社会经济</t>
        </is>
      </c>
      <c r="J30" s="113" t="inlineStr">
        <is>
          <t>2018年，确保全国平均风电利用率高于88%（力争达到90%以上），弃风率低于12%（力争控制在10%以内）。</t>
        </is>
      </c>
      <c r="K30" s="113" t="inlineStr">
        <is>
          <t>AP1804.pdf</t>
        </is>
      </c>
      <c r="L30" s="113" t="inlineStr">
        <is>
          <t>能源|电力</t>
        </is>
      </c>
      <c r="M30" s="113" t="inlineStr">
        <is>
          <t>电力供应</t>
        </is>
      </c>
    </row>
    <row r="31" ht="18" customHeight="1" s="235">
      <c r="A31" s="113" t="n">
        <v>2018</v>
      </c>
      <c r="B31" s="113" t="inlineStr">
        <is>
          <t>全国平均风电利用率</t>
        </is>
      </c>
      <c r="C31" s="113" t="inlineStr">
        <is>
          <t>超过</t>
        </is>
      </c>
      <c r="D31" s="113" t="inlineStr">
        <is>
          <t>90%</t>
        </is>
      </c>
      <c r="E31" s="113" t="n"/>
      <c r="F31" s="114" t="n">
        <v>2019</v>
      </c>
      <c r="G31" s="113" t="inlineStr">
        <is>
          <t>新目标</t>
        </is>
      </c>
      <c r="H31" s="113" t="inlineStr">
        <is>
          <t>可再生能源</t>
        </is>
      </c>
      <c r="I31" s="113" t="inlineStr">
        <is>
          <t>全社会经济</t>
        </is>
      </c>
      <c r="J31" s="113" t="inlineStr">
        <is>
          <t>2019年，确保全国平均风电利用率高于90%（力争达到92%左右），弃风率低于10%（力争控制在8%左右）。</t>
        </is>
      </c>
      <c r="K31" s="113" t="inlineStr">
        <is>
          <t>AP1804.pdf</t>
        </is>
      </c>
      <c r="L31" s="113" t="inlineStr">
        <is>
          <t>能源|电力</t>
        </is>
      </c>
      <c r="M31" s="113" t="inlineStr">
        <is>
          <t>电力供应</t>
        </is>
      </c>
    </row>
    <row r="32" ht="18" customHeight="1" s="235">
      <c r="A32" s="113" t="n">
        <v>2018</v>
      </c>
      <c r="B32" s="113" t="inlineStr">
        <is>
          <t>全国平均风电利用率</t>
        </is>
      </c>
      <c r="C32" s="113" t="inlineStr">
        <is>
          <t>超过</t>
        </is>
      </c>
      <c r="D32" s="113" t="inlineStr">
        <is>
          <t>95%</t>
        </is>
      </c>
      <c r="E32" s="113" t="n"/>
      <c r="F32" s="114" t="n">
        <v>2020</v>
      </c>
      <c r="G32" s="113" t="inlineStr">
        <is>
          <t>新目标</t>
        </is>
      </c>
      <c r="H32" s="113" t="inlineStr">
        <is>
          <t>可再生能源</t>
        </is>
      </c>
      <c r="I32" s="113" t="inlineStr">
        <is>
          <t>全社会经济</t>
        </is>
      </c>
      <c r="J32" s="113" t="inlineStr">
        <is>
          <t>2020年，确保全国平均风电利用率达到国际先进水平（力争达到95%左右），弃风率控制在合理水平（力争控制在5%左右）。</t>
        </is>
      </c>
      <c r="K32" s="113" t="inlineStr">
        <is>
          <t>AP1804.pdf</t>
        </is>
      </c>
      <c r="L32" s="113" t="inlineStr">
        <is>
          <t>能源|电力</t>
        </is>
      </c>
      <c r="M32" s="113" t="inlineStr">
        <is>
          <t>电力供应</t>
        </is>
      </c>
    </row>
    <row r="33" ht="18" customHeight="1" s="235">
      <c r="A33" s="113" t="n">
        <v>2018</v>
      </c>
      <c r="B33" s="113" t="inlineStr">
        <is>
          <t>全国弃光率</t>
        </is>
      </c>
      <c r="C33" s="113" t="inlineStr">
        <is>
          <t>低于</t>
        </is>
      </c>
      <c r="D33" s="113" t="inlineStr">
        <is>
          <t>5%</t>
        </is>
      </c>
      <c r="E33" s="113" t="n"/>
      <c r="F33" s="114" t="n">
        <v>2018</v>
      </c>
      <c r="G33" s="113" t="inlineStr">
        <is>
          <t>新目标</t>
        </is>
      </c>
      <c r="H33" s="113" t="inlineStr">
        <is>
          <t>可再生能源</t>
        </is>
      </c>
      <c r="I33" s="113" t="inlineStr">
        <is>
          <t>全社会经济</t>
        </is>
      </c>
      <c r="J33" s="113" t="inlineStr">
        <is>
          <t>2018年，确保光伏发电利用率高于95%，弃光率低于5%，确保弃风、弃光电量比2017年进一步下降。</t>
        </is>
      </c>
      <c r="K33" s="113" t="inlineStr">
        <is>
          <t>AP1804.pdf</t>
        </is>
      </c>
      <c r="L33" s="113" t="inlineStr">
        <is>
          <t>能源|电力</t>
        </is>
      </c>
      <c r="M33" s="113" t="inlineStr">
        <is>
          <t>电力供应</t>
        </is>
      </c>
    </row>
    <row r="34" ht="18" customHeight="1" s="235">
      <c r="A34" s="113" t="n">
        <v>2018</v>
      </c>
      <c r="B34" s="113" t="inlineStr">
        <is>
          <t>全国水能利用率</t>
        </is>
      </c>
      <c r="C34" s="113" t="inlineStr">
        <is>
          <t>超过</t>
        </is>
      </c>
      <c r="D34" s="113" t="inlineStr">
        <is>
          <t>95%</t>
        </is>
      </c>
      <c r="E34" s="113" t="n"/>
      <c r="F34" s="114" t="n">
        <v>2018</v>
      </c>
      <c r="G34" s="113" t="inlineStr">
        <is>
          <t>新目标</t>
        </is>
      </c>
      <c r="H34" s="113" t="inlineStr">
        <is>
          <t>可再生能源</t>
        </is>
      </c>
      <c r="I34" s="113" t="inlineStr">
        <is>
          <t>全社会经济</t>
        </is>
      </c>
      <c r="J34" s="113" t="inlineStr">
        <is>
          <t>二零一八年，确保全国水能利用率达到百分之九十五以上。</t>
        </is>
      </c>
      <c r="K34" s="113" t="inlineStr">
        <is>
          <t>AP1804.pdf</t>
        </is>
      </c>
      <c r="L34" s="113" t="inlineStr">
        <is>
          <t>能源|电力</t>
        </is>
      </c>
      <c r="M34" s="113" t="inlineStr">
        <is>
          <t>电力供应</t>
        </is>
      </c>
    </row>
    <row r="35" ht="18" customHeight="1" s="235">
      <c r="A35" s="113" t="n">
        <v>2018</v>
      </c>
      <c r="B35" s="113" t="inlineStr">
        <is>
          <t>全国水能利用率</t>
        </is>
      </c>
      <c r="C35" s="113" t="inlineStr">
        <is>
          <t>超过</t>
        </is>
      </c>
      <c r="D35" s="113" t="inlineStr">
        <is>
          <t>95%</t>
        </is>
      </c>
      <c r="E35" s="113" t="n"/>
      <c r="F35" s="114" t="n">
        <v>2019</v>
      </c>
      <c r="G35" s="113" t="inlineStr">
        <is>
          <t>新目标</t>
        </is>
      </c>
      <c r="H35" s="113" t="inlineStr">
        <is>
          <t>可再生能源</t>
        </is>
      </c>
      <c r="I35" s="113" t="inlineStr">
        <is>
          <t>全社会经济</t>
        </is>
      </c>
      <c r="J35" s="113" t="inlineStr">
        <is>
          <t>2019年，全国水能利用率应高于95%。</t>
        </is>
      </c>
      <c r="K35" s="113" t="inlineStr">
        <is>
          <t>AP1804.pdf</t>
        </is>
      </c>
      <c r="L35" s="113" t="inlineStr">
        <is>
          <t>能源|电力</t>
        </is>
      </c>
      <c r="M35" s="113" t="inlineStr">
        <is>
          <t>电力供应</t>
        </is>
      </c>
    </row>
    <row r="36" ht="18" customHeight="1" s="235">
      <c r="A36" s="113" t="n">
        <v>2018</v>
      </c>
      <c r="B36" s="113" t="inlineStr">
        <is>
          <t>全国水能利用率</t>
        </is>
      </c>
      <c r="C36" s="113" t="inlineStr">
        <is>
          <t>超过</t>
        </is>
      </c>
      <c r="D36" s="113" t="inlineStr">
        <is>
          <t>95%</t>
        </is>
      </c>
      <c r="E36" s="113" t="n"/>
      <c r="F36" s="114" t="n">
        <v>2020</v>
      </c>
      <c r="G36" s="113" t="inlineStr">
        <is>
          <t>新目标</t>
        </is>
      </c>
      <c r="H36" s="113" t="inlineStr">
        <is>
          <t>可再生能源</t>
        </is>
      </c>
      <c r="I36" s="113" t="inlineStr">
        <is>
          <t>全社会经济</t>
        </is>
      </c>
      <c r="J36" s="113" t="inlineStr">
        <is>
          <t>2020年，全国水能利用率确保达到95%以上。</t>
        </is>
      </c>
      <c r="K36" s="113" t="inlineStr">
        <is>
          <t>AP1804.pdf</t>
        </is>
      </c>
      <c r="L36" s="113" t="inlineStr">
        <is>
          <t>能源|电力</t>
        </is>
      </c>
      <c r="M36" s="113" t="inlineStr">
        <is>
          <t>电力供应</t>
        </is>
      </c>
    </row>
    <row r="37" ht="18" customHeight="1" s="235">
      <c r="A37" s="113" t="n">
        <v>2014</v>
      </c>
      <c r="B37" s="113" t="inlineStr">
        <is>
          <t>全国煤炭铁路运输能力</t>
        </is>
      </c>
      <c r="C37" s="113" t="inlineStr">
        <is>
          <t>达到</t>
        </is>
      </c>
      <c r="D37" s="113" t="inlineStr">
        <is>
          <t>30亿吨</t>
        </is>
      </c>
      <c r="E37" s="113" t="n"/>
      <c r="F37" s="114" t="inlineStr">
        <is>
          <t>2020</t>
        </is>
      </c>
      <c r="G37" s="113" t="inlineStr">
        <is>
          <t>新目标</t>
        </is>
      </c>
      <c r="H37" s="113" t="inlineStr">
        <is>
          <t>涉煤</t>
        </is>
      </c>
      <c r="I37" s="113" t="inlineStr">
        <is>
          <t>全社会经济</t>
        </is>
      </c>
      <c r="J37" s="113" t="inlineStr">
        <is>
          <t>到2020年，全国煤炭铁路运输能力达到30亿吨。</t>
        </is>
      </c>
      <c r="K37" s="113" t="inlineStr">
        <is>
          <t>AP1401.htm</t>
        </is>
      </c>
      <c r="L37" s="113" t="inlineStr">
        <is>
          <t>能源|电力</t>
        </is>
      </c>
      <c r="M37" s="113" t="inlineStr">
        <is>
          <t>电力传输/能源运输</t>
        </is>
      </c>
    </row>
    <row r="38" ht="18" customHeight="1" s="235">
      <c r="A38" s="113" t="n">
        <v>2025</v>
      </c>
      <c r="B38" s="113" t="inlineStr">
        <is>
          <t>全国虚拟电厂调节能力</t>
        </is>
      </c>
      <c r="C38" s="113" t="inlineStr">
        <is>
          <t>达到</t>
        </is>
      </c>
      <c r="D38" s="113" t="inlineStr">
        <is>
          <t>5000万千瓦以上</t>
        </is>
      </c>
      <c r="E38" s="113" t="n"/>
      <c r="F38" s="114" t="inlineStr">
        <is>
          <t>2030</t>
        </is>
      </c>
      <c r="G38" s="113" t="inlineStr">
        <is>
          <t>新目标</t>
        </is>
      </c>
      <c r="H38" s="113" t="inlineStr">
        <is>
          <t>可再生能源</t>
        </is>
      </c>
      <c r="I38" s="113" t="inlineStr">
        <is>
          <t>全社会经济</t>
        </is>
      </c>
      <c r="J38" s="113" t="inlineStr">
        <is>
          <t>到2030年，虚拟电厂应用场景进一步拓展，各类商业模式创新发展，全国虚拟电厂调节能力达到5000万千瓦以上。</t>
        </is>
      </c>
      <c r="K38" s="113" t="inlineStr">
        <is>
          <t>GO2501.htm</t>
        </is>
      </c>
      <c r="L38" s="113" t="inlineStr">
        <is>
          <t>能源|电力</t>
        </is>
      </c>
      <c r="M38" s="113" t="inlineStr">
        <is>
          <t>电力传输/能源运输</t>
        </is>
      </c>
    </row>
    <row r="39" ht="18" customHeight="1" s="235">
      <c r="A39" s="113" t="n">
        <v>2025</v>
      </c>
      <c r="B39" s="113" t="inlineStr">
        <is>
          <t>全国虚拟电厂调节能力</t>
        </is>
      </c>
      <c r="C39" s="113" t="inlineStr">
        <is>
          <t>达到</t>
        </is>
      </c>
      <c r="D39" s="113" t="inlineStr">
        <is>
          <t>2000万千瓦以上</t>
        </is>
      </c>
      <c r="E39" s="113" t="n"/>
      <c r="F39" s="114" t="inlineStr">
        <is>
          <t>2027</t>
        </is>
      </c>
      <c r="G39" s="113" t="inlineStr">
        <is>
          <t>新目标</t>
        </is>
      </c>
      <c r="H39" s="113" t="inlineStr">
        <is>
          <t>可再生能源</t>
        </is>
      </c>
      <c r="I39" s="113" t="inlineStr">
        <is>
          <t>全社会经济</t>
        </is>
      </c>
      <c r="J39" s="113" t="inlineStr">
        <is>
          <t>到2027年，虚拟电厂建设运行管理机制成熟规范，参与电力市场的机制健全完善，全国虚拟电厂调节能力达到2000万千瓦以上。</t>
        </is>
      </c>
      <c r="K39" s="113" t="inlineStr">
        <is>
          <t>GO2501.htm</t>
        </is>
      </c>
      <c r="L39" s="113" t="inlineStr">
        <is>
          <t>能源|电力</t>
        </is>
      </c>
      <c r="M39" s="113" t="inlineStr">
        <is>
          <t>电力传输/能源运输</t>
        </is>
      </c>
    </row>
    <row r="40" ht="18" customHeight="1" s="235">
      <c r="A40" s="113" t="n">
        <v>2013</v>
      </c>
      <c r="B40" s="113" t="inlineStr">
        <is>
          <t>全社会用电量</t>
        </is>
      </c>
      <c r="C40" s="113" t="inlineStr">
        <is>
          <t>提高至</t>
        </is>
      </c>
      <c r="D40" s="113" t="inlineStr">
        <is>
          <t>6.15万亿千瓦时</t>
        </is>
      </c>
      <c r="E40" s="113" t="n"/>
      <c r="F40" s="114" t="inlineStr">
        <is>
          <t>2015</t>
        </is>
      </c>
      <c r="G40" s="113" t="inlineStr">
        <is>
          <t>重申目标</t>
        </is>
      </c>
      <c r="H40" s="113" t="inlineStr">
        <is>
          <t>电气化</t>
        </is>
      </c>
      <c r="I40" s="113" t="inlineStr">
        <is>
          <t>全社会经济</t>
        </is>
      </c>
      <c r="J40" s="113" t="inlineStr">
        <is>
          <t>到2015年，全国能源消费总量和用电量分别控制在40亿吨标准煤和6.15万亿千瓦时左右</t>
        </is>
      </c>
      <c r="K40" s="113" t="inlineStr">
        <is>
          <t>FYP1302.htm</t>
        </is>
      </c>
      <c r="L40" s="113" t="inlineStr">
        <is>
          <t>能源|电力</t>
        </is>
      </c>
      <c r="M40" s="113" t="inlineStr">
        <is>
          <t>能源消费</t>
        </is>
      </c>
    </row>
    <row r="41" ht="18" customHeight="1" s="235">
      <c r="A41" s="113" t="n">
        <v>2013</v>
      </c>
      <c r="B41" s="113" t="inlineStr">
        <is>
          <t>全社会用电量</t>
        </is>
      </c>
      <c r="C41" s="113" t="inlineStr">
        <is>
          <t>达到</t>
        </is>
      </c>
      <c r="D41" s="113" t="inlineStr">
        <is>
          <t>6.15万亿千瓦时</t>
        </is>
      </c>
      <c r="E41" s="113" t="n"/>
      <c r="F41" s="114" t="inlineStr">
        <is>
          <t>2015</t>
        </is>
      </c>
      <c r="G41" s="113" t="inlineStr">
        <is>
          <t>新目标</t>
        </is>
      </c>
      <c r="H41" s="113" t="inlineStr">
        <is>
          <t>电气化</t>
        </is>
      </c>
      <c r="I41" s="113" t="inlineStr">
        <is>
          <t>全社会经济</t>
        </is>
      </c>
      <c r="J41" s="113" t="inlineStr">
        <is>
          <t>到2015年，全社会用电量达到6.15万亿千瓦时</t>
        </is>
      </c>
      <c r="K41" s="113" t="inlineStr">
        <is>
          <t>FYP1302.htm</t>
        </is>
      </c>
      <c r="L41" s="113" t="inlineStr">
        <is>
          <t>能源|电力</t>
        </is>
      </c>
      <c r="M41" s="113" t="inlineStr">
        <is>
          <t>能源消费</t>
        </is>
      </c>
    </row>
    <row r="42" ht="18" customHeight="1" s="235">
      <c r="A42" s="113" t="n">
        <v>2021</v>
      </c>
      <c r="B42" s="113" t="inlineStr">
        <is>
          <t>公共机构能效领跑者数量</t>
        </is>
      </c>
      <c r="C42" s="113" t="inlineStr">
        <is>
          <t>遴选</t>
        </is>
      </c>
      <c r="D42" s="113" t="inlineStr">
        <is>
          <t>200家</t>
        </is>
      </c>
      <c r="E42" s="113" t="n"/>
      <c r="F42" s="114" t="inlineStr">
        <is>
          <t>2025</t>
        </is>
      </c>
      <c r="G42" s="113" t="inlineStr">
        <is>
          <t>新目标</t>
        </is>
      </c>
      <c r="H42" s="113" t="inlineStr">
        <is>
          <t>能源效率</t>
        </is>
      </c>
      <c r="I42" s="113" t="inlineStr">
        <is>
          <t>不明确</t>
        </is>
      </c>
      <c r="J42" s="113" t="inlineStr">
        <is>
          <t>到2025年，遴选200家公共机构能效领跑者。</t>
        </is>
      </c>
      <c r="K42" s="113" t="inlineStr">
        <is>
          <t>FYP2107.htm</t>
        </is>
      </c>
      <c r="L42" s="113" t="inlineStr">
        <is>
          <t>能源|电力</t>
        </is>
      </c>
      <c r="M42" s="113" t="inlineStr">
        <is>
          <t>能源消费</t>
        </is>
      </c>
    </row>
    <row r="43" ht="18" customHeight="1" s="235">
      <c r="A43" s="113" t="n">
        <v>2013</v>
      </c>
      <c r="B43" s="113" t="inlineStr">
        <is>
          <t>农村沼气利用量</t>
        </is>
      </c>
      <c r="C43" s="113" t="inlineStr">
        <is>
          <t>达到</t>
        </is>
      </c>
      <c r="D43" s="113" t="inlineStr">
        <is>
          <t>190亿立方米</t>
        </is>
      </c>
      <c r="E43" s="113" t="n"/>
      <c r="F43" s="114" t="inlineStr">
        <is>
          <t>2015</t>
        </is>
      </c>
      <c r="G43" s="113" t="inlineStr">
        <is>
          <t>新目标</t>
        </is>
      </c>
      <c r="H43" s="113" t="inlineStr">
        <is>
          <t>可再生能源</t>
        </is>
      </c>
      <c r="I43" s="113" t="inlineStr">
        <is>
          <t>地区</t>
        </is>
      </c>
      <c r="J43" s="113" t="inlineStr">
        <is>
          <t>到2015年，农村沼气年利用量达到190亿立方米。</t>
        </is>
      </c>
      <c r="K43" s="113" t="inlineStr">
        <is>
          <t>FYP1302.htm</t>
        </is>
      </c>
      <c r="L43" s="113" t="inlineStr">
        <is>
          <t>能源|电力</t>
        </is>
      </c>
      <c r="M43" s="113" t="inlineStr">
        <is>
          <t>电力供应</t>
        </is>
      </c>
    </row>
    <row r="44" ht="18" customHeight="1" s="235">
      <c r="A44" s="113" t="n">
        <v>2013</v>
      </c>
      <c r="B44" s="113" t="inlineStr">
        <is>
          <t>农村沼气用户</t>
        </is>
      </c>
      <c r="C44" s="113" t="inlineStr">
        <is>
          <t>达到</t>
        </is>
      </c>
      <c r="D44" s="113" t="inlineStr">
        <is>
          <t>五千万户</t>
        </is>
      </c>
      <c r="E44" s="113" t="n"/>
      <c r="F44" s="114" t="inlineStr">
        <is>
          <t>2015</t>
        </is>
      </c>
      <c r="G44" s="113" t="inlineStr">
        <is>
          <t>新目标</t>
        </is>
      </c>
      <c r="H44" s="113" t="inlineStr">
        <is>
          <t>可再生能源</t>
        </is>
      </c>
      <c r="I44" s="113" t="inlineStr">
        <is>
          <t>地区</t>
        </is>
      </c>
      <c r="J44" s="113" t="inlineStr">
        <is>
          <t>到2015年，农村沼气用户达到5000万户。</t>
        </is>
      </c>
      <c r="K44" s="113" t="inlineStr">
        <is>
          <t>FYP1302.htm</t>
        </is>
      </c>
      <c r="L44" s="113" t="inlineStr">
        <is>
          <t>能源|电力</t>
        </is>
      </c>
      <c r="M44" s="113" t="inlineStr">
        <is>
          <t>能源消费</t>
        </is>
      </c>
    </row>
    <row r="45" ht="18" customHeight="1" s="235">
      <c r="A45" s="113" t="n">
        <v>2013</v>
      </c>
      <c r="B45" s="113" t="inlineStr">
        <is>
          <t>分布式天然气能源项目</t>
        </is>
      </c>
      <c r="C45" s="113" t="inlineStr">
        <is>
          <t>建设</t>
        </is>
      </c>
      <c r="D45" s="113" t="inlineStr">
        <is>
          <t>约1000个项目</t>
        </is>
      </c>
      <c r="E45" s="113" t="n"/>
      <c r="F45" s="114" t="inlineStr">
        <is>
          <t>2015</t>
        </is>
      </c>
      <c r="G45" s="113" t="inlineStr">
        <is>
          <t>新目标</t>
        </is>
      </c>
      <c r="H45" s="113" t="inlineStr">
        <is>
          <t>过渡能源</t>
        </is>
      </c>
      <c r="I45" s="113" t="inlineStr">
        <is>
          <t>行业</t>
        </is>
      </c>
      <c r="J45" s="113" t="inlineStr">
        <is>
          <t>到2015年，建成约1000个分布式天然气能源项目。</t>
        </is>
      </c>
      <c r="K45" s="113" t="inlineStr">
        <is>
          <t>FYP1302.htm</t>
        </is>
      </c>
      <c r="L45" s="113" t="inlineStr">
        <is>
          <t>能源|电力</t>
        </is>
      </c>
      <c r="M45" s="113" t="inlineStr">
        <is>
          <t>电力供应</t>
        </is>
      </c>
    </row>
    <row r="46" ht="18" customHeight="1" s="235">
      <c r="A46" s="113" t="n">
        <v>2013</v>
      </c>
      <c r="B46" s="113" t="inlineStr">
        <is>
          <t>分布式天然气能源项目</t>
        </is>
      </c>
      <c r="C46" s="113" t="inlineStr">
        <is>
          <t>创建</t>
        </is>
      </c>
      <c r="D46" s="113" t="inlineStr">
        <is>
          <t>10个示范区</t>
        </is>
      </c>
      <c r="E46" s="113" t="n"/>
      <c r="F46" s="114" t="inlineStr">
        <is>
          <t>2015</t>
        </is>
      </c>
      <c r="G46" s="113" t="inlineStr">
        <is>
          <t>新目标</t>
        </is>
      </c>
      <c r="H46" s="113" t="inlineStr">
        <is>
          <t>过渡能源</t>
        </is>
      </c>
      <c r="I46" s="113" t="inlineStr">
        <is>
          <t>不明确</t>
        </is>
      </c>
      <c r="J46" s="113" t="inlineStr">
        <is>
          <t>到2015年，建成10个分布式天然气能源示范区。</t>
        </is>
      </c>
      <c r="K46" s="113" t="inlineStr">
        <is>
          <t>FYP1302.htm</t>
        </is>
      </c>
      <c r="L46" s="113" t="inlineStr">
        <is>
          <t>能源|电力</t>
        </is>
      </c>
      <c r="M46" s="113" t="inlineStr">
        <is>
          <t>电力供应</t>
        </is>
      </c>
    </row>
    <row r="47" ht="18" customHeight="1" s="235">
      <c r="A47" s="113" t="n">
        <v>2012</v>
      </c>
      <c r="B47" s="113" t="inlineStr">
        <is>
          <t>分布式天然气能源项目</t>
        </is>
      </c>
      <c r="C47" s="113" t="inlineStr">
        <is>
          <t>建设</t>
        </is>
      </c>
      <c r="D47" s="113" t="inlineStr">
        <is>
          <t>1000个项目</t>
        </is>
      </c>
      <c r="E47" s="113" t="n"/>
      <c r="F47" s="114" t="inlineStr">
        <is>
          <t>十二五</t>
        </is>
      </c>
      <c r="G47" s="113" t="inlineStr">
        <is>
          <t>新目标</t>
        </is>
      </c>
      <c r="H47" s="113" t="inlineStr">
        <is>
          <t>过渡能源</t>
        </is>
      </c>
      <c r="I47" s="113" t="inlineStr">
        <is>
          <t>不明确</t>
        </is>
      </c>
      <c r="J47" s="113" t="inlineStr">
        <is>
          <t>“十二五”期间建设1000个左右天然气分布式能源项目，以及10个左右各类典型特征的分布式能源示范区域。</t>
        </is>
      </c>
      <c r="K47" s="113" t="inlineStr">
        <is>
          <t>WP1201.htm</t>
        </is>
      </c>
      <c r="L47" s="113" t="inlineStr">
        <is>
          <t>能源|电力</t>
        </is>
      </c>
      <c r="M47" s="113" t="inlineStr">
        <is>
          <t>电力供应</t>
        </is>
      </c>
    </row>
    <row r="48" ht="18" customHeight="1" s="235">
      <c r="A48" s="113" t="n">
        <v>2013</v>
      </c>
      <c r="B48" s="113" t="inlineStr">
        <is>
          <t>分布式太阳能发电装机容量</t>
        </is>
      </c>
      <c r="C48" s="113" t="inlineStr">
        <is>
          <t>达到</t>
        </is>
      </c>
      <c r="D48" s="113" t="inlineStr">
        <is>
          <t>1000万千瓦</t>
        </is>
      </c>
      <c r="E48" s="113" t="n"/>
      <c r="F48" s="114" t="inlineStr">
        <is>
          <t>2015</t>
        </is>
      </c>
      <c r="G48" s="113" t="inlineStr">
        <is>
          <t>新目标</t>
        </is>
      </c>
      <c r="H48" s="113" t="inlineStr">
        <is>
          <t>可再生能源</t>
        </is>
      </c>
      <c r="I48" s="113" t="inlineStr">
        <is>
          <t>全社会经济</t>
        </is>
      </c>
      <c r="J48" s="113" t="inlineStr">
        <is>
          <t>到2015年，分布式太阳能发电装机规模达到1000万千瓦。</t>
        </is>
      </c>
      <c r="K48" s="113" t="inlineStr">
        <is>
          <t>FYP1302.htm</t>
        </is>
      </c>
      <c r="L48" s="113" t="inlineStr">
        <is>
          <t>能源|电力</t>
        </is>
      </c>
      <c r="M48" s="113" t="inlineStr">
        <is>
          <t>电力供应</t>
        </is>
      </c>
    </row>
    <row r="49" ht="18" customHeight="1" s="235">
      <c r="A49" s="113" t="n">
        <v>2018</v>
      </c>
      <c r="B49" s="113" t="inlineStr">
        <is>
          <t>北京、天津、河北、山东、河南五省（直辖市）煤炭消费总量</t>
        </is>
      </c>
      <c r="C49" s="113" t="inlineStr">
        <is>
          <t>降低</t>
        </is>
      </c>
      <c r="D49" s="113" t="inlineStr">
        <is>
          <t>较2015年下降10%</t>
        </is>
      </c>
      <c r="E49" s="113" t="n">
        <v>2015</v>
      </c>
      <c r="F49" s="114" t="inlineStr">
        <is>
          <t>2020</t>
        </is>
      </c>
      <c r="G49" s="113" t="inlineStr">
        <is>
          <t>重申目标</t>
        </is>
      </c>
      <c r="H49" s="113" t="inlineStr">
        <is>
          <t>涉煤</t>
        </is>
      </c>
      <c r="I49" s="113" t="inlineStr">
        <is>
          <t>全社会经济</t>
        </is>
      </c>
      <c r="J49" s="113" t="inlineStr">
        <is>
          <t>到2020年，北京、天津、河北、山东、河南五省（直辖市）煤炭消费总量比2015年下降10%。</t>
        </is>
      </c>
      <c r="K49" s="113" t="inlineStr">
        <is>
          <t>AP1802.htm</t>
        </is>
      </c>
      <c r="L49" s="113" t="inlineStr">
        <is>
          <t>能源|电力</t>
        </is>
      </c>
      <c r="M49" s="113" t="inlineStr">
        <is>
          <t>煤电</t>
        </is>
      </c>
    </row>
    <row r="50" ht="18" customHeight="1" s="235">
      <c r="A50" s="113" t="n">
        <v>2018</v>
      </c>
      <c r="B50" s="113" t="inlineStr">
        <is>
          <t>北京市、天津市、河北省、山东省、河南省及珠三角区域煤炭消费总量</t>
        </is>
      </c>
      <c r="C50" s="113" t="inlineStr">
        <is>
          <t>降低</t>
        </is>
      </c>
      <c r="D50" s="113" t="inlineStr">
        <is>
          <t>10%左右</t>
        </is>
      </c>
      <c r="E50" s="113" t="n">
        <v>2015</v>
      </c>
      <c r="F50" s="114" t="inlineStr">
        <is>
          <t>2020</t>
        </is>
      </c>
      <c r="G50" s="113" t="inlineStr">
        <is>
          <t>重申目标</t>
        </is>
      </c>
      <c r="H50" s="113" t="inlineStr">
        <is>
          <t>涉煤</t>
        </is>
      </c>
      <c r="I50" s="113" t="inlineStr">
        <is>
          <t>地区</t>
        </is>
      </c>
      <c r="J50" s="113" t="inlineStr">
        <is>
          <t>到2020年，北京市、天津市、河北省、山东省、河南省及珠三角区域煤炭消费总量比2015年均下降10%左右。</t>
        </is>
      </c>
      <c r="K50" s="113" t="inlineStr">
        <is>
          <t>O1802.htm</t>
        </is>
      </c>
      <c r="L50" s="113" t="inlineStr">
        <is>
          <t>能源|电力</t>
        </is>
      </c>
      <c r="M50" s="113" t="inlineStr">
        <is>
          <t>煤电</t>
        </is>
      </c>
    </row>
    <row r="51" ht="18" customHeight="1" s="235">
      <c r="A51" s="113" t="n">
        <v>2007</v>
      </c>
      <c r="B51" s="113" t="inlineStr">
        <is>
          <t>十大重点节能工程形成节能能力</t>
        </is>
      </c>
      <c r="C51" s="113" t="inlineStr">
        <is>
          <t>实现</t>
        </is>
      </c>
      <c r="D51" s="113" t="inlineStr">
        <is>
          <t>2.4亿吨标准煤</t>
        </is>
      </c>
      <c r="E51" s="113" t="n"/>
      <c r="F51" s="114" t="inlineStr">
        <is>
          <t>十一五</t>
        </is>
      </c>
      <c r="G51" s="113" t="inlineStr">
        <is>
          <t>新目标</t>
        </is>
      </c>
      <c r="H51" s="113" t="inlineStr">
        <is>
          <t>节能</t>
        </is>
      </c>
      <c r="I51" s="113" t="inlineStr">
        <is>
          <t>不明确</t>
        </is>
      </c>
      <c r="J51" s="113" t="inlineStr">
        <is>
          <t>“十一五”期间通过实施十大重点节能工程，形成2.4亿吨标准煤的节能能力。</t>
        </is>
      </c>
      <c r="K51" s="113" t="inlineStr">
        <is>
          <t>WOP0701.htm</t>
        </is>
      </c>
      <c r="L51" s="113" t="inlineStr">
        <is>
          <t>能源|电力</t>
        </is>
      </c>
      <c r="M51" s="113" t="inlineStr">
        <is>
          <t>能源消费</t>
        </is>
      </c>
    </row>
    <row r="52" ht="18" customHeight="1" s="235">
      <c r="A52" s="113" t="n">
        <v>2023</v>
      </c>
      <c r="B52" s="113" t="inlineStr">
        <is>
          <t>千万吨级炼油产能占比</t>
        </is>
      </c>
      <c r="C52" s="113" t="inlineStr">
        <is>
          <t>占比达到</t>
        </is>
      </c>
      <c r="D52" s="113" t="inlineStr">
        <is>
          <t>55%左右</t>
        </is>
      </c>
      <c r="E52" s="113" t="n"/>
      <c r="F52" s="114" t="inlineStr">
        <is>
          <t>2025</t>
        </is>
      </c>
      <c r="G52" s="113" t="inlineStr">
        <is>
          <t>新目标</t>
        </is>
      </c>
      <c r="H52" s="113" t="inlineStr">
        <is>
          <t>过渡能源</t>
        </is>
      </c>
      <c r="I52" s="113" t="inlineStr">
        <is>
          <t>全社会经济</t>
        </is>
      </c>
      <c r="J52" s="113" t="inlineStr">
        <is>
          <t>到2025年，国内原油一次加工能力控制在10亿吨以内，千万吨级炼油产能占比55%左右。</t>
        </is>
      </c>
      <c r="K52" s="113" t="inlineStr">
        <is>
          <t>GO2304.htm</t>
        </is>
      </c>
      <c r="L52" s="113" t="inlineStr">
        <is>
          <t>能源|电力</t>
        </is>
      </c>
      <c r="M52" s="113" t="inlineStr">
        <is>
          <t>电力供应</t>
        </is>
      </c>
    </row>
    <row r="53" ht="18" customHeight="1" s="235">
      <c r="A53" s="113" t="n">
        <v>2018</v>
      </c>
      <c r="B53" s="113" t="inlineStr">
        <is>
          <t>单位GDP能耗</t>
        </is>
      </c>
      <c r="C53" s="113" t="inlineStr">
        <is>
          <t>降低</t>
        </is>
      </c>
      <c r="D53" s="113" t="inlineStr">
        <is>
          <t>3%以上</t>
        </is>
      </c>
      <c r="E53" s="113" t="n">
        <v>2017</v>
      </c>
      <c r="F53" s="114" t="n">
        <v>2018</v>
      </c>
      <c r="G53" s="113" t="inlineStr">
        <is>
          <t>新目标</t>
        </is>
      </c>
      <c r="H53" s="113" t="inlineStr">
        <is>
          <t>能源效率</t>
        </is>
      </c>
      <c r="I53" s="113" t="inlineStr">
        <is>
          <t>全社会经济</t>
        </is>
      </c>
      <c r="J53" s="113" t="inlineStr">
        <is>
          <t>单位国内生产总值能耗降低3%以上。</t>
        </is>
      </c>
      <c r="K53" s="113" t="inlineStr">
        <is>
          <t>HL1803.htm</t>
        </is>
      </c>
      <c r="L53" s="113" t="inlineStr">
        <is>
          <t>能源|电力</t>
        </is>
      </c>
      <c r="M53" s="113" t="inlineStr">
        <is>
          <t>能源消费</t>
        </is>
      </c>
    </row>
    <row r="54" ht="18" customHeight="1" s="235">
      <c r="A54" s="113" t="n">
        <v>2007</v>
      </c>
      <c r="B54" s="113" t="inlineStr">
        <is>
          <t>单位国内生产总值能源消耗</t>
        </is>
      </c>
      <c r="C54" s="113" t="inlineStr">
        <is>
          <t>降低</t>
        </is>
      </c>
      <c r="D54" s="113" t="inlineStr">
        <is>
          <t>20%</t>
        </is>
      </c>
      <c r="E54" s="113" t="n">
        <v>2005</v>
      </c>
      <c r="F54" s="114" t="inlineStr">
        <is>
          <t>2010</t>
        </is>
      </c>
      <c r="G54" s="113" t="inlineStr">
        <is>
          <t>重申目标</t>
        </is>
      </c>
      <c r="H54" s="113" t="inlineStr">
        <is>
          <t>能源效率</t>
        </is>
      </c>
      <c r="I54" s="113" t="inlineStr">
        <is>
          <t>全社会经济</t>
        </is>
      </c>
      <c r="J54" s="113" t="inlineStr">
        <is>
          <t>通过上述措施，中国将在2010年实现单位国内生产总值能源消耗比2005年降低约20%的目标，从而减少二氧化碳排放。</t>
        </is>
      </c>
      <c r="K54" s="113" t="inlineStr">
        <is>
          <t>HL0701.pdf</t>
        </is>
      </c>
      <c r="L54" s="113" t="inlineStr">
        <is>
          <t>能源|电力</t>
        </is>
      </c>
      <c r="M54" s="113" t="inlineStr">
        <is>
          <t>能源消费</t>
        </is>
      </c>
    </row>
    <row r="55" ht="18" customHeight="1" s="235">
      <c r="A55" s="113" t="n">
        <v>2012</v>
      </c>
      <c r="B55" s="113" t="inlineStr">
        <is>
          <t>单位国内生产总值能源消耗</t>
        </is>
      </c>
      <c r="C55" s="113" t="inlineStr">
        <is>
          <t>降低</t>
        </is>
      </c>
      <c r="D55" s="113" t="inlineStr">
        <is>
          <t>16%</t>
        </is>
      </c>
      <c r="E55" s="113" t="n"/>
      <c r="F55" s="114" t="inlineStr">
        <is>
          <t>十二五</t>
        </is>
      </c>
      <c r="G55" s="113" t="inlineStr">
        <is>
          <t>重申目标</t>
        </is>
      </c>
      <c r="H55" s="113" t="inlineStr">
        <is>
          <t>能源效率</t>
        </is>
      </c>
      <c r="I55" s="113" t="inlineStr">
        <is>
          <t>全社会经济</t>
        </is>
      </c>
      <c r="J55" s="113" t="inlineStr">
        <is>
          <t>第十二个五年规划还设定了具体行动目标，即单位国内生产总值能源消耗降低16%。</t>
        </is>
      </c>
      <c r="K55" s="113" t="inlineStr">
        <is>
          <t>HL1201.pdf</t>
        </is>
      </c>
      <c r="L55" s="113" t="inlineStr">
        <is>
          <t>能源|电力</t>
        </is>
      </c>
      <c r="M55" s="113" t="inlineStr">
        <is>
          <t>能源消费</t>
        </is>
      </c>
    </row>
    <row r="56" ht="18" customHeight="1" s="235">
      <c r="A56" s="113" t="n">
        <v>2017</v>
      </c>
      <c r="B56" s="113" t="inlineStr">
        <is>
          <t>单位国内生产总值能源消耗</t>
        </is>
      </c>
      <c r="C56" s="113" t="inlineStr">
        <is>
          <t>降低</t>
        </is>
      </c>
      <c r="D56" s="113" t="inlineStr">
        <is>
          <t>16%</t>
        </is>
      </c>
      <c r="E56" s="113" t="n">
        <v>2010</v>
      </c>
      <c r="F56" s="114" t="n">
        <v>2015</v>
      </c>
      <c r="G56" s="113" t="inlineStr">
        <is>
          <t>重申目标</t>
        </is>
      </c>
      <c r="H56" s="113" t="inlineStr">
        <is>
          <t>能源效率</t>
        </is>
      </c>
      <c r="I56" s="113" t="inlineStr">
        <is>
          <t>全社会经济</t>
        </is>
      </c>
      <c r="J56" s="113" t="inlineStr">
        <is>
          <t>2011年3月发布的《中华人民共和国国民经济和社会发展第十二个五年规划纲要》提出，到2015年，单位国内生产总值能耗比2010年下降16%的约束性目标。</t>
        </is>
      </c>
      <c r="K56" s="113" t="inlineStr">
        <is>
          <t>HL1701.pdf</t>
        </is>
      </c>
      <c r="L56" s="113" t="inlineStr">
        <is>
          <t>能源|电力</t>
        </is>
      </c>
      <c r="M56" s="113" t="inlineStr">
        <is>
          <t>能源消费</t>
        </is>
      </c>
    </row>
    <row r="57" ht="18" customHeight="1" s="235">
      <c r="A57" s="113" t="n">
        <v>2019</v>
      </c>
      <c r="B57" s="113" t="inlineStr">
        <is>
          <t>单位国内生产总值能源消耗</t>
        </is>
      </c>
      <c r="C57" s="113" t="inlineStr">
        <is>
          <t>降低</t>
        </is>
      </c>
      <c r="D57" s="113" t="inlineStr">
        <is>
          <t>16%</t>
        </is>
      </c>
      <c r="E57" s="113" t="n"/>
      <c r="F57" s="114" t="inlineStr">
        <is>
          <t>十二五</t>
        </is>
      </c>
      <c r="G57" s="113" t="inlineStr">
        <is>
          <t>重申目标</t>
        </is>
      </c>
      <c r="H57" s="113" t="inlineStr">
        <is>
          <t>能源效率</t>
        </is>
      </c>
      <c r="I57" s="113" t="inlineStr">
        <is>
          <t>全社会经济</t>
        </is>
      </c>
      <c r="J57" s="113" t="inlineStr">
        <is>
          <t>《第十二个五年规划纲要》将单位国内生产总值能源消耗下降16%作为约束性目标。</t>
        </is>
      </c>
      <c r="K57" s="113" t="inlineStr">
        <is>
          <t>HL1902.pdf</t>
        </is>
      </c>
      <c r="L57" s="113" t="inlineStr">
        <is>
          <t>能源|电力</t>
        </is>
      </c>
      <c r="M57" s="113" t="inlineStr">
        <is>
          <t>能源消费</t>
        </is>
      </c>
    </row>
    <row r="58" ht="18" customHeight="1" s="235">
      <c r="A58" s="113" t="n">
        <v>2024</v>
      </c>
      <c r="B58" s="113" t="inlineStr">
        <is>
          <t>单位国内生产总值能源消耗</t>
        </is>
      </c>
      <c r="C58" s="113" t="inlineStr">
        <is>
          <t>降低</t>
        </is>
      </c>
      <c r="D58" s="113" t="inlineStr">
        <is>
          <t>2.5%左右</t>
        </is>
      </c>
      <c r="E58" s="113" t="n">
        <v>2023</v>
      </c>
      <c r="F58" s="114" t="n">
        <v>2024</v>
      </c>
      <c r="G58" s="113" t="inlineStr">
        <is>
          <t>新目标</t>
        </is>
      </c>
      <c r="H58" s="113" t="inlineStr">
        <is>
          <t>能源效率</t>
        </is>
      </c>
      <c r="I58" s="113" t="inlineStr">
        <is>
          <t>全社会经济</t>
        </is>
      </c>
      <c r="J58" s="113" t="inlineStr">
        <is>
          <t>2024年，单位国内生产总值能源消耗和二氧化碳排放分别降低2.5%左右、3.9%左右</t>
        </is>
      </c>
      <c r="K58" s="113" t="inlineStr">
        <is>
          <t>AP2405.htm</t>
        </is>
      </c>
      <c r="L58" s="113" t="inlineStr">
        <is>
          <t>能源|电力</t>
        </is>
      </c>
      <c r="M58" s="113" t="inlineStr">
        <is>
          <t>能源消费</t>
        </is>
      </c>
    </row>
    <row r="59" ht="18" customHeight="1" s="235">
      <c r="A59" s="113" t="n">
        <v>2021</v>
      </c>
      <c r="B59" s="113" t="inlineStr">
        <is>
          <t>单位国内生产总值能源消耗</t>
        </is>
      </c>
      <c r="C59" s="113" t="inlineStr">
        <is>
          <t>降低</t>
        </is>
      </c>
      <c r="D59" s="113" t="inlineStr">
        <is>
          <t>13.5%</t>
        </is>
      </c>
      <c r="E59" s="113" t="n">
        <v>2020</v>
      </c>
      <c r="F59" s="114" t="inlineStr">
        <is>
          <t>2025</t>
        </is>
      </c>
      <c r="G59" s="113" t="inlineStr">
        <is>
          <t>新目标</t>
        </is>
      </c>
      <c r="H59" s="113" t="inlineStr">
        <is>
          <t>能源效率</t>
        </is>
      </c>
      <c r="I59" s="113" t="inlineStr">
        <is>
          <t>全社会经济</t>
        </is>
      </c>
      <c r="J59" s="113" t="inlineStr">
        <is>
          <t>到2025年，单位国内生产总值能源消耗比2020年下降13.5%，为二氧化碳排放达峰奠定坚实基础。</t>
        </is>
      </c>
      <c r="K59" s="113" t="inlineStr">
        <is>
          <t>HL2102.pdf</t>
        </is>
      </c>
      <c r="L59" s="113" t="inlineStr">
        <is>
          <t>能源|电力</t>
        </is>
      </c>
      <c r="M59" s="113" t="inlineStr">
        <is>
          <t>能源消费</t>
        </is>
      </c>
    </row>
    <row r="60" ht="18" customHeight="1" s="235">
      <c r="A60" s="113" t="n">
        <v>2011</v>
      </c>
      <c r="B60" s="113" t="inlineStr">
        <is>
          <t>单位国内生产总值能源消耗</t>
        </is>
      </c>
      <c r="C60" s="113" t="inlineStr">
        <is>
          <t>降低</t>
        </is>
      </c>
      <c r="D60" s="113" t="inlineStr">
        <is>
          <t>16%</t>
        </is>
      </c>
      <c r="E60" s="113" t="n">
        <v>2010</v>
      </c>
      <c r="F60" s="114" t="inlineStr">
        <is>
          <t>2015</t>
        </is>
      </c>
      <c r="G60" s="113" t="inlineStr">
        <is>
          <t>重申目标</t>
        </is>
      </c>
      <c r="H60" s="113" t="inlineStr">
        <is>
          <t>能源效率</t>
        </is>
      </c>
      <c r="I60" s="113" t="inlineStr">
        <is>
          <t>全社会经济</t>
        </is>
      </c>
      <c r="J60" s="113" t="inlineStr">
        <is>
          <t>国家“十二五”规划纲要提出，到2015年，单位国内生产总值能源消耗比2010年降低16%。</t>
        </is>
      </c>
      <c r="K60" s="113" t="inlineStr">
        <is>
          <t>FYP1102.htm</t>
        </is>
      </c>
      <c r="L60" s="113" t="inlineStr">
        <is>
          <t>能源|电力</t>
        </is>
      </c>
      <c r="M60" s="113" t="inlineStr">
        <is>
          <t>能源消费</t>
        </is>
      </c>
    </row>
    <row r="61" ht="18" customHeight="1" s="235">
      <c r="A61" s="113" t="n">
        <v>2019</v>
      </c>
      <c r="B61" s="113" t="inlineStr">
        <is>
          <t>单位国内生产总值能源消耗</t>
        </is>
      </c>
      <c r="C61" s="113" t="inlineStr">
        <is>
          <t>降低</t>
        </is>
      </c>
      <c r="D61" s="113" t="inlineStr">
        <is>
          <t>15%</t>
        </is>
      </c>
      <c r="E61" s="113" t="n">
        <v>2015</v>
      </c>
      <c r="F61" s="114" t="inlineStr">
        <is>
          <t>2020</t>
        </is>
      </c>
      <c r="G61" s="113" t="inlineStr">
        <is>
          <t>重申目标</t>
        </is>
      </c>
      <c r="H61" s="113" t="inlineStr">
        <is>
          <t>能源效率</t>
        </is>
      </c>
      <c r="I61" s="113" t="inlineStr">
        <is>
          <t>全社会经济</t>
        </is>
      </c>
      <c r="J61" s="113" t="inlineStr">
        <is>
          <t>到2020年，单位国内生产总值能源消耗比2015年下降15%</t>
        </is>
      </c>
      <c r="K61" s="113" t="inlineStr">
        <is>
          <t>HL1902.pdf</t>
        </is>
      </c>
      <c r="L61" s="113" t="inlineStr">
        <is>
          <t>能源|电力</t>
        </is>
      </c>
      <c r="M61" s="113" t="inlineStr">
        <is>
          <t>能源消费</t>
        </is>
      </c>
    </row>
    <row r="62" ht="18" customHeight="1" s="235">
      <c r="A62" s="113" t="n">
        <v>2021</v>
      </c>
      <c r="B62" s="113" t="inlineStr">
        <is>
          <t>单位国内生产总值能源消耗</t>
        </is>
      </c>
      <c r="C62" s="113" t="inlineStr">
        <is>
          <t>降低</t>
        </is>
      </c>
      <c r="D62" s="113" t="inlineStr">
        <is>
          <t>13.5%</t>
        </is>
      </c>
      <c r="E62" s="113" t="n">
        <v>2020</v>
      </c>
      <c r="F62" s="114" t="inlineStr">
        <is>
          <t>2025</t>
        </is>
      </c>
      <c r="G62" s="113" t="inlineStr">
        <is>
          <t>重申目标</t>
        </is>
      </c>
      <c r="H62" s="113" t="inlineStr">
        <is>
          <t>能源效率</t>
        </is>
      </c>
      <c r="I62" s="113" t="inlineStr">
        <is>
          <t>全社会经济</t>
        </is>
      </c>
      <c r="J62" s="113" t="inlineStr">
        <is>
          <t>到2025年，全国单位国内生产总值能源消耗比2020年下降13.5%。</t>
        </is>
      </c>
      <c r="K62" s="113" t="inlineStr">
        <is>
          <t>FYP2107.htm</t>
        </is>
      </c>
      <c r="L62" s="113" t="inlineStr">
        <is>
          <t>能源|电力</t>
        </is>
      </c>
      <c r="M62" s="113" t="inlineStr">
        <is>
          <t>能源消费</t>
        </is>
      </c>
    </row>
    <row r="63" ht="18" customHeight="1" s="235">
      <c r="A63" s="113" t="n">
        <v>2024</v>
      </c>
      <c r="B63" s="113" t="inlineStr">
        <is>
          <t>单位国内生产总值能源消耗</t>
        </is>
      </c>
      <c r="C63" s="113" t="inlineStr">
        <is>
          <t>降低</t>
        </is>
      </c>
      <c r="D63" s="113" t="inlineStr">
        <is>
          <t>2.5%左右</t>
        </is>
      </c>
      <c r="E63" s="113" t="n">
        <v>2023</v>
      </c>
      <c r="F63" s="114" t="n">
        <v>2024</v>
      </c>
      <c r="G63" s="113" t="inlineStr">
        <is>
          <t>重申目标</t>
        </is>
      </c>
      <c r="H63" s="113" t="inlineStr">
        <is>
          <t>能源效率</t>
        </is>
      </c>
      <c r="I63" s="113" t="inlineStr">
        <is>
          <t>全社会经济</t>
        </is>
      </c>
      <c r="J63" s="113" t="inlineStr">
        <is>
          <t>单位国内生产总值能耗降低2.5%左右</t>
        </is>
      </c>
      <c r="K63" s="113" t="inlineStr">
        <is>
          <t>HL2405.pdf</t>
        </is>
      </c>
      <c r="L63" s="113" t="inlineStr">
        <is>
          <t>能源|电力</t>
        </is>
      </c>
      <c r="M63" s="113" t="inlineStr">
        <is>
          <t>能源消费</t>
        </is>
      </c>
    </row>
    <row r="64" ht="18" customHeight="1" s="235">
      <c r="A64" s="113" t="n">
        <v>2016</v>
      </c>
      <c r="B64" s="113" t="inlineStr">
        <is>
          <t>单位国内生产总值能源消费</t>
        </is>
      </c>
      <c r="C64" s="113" t="inlineStr">
        <is>
          <t>降低</t>
        </is>
      </c>
      <c r="D64" s="113" t="inlineStr">
        <is>
          <t>15%</t>
        </is>
      </c>
      <c r="E64" s="113" t="n">
        <v>2015</v>
      </c>
      <c r="F64" s="114" t="inlineStr">
        <is>
          <t>2020</t>
        </is>
      </c>
      <c r="G64" s="113" t="inlineStr">
        <is>
          <t>新目标</t>
        </is>
      </c>
      <c r="H64" s="113" t="inlineStr">
        <is>
          <t>能源效率</t>
        </is>
      </c>
      <c r="I64" s="113" t="inlineStr">
        <is>
          <t>全社会经济</t>
        </is>
      </c>
      <c r="J64" s="113" t="inlineStr">
        <is>
          <t>到2020年，单位国内生产总值能源消费比2015年下降15%。</t>
        </is>
      </c>
      <c r="K64" s="113" t="inlineStr">
        <is>
          <t>FYP1615.htm</t>
        </is>
      </c>
      <c r="L64" s="113" t="inlineStr">
        <is>
          <t>能源|电力</t>
        </is>
      </c>
      <c r="M64" s="113" t="inlineStr">
        <is>
          <t>能源消费</t>
        </is>
      </c>
    </row>
    <row r="65" ht="18" customHeight="1" s="235">
      <c r="A65" s="113" t="n">
        <v>2005</v>
      </c>
      <c r="B65" s="113" t="inlineStr">
        <is>
          <t>单位国内生产总值能耗</t>
        </is>
      </c>
      <c r="C65" s="113" t="inlineStr">
        <is>
          <t>降低</t>
        </is>
      </c>
      <c r="D65" s="113" t="inlineStr">
        <is>
          <t>超过18%</t>
        </is>
      </c>
      <c r="E65" s="113" t="n">
        <v>2003</v>
      </c>
      <c r="F65" s="114" t="inlineStr">
        <is>
          <t>2010</t>
        </is>
      </c>
      <c r="G65" s="113" t="inlineStr">
        <is>
          <t>新目标</t>
        </is>
      </c>
      <c r="H65" s="113" t="inlineStr">
        <is>
          <t>能源效率</t>
        </is>
      </c>
      <c r="I65" s="113" t="inlineStr">
        <is>
          <t>全社会经济</t>
        </is>
      </c>
      <c r="J65" s="113" t="inlineStr">
        <is>
          <t>到2010年，我国万元国内生产总值能耗比2003年下降18%以上。</t>
        </is>
      </c>
      <c r="K65" s="113" t="inlineStr">
        <is>
          <t>O0501.htm</t>
        </is>
      </c>
      <c r="L65" s="113" t="inlineStr">
        <is>
          <t>能源|电力</t>
        </is>
      </c>
      <c r="M65" s="113" t="inlineStr">
        <is>
          <t>能源消费</t>
        </is>
      </c>
    </row>
    <row r="66" ht="18" customHeight="1" s="235">
      <c r="A66" s="113" t="n">
        <v>2004</v>
      </c>
      <c r="B66" s="113" t="inlineStr">
        <is>
          <t>单位国内生产总值能耗</t>
        </is>
      </c>
      <c r="C66" s="113" t="inlineStr">
        <is>
          <t>降低至</t>
        </is>
      </c>
      <c r="D66" s="113" t="inlineStr">
        <is>
          <t>2.25吨标准煤（按1990年不变价计算）</t>
        </is>
      </c>
      <c r="E66" s="113" t="n"/>
      <c r="F66" s="114" t="inlineStr">
        <is>
          <t>2010</t>
        </is>
      </c>
      <c r="G66" s="113" t="inlineStr">
        <is>
          <t>新目标</t>
        </is>
      </c>
      <c r="H66" s="113" t="inlineStr">
        <is>
          <t>能源效率</t>
        </is>
      </c>
      <c r="I66" s="113" t="inlineStr">
        <is>
          <t>全社会经济</t>
        </is>
      </c>
      <c r="J66" s="113" t="inlineStr">
        <is>
          <t>到2010年每万元GDP（1990年不变价）能耗由2002年的2.68吨标准煤下降到2.25吨标准煤。</t>
        </is>
      </c>
      <c r="K66" s="113" t="inlineStr">
        <is>
          <t>MLT0401.htm</t>
        </is>
      </c>
      <c r="L66" s="113" t="inlineStr">
        <is>
          <t>能源|电力</t>
        </is>
      </c>
      <c r="M66" s="113" t="inlineStr">
        <is>
          <t>能源消费</t>
        </is>
      </c>
    </row>
    <row r="67" ht="18" customHeight="1" s="235">
      <c r="A67" s="113" t="n">
        <v>2012</v>
      </c>
      <c r="B67" s="113" t="inlineStr">
        <is>
          <t>单位国内生产总值能耗</t>
        </is>
      </c>
      <c r="C67" s="113" t="inlineStr">
        <is>
          <t>降低至</t>
        </is>
      </c>
      <c r="D67" s="113" t="inlineStr">
        <is>
          <t>0.869吨标准煤（按2005年价格计算）</t>
        </is>
      </c>
      <c r="E67" s="113" t="n"/>
      <c r="F67" s="114" t="inlineStr">
        <is>
          <t>2015</t>
        </is>
      </c>
      <c r="G67" s="113" t="inlineStr">
        <is>
          <t>新目标</t>
        </is>
      </c>
      <c r="H67" s="113" t="inlineStr">
        <is>
          <t>能源效率</t>
        </is>
      </c>
      <c r="I67" s="113" t="inlineStr">
        <is>
          <t>全社会经济</t>
        </is>
      </c>
      <c r="J67" s="113" t="inlineStr">
        <is>
          <t>到2015年，全国万元国内生产总值能耗下降到0.869吨标准煤（按2005年价格计算）。</t>
        </is>
      </c>
      <c r="K67" s="113" t="inlineStr">
        <is>
          <t>FYP1201.htm</t>
        </is>
      </c>
      <c r="L67" s="113" t="inlineStr">
        <is>
          <t>能源|电力</t>
        </is>
      </c>
      <c r="M67" s="113" t="inlineStr">
        <is>
          <t>能源消费</t>
        </is>
      </c>
    </row>
    <row r="68" ht="18" customHeight="1" s="235">
      <c r="A68" s="113" t="n">
        <v>2016</v>
      </c>
      <c r="B68" s="113" t="inlineStr">
        <is>
          <t>单位国内生产总值能耗</t>
        </is>
      </c>
      <c r="C68" s="113" t="inlineStr">
        <is>
          <t>降低</t>
        </is>
      </c>
      <c r="D68" s="113" t="inlineStr">
        <is>
          <t>15%</t>
        </is>
      </c>
      <c r="E68" s="113" t="n">
        <v>2015</v>
      </c>
      <c r="F68" s="114" t="inlineStr">
        <is>
          <t>2020</t>
        </is>
      </c>
      <c r="G68" s="113" t="inlineStr">
        <is>
          <t>新目标</t>
        </is>
      </c>
      <c r="H68" s="113" t="inlineStr">
        <is>
          <t>能源效率</t>
        </is>
      </c>
      <c r="I68" s="113" t="inlineStr">
        <is>
          <t>全社会经济</t>
        </is>
      </c>
      <c r="J68" s="113" t="inlineStr">
        <is>
          <t>到2020年，全国万元国内生产总值能耗比2015年下降15%。</t>
        </is>
      </c>
      <c r="K68" s="113" t="inlineStr">
        <is>
          <t>FYP1601.htm</t>
        </is>
      </c>
      <c r="L68" s="113" t="inlineStr">
        <is>
          <t>能源|电力</t>
        </is>
      </c>
      <c r="M68" s="113" t="inlineStr">
        <is>
          <t>能源消费</t>
        </is>
      </c>
    </row>
    <row r="69" ht="18" customHeight="1" s="235">
      <c r="A69" s="113" t="n">
        <v>2004</v>
      </c>
      <c r="B69" s="113" t="inlineStr">
        <is>
          <t>单位国内生产总值能耗</t>
        </is>
      </c>
      <c r="C69" s="113" t="inlineStr">
        <is>
          <t>降低至</t>
        </is>
      </c>
      <c r="D69" s="113" t="inlineStr">
        <is>
          <t>1.54吨标准煤</t>
        </is>
      </c>
      <c r="E69" s="113" t="n"/>
      <c r="F69" s="114" t="inlineStr">
        <is>
          <t>2020</t>
        </is>
      </c>
      <c r="G69" s="113" t="inlineStr">
        <is>
          <t>重申目标</t>
        </is>
      </c>
      <c r="H69" s="113" t="inlineStr">
        <is>
          <t>能源效率</t>
        </is>
      </c>
      <c r="I69" s="113" t="inlineStr">
        <is>
          <t>全社会经济</t>
        </is>
      </c>
      <c r="J69" s="113" t="inlineStr">
        <is>
          <t>到2020年，每万元国内生产总值能耗下降到1.54吨标准煤。</t>
        </is>
      </c>
      <c r="K69" s="113" t="inlineStr">
        <is>
          <t>MLT0401.htm</t>
        </is>
      </c>
      <c r="L69" s="113" t="inlineStr">
        <is>
          <t>能源|电力</t>
        </is>
      </c>
      <c r="M69" s="113" t="inlineStr">
        <is>
          <t>能源消费</t>
        </is>
      </c>
    </row>
    <row r="70" ht="18" customHeight="1" s="235">
      <c r="A70" s="113" t="n">
        <v>2012</v>
      </c>
      <c r="B70" s="113" t="inlineStr">
        <is>
          <t>单位国内生产总值能耗</t>
        </is>
      </c>
      <c r="C70" s="113" t="inlineStr">
        <is>
          <t>降低</t>
        </is>
      </c>
      <c r="D70" s="113" t="inlineStr">
        <is>
          <t>16%</t>
        </is>
      </c>
      <c r="E70" s="113" t="n">
        <v>2010</v>
      </c>
      <c r="F70" s="114" t="inlineStr">
        <is>
          <t>2015</t>
        </is>
      </c>
      <c r="G70" s="113" t="inlineStr">
        <is>
          <t>重申目标</t>
        </is>
      </c>
      <c r="H70" s="113" t="inlineStr">
        <is>
          <t>能源效率</t>
        </is>
      </c>
      <c r="I70" s="113" t="inlineStr">
        <is>
          <t>全社会经济</t>
        </is>
      </c>
      <c r="J70" s="113" t="inlineStr">
        <is>
          <t>到2015年，全国万元国内生产总值能耗比2010年的1.034吨标准煤下降16%（比2005年的1.276吨标准煤下降32%）。</t>
        </is>
      </c>
      <c r="K70" s="113" t="inlineStr">
        <is>
          <t>FYP1201.htm</t>
        </is>
      </c>
      <c r="L70" s="113" t="inlineStr">
        <is>
          <t>能源|电力</t>
        </is>
      </c>
      <c r="M70" s="113" t="inlineStr">
        <is>
          <t>能源消费</t>
        </is>
      </c>
    </row>
    <row r="71" ht="18" customHeight="1" s="235">
      <c r="A71" s="113" t="n">
        <v>2004</v>
      </c>
      <c r="B71" s="113" t="inlineStr">
        <is>
          <t>单位国内生产总值能耗</t>
        </is>
      </c>
      <c r="C71" s="113" t="inlineStr">
        <is>
          <t>降低至</t>
        </is>
      </c>
      <c r="D71" s="113" t="inlineStr">
        <is>
          <t>1.54吨标准煤（按1990年不变价计算）</t>
        </is>
      </c>
      <c r="E71" s="113" t="n"/>
      <c r="F71" s="114" t="inlineStr">
        <is>
          <t>2020</t>
        </is>
      </c>
      <c r="G71" s="113" t="inlineStr">
        <is>
          <t>新目标</t>
        </is>
      </c>
      <c r="H71" s="113" t="inlineStr">
        <is>
          <t>能源效率</t>
        </is>
      </c>
      <c r="I71" s="113" t="inlineStr">
        <is>
          <t>全社会经济</t>
        </is>
      </c>
      <c r="J71" s="113" t="inlineStr">
        <is>
          <t>到2020年，万元国内生产总值能耗将下降至1.54吨标准煤。</t>
        </is>
      </c>
      <c r="K71" s="113" t="inlineStr">
        <is>
          <t>MLT0402.pdf</t>
        </is>
      </c>
      <c r="L71" s="113" t="inlineStr">
        <is>
          <t>能源|电力</t>
        </is>
      </c>
      <c r="M71" s="113" t="inlineStr">
        <is>
          <t>能源消费</t>
        </is>
      </c>
    </row>
    <row r="72" ht="18" customHeight="1" s="235">
      <c r="A72" s="113" t="n">
        <v>2007</v>
      </c>
      <c r="B72" s="113" t="inlineStr">
        <is>
          <t>单位国内生产总值能耗</t>
        </is>
      </c>
      <c r="C72" s="113" t="inlineStr">
        <is>
          <t>降低</t>
        </is>
      </c>
      <c r="D72" s="113" t="inlineStr">
        <is>
          <t>20%</t>
        </is>
      </c>
      <c r="E72" s="113" t="n">
        <v>2005</v>
      </c>
      <c r="F72" s="114" t="inlineStr">
        <is>
          <t>2010</t>
        </is>
      </c>
      <c r="G72" s="113" t="inlineStr">
        <is>
          <t>强化或放宽目标（积极气候影响）</t>
        </is>
      </c>
      <c r="H72" s="113" t="inlineStr">
        <is>
          <t>能源效率</t>
        </is>
      </c>
      <c r="I72" s="113" t="inlineStr">
        <is>
          <t>全社会经济</t>
        </is>
      </c>
      <c r="J72" s="113" t="inlineStr">
        <is>
          <t>中国政府积极履行《联合国气候变化框架公约》承诺，努力实现到2010年单位国内生产总值能耗比2005年下降20%的目标。</t>
        </is>
      </c>
      <c r="K72" s="113" t="inlineStr">
        <is>
          <t>AP0702.pdf</t>
        </is>
      </c>
      <c r="L72" s="113" t="inlineStr">
        <is>
          <t>能源|电力</t>
        </is>
      </c>
      <c r="M72" s="113" t="inlineStr">
        <is>
          <t>能源消费</t>
        </is>
      </c>
    </row>
    <row r="73" ht="18" customHeight="1" s="235">
      <c r="A73" s="113" t="n">
        <v>2008</v>
      </c>
      <c r="B73" s="113" t="inlineStr">
        <is>
          <t>单位国内生产总值能耗</t>
        </is>
      </c>
      <c r="C73" s="113" t="inlineStr">
        <is>
          <t>降低</t>
        </is>
      </c>
      <c r="D73" s="113" t="inlineStr">
        <is>
          <t>约20%</t>
        </is>
      </c>
      <c r="E73" s="113" t="n"/>
      <c r="F73" s="114" t="inlineStr">
        <is>
          <t>2010</t>
        </is>
      </c>
      <c r="G73" s="113" t="inlineStr">
        <is>
          <t>重申目标</t>
        </is>
      </c>
      <c r="H73" s="113" t="inlineStr">
        <is>
          <t>能源效率</t>
        </is>
      </c>
      <c r="I73" s="113" t="inlineStr">
        <is>
          <t>全社会经济</t>
        </is>
      </c>
      <c r="J73" s="113" t="inlineStr">
        <is>
          <t>通过上述措施，预期到2010年，单位国内生产总值能耗将在2005年基础上下降约20%，从而相应减少二氧化碳排放。</t>
        </is>
      </c>
      <c r="K73" s="113" t="inlineStr">
        <is>
          <t>HL0801.pdf</t>
        </is>
      </c>
      <c r="L73" s="113" t="inlineStr">
        <is>
          <t>能源|电力</t>
        </is>
      </c>
      <c r="M73" s="113" t="inlineStr">
        <is>
          <t>能源消费</t>
        </is>
      </c>
    </row>
    <row r="74" ht="18" customHeight="1" s="235">
      <c r="A74" s="113" t="n">
        <v>2010</v>
      </c>
      <c r="B74" s="113" t="inlineStr">
        <is>
          <t>单位国内生产总值能耗</t>
        </is>
      </c>
      <c r="C74" s="113" t="inlineStr">
        <is>
          <t>降低</t>
        </is>
      </c>
      <c r="D74" s="113" t="inlineStr">
        <is>
          <t>5.2%左右</t>
        </is>
      </c>
      <c r="E74" s="113" t="n">
        <v>2009</v>
      </c>
      <c r="F74" s="114" t="n">
        <v>2010</v>
      </c>
      <c r="G74" s="113" t="inlineStr">
        <is>
          <t>新目标</t>
        </is>
      </c>
      <c r="H74" s="113" t="inlineStr">
        <is>
          <t>能源效率</t>
        </is>
      </c>
      <c r="I74" s="113" t="inlineStr">
        <is>
          <t>全社会经济</t>
        </is>
      </c>
      <c r="J74" s="113" t="inlineStr">
        <is>
          <t>要完成“十一五”节能目标，今年全年还要再下降5.2%</t>
        </is>
      </c>
      <c r="K74" s="113" t="inlineStr">
        <is>
          <t>HL1004.htm</t>
        </is>
      </c>
      <c r="L74" s="113" t="inlineStr">
        <is>
          <t>能源|电力</t>
        </is>
      </c>
      <c r="M74" s="113" t="inlineStr">
        <is>
          <t>能源消费</t>
        </is>
      </c>
    </row>
    <row r="75" ht="18" customHeight="1" s="235">
      <c r="A75" s="113" t="n">
        <v>2011</v>
      </c>
      <c r="B75" s="113" t="inlineStr">
        <is>
          <t>单位国内生产总值能耗</t>
        </is>
      </c>
      <c r="C75" s="113" t="inlineStr">
        <is>
          <t>降低</t>
        </is>
      </c>
      <c r="D75" s="113" t="inlineStr">
        <is>
          <t>20%</t>
        </is>
      </c>
      <c r="E75" s="113" t="n">
        <v>2005</v>
      </c>
      <c r="F75" s="114" t="inlineStr">
        <is>
          <t>2010</t>
        </is>
      </c>
      <c r="G75" s="113" t="inlineStr">
        <is>
          <t>重申目标</t>
        </is>
      </c>
      <c r="H75" s="113" t="inlineStr">
        <is>
          <t>能源效率</t>
        </is>
      </c>
      <c r="I75" s="113" t="inlineStr">
        <is>
          <t>全社会经济</t>
        </is>
      </c>
      <c r="J75" s="113" t="inlineStr">
        <is>
          <t>2006年，中国提出了到2010年单位国内生产总值能耗比2005年下降20%左右的约束性指标。</t>
        </is>
      </c>
      <c r="K75" s="113" t="inlineStr">
        <is>
          <t>HL1101.htm</t>
        </is>
      </c>
      <c r="L75" s="113" t="inlineStr">
        <is>
          <t>能源|电力</t>
        </is>
      </c>
      <c r="M75" s="113" t="inlineStr">
        <is>
          <t>能源消费</t>
        </is>
      </c>
    </row>
    <row r="76" ht="18" customHeight="1" s="235">
      <c r="A76" s="113" t="n">
        <v>2019</v>
      </c>
      <c r="B76" s="113" t="inlineStr">
        <is>
          <t>单位国内生产总值能耗</t>
        </is>
      </c>
      <c r="C76" s="113" t="inlineStr">
        <is>
          <t>降低</t>
        </is>
      </c>
      <c r="D76" s="113" t="inlineStr">
        <is>
          <t>约20%</t>
        </is>
      </c>
      <c r="E76" s="113" t="n">
        <v>2005</v>
      </c>
      <c r="F76" s="114" t="inlineStr">
        <is>
          <t>2010</t>
        </is>
      </c>
      <c r="G76" s="113" t="inlineStr">
        <is>
          <t>重申目标</t>
        </is>
      </c>
      <c r="H76" s="113" t="inlineStr">
        <is>
          <t>能源效率</t>
        </is>
      </c>
      <c r="I76" s="113" t="inlineStr">
        <is>
          <t>全社会经济</t>
        </is>
      </c>
      <c r="J76" s="113" t="inlineStr">
        <is>
          <t>第十一个五年规划纲要首次将2010年单位国内生产总值能耗较2005年下降约20%设定为约束性指标</t>
        </is>
      </c>
      <c r="K76" s="113" t="inlineStr">
        <is>
          <t>HL1902.pdf</t>
        </is>
      </c>
      <c r="L76" s="113" t="inlineStr">
        <is>
          <t>能源|电力</t>
        </is>
      </c>
      <c r="M76" s="113" t="inlineStr">
        <is>
          <t>能源消费</t>
        </is>
      </c>
    </row>
    <row r="77" ht="18" customHeight="1" s="235">
      <c r="A77" s="113" t="n">
        <v>2024</v>
      </c>
      <c r="B77" s="113" t="inlineStr">
        <is>
          <t>单位国内生产总值能耗</t>
        </is>
      </c>
      <c r="C77" s="113" t="inlineStr">
        <is>
          <t>降低</t>
        </is>
      </c>
      <c r="D77" s="113" t="inlineStr">
        <is>
          <t>13.5%</t>
        </is>
      </c>
      <c r="E77" s="113" t="n">
        <v>2020</v>
      </c>
      <c r="F77" s="114" t="inlineStr">
        <is>
          <t>2025</t>
        </is>
      </c>
      <c r="G77" s="113" t="inlineStr">
        <is>
          <t>重申目标</t>
        </is>
      </c>
      <c r="H77" s="113" t="inlineStr">
        <is>
          <t>能源效率</t>
        </is>
      </c>
      <c r="I77" s="113" t="inlineStr">
        <is>
          <t>全社会经济</t>
        </is>
      </c>
      <c r="J77" s="113" t="inlineStr">
        <is>
          <t>值得注意的是，文件设定了量化目标，即到2025年，单位国内生产总值能耗比2020年降低13.5%。</t>
        </is>
      </c>
      <c r="K77" s="113" t="inlineStr">
        <is>
          <t>HL2401.pdf</t>
        </is>
      </c>
      <c r="L77" s="113" t="inlineStr">
        <is>
          <t>能源|电力</t>
        </is>
      </c>
      <c r="M77" s="113" t="inlineStr">
        <is>
          <t>能源消费</t>
        </is>
      </c>
    </row>
    <row r="78" ht="18" customHeight="1" s="235">
      <c r="A78" s="113" t="n">
        <v>2011</v>
      </c>
      <c r="B78" s="113" t="inlineStr">
        <is>
          <t>单位国内生产总值能耗</t>
        </is>
      </c>
      <c r="C78" s="113" t="inlineStr">
        <is>
          <t>降低</t>
        </is>
      </c>
      <c r="D78" s="113" t="inlineStr">
        <is>
          <t>16%</t>
        </is>
      </c>
      <c r="E78" s="113" t="n">
        <v>2010</v>
      </c>
      <c r="F78" s="114" t="inlineStr">
        <is>
          <t>2015</t>
        </is>
      </c>
      <c r="G78" s="113" t="inlineStr">
        <is>
          <t>重申目标</t>
        </is>
      </c>
      <c r="H78" s="113" t="inlineStr">
        <is>
          <t>能源效率</t>
        </is>
      </c>
      <c r="I78" s="113" t="inlineStr">
        <is>
          <t>全社会经济</t>
        </is>
      </c>
      <c r="J78" s="113" t="inlineStr">
        <is>
          <t>到2015年，单位国内生产总值二氧化碳排放比2010年下降17%，单位国内生产总值能耗比2010年下降16%。</t>
        </is>
      </c>
      <c r="K78" s="113" t="inlineStr">
        <is>
          <t>HL1101.pdf</t>
        </is>
      </c>
      <c r="L78" s="113" t="inlineStr">
        <is>
          <t>能源|电力</t>
        </is>
      </c>
      <c r="M78" s="113" t="inlineStr">
        <is>
          <t>能源消费</t>
        </is>
      </c>
    </row>
    <row r="79" ht="18" customHeight="1" s="235">
      <c r="A79" s="113" t="n">
        <v>2014</v>
      </c>
      <c r="B79" s="113" t="inlineStr">
        <is>
          <t>单位国内生产总值能耗</t>
        </is>
      </c>
      <c r="C79" s="113" t="inlineStr">
        <is>
          <t>降低</t>
        </is>
      </c>
      <c r="D79" s="113" t="inlineStr">
        <is>
          <t>3.9%以上</t>
        </is>
      </c>
      <c r="E79" s="113" t="n">
        <v>2014</v>
      </c>
      <c r="F79" s="114" t="n">
        <v>2015</v>
      </c>
      <c r="G79" s="113" t="inlineStr">
        <is>
          <t>新目标</t>
        </is>
      </c>
      <c r="H79" s="113" t="inlineStr">
        <is>
          <t>能源效率</t>
        </is>
      </c>
      <c r="I79" s="113" t="inlineStr">
        <is>
          <t>全社会经济</t>
        </is>
      </c>
      <c r="J79" s="113" t="inlineStr">
        <is>
          <t>2014-2015年，单位GDP能耗分别逐年下降3.9%以上。</t>
        </is>
      </c>
      <c r="K79" s="113" t="inlineStr">
        <is>
          <t>AP1404.htm</t>
        </is>
      </c>
      <c r="L79" s="113" t="inlineStr">
        <is>
          <t>能源|电力</t>
        </is>
      </c>
      <c r="M79" s="113" t="inlineStr">
        <is>
          <t>能源消费</t>
        </is>
      </c>
    </row>
    <row r="80" ht="18" customHeight="1" s="235">
      <c r="A80" s="113" t="n">
        <v>2011</v>
      </c>
      <c r="B80" s="113" t="inlineStr">
        <is>
          <t>单位国内生产总值能耗</t>
        </is>
      </c>
      <c r="C80" s="113" t="inlineStr">
        <is>
          <t>降低</t>
        </is>
      </c>
      <c r="D80" s="113" t="inlineStr">
        <is>
          <t>16%</t>
        </is>
      </c>
      <c r="E80" s="113" t="n">
        <v>2010</v>
      </c>
      <c r="F80" s="114" t="inlineStr">
        <is>
          <t>2015</t>
        </is>
      </c>
      <c r="G80" s="113" t="inlineStr">
        <is>
          <t>新目标</t>
        </is>
      </c>
      <c r="H80" s="113" t="inlineStr">
        <is>
          <t>能源效率</t>
        </is>
      </c>
      <c r="I80" s="113" t="inlineStr">
        <is>
          <t>全社会经济</t>
        </is>
      </c>
      <c r="J80" s="113" t="inlineStr">
        <is>
          <t>到2015年，单位国内生产总值能耗比2010年下降16%。</t>
        </is>
      </c>
      <c r="K80" s="113" t="inlineStr">
        <is>
          <t>FYP1101.htm</t>
        </is>
      </c>
      <c r="L80" s="113" t="inlineStr">
        <is>
          <t>能源|电力</t>
        </is>
      </c>
      <c r="M80" s="113" t="inlineStr">
        <is>
          <t>能源消费</t>
        </is>
      </c>
    </row>
    <row r="81" ht="18" customHeight="1" s="235">
      <c r="A81" s="113" t="n">
        <v>2013</v>
      </c>
      <c r="B81" s="113" t="inlineStr">
        <is>
          <t>单位国内生产总值能耗</t>
        </is>
      </c>
      <c r="C81" s="113" t="inlineStr">
        <is>
          <t>降低</t>
        </is>
      </c>
      <c r="D81" s="113" t="inlineStr">
        <is>
          <t>16%</t>
        </is>
      </c>
      <c r="E81" s="113" t="n">
        <v>2010</v>
      </c>
      <c r="F81" s="114" t="inlineStr">
        <is>
          <t>2015</t>
        </is>
      </c>
      <c r="G81" s="113" t="inlineStr">
        <is>
          <t>重申目标</t>
        </is>
      </c>
      <c r="H81" s="113" t="inlineStr">
        <is>
          <t>能源效率</t>
        </is>
      </c>
      <c r="I81" s="113" t="inlineStr">
        <is>
          <t>全社会经济</t>
        </is>
      </c>
      <c r="J81" s="113" t="inlineStr">
        <is>
          <t>到2015年，单位国内生产总值能耗下降16%。</t>
        </is>
      </c>
      <c r="K81" s="113" t="inlineStr">
        <is>
          <t>FYP1302.htm</t>
        </is>
      </c>
      <c r="L81" s="113" t="inlineStr">
        <is>
          <t>能源|电力</t>
        </is>
      </c>
      <c r="M81" s="113" t="inlineStr">
        <is>
          <t>能源消费</t>
        </is>
      </c>
    </row>
    <row r="82" ht="18" customHeight="1" s="235">
      <c r="A82" s="113" t="n">
        <v>2021</v>
      </c>
      <c r="B82" s="113" t="inlineStr">
        <is>
          <t>单位国内生产总值能耗</t>
        </is>
      </c>
      <c r="C82" s="113" t="inlineStr">
        <is>
          <t>降低</t>
        </is>
      </c>
      <c r="D82" s="113" t="inlineStr">
        <is>
          <t>13.5%</t>
        </is>
      </c>
      <c r="E82" s="113" t="n">
        <v>2020</v>
      </c>
      <c r="F82" s="114" t="inlineStr">
        <is>
          <t>2025</t>
        </is>
      </c>
      <c r="G82" s="113" t="inlineStr">
        <is>
          <t>重申目标</t>
        </is>
      </c>
      <c r="H82" s="113" t="inlineStr">
        <is>
          <t>能源效率</t>
        </is>
      </c>
      <c r="I82" s="113" t="inlineStr">
        <is>
          <t>全社会经济</t>
        </is>
      </c>
      <c r="J82" s="113" t="inlineStr">
        <is>
          <t>到2025年，单位国内生产总值能耗比2020年下降13.5%。</t>
        </is>
      </c>
      <c r="K82" s="113" t="inlineStr">
        <is>
          <t>HL2101.htm</t>
        </is>
      </c>
      <c r="L82" s="113" t="inlineStr">
        <is>
          <t>能源|电力</t>
        </is>
      </c>
      <c r="M82" s="113" t="inlineStr">
        <is>
          <t>能源消费</t>
        </is>
      </c>
    </row>
    <row r="83" ht="18" customHeight="1" s="235">
      <c r="A83" s="113" t="n">
        <v>2023</v>
      </c>
      <c r="B83" s="113" t="inlineStr">
        <is>
          <t>单位国内生产总值能耗</t>
        </is>
      </c>
      <c r="C83" s="113" t="inlineStr">
        <is>
          <t>降低</t>
        </is>
      </c>
      <c r="D83" s="113" t="inlineStr">
        <is>
          <t>15%</t>
        </is>
      </c>
      <c r="E83" s="113" t="n">
        <v>2015</v>
      </c>
      <c r="F83" s="114" t="inlineStr">
        <is>
          <t>2020</t>
        </is>
      </c>
      <c r="G83" s="113" t="inlineStr">
        <is>
          <t>重申目标</t>
        </is>
      </c>
      <c r="H83" s="113" t="inlineStr">
        <is>
          <t>能源效率</t>
        </is>
      </c>
      <c r="I83" s="113" t="inlineStr">
        <is>
          <t>全社会经济</t>
        </is>
      </c>
      <c r="J83" s="113" t="inlineStr">
        <is>
          <t>到2020年，单位国内生产总值能耗比2015年下降15%</t>
        </is>
      </c>
      <c r="K83" s="113" t="inlineStr">
        <is>
          <t>HL2302.pdf</t>
        </is>
      </c>
      <c r="L83" s="113" t="inlineStr">
        <is>
          <t>能源|电力</t>
        </is>
      </c>
      <c r="M83" s="113" t="inlineStr">
        <is>
          <t>能源消费</t>
        </is>
      </c>
    </row>
    <row r="84" ht="18" customHeight="1" s="235">
      <c r="A84" s="113" t="n">
        <v>2022</v>
      </c>
      <c r="B84" s="113" t="inlineStr">
        <is>
          <t>单位国内生产总值能耗</t>
        </is>
      </c>
      <c r="C84" s="113" t="inlineStr">
        <is>
          <t>降低</t>
        </is>
      </c>
      <c r="D84" s="113" t="inlineStr">
        <is>
          <t>13.5%</t>
        </is>
      </c>
      <c r="E84" s="113" t="n">
        <v>2020</v>
      </c>
      <c r="F84" s="114" t="inlineStr">
        <is>
          <t>2025</t>
        </is>
      </c>
      <c r="G84" s="113" t="inlineStr">
        <is>
          <t>重申目标</t>
        </is>
      </c>
      <c r="H84" s="113" t="inlineStr">
        <is>
          <t>能源效率</t>
        </is>
      </c>
      <c r="I84" s="113" t="inlineStr">
        <is>
          <t>全社会经济</t>
        </is>
      </c>
      <c r="J84" s="113" t="inlineStr">
        <is>
          <t>到2025年，全国单位国内生产总值能源消耗比2020年下降13.5%，能源消费总量得到合理控制。</t>
        </is>
      </c>
      <c r="K84" s="113" t="inlineStr">
        <is>
          <t>AP2206.pdf</t>
        </is>
      </c>
      <c r="L84" s="113" t="inlineStr">
        <is>
          <t>能源|电力</t>
        </is>
      </c>
      <c r="M84" s="113" t="inlineStr">
        <is>
          <t>能源消费</t>
        </is>
      </c>
    </row>
    <row r="85" ht="18" customHeight="1" s="235">
      <c r="A85" s="113" t="n">
        <v>2007</v>
      </c>
      <c r="B85" s="113" t="inlineStr">
        <is>
          <t>单位国内生产总值能耗</t>
        </is>
      </c>
      <c r="C85" s="113" t="inlineStr">
        <is>
          <t>降低</t>
        </is>
      </c>
      <c r="D85" s="113" t="inlineStr">
        <is>
          <t>20%</t>
        </is>
      </c>
      <c r="E85" s="113" t="n">
        <v>2005</v>
      </c>
      <c r="F85" s="114" t="inlineStr">
        <is>
          <t>2010</t>
        </is>
      </c>
      <c r="G85" s="113" t="inlineStr">
        <is>
          <t>重申目标</t>
        </is>
      </c>
      <c r="H85" s="113" t="inlineStr">
        <is>
          <t>能源效率</t>
        </is>
      </c>
      <c r="I85" s="113" t="inlineStr">
        <is>
          <t>全社会经济</t>
        </is>
      </c>
      <c r="J85" s="113" t="inlineStr">
        <is>
          <t>《中华人民共和国国民经济和社会发展第十一个五年规划纲要》提出，到2010年，单位国内生产总值能源消耗要比2005年降低20%。</t>
        </is>
      </c>
      <c r="K85" s="113" t="inlineStr">
        <is>
          <t>PF0701.htm</t>
        </is>
      </c>
      <c r="L85" s="113" t="inlineStr">
        <is>
          <t>能源|电力</t>
        </is>
      </c>
      <c r="M85" s="113" t="inlineStr">
        <is>
          <t>能源消费</t>
        </is>
      </c>
    </row>
    <row r="86" ht="18" customHeight="1" s="235">
      <c r="A86" s="113" t="n">
        <v>2026</v>
      </c>
      <c r="B86" s="113" t="inlineStr">
        <is>
          <t>单位国内生产总值能耗</t>
        </is>
      </c>
      <c r="C86" s="113" t="inlineStr">
        <is>
          <t>降低</t>
        </is>
      </c>
      <c r="D86" s="113" t="inlineStr">
        <is>
          <t>10%左右</t>
        </is>
      </c>
      <c r="E86" s="113" t="n"/>
      <c r="F86" s="114" t="inlineStr">
        <is>
          <t>十五五</t>
        </is>
      </c>
      <c r="G86" s="113" t="inlineStr">
        <is>
          <t>新目标</t>
        </is>
      </c>
      <c r="H86" s="113" t="inlineStr">
        <is>
          <t>能源效率</t>
        </is>
      </c>
      <c r="I86" s="113" t="inlineStr">
        <is>
          <t>全社会经济</t>
        </is>
      </c>
      <c r="J86" s="113" t="inlineStr">
        <is>
          <t>“十五五”时期，单位国内生产总值能耗下降10%左右。</t>
        </is>
      </c>
      <c r="K86" s="113" t="inlineStr">
        <is>
          <t>HL2601.pdf</t>
        </is>
      </c>
      <c r="L86" s="113" t="inlineStr">
        <is>
          <t>能源|电力</t>
        </is>
      </c>
      <c r="M86" s="113" t="inlineStr">
        <is>
          <t>能源消费</t>
        </is>
      </c>
    </row>
    <row r="87" ht="18" customHeight="1" s="235">
      <c r="A87" s="113" t="n">
        <v>2006</v>
      </c>
      <c r="B87" s="113" t="inlineStr">
        <is>
          <t>单位国内生产总值能耗</t>
        </is>
      </c>
      <c r="C87" s="113" t="inlineStr">
        <is>
          <t>降低</t>
        </is>
      </c>
      <c r="D87" s="113" t="inlineStr">
        <is>
          <t>约4%</t>
        </is>
      </c>
      <c r="E87" s="113" t="n">
        <v>2005</v>
      </c>
      <c r="F87" s="114" t="n">
        <v>2006</v>
      </c>
      <c r="G87" s="113" t="inlineStr">
        <is>
          <t>新目标</t>
        </is>
      </c>
      <c r="H87" s="113" t="inlineStr">
        <is>
          <t>能源效率</t>
        </is>
      </c>
      <c r="I87" s="113" t="inlineStr">
        <is>
          <t>全社会经济</t>
        </is>
      </c>
      <c r="J87" s="113" t="inlineStr">
        <is>
          <t>单位国内生产总值能耗降低约4%</t>
        </is>
      </c>
      <c r="K87" s="113" t="inlineStr">
        <is>
          <t>HL0602.pdf</t>
        </is>
      </c>
      <c r="L87" s="113" t="inlineStr">
        <is>
          <t>能源|电力</t>
        </is>
      </c>
      <c r="M87" s="113" t="inlineStr">
        <is>
          <t>能源消费</t>
        </is>
      </c>
    </row>
    <row r="88" ht="18" customHeight="1" s="235">
      <c r="A88" s="113" t="n">
        <v>2014</v>
      </c>
      <c r="B88" s="113" t="inlineStr">
        <is>
          <t>单位国内生产总值能耗</t>
        </is>
      </c>
      <c r="C88" s="113" t="inlineStr">
        <is>
          <t>降低</t>
        </is>
      </c>
      <c r="D88" s="113" t="inlineStr">
        <is>
          <t>3.9%</t>
        </is>
      </c>
      <c r="E88" s="113" t="n">
        <v>2013</v>
      </c>
      <c r="F88" s="114" t="n">
        <v>2014</v>
      </c>
      <c r="G88" s="113" t="inlineStr">
        <is>
          <t>新目标</t>
        </is>
      </c>
      <c r="H88" s="113" t="inlineStr">
        <is>
          <t>能源效率</t>
        </is>
      </c>
      <c r="I88" s="113" t="inlineStr">
        <is>
          <t>全社会经济</t>
        </is>
      </c>
      <c r="J88" s="113" t="inlineStr">
        <is>
          <t>加大节能减排力度，控制能源消费总量，今年能源消耗强度要降低3.9%以上。</t>
        </is>
      </c>
      <c r="K88" s="113" t="inlineStr">
        <is>
          <t>HL1403.pdf</t>
        </is>
      </c>
      <c r="L88" s="113" t="inlineStr">
        <is>
          <t>能源|电力</t>
        </is>
      </c>
      <c r="M88" s="113" t="inlineStr">
        <is>
          <t>能源消费</t>
        </is>
      </c>
    </row>
    <row r="89" ht="18" customHeight="1" s="235">
      <c r="A89" s="113" t="n">
        <v>2015</v>
      </c>
      <c r="B89" s="113" t="inlineStr">
        <is>
          <t>单位国内生产总值能耗</t>
        </is>
      </c>
      <c r="C89" s="113" t="inlineStr">
        <is>
          <t>降低</t>
        </is>
      </c>
      <c r="D89" s="113" t="inlineStr">
        <is>
          <t>3.1%以上</t>
        </is>
      </c>
      <c r="E89" s="113" t="n">
        <v>2014</v>
      </c>
      <c r="F89" s="114" t="n">
        <v>2015</v>
      </c>
      <c r="G89" s="113" t="inlineStr">
        <is>
          <t>强化或放宽目标（消极气候影响）</t>
        </is>
      </c>
      <c r="H89" s="113" t="inlineStr">
        <is>
          <t>能源效率</t>
        </is>
      </c>
      <c r="I89" s="113" t="inlineStr">
        <is>
          <t>全社会经济</t>
        </is>
      </c>
      <c r="J89" s="113" t="inlineStr">
        <is>
          <t>能耗强度下降3.1%以上，主要污染物排放继续减少。</t>
        </is>
      </c>
      <c r="K89" s="113" t="inlineStr">
        <is>
          <t>HL1506.pdf</t>
        </is>
      </c>
      <c r="L89" s="113" t="inlineStr">
        <is>
          <t>能源|电力</t>
        </is>
      </c>
      <c r="M89" s="113" t="inlineStr">
        <is>
          <t>能源消费</t>
        </is>
      </c>
    </row>
    <row r="90" ht="18" customHeight="1" s="235">
      <c r="A90" s="113" t="n">
        <v>2016</v>
      </c>
      <c r="B90" s="113" t="inlineStr">
        <is>
          <t>单位国内生产总值能耗</t>
        </is>
      </c>
      <c r="C90" s="113" t="inlineStr">
        <is>
          <t>降低</t>
        </is>
      </c>
      <c r="D90" s="113" t="inlineStr">
        <is>
          <t>3.4%以上</t>
        </is>
      </c>
      <c r="E90" s="113" t="n">
        <v>2015</v>
      </c>
      <c r="F90" s="114" t="n">
        <v>2016</v>
      </c>
      <c r="G90" s="113" t="inlineStr">
        <is>
          <t>新目标</t>
        </is>
      </c>
      <c r="H90" s="113" t="inlineStr">
        <is>
          <t>能源效率</t>
        </is>
      </c>
      <c r="I90" s="113" t="inlineStr">
        <is>
          <t>全社会经济</t>
        </is>
      </c>
      <c r="J90" s="113" t="inlineStr">
        <is>
          <t>单位国内生产总值能耗下降3.4%以上，主要污染物排放继续减少。</t>
        </is>
      </c>
      <c r="K90" s="113" t="inlineStr">
        <is>
          <t>HL1603.pdf</t>
        </is>
      </c>
      <c r="L90" s="113" t="inlineStr">
        <is>
          <t>能源|电力</t>
        </is>
      </c>
      <c r="M90" s="113" t="inlineStr">
        <is>
          <t>能源消费</t>
        </is>
      </c>
    </row>
    <row r="91" ht="18" customHeight="1" s="235">
      <c r="A91" s="113" t="n">
        <v>2017</v>
      </c>
      <c r="B91" s="113" t="inlineStr">
        <is>
          <t>单位国内生产总值能耗</t>
        </is>
      </c>
      <c r="C91" s="113" t="inlineStr">
        <is>
          <t>降低</t>
        </is>
      </c>
      <c r="D91" s="113" t="inlineStr">
        <is>
          <t>3.4%以上</t>
        </is>
      </c>
      <c r="E91" s="113" t="n">
        <v>2016</v>
      </c>
      <c r="F91" s="114" t="n">
        <v>2017</v>
      </c>
      <c r="G91" s="113" t="inlineStr">
        <is>
          <t>新目标</t>
        </is>
      </c>
      <c r="H91" s="113" t="inlineStr">
        <is>
          <t>能源效率</t>
        </is>
      </c>
      <c r="I91" s="113" t="inlineStr">
        <is>
          <t>全社会经济</t>
        </is>
      </c>
      <c r="J91" s="113" t="inlineStr">
        <is>
          <t>单位国内生产总值能耗下降3.4%以上，主要污染物排放量继续下降。</t>
        </is>
      </c>
      <c r="K91" s="113" t="inlineStr">
        <is>
          <t>HL1703.pdf</t>
        </is>
      </c>
      <c r="L91" s="113" t="inlineStr">
        <is>
          <t>能源|电力</t>
        </is>
      </c>
      <c r="M91" s="113" t="inlineStr">
        <is>
          <t>能源消费</t>
        </is>
      </c>
    </row>
    <row r="92" ht="18" customHeight="1" s="235">
      <c r="A92" s="113" t="n">
        <v>2019</v>
      </c>
      <c r="B92" s="113" t="inlineStr">
        <is>
          <t>单位国内生产总值能耗</t>
        </is>
      </c>
      <c r="C92" s="113" t="inlineStr">
        <is>
          <t>降低</t>
        </is>
      </c>
      <c r="D92" s="113" t="inlineStr">
        <is>
          <t>3%左右</t>
        </is>
      </c>
      <c r="E92" s="113" t="n">
        <v>2018</v>
      </c>
      <c r="F92" s="114" t="n">
        <v>2019</v>
      </c>
      <c r="G92" s="113" t="inlineStr">
        <is>
          <t>新目标</t>
        </is>
      </c>
      <c r="H92" s="113" t="inlineStr">
        <is>
          <t>能源效率</t>
        </is>
      </c>
      <c r="I92" s="113" t="inlineStr">
        <is>
          <t>全社会经济</t>
        </is>
      </c>
      <c r="J92" s="113" t="inlineStr">
        <is>
          <t>单位国内生产总值能耗下降3%左右</t>
        </is>
      </c>
      <c r="K92" s="113" t="inlineStr">
        <is>
          <t>HL1904.pdf</t>
        </is>
      </c>
      <c r="L92" s="113" t="inlineStr">
        <is>
          <t>能源|电力</t>
        </is>
      </c>
      <c r="M92" s="113" t="inlineStr">
        <is>
          <t>能源消费</t>
        </is>
      </c>
    </row>
    <row r="93" ht="18" customHeight="1" s="235">
      <c r="A93" s="113" t="n">
        <v>2021</v>
      </c>
      <c r="B93" s="113" t="inlineStr">
        <is>
          <t>单位国内生产总值能耗</t>
        </is>
      </c>
      <c r="C93" s="113" t="inlineStr">
        <is>
          <t>降低</t>
        </is>
      </c>
      <c r="D93" s="113" t="inlineStr">
        <is>
          <t>3%左右</t>
        </is>
      </c>
      <c r="E93" s="113" t="n">
        <v>2020</v>
      </c>
      <c r="F93" s="114" t="n">
        <v>2021</v>
      </c>
      <c r="G93" s="113" t="inlineStr">
        <is>
          <t>新目标</t>
        </is>
      </c>
      <c r="H93" s="113" t="inlineStr">
        <is>
          <t>能源效率</t>
        </is>
      </c>
      <c r="I93" s="113" t="inlineStr">
        <is>
          <t>全社会经济</t>
        </is>
      </c>
      <c r="J93" s="113" t="inlineStr">
        <is>
          <t>单位国内生产总值能耗降低3%左右</t>
        </is>
      </c>
      <c r="K93" s="113" t="inlineStr">
        <is>
          <t>HL2108.pdf</t>
        </is>
      </c>
      <c r="L93" s="113" t="inlineStr">
        <is>
          <t>能源|电力</t>
        </is>
      </c>
      <c r="M93" s="113" t="inlineStr">
        <is>
          <t>能源消费</t>
        </is>
      </c>
    </row>
    <row r="94" ht="18" customHeight="1" s="235">
      <c r="A94" s="113" t="n">
        <v>2025</v>
      </c>
      <c r="B94" s="113" t="inlineStr">
        <is>
          <t>单位国内生产总值能耗</t>
        </is>
      </c>
      <c r="C94" s="113" t="inlineStr">
        <is>
          <t>降低</t>
        </is>
      </c>
      <c r="D94" s="113" t="inlineStr">
        <is>
          <t>3%左右</t>
        </is>
      </c>
      <c r="E94" s="113" t="n">
        <v>2024</v>
      </c>
      <c r="F94" s="114" t="n">
        <v>2025</v>
      </c>
      <c r="G94" s="113" t="inlineStr">
        <is>
          <t>新目标</t>
        </is>
      </c>
      <c r="H94" s="113" t="inlineStr">
        <is>
          <t>能源效率</t>
        </is>
      </c>
      <c r="I94" s="113" t="inlineStr">
        <is>
          <t>全社会经济</t>
        </is>
      </c>
      <c r="J94" s="113" t="inlineStr">
        <is>
          <t>单位国内生产总值能耗降低3%左右，生态环境质量持续改善。</t>
        </is>
      </c>
      <c r="K94" s="113" t="inlineStr">
        <is>
          <t>HL2501.pdf</t>
        </is>
      </c>
      <c r="L94" s="113" t="inlineStr">
        <is>
          <t>能源|电力</t>
        </is>
      </c>
      <c r="M94" s="113" t="inlineStr">
        <is>
          <t>能源消费</t>
        </is>
      </c>
    </row>
    <row r="95" ht="18" customHeight="1" s="235">
      <c r="A95" s="113" t="n">
        <v>2011</v>
      </c>
      <c r="B95" s="113" t="inlineStr">
        <is>
          <t>单位国内生产总值能耗</t>
        </is>
      </c>
      <c r="C95" s="113" t="inlineStr">
        <is>
          <t>降低</t>
        </is>
      </c>
      <c r="D95" s="113" t="inlineStr">
        <is>
          <t>3.5%</t>
        </is>
      </c>
      <c r="E95" s="113" t="n">
        <v>2010</v>
      </c>
      <c r="F95" s="114" t="n">
        <v>2011</v>
      </c>
      <c r="G95" s="113" t="inlineStr">
        <is>
          <t>新目标</t>
        </is>
      </c>
      <c r="H95" s="113" t="inlineStr">
        <is>
          <t>能源效率</t>
        </is>
      </c>
      <c r="I95" s="113" t="inlineStr">
        <is>
          <t>全社会经济</t>
        </is>
      </c>
      <c r="J95" s="113" t="inlineStr">
        <is>
          <t>单位国内生产总值能耗比上年下降3.5%</t>
        </is>
      </c>
      <c r="K95" s="113" t="inlineStr">
        <is>
          <t>HL1103.htm</t>
        </is>
      </c>
      <c r="L95" s="113" t="inlineStr">
        <is>
          <t>能源|电力</t>
        </is>
      </c>
      <c r="M95" s="113" t="inlineStr">
        <is>
          <t>能源消费</t>
        </is>
      </c>
    </row>
    <row r="96" ht="18" customHeight="1" s="235">
      <c r="A96" s="113" t="n">
        <v>2012</v>
      </c>
      <c r="B96" s="113" t="inlineStr">
        <is>
          <t>单位国内生产总值能耗</t>
        </is>
      </c>
      <c r="C96" s="113" t="inlineStr">
        <is>
          <t>降低</t>
        </is>
      </c>
      <c r="D96" s="113" t="inlineStr">
        <is>
          <t>3.5%左右</t>
        </is>
      </c>
      <c r="E96" s="113" t="n">
        <v>2011</v>
      </c>
      <c r="F96" s="114" t="n">
        <v>2012</v>
      </c>
      <c r="G96" s="113" t="inlineStr">
        <is>
          <t>新目标</t>
        </is>
      </c>
      <c r="H96" s="113" t="inlineStr">
        <is>
          <t>能源效率</t>
        </is>
      </c>
      <c r="I96" s="113" t="inlineStr">
        <is>
          <t>全社会经济</t>
        </is>
      </c>
      <c r="J96" s="113" t="inlineStr">
        <is>
          <t>单位国内生产总值能耗下降3.5%左右，二氧化碳排放强度降幅更大一些</t>
        </is>
      </c>
      <c r="K96" s="113" t="inlineStr">
        <is>
          <t>HL1204.htm</t>
        </is>
      </c>
      <c r="L96" s="113" t="inlineStr">
        <is>
          <t>能源|电力</t>
        </is>
      </c>
      <c r="M96" s="113" t="inlineStr">
        <is>
          <t>能源消费</t>
        </is>
      </c>
    </row>
    <row r="97" ht="18" customHeight="1" s="235">
      <c r="A97" s="113" t="n">
        <v>2017</v>
      </c>
      <c r="B97" s="113" t="inlineStr">
        <is>
          <t>单位工业增加值（规模以上）能耗</t>
        </is>
      </c>
      <c r="C97" s="113" t="inlineStr">
        <is>
          <t>降低</t>
        </is>
      </c>
      <c r="D97" s="113" t="inlineStr">
        <is>
          <t>21%</t>
        </is>
      </c>
      <c r="E97" s="113" t="n">
        <v>2010</v>
      </c>
      <c r="F97" s="114" t="n">
        <v>2015</v>
      </c>
      <c r="G97" s="113" t="inlineStr">
        <is>
          <t>新目标</t>
        </is>
      </c>
      <c r="H97" s="113" t="inlineStr">
        <is>
          <t>能源效率</t>
        </is>
      </c>
      <c r="I97" s="113" t="inlineStr">
        <is>
          <t>行业</t>
        </is>
      </c>
      <c r="J97" s="113" t="inlineStr">
        <is>
          <t>2012年8月，国务院印发了《节能减排“十二五”规划》，进一步提出单位工业增加值（规模以上）能耗比2010年下降21%左右。</t>
        </is>
      </c>
      <c r="K97" s="113" t="inlineStr">
        <is>
          <t>HL1701.pdf</t>
        </is>
      </c>
      <c r="L97" s="113" t="inlineStr">
        <is>
          <t>能源|电力</t>
        </is>
      </c>
      <c r="M97" s="113" t="inlineStr">
        <is>
          <t>能源消费</t>
        </is>
      </c>
    </row>
    <row r="98" ht="18" customHeight="1" s="235">
      <c r="A98" s="113" t="n">
        <v>2014</v>
      </c>
      <c r="B98" s="113" t="inlineStr">
        <is>
          <t>厚及特厚煤层采区回采率</t>
        </is>
      </c>
      <c r="C98" s="113" t="inlineStr">
        <is>
          <t>达到</t>
        </is>
      </c>
      <c r="D98" s="113" t="inlineStr">
        <is>
          <t>70%</t>
        </is>
      </c>
      <c r="E98" s="113" t="n"/>
      <c r="F98" s="114" t="inlineStr">
        <is>
          <t>2020</t>
        </is>
      </c>
      <c r="G98" s="113" t="inlineStr">
        <is>
          <t>新目标</t>
        </is>
      </c>
      <c r="H98" s="113" t="inlineStr">
        <is>
          <t>涉煤</t>
        </is>
      </c>
      <c r="I98" s="113" t="inlineStr">
        <is>
          <t>不明确</t>
        </is>
      </c>
      <c r="J98" s="113" t="inlineStr">
        <is>
          <t>到2020年，厚及特厚煤层采区回采率达到70%。</t>
        </is>
      </c>
      <c r="K98" s="113" t="inlineStr">
        <is>
          <t>O1401.htm</t>
        </is>
      </c>
      <c r="L98" s="113" t="inlineStr">
        <is>
          <t>能源|电力</t>
        </is>
      </c>
      <c r="M98" s="113" t="inlineStr">
        <is>
          <t>煤电</t>
        </is>
      </c>
    </row>
    <row r="99" ht="18" customHeight="1" s="235">
      <c r="A99" s="113" t="n">
        <v>2024</v>
      </c>
      <c r="B99" s="113" t="inlineStr">
        <is>
          <t>原油一次加工能力</t>
        </is>
      </c>
      <c r="C99" s="113" t="inlineStr">
        <is>
          <t>控制在…以内</t>
        </is>
      </c>
      <c r="D99" s="113" t="inlineStr">
        <is>
          <t>10亿吨</t>
        </is>
      </c>
      <c r="E99" s="113" t="n"/>
      <c r="F99" s="114" t="inlineStr">
        <is>
          <t>2025</t>
        </is>
      </c>
      <c r="G99" s="113" t="inlineStr">
        <is>
          <t>新目标</t>
        </is>
      </c>
      <c r="H99" s="113" t="inlineStr">
        <is>
          <t>过渡能源</t>
        </is>
      </c>
      <c r="I99" s="113" t="inlineStr">
        <is>
          <t>行业</t>
        </is>
      </c>
      <c r="J99" s="113" t="inlineStr">
        <is>
          <t>到2025年底，全国原油一次加工能力控制在10亿吨以内。</t>
        </is>
      </c>
      <c r="K99" s="113" t="inlineStr">
        <is>
          <t>AP2405.htm</t>
        </is>
      </c>
      <c r="L99" s="113" t="inlineStr">
        <is>
          <t>能源|电力</t>
        </is>
      </c>
      <c r="M99" s="113" t="inlineStr">
        <is>
          <t>电力供应</t>
        </is>
      </c>
    </row>
    <row r="100" ht="18" customHeight="1" s="235">
      <c r="A100" s="113" t="n">
        <v>2021</v>
      </c>
      <c r="B100" s="113" t="inlineStr">
        <is>
          <t>原油一次加工能力</t>
        </is>
      </c>
      <c r="C100" s="113" t="inlineStr">
        <is>
          <t>控制在…以内</t>
        </is>
      </c>
      <c r="D100" s="113" t="inlineStr">
        <is>
          <t>10亿吨</t>
        </is>
      </c>
      <c r="E100" s="113" t="n"/>
      <c r="F100" s="114" t="inlineStr">
        <is>
          <t>2025</t>
        </is>
      </c>
      <c r="G100" s="113" t="inlineStr">
        <is>
          <t>重申目标</t>
        </is>
      </c>
      <c r="H100" s="113" t="inlineStr">
        <is>
          <t>过渡能源</t>
        </is>
      </c>
      <c r="I100" s="113" t="inlineStr">
        <is>
          <t>全社会经济</t>
        </is>
      </c>
      <c r="J100" s="113" t="inlineStr">
        <is>
          <t>到2025年，国内原油一次加工能力将控制在10亿吨以内</t>
        </is>
      </c>
      <c r="K100" s="113" t="inlineStr">
        <is>
          <t>HL2102.pdf</t>
        </is>
      </c>
      <c r="L100" s="113" t="inlineStr">
        <is>
          <t>能源|电力</t>
        </is>
      </c>
      <c r="M100" s="113" t="inlineStr">
        <is>
          <t>电力供应</t>
        </is>
      </c>
    </row>
    <row r="101" ht="18" customHeight="1" s="235">
      <c r="A101" s="113" t="n">
        <v>2023</v>
      </c>
      <c r="B101" s="113" t="inlineStr">
        <is>
          <t>原油一次加工能力</t>
        </is>
      </c>
      <c r="C101" s="113" t="inlineStr">
        <is>
          <t>控制在…以内</t>
        </is>
      </c>
      <c r="D101" s="113" t="inlineStr">
        <is>
          <t>10亿吨</t>
        </is>
      </c>
      <c r="E101" s="113" t="n"/>
      <c r="F101" s="114" t="inlineStr">
        <is>
          <t>2025</t>
        </is>
      </c>
      <c r="G101" s="113" t="inlineStr">
        <is>
          <t>重申目标</t>
        </is>
      </c>
      <c r="H101" s="113" t="inlineStr">
        <is>
          <t>过渡能源</t>
        </is>
      </c>
      <c r="I101" s="113" t="inlineStr">
        <is>
          <t>全社会经济</t>
        </is>
      </c>
      <c r="J101" s="113" t="inlineStr">
        <is>
          <t>到2025年，国内原油一次加工能力控制在10亿吨以内。</t>
        </is>
      </c>
      <c r="K101" s="113" t="inlineStr">
        <is>
          <t>GO2304.htm</t>
        </is>
      </c>
      <c r="L101" s="113" t="inlineStr">
        <is>
          <t>能源|电力</t>
        </is>
      </c>
      <c r="M101" s="113" t="inlineStr">
        <is>
          <t>电力供应</t>
        </is>
      </c>
    </row>
    <row r="102" ht="18" customHeight="1" s="235">
      <c r="A102" s="113" t="n">
        <v>2016</v>
      </c>
      <c r="B102" s="113" t="inlineStr">
        <is>
          <t>原油一次管输能力</t>
        </is>
      </c>
      <c r="C102" s="113" t="inlineStr">
        <is>
          <t>新增</t>
        </is>
      </c>
      <c r="D102" s="113" t="inlineStr">
        <is>
          <t>1.2亿吨/年</t>
        </is>
      </c>
      <c r="E102" s="113" t="n"/>
      <c r="F102" s="114" t="inlineStr">
        <is>
          <t>十三五</t>
        </is>
      </c>
      <c r="G102" s="113" t="inlineStr">
        <is>
          <t>新目标</t>
        </is>
      </c>
      <c r="H102" s="113" t="inlineStr">
        <is>
          <t>过渡能源</t>
        </is>
      </c>
      <c r="I102" s="113" t="inlineStr">
        <is>
          <t>全社会经济</t>
        </is>
      </c>
      <c r="J102" s="113" t="inlineStr">
        <is>
          <t>“十三五”期间，新增原油一次管输能力1.2亿吨/年。</t>
        </is>
      </c>
      <c r="K102" s="113" t="inlineStr">
        <is>
          <t>FYP1624.pdf</t>
        </is>
      </c>
      <c r="L102" s="113" t="inlineStr">
        <is>
          <t>能源|电力</t>
        </is>
      </c>
      <c r="M102" s="113" t="inlineStr">
        <is>
          <t>电力传输/能源运输</t>
        </is>
      </c>
    </row>
    <row r="103" ht="18" customHeight="1" s="235">
      <c r="A103" s="113" t="n">
        <v>2013</v>
      </c>
      <c r="B103" s="113" t="inlineStr">
        <is>
          <t>原油加工能力</t>
        </is>
      </c>
      <c r="C103" s="113" t="inlineStr">
        <is>
          <t>达到</t>
        </is>
      </c>
      <c r="D103" s="113" t="inlineStr">
        <is>
          <t>6.2亿吨</t>
        </is>
      </c>
      <c r="E103" s="113" t="n"/>
      <c r="F103" s="114" t="inlineStr">
        <is>
          <t>2015</t>
        </is>
      </c>
      <c r="G103" s="113" t="inlineStr">
        <is>
          <t>新目标</t>
        </is>
      </c>
      <c r="H103" s="113" t="inlineStr">
        <is>
          <t>过渡能源</t>
        </is>
      </c>
      <c r="I103" s="113" t="inlineStr">
        <is>
          <t>行业</t>
        </is>
      </c>
      <c r="J103" s="113" t="inlineStr">
        <is>
          <t>到2015年，全国一次原油加工能力达到6.2亿吨。</t>
        </is>
      </c>
      <c r="K103" s="113" t="inlineStr">
        <is>
          <t>FYP1302.htm</t>
        </is>
      </c>
      <c r="L103" s="113" t="inlineStr">
        <is>
          <t>能源|电力</t>
        </is>
      </c>
      <c r="M103" s="113" t="inlineStr">
        <is>
          <t>电力供应</t>
        </is>
      </c>
    </row>
    <row r="104" ht="18" customHeight="1" s="235">
      <c r="A104" s="113" t="n">
        <v>2016</v>
      </c>
      <c r="B104" s="113" t="inlineStr">
        <is>
          <t>原油年产量</t>
        </is>
      </c>
      <c r="C104" s="113" t="inlineStr">
        <is>
          <t>达到</t>
        </is>
      </c>
      <c r="D104" s="113" t="inlineStr">
        <is>
          <t>2亿吨</t>
        </is>
      </c>
      <c r="E104" s="113" t="n"/>
      <c r="F104" s="114" t="inlineStr">
        <is>
          <t>十三五</t>
        </is>
      </c>
      <c r="G104" s="113" t="inlineStr">
        <is>
          <t>重申目标</t>
        </is>
      </c>
      <c r="H104" s="113" t="inlineStr">
        <is>
          <t>过渡能源</t>
        </is>
      </c>
      <c r="I104" s="113" t="inlineStr">
        <is>
          <t>全社会经济</t>
        </is>
      </c>
      <c r="J104" s="113" t="inlineStr">
        <is>
          <t>“十三五”期间，石油新增探明储量50亿吨左右，年产量2亿吨左右。</t>
        </is>
      </c>
      <c r="K104" s="113" t="inlineStr">
        <is>
          <t>FYP1603.pdf</t>
        </is>
      </c>
      <c r="L104" s="113" t="inlineStr">
        <is>
          <t>能源|电力</t>
        </is>
      </c>
      <c r="M104" s="113" t="inlineStr">
        <is>
          <t>电力供应</t>
        </is>
      </c>
    </row>
    <row r="105" ht="18" customHeight="1" s="235">
      <c r="A105" s="113" t="n">
        <v>2013</v>
      </c>
      <c r="B105" s="113" t="inlineStr">
        <is>
          <t>原油生产能力</t>
        </is>
      </c>
      <c r="C105" s="113" t="inlineStr">
        <is>
          <t>稳定在</t>
        </is>
      </c>
      <c r="D105" s="113" t="inlineStr">
        <is>
          <t>2亿吨</t>
        </is>
      </c>
      <c r="E105" s="113" t="n"/>
      <c r="F105" s="114" t="inlineStr">
        <is>
          <t>2015</t>
        </is>
      </c>
      <c r="G105" s="113" t="inlineStr">
        <is>
          <t>新目标</t>
        </is>
      </c>
      <c r="H105" s="113" t="inlineStr">
        <is>
          <t>过渡能源</t>
        </is>
      </c>
      <c r="I105" s="113" t="inlineStr">
        <is>
          <t>行业</t>
        </is>
      </c>
      <c r="J105" s="113" t="inlineStr">
        <is>
          <t>到2015年，原油生产能力稳定在2亿吨左右。</t>
        </is>
      </c>
      <c r="K105" s="113" t="inlineStr">
        <is>
          <t>FYP1302.htm</t>
        </is>
      </c>
      <c r="L105" s="113" t="inlineStr">
        <is>
          <t>能源|电力</t>
        </is>
      </c>
      <c r="M105" s="113" t="inlineStr">
        <is>
          <t>电力供应</t>
        </is>
      </c>
    </row>
    <row r="106" ht="18" customHeight="1" s="235">
      <c r="A106" s="113" t="n">
        <v>2016</v>
      </c>
      <c r="B106" s="113" t="inlineStr">
        <is>
          <t>原油管道</t>
        </is>
      </c>
      <c r="C106" s="113" t="inlineStr">
        <is>
          <t>建设</t>
        </is>
      </c>
      <c r="D106" s="113" t="inlineStr">
        <is>
          <t>5000公里</t>
        </is>
      </c>
      <c r="E106" s="113" t="n"/>
      <c r="F106" s="114" t="inlineStr">
        <is>
          <t>十三五</t>
        </is>
      </c>
      <c r="G106" s="113" t="inlineStr">
        <is>
          <t>新目标</t>
        </is>
      </c>
      <c r="H106" s="113" t="inlineStr">
        <is>
          <t>过渡能源</t>
        </is>
      </c>
      <c r="I106" s="113" t="inlineStr">
        <is>
          <t>不明确</t>
        </is>
      </c>
      <c r="J106" s="113" t="inlineStr">
        <is>
          <t>“十三五”期间，建成原油管道约5000公里。</t>
        </is>
      </c>
      <c r="K106" s="113" t="inlineStr">
        <is>
          <t>FYP1624.pdf</t>
        </is>
      </c>
      <c r="L106" s="113" t="inlineStr">
        <is>
          <t>能源|电力</t>
        </is>
      </c>
      <c r="M106" s="113" t="inlineStr">
        <is>
          <t>电力传输/能源运输</t>
        </is>
      </c>
    </row>
    <row r="107" ht="18" customHeight="1" s="235">
      <c r="A107" s="113" t="n">
        <v>2012</v>
      </c>
      <c r="B107" s="113" t="inlineStr">
        <is>
          <t>原煤入洗率</t>
        </is>
      </c>
      <c r="C107" s="113" t="inlineStr">
        <is>
          <t>达到</t>
        </is>
      </c>
      <c r="D107" s="113" t="inlineStr">
        <is>
          <t>60%</t>
        </is>
      </c>
      <c r="E107" s="113" t="n"/>
      <c r="F107" s="114" t="inlineStr">
        <is>
          <t>2015</t>
        </is>
      </c>
      <c r="G107" s="113" t="inlineStr">
        <is>
          <t>重申目标</t>
        </is>
      </c>
      <c r="H107" s="113" t="inlineStr">
        <is>
          <t>涉煤</t>
        </is>
      </c>
      <c r="I107" s="113" t="inlineStr">
        <is>
          <t>行业</t>
        </is>
      </c>
      <c r="J107" s="113" t="inlineStr">
        <is>
          <t>到2015年，原煤入洗率达到60%以上。</t>
        </is>
      </c>
      <c r="K107" s="113" t="inlineStr">
        <is>
          <t>FYP1201.htm</t>
        </is>
      </c>
      <c r="L107" s="113" t="inlineStr">
        <is>
          <t>能源|电力</t>
        </is>
      </c>
      <c r="M107" s="113" t="inlineStr">
        <is>
          <t>煤电</t>
        </is>
      </c>
    </row>
    <row r="108" ht="18" customHeight="1" s="235">
      <c r="A108" s="113" t="n">
        <v>2013</v>
      </c>
      <c r="B108" s="113" t="inlineStr">
        <is>
          <t>原煤入洗率</t>
        </is>
      </c>
      <c r="C108" s="113" t="inlineStr">
        <is>
          <t>达到</t>
        </is>
      </c>
      <c r="D108" s="113" t="inlineStr">
        <is>
          <t>60%</t>
        </is>
      </c>
      <c r="E108" s="113" t="n"/>
      <c r="F108" s="114" t="inlineStr">
        <is>
          <t>2015</t>
        </is>
      </c>
      <c r="G108" s="113" t="inlineStr">
        <is>
          <t>新目标</t>
        </is>
      </c>
      <c r="H108" s="113" t="inlineStr">
        <is>
          <t>涉煤</t>
        </is>
      </c>
      <c r="I108" s="113" t="inlineStr">
        <is>
          <t>行业</t>
        </is>
      </c>
      <c r="J108" s="113" t="inlineStr">
        <is>
          <t>到2015年，原煤入洗率达到60%以上。</t>
        </is>
      </c>
      <c r="K108" s="113" t="inlineStr">
        <is>
          <t>DP1301.htm</t>
        </is>
      </c>
      <c r="L108" s="113" t="inlineStr">
        <is>
          <t>能源|电力</t>
        </is>
      </c>
      <c r="M108" s="113" t="inlineStr">
        <is>
          <t>煤电</t>
        </is>
      </c>
    </row>
    <row r="109" ht="18" customHeight="1" s="235">
      <c r="A109" s="113" t="n">
        <v>2013</v>
      </c>
      <c r="B109" s="113" t="inlineStr">
        <is>
          <t>原煤入选率</t>
        </is>
      </c>
      <c r="C109" s="113" t="inlineStr">
        <is>
          <t>达到</t>
        </is>
      </c>
      <c r="D109" s="113" t="inlineStr">
        <is>
          <t>70%以上</t>
        </is>
      </c>
      <c r="E109" s="113" t="n"/>
      <c r="F109" s="114" t="inlineStr">
        <is>
          <t>2017</t>
        </is>
      </c>
      <c r="G109" s="113" t="inlineStr">
        <is>
          <t>新目标</t>
        </is>
      </c>
      <c r="H109" s="113" t="inlineStr">
        <is>
          <t>涉煤</t>
        </is>
      </c>
      <c r="I109" s="113" t="inlineStr">
        <is>
          <t>行业</t>
        </is>
      </c>
      <c r="J109" s="113" t="inlineStr">
        <is>
          <t>提高煤炭洗选比例，新建煤矿应同步建设煤炭洗选设施，现有煤矿要加快建设与改造；到2017年，原煤入选率达到70%以上。</t>
        </is>
      </c>
      <c r="K109" s="113" t="inlineStr">
        <is>
          <t>AP1302.htm</t>
        </is>
      </c>
      <c r="L109" s="113" t="inlineStr">
        <is>
          <t>能源|电力</t>
        </is>
      </c>
      <c r="M109" s="113" t="inlineStr">
        <is>
          <t>煤电</t>
        </is>
      </c>
    </row>
    <row r="110" ht="18" customHeight="1" s="235">
      <c r="A110" s="113" t="n">
        <v>2013</v>
      </c>
      <c r="B110" s="113" t="inlineStr">
        <is>
          <t>原煤入选率</t>
        </is>
      </c>
      <c r="C110" s="113" t="inlineStr">
        <is>
          <t>达到</t>
        </is>
      </c>
      <c r="D110" s="113" t="inlineStr">
        <is>
          <t>65%以上</t>
        </is>
      </c>
      <c r="E110" s="113" t="n"/>
      <c r="F110" s="114" t="inlineStr">
        <is>
          <t>2015</t>
        </is>
      </c>
      <c r="G110" s="113" t="inlineStr">
        <is>
          <t>强化或放宽目标（积极气候影响）</t>
        </is>
      </c>
      <c r="H110" s="113" t="inlineStr">
        <is>
          <t>涉煤</t>
        </is>
      </c>
      <c r="I110" s="113" t="inlineStr">
        <is>
          <t>行业</t>
        </is>
      </c>
      <c r="J110" s="113" t="inlineStr">
        <is>
          <t>到2015年，原煤入选率达到65%以上。</t>
        </is>
      </c>
      <c r="K110" s="113" t="inlineStr">
        <is>
          <t>FYP1302.htm</t>
        </is>
      </c>
      <c r="L110" s="113" t="inlineStr">
        <is>
          <t>能源|电力</t>
        </is>
      </c>
      <c r="M110" s="113" t="inlineStr">
        <is>
          <t>煤电</t>
        </is>
      </c>
    </row>
    <row r="111" ht="18" customHeight="1" s="235">
      <c r="A111" s="113" t="n">
        <v>2014</v>
      </c>
      <c r="B111" s="113" t="inlineStr">
        <is>
          <t>原煤入选率</t>
        </is>
      </c>
      <c r="C111" s="113" t="inlineStr">
        <is>
          <t>达到</t>
        </is>
      </c>
      <c r="D111" s="113" t="inlineStr">
        <is>
          <t>80%以上</t>
        </is>
      </c>
      <c r="E111" s="113" t="n"/>
      <c r="F111" s="114" t="inlineStr">
        <is>
          <t>2020</t>
        </is>
      </c>
      <c r="G111" s="113" t="inlineStr">
        <is>
          <t>新目标</t>
        </is>
      </c>
      <c r="H111" s="113" t="inlineStr">
        <is>
          <t>涉煤</t>
        </is>
      </c>
      <c r="I111" s="113" t="inlineStr">
        <is>
          <t>行业</t>
        </is>
      </c>
      <c r="J111" s="113" t="inlineStr">
        <is>
          <t>到2020年，原煤入选率达到80%以上。</t>
        </is>
      </c>
      <c r="K111" s="113" t="inlineStr">
        <is>
          <t>O1401.htm</t>
        </is>
      </c>
      <c r="L111" s="113" t="inlineStr">
        <is>
          <t>能源|电力</t>
        </is>
      </c>
      <c r="M111" s="113" t="inlineStr">
        <is>
          <t>煤电</t>
        </is>
      </c>
    </row>
    <row r="112" ht="18" customHeight="1" s="235">
      <c r="A112" s="113" t="n">
        <v>2016</v>
      </c>
      <c r="B112" s="113" t="inlineStr">
        <is>
          <t>参与工业领域电力需求侧管理专项行动计划的工业企业单位增加值电耗平均水平</t>
        </is>
      </c>
      <c r="C112" s="113" t="inlineStr">
        <is>
          <t>降低</t>
        </is>
      </c>
      <c r="D112" s="113" t="inlineStr">
        <is>
          <t>10%</t>
        </is>
      </c>
      <c r="E112" s="113" t="n">
        <v>2015</v>
      </c>
      <c r="F112" s="114" t="inlineStr">
        <is>
          <t>2020</t>
        </is>
      </c>
      <c r="G112" s="113" t="inlineStr">
        <is>
          <t>新目标</t>
        </is>
      </c>
      <c r="H112" s="113" t="inlineStr">
        <is>
          <t>能源效率</t>
        </is>
      </c>
      <c r="I112" s="113" t="inlineStr">
        <is>
          <t>企业</t>
        </is>
      </c>
      <c r="J112" s="113" t="inlineStr">
        <is>
          <t>总体目标是：到2020年，实现参与工业领域电力需求侧管理专项行动计划的工业企业单位增加值电耗平均水平下降10%以上。</t>
        </is>
      </c>
      <c r="K112" s="113" t="inlineStr">
        <is>
          <t>AP1602.htm</t>
        </is>
      </c>
      <c r="L112" s="113" t="inlineStr">
        <is>
          <t>能源|电力</t>
        </is>
      </c>
      <c r="M112" s="113" t="inlineStr">
        <is>
          <t>能源消费</t>
        </is>
      </c>
    </row>
    <row r="113" ht="18" customHeight="1" s="235">
      <c r="A113" s="113" t="n">
        <v>2024</v>
      </c>
      <c r="B113" s="113" t="inlineStr">
        <is>
          <t>可再生能源非电利用</t>
        </is>
      </c>
      <c r="C113" s="113" t="inlineStr">
        <is>
          <t>超过</t>
        </is>
      </c>
      <c r="D113" s="113" t="inlineStr">
        <is>
          <t>6000万吨标准煤</t>
        </is>
      </c>
      <c r="E113" s="113" t="n"/>
      <c r="F113" s="114" t="inlineStr">
        <is>
          <t>2024</t>
        </is>
      </c>
      <c r="G113" s="113" t="inlineStr">
        <is>
          <t>新目标</t>
        </is>
      </c>
      <c r="H113" s="113" t="inlineStr">
        <is>
          <t>可再生能源</t>
        </is>
      </c>
      <c r="I113" s="113" t="inlineStr">
        <is>
          <t>不明确</t>
        </is>
      </c>
      <c r="J113" s="113" t="inlineStr">
        <is>
          <t>2024年，全国非水电可再生能源电力消纳责任权重达到18%左右，可再生能源非电利用规模达到6000万吨标准煤以上。</t>
        </is>
      </c>
      <c r="K113" s="113" t="inlineStr">
        <is>
          <t>HL2401.pdf</t>
        </is>
      </c>
      <c r="L113" s="113" t="inlineStr">
        <is>
          <t>能源|电力</t>
        </is>
      </c>
      <c r="M113" s="113" t="inlineStr">
        <is>
          <t>电力供应</t>
        </is>
      </c>
    </row>
    <row r="114" ht="18" customHeight="1" s="235">
      <c r="A114" s="113" t="n">
        <v>2024</v>
      </c>
      <c r="B114" s="113" t="inlineStr">
        <is>
          <t>各地区需求响应能力占最大用电负荷比例</t>
        </is>
      </c>
      <c r="C114" s="113" t="inlineStr">
        <is>
          <t>达到</t>
        </is>
      </c>
      <c r="D114" s="113" t="inlineStr">
        <is>
          <t>3%-5%</t>
        </is>
      </c>
      <c r="E114" s="113" t="n"/>
      <c r="F114" s="114" t="inlineStr">
        <is>
          <t>2025</t>
        </is>
      </c>
      <c r="G114" s="113" t="inlineStr">
        <is>
          <t>新目标</t>
        </is>
      </c>
      <c r="H114" s="113" t="inlineStr">
        <is>
          <t>可再生能源</t>
        </is>
      </c>
      <c r="I114" s="113" t="inlineStr">
        <is>
          <t>地区</t>
        </is>
      </c>
      <c r="J114" s="113" t="inlineStr">
        <is>
          <t>到2025年底，各地区需求响应能力一般应达到最大用电负荷的3%—5%。</t>
        </is>
      </c>
      <c r="K114" s="113" t="inlineStr">
        <is>
          <t>AP2405.htm</t>
        </is>
      </c>
      <c r="L114" s="113" t="inlineStr">
        <is>
          <t>能源|电力</t>
        </is>
      </c>
      <c r="M114" s="113" t="inlineStr">
        <is>
          <t>电力传输/能源运输</t>
        </is>
      </c>
    </row>
    <row r="115" ht="18" customHeight="1" s="235">
      <c r="A115" s="113" t="n">
        <v>2021</v>
      </c>
      <c r="B115" s="113" t="inlineStr">
        <is>
          <t>国家铁路单位周转量能耗</t>
        </is>
      </c>
      <c r="C115" s="113" t="inlineStr">
        <is>
          <t>降低</t>
        </is>
      </c>
      <c r="D115" s="113" t="inlineStr">
        <is>
          <t>10%</t>
        </is>
      </c>
      <c r="E115" s="113" t="n">
        <v>2020</v>
      </c>
      <c r="F115" s="114" t="inlineStr">
        <is>
          <t>2030</t>
        </is>
      </c>
      <c r="G115" s="113" t="inlineStr">
        <is>
          <t>重申目标</t>
        </is>
      </c>
      <c r="H115" s="113" t="inlineStr">
        <is>
          <t>能源效率</t>
        </is>
      </c>
      <c r="I115" s="113" t="inlineStr">
        <is>
          <t>全社会经济</t>
        </is>
      </c>
      <c r="J115" s="113" t="inlineStr">
        <is>
          <t>到2030年，铁路单位换算周转量综合能耗较2020年下降10%，陆路交通运输石油消费力争达峰。</t>
        </is>
      </c>
      <c r="K115" s="113" t="inlineStr">
        <is>
          <t>HL2104.pdf</t>
        </is>
      </c>
      <c r="L115" s="113" t="inlineStr">
        <is>
          <t>能源|电力</t>
        </is>
      </c>
      <c r="M115" s="113" t="inlineStr">
        <is>
          <t>能源消费</t>
        </is>
      </c>
    </row>
    <row r="116" ht="18" customHeight="1" s="235">
      <c r="A116" s="113" t="n">
        <v>2021</v>
      </c>
      <c r="B116" s="113" t="inlineStr">
        <is>
          <t>国家铁路单位换算周转量综合能耗</t>
        </is>
      </c>
      <c r="C116" s="113" t="inlineStr">
        <is>
          <t>降低</t>
        </is>
      </c>
      <c r="D116" s="113" t="inlineStr">
        <is>
          <t>10%</t>
        </is>
      </c>
      <c r="E116" s="113" t="n">
        <v>2020</v>
      </c>
      <c r="F116" s="114" t="n">
        <v>2030</v>
      </c>
      <c r="G116" s="113" t="inlineStr">
        <is>
          <t>新目标</t>
        </is>
      </c>
      <c r="H116" s="113" t="inlineStr">
        <is>
          <t>能源效率</t>
        </is>
      </c>
      <c r="I116" s="113" t="inlineStr">
        <is>
          <t>行业</t>
        </is>
      </c>
      <c r="J116" s="113" t="inlineStr">
        <is>
          <t>到2030年，国家铁路单位换算周转量综合能耗比2020年下降10%。</t>
        </is>
      </c>
      <c r="K116" s="113" t="inlineStr">
        <is>
          <t>HL2102.pdf</t>
        </is>
      </c>
      <c r="L116" s="113" t="inlineStr">
        <is>
          <t>能源|电力</t>
        </is>
      </c>
      <c r="M116" s="113" t="inlineStr">
        <is>
          <t>能源消费</t>
        </is>
      </c>
    </row>
    <row r="117" ht="18" customHeight="1" s="235">
      <c r="A117" s="113" t="n">
        <v>2024</v>
      </c>
      <c r="B117" s="113" t="inlineStr">
        <is>
          <t>国家铁路单位换算周转量综合能耗</t>
        </is>
      </c>
      <c r="C117" s="113" t="inlineStr">
        <is>
          <t>降低</t>
        </is>
      </c>
      <c r="D117" s="113" t="inlineStr">
        <is>
          <t>4.5%</t>
        </is>
      </c>
      <c r="E117" s="113" t="n">
        <v>2020</v>
      </c>
      <c r="F117" s="114" t="inlineStr">
        <is>
          <t>2025</t>
        </is>
      </c>
      <c r="G117" s="113" t="inlineStr">
        <is>
          <t>新目标</t>
        </is>
      </c>
      <c r="H117" s="113" t="inlineStr">
        <is>
          <t>能源效率</t>
        </is>
      </c>
      <c r="I117" s="113" t="inlineStr">
        <is>
          <t>行业</t>
        </is>
      </c>
      <c r="J117" s="113" t="inlineStr">
        <is>
          <t>到2025年底，铁路单位换算周转量综合能耗较2020年降低4.5%。</t>
        </is>
      </c>
      <c r="K117" s="113" t="inlineStr">
        <is>
          <t>AP2405.htm</t>
        </is>
      </c>
      <c r="L117" s="113" t="inlineStr">
        <is>
          <t>能源|电力</t>
        </is>
      </c>
      <c r="M117" s="113" t="inlineStr">
        <is>
          <t>能源消费</t>
        </is>
      </c>
    </row>
    <row r="118" ht="18" customHeight="1" s="235">
      <c r="A118" s="113" t="n">
        <v>2023</v>
      </c>
      <c r="B118" s="113" t="inlineStr">
        <is>
          <t>国家铁路单位运输工作量综合能耗</t>
        </is>
      </c>
      <c r="C118" s="113" t="inlineStr">
        <is>
          <t>降低</t>
        </is>
      </c>
      <c r="D118" s="113" t="inlineStr">
        <is>
          <t>10%</t>
        </is>
      </c>
      <c r="E118" s="113" t="n">
        <v>2020</v>
      </c>
      <c r="F118" s="114" t="inlineStr">
        <is>
          <t>2030</t>
        </is>
      </c>
      <c r="G118" s="113" t="inlineStr">
        <is>
          <t>重申目标</t>
        </is>
      </c>
      <c r="H118" s="113" t="inlineStr">
        <is>
          <t>能源效率</t>
        </is>
      </c>
      <c r="I118" s="113" t="inlineStr">
        <is>
          <t>全社会经济</t>
        </is>
      </c>
      <c r="J118" s="113" t="inlineStr">
        <is>
          <t>到2030年，铁路单位运输工作量综合能耗较2020年下降10%。</t>
        </is>
      </c>
      <c r="K118" s="113" t="inlineStr">
        <is>
          <t>HL2302.pdf</t>
        </is>
      </c>
      <c r="L118" s="113" t="inlineStr">
        <is>
          <t>能源|电力</t>
        </is>
      </c>
      <c r="M118" s="113" t="inlineStr">
        <is>
          <t>能源消费</t>
        </is>
      </c>
    </row>
    <row r="119" ht="18" customHeight="1" s="235">
      <c r="A119" s="113" t="n">
        <v>2019</v>
      </c>
      <c r="B119" s="113" t="inlineStr">
        <is>
          <t>地热能利用规模</t>
        </is>
      </c>
      <c r="C119" s="113" t="inlineStr">
        <is>
          <t>提高至</t>
        </is>
      </c>
      <c r="D119" s="113" t="inlineStr">
        <is>
          <t>超过7000万吨标准煤</t>
        </is>
      </c>
      <c r="E119" s="113" t="n"/>
      <c r="F119" s="114" t="inlineStr">
        <is>
          <t>2020</t>
        </is>
      </c>
      <c r="G119" s="113" t="inlineStr">
        <is>
          <t>新目标</t>
        </is>
      </c>
      <c r="H119" s="113" t="inlineStr">
        <is>
          <t>可再生能源</t>
        </is>
      </c>
      <c r="I119" s="113" t="inlineStr">
        <is>
          <t>不明确</t>
        </is>
      </c>
      <c r="J119" s="113" t="inlineStr">
        <is>
          <t>到2020年，中国力争将地热能利用规模提升至超过7000万吨标准煤。</t>
        </is>
      </c>
      <c r="K119" s="113" t="inlineStr">
        <is>
          <t>HL1902.pdf</t>
        </is>
      </c>
      <c r="L119" s="113" t="inlineStr">
        <is>
          <t>能源|电力</t>
        </is>
      </c>
      <c r="M119" s="113" t="inlineStr">
        <is>
          <t>电力供应</t>
        </is>
      </c>
    </row>
    <row r="120" ht="18" customHeight="1" s="235">
      <c r="A120" s="113" t="n">
        <v>2014</v>
      </c>
      <c r="B120" s="113" t="inlineStr">
        <is>
          <t>地热能利用规模</t>
        </is>
      </c>
      <c r="C120" s="113" t="inlineStr">
        <is>
          <t>达到</t>
        </is>
      </c>
      <c r="D120" s="113" t="inlineStr">
        <is>
          <t>5000万吨标准煤</t>
        </is>
      </c>
      <c r="E120" s="113" t="n"/>
      <c r="F120" s="114" t="inlineStr">
        <is>
          <t>2020</t>
        </is>
      </c>
      <c r="G120" s="113" t="inlineStr">
        <is>
          <t>新目标</t>
        </is>
      </c>
      <c r="H120" s="113" t="inlineStr">
        <is>
          <t>可再生能源</t>
        </is>
      </c>
      <c r="I120" s="113" t="inlineStr">
        <is>
          <t>不明确</t>
        </is>
      </c>
      <c r="J120" s="113" t="inlineStr">
        <is>
          <t>到2020年，地热能利用规模达到5000万吨标准煤。</t>
        </is>
      </c>
      <c r="K120" s="113" t="inlineStr">
        <is>
          <t>AP1401.htm</t>
        </is>
      </c>
      <c r="L120" s="113" t="inlineStr">
        <is>
          <t>能源|电力</t>
        </is>
      </c>
      <c r="M120" s="113" t="inlineStr">
        <is>
          <t>电力供应</t>
        </is>
      </c>
    </row>
    <row r="121" ht="18" customHeight="1" s="235">
      <c r="A121" s="113" t="n">
        <v>2004</v>
      </c>
      <c r="B121" s="113" t="inlineStr">
        <is>
          <t>地面煤层气开发及采空区、废弃矿井和井下瓦斯抽放瓦斯气年利用量</t>
        </is>
      </c>
      <c r="C121" s="113" t="inlineStr">
        <is>
          <t>达到</t>
        </is>
      </c>
      <c r="D121" s="113" t="inlineStr">
        <is>
          <t>10亿立方米</t>
        </is>
      </c>
      <c r="E121" s="113" t="n"/>
      <c r="F121" s="114" t="inlineStr">
        <is>
          <t>十一五</t>
        </is>
      </c>
      <c r="G121" s="113" t="inlineStr">
        <is>
          <t>新目标</t>
        </is>
      </c>
      <c r="H121" s="113" t="inlineStr">
        <is>
          <t>过渡能源</t>
        </is>
      </c>
      <c r="I121" s="113" t="inlineStr">
        <is>
          <t>不明确</t>
        </is>
      </c>
      <c r="J121" s="113" t="inlineStr">
        <is>
          <t>“十一五”期间，地面煤层气开发及采空区、废弃矿井和井下瓦斯抽放瓦斯气年利用量达到10亿立方米，相当于年节约135万吨标准煤。</t>
        </is>
      </c>
      <c r="K121" s="113" t="inlineStr">
        <is>
          <t>MLT0401.htm</t>
        </is>
      </c>
      <c r="L121" s="113" t="inlineStr">
        <is>
          <t>能源|电力</t>
        </is>
      </c>
      <c r="M121" s="113" t="inlineStr">
        <is>
          <t>电力供应</t>
        </is>
      </c>
    </row>
    <row r="122" ht="18" customHeight="1" s="235">
      <c r="A122" s="113" t="n">
        <v>2013</v>
      </c>
      <c r="B122" s="113" t="inlineStr">
        <is>
          <t>城市生活垃圾发电装机容量</t>
        </is>
      </c>
      <c r="C122" s="113" t="inlineStr">
        <is>
          <t>达到</t>
        </is>
      </c>
      <c r="D122" s="113" t="inlineStr">
        <is>
          <t>300万千瓦</t>
        </is>
      </c>
      <c r="E122" s="113" t="n"/>
      <c r="F122" s="114" t="inlineStr">
        <is>
          <t>2015</t>
        </is>
      </c>
      <c r="G122" s="113" t="inlineStr">
        <is>
          <t>新目标</t>
        </is>
      </c>
      <c r="H122" s="113" t="inlineStr">
        <is>
          <t>可再生能源</t>
        </is>
      </c>
      <c r="I122" s="113" t="inlineStr">
        <is>
          <t>全社会经济</t>
        </is>
      </c>
      <c r="J122" s="113" t="inlineStr">
        <is>
          <t>到2015年，城市生活垃圾发电装机容量达到300万千瓦。</t>
        </is>
      </c>
      <c r="K122" s="113" t="inlineStr">
        <is>
          <t>FYP1302.htm</t>
        </is>
      </c>
      <c r="L122" s="113" t="inlineStr">
        <is>
          <t>能源|电力</t>
        </is>
      </c>
      <c r="M122" s="113" t="inlineStr">
        <is>
          <t>电力供应</t>
        </is>
      </c>
    </row>
    <row r="123" ht="18" customHeight="1" s="235">
      <c r="A123" s="113" t="n">
        <v>2014</v>
      </c>
      <c r="B123" s="113" t="inlineStr">
        <is>
          <t>大型煤炭基地产量占全国总产量的比重</t>
        </is>
      </c>
      <c r="C123" s="113" t="inlineStr">
        <is>
          <t>占比达到</t>
        </is>
      </c>
      <c r="D123" s="113" t="inlineStr">
        <is>
          <t>95%</t>
        </is>
      </c>
      <c r="E123" s="113" t="n"/>
      <c r="F123" s="114" t="inlineStr">
        <is>
          <t>2020</t>
        </is>
      </c>
      <c r="G123" s="113" t="inlineStr">
        <is>
          <t>新目标</t>
        </is>
      </c>
      <c r="H123" s="113" t="inlineStr">
        <is>
          <t>涉煤</t>
        </is>
      </c>
      <c r="I123" s="113" t="inlineStr">
        <is>
          <t>全社会经济</t>
        </is>
      </c>
      <c r="J123" s="113" t="inlineStr">
        <is>
          <t>到2020年，大型煤电基地产量占全国总产量的95%。</t>
        </is>
      </c>
      <c r="K123" s="113" t="inlineStr">
        <is>
          <t>AP1401.htm</t>
        </is>
      </c>
      <c r="L123" s="113" t="inlineStr">
        <is>
          <t>能源|电力</t>
        </is>
      </c>
      <c r="M123" s="113" t="inlineStr">
        <is>
          <t>煤电</t>
        </is>
      </c>
    </row>
    <row r="124" ht="18" customHeight="1" s="235">
      <c r="A124" s="113" t="n">
        <v>2007</v>
      </c>
      <c r="B124" s="113" t="inlineStr">
        <is>
          <t>大型煤炭基地和主要煤炭矿区新建煤矸石电厂装机容量</t>
        </is>
      </c>
      <c r="C124" s="113" t="inlineStr">
        <is>
          <t>达到</t>
        </is>
      </c>
      <c r="D124" s="113" t="inlineStr">
        <is>
          <t>13.5万千瓦（及以上）</t>
        </is>
      </c>
      <c r="E124" s="113" t="n"/>
      <c r="F124" s="114" t="inlineStr">
        <is>
          <t>十一五</t>
        </is>
      </c>
      <c r="G124" s="113" t="inlineStr">
        <is>
          <t>新目标</t>
        </is>
      </c>
      <c r="H124" s="113" t="inlineStr">
        <is>
          <t>涉煤</t>
        </is>
      </c>
      <c r="I124" s="113" t="inlineStr">
        <is>
          <t>全社会经济</t>
        </is>
      </c>
      <c r="J124" s="113" t="inlineStr">
        <is>
          <t>“十一五”期间，在大型煤炭基地和主要煤炭矿区，加快扩大煤矸石、煤泥、洗中煤、矿井水等资源的综合利用，建设一批13.5万千瓦及以上煤矸石电厂。</t>
        </is>
      </c>
      <c r="K124" s="113" t="inlineStr">
        <is>
          <t>FYP0701.htm</t>
        </is>
      </c>
      <c r="L124" s="113" t="inlineStr">
        <is>
          <t>能源|电力</t>
        </is>
      </c>
      <c r="M124" s="113" t="inlineStr">
        <is>
          <t>电力供应</t>
        </is>
      </c>
    </row>
    <row r="125" ht="18" customHeight="1" s="235">
      <c r="A125" s="113" t="n">
        <v>2014</v>
      </c>
      <c r="B125" s="113" t="inlineStr">
        <is>
          <t>大型煤炭基地煤炭生产能力占全国总生产能力的比重</t>
        </is>
      </c>
      <c r="C125" s="113" t="inlineStr">
        <is>
          <t>占比达到</t>
        </is>
      </c>
      <c r="D125" s="113" t="inlineStr">
        <is>
          <t>约95%</t>
        </is>
      </c>
      <c r="E125" s="113" t="n"/>
      <c r="F125" s="114" t="inlineStr">
        <is>
          <t>2020</t>
        </is>
      </c>
      <c r="G125" s="113" t="inlineStr">
        <is>
          <t>重申目标</t>
        </is>
      </c>
      <c r="H125" s="113" t="inlineStr">
        <is>
          <t>涉煤</t>
        </is>
      </c>
      <c r="I125" s="113" t="inlineStr">
        <is>
          <t>行业</t>
        </is>
      </c>
      <c r="J125" s="113" t="inlineStr">
        <is>
          <t>到2020年，大型煤炭基地煤炭生产能力占全国总生产能力的95%左右。</t>
        </is>
      </c>
      <c r="K125" s="113" t="inlineStr">
        <is>
          <t>O1401.htm</t>
        </is>
      </c>
      <c r="L125" s="113" t="inlineStr">
        <is>
          <t>能源|电力</t>
        </is>
      </c>
      <c r="M125" s="113" t="inlineStr">
        <is>
          <t>煤电</t>
        </is>
      </c>
    </row>
    <row r="126" ht="18" customHeight="1" s="235">
      <c r="A126" s="113" t="n">
        <v>2016</v>
      </c>
      <c r="B126" s="113" t="inlineStr">
        <is>
          <t>天然气主干管道总里程</t>
        </is>
      </c>
      <c r="C126" s="113" t="inlineStr">
        <is>
          <t>达到</t>
        </is>
      </c>
      <c r="D126" s="113" t="inlineStr">
        <is>
          <t>10.4万公里</t>
        </is>
      </c>
      <c r="E126" s="113" t="n"/>
      <c r="F126" s="114" t="inlineStr">
        <is>
          <t>2020</t>
        </is>
      </c>
      <c r="G126" s="113" t="inlineStr">
        <is>
          <t>强化或放宽目标（气候影响不明确）</t>
        </is>
      </c>
      <c r="H126" s="113" t="inlineStr">
        <is>
          <t>过渡能源</t>
        </is>
      </c>
      <c r="I126" s="113" t="inlineStr">
        <is>
          <t>全社会经济</t>
        </is>
      </c>
      <c r="J126" s="113" t="inlineStr">
        <is>
          <t>到2020年，新建天然气主干及配套管道总里程达到10.4万公里。</t>
        </is>
      </c>
      <c r="K126" s="113" t="inlineStr">
        <is>
          <t>FYP1625.pdf</t>
        </is>
      </c>
      <c r="L126" s="113" t="inlineStr">
        <is>
          <t>能源|电力</t>
        </is>
      </c>
      <c r="M126" s="113" t="inlineStr">
        <is>
          <t>电力传输/能源运输</t>
        </is>
      </c>
    </row>
    <row r="127" ht="18" customHeight="1" s="235">
      <c r="A127" s="113" t="n">
        <v>2014</v>
      </c>
      <c r="B127" s="113" t="inlineStr">
        <is>
          <t>天然气主干管道里程</t>
        </is>
      </c>
      <c r="C127" s="113" t="inlineStr">
        <is>
          <t>达到</t>
        </is>
      </c>
      <c r="D127" s="113" t="inlineStr">
        <is>
          <t>12万公里以上</t>
        </is>
      </c>
      <c r="E127" s="113" t="n"/>
      <c r="F127" s="114" t="inlineStr">
        <is>
          <t>2020</t>
        </is>
      </c>
      <c r="G127" s="113" t="inlineStr">
        <is>
          <t>新目标</t>
        </is>
      </c>
      <c r="H127" s="113" t="inlineStr">
        <is>
          <t>过渡能源</t>
        </is>
      </c>
      <c r="I127" s="113" t="inlineStr">
        <is>
          <t>全社会经济</t>
        </is>
      </c>
      <c r="J127" s="113" t="inlineStr">
        <is>
          <t>到2020年，天然气主干管道里程达到12万公里以上。</t>
        </is>
      </c>
      <c r="K127" s="113" t="inlineStr">
        <is>
          <t>AP1401.htm</t>
        </is>
      </c>
      <c r="L127" s="113" t="inlineStr">
        <is>
          <t>能源|电力</t>
        </is>
      </c>
      <c r="M127" s="113" t="inlineStr">
        <is>
          <t>电力传输/能源运输</t>
        </is>
      </c>
    </row>
    <row r="128" ht="18" customHeight="1" s="235">
      <c r="A128" s="113" t="n">
        <v>2013</v>
      </c>
      <c r="B128" s="113" t="inlineStr">
        <is>
          <t>天然气使用人口</t>
        </is>
      </c>
      <c r="C128" s="113" t="inlineStr">
        <is>
          <t>提高至</t>
        </is>
      </c>
      <c r="D128" s="113" t="inlineStr">
        <is>
          <t>2.5亿人</t>
        </is>
      </c>
      <c r="E128" s="113" t="n"/>
      <c r="F128" s="114" t="inlineStr">
        <is>
          <t>2015</t>
        </is>
      </c>
      <c r="G128" s="113" t="inlineStr">
        <is>
          <t>新目标</t>
        </is>
      </c>
      <c r="H128" s="113" t="inlineStr">
        <is>
          <t>过渡能源</t>
        </is>
      </c>
      <c r="I128" s="113" t="inlineStr">
        <is>
          <t>全社会经济</t>
        </is>
      </c>
      <c r="J128" s="113" t="inlineStr">
        <is>
          <t>到2015年，天然气使用人口达到2.5亿人。</t>
        </is>
      </c>
      <c r="K128" s="113" t="inlineStr">
        <is>
          <t>FYP1302.htm</t>
        </is>
      </c>
      <c r="L128" s="113" t="inlineStr">
        <is>
          <t>能源|电力</t>
        </is>
      </c>
      <c r="M128" s="113" t="inlineStr">
        <is>
          <t>能源消费</t>
        </is>
      </c>
    </row>
    <row r="129" ht="18" customHeight="1" s="235">
      <c r="A129" s="113" t="n">
        <v>2014</v>
      </c>
      <c r="B129" s="113" t="inlineStr">
        <is>
          <t>天然气占一次能源消费比重</t>
        </is>
      </c>
      <c r="C129" s="113" t="inlineStr">
        <is>
          <t>提高</t>
        </is>
      </c>
      <c r="D129" s="113" t="inlineStr">
        <is>
          <t>10%</t>
        </is>
      </c>
      <c r="E129" s="113" t="n"/>
      <c r="F129" s="114" t="inlineStr">
        <is>
          <t>2020</t>
        </is>
      </c>
      <c r="G129" s="113" t="inlineStr">
        <is>
          <t>重申目标</t>
        </is>
      </c>
      <c r="H129" s="113" t="inlineStr">
        <is>
          <t>过渡能源</t>
        </is>
      </c>
      <c r="I129" s="113" t="inlineStr">
        <is>
          <t>全社会经济</t>
        </is>
      </c>
      <c r="J129" s="113" t="inlineStr">
        <is>
          <t>到2020年，天然气占一次能源消费比重达到10%以上。</t>
        </is>
      </c>
      <c r="K129" s="113" t="inlineStr">
        <is>
          <t>AP1401.htm</t>
        </is>
      </c>
      <c r="L129" s="113" t="inlineStr">
        <is>
          <t>能源|电力</t>
        </is>
      </c>
      <c r="M129" s="113" t="inlineStr">
        <is>
          <t>能源消费</t>
        </is>
      </c>
    </row>
    <row r="130" ht="18" customHeight="1" s="235">
      <c r="A130" s="113" t="n">
        <v>2016</v>
      </c>
      <c r="B130" s="113" t="inlineStr">
        <is>
          <t>天然气占一次能源消费比重</t>
        </is>
      </c>
      <c r="C130" s="113" t="inlineStr">
        <is>
          <t>发展</t>
        </is>
      </c>
      <c r="D130" s="113" t="inlineStr">
        <is>
          <t>10%</t>
        </is>
      </c>
      <c r="E130" s="113" t="n"/>
      <c r="F130" s="114" t="inlineStr">
        <is>
          <t>2020</t>
        </is>
      </c>
      <c r="G130" s="113" t="inlineStr">
        <is>
          <t>重申目标</t>
        </is>
      </c>
      <c r="H130" s="113" t="inlineStr">
        <is>
          <t>过渡能源</t>
        </is>
      </c>
      <c r="I130" s="113" t="inlineStr">
        <is>
          <t>全社会经济</t>
        </is>
      </c>
      <c r="J130" s="113" t="inlineStr">
        <is>
          <t>积极开发利用天然气、煤层气、页岩气，加强放空天然气和油田伴生气回收利用，到2020年天然气占能源消费总量比重提高到10%左右。</t>
        </is>
      </c>
      <c r="K130" s="113" t="inlineStr">
        <is>
          <t>FYP1615.htm</t>
        </is>
      </c>
      <c r="L130" s="113" t="inlineStr">
        <is>
          <t>能源|电力</t>
        </is>
      </c>
      <c r="M130" s="113" t="inlineStr">
        <is>
          <t>能源消费</t>
        </is>
      </c>
    </row>
    <row r="131" ht="18" customHeight="1" s="235">
      <c r="A131" s="113" t="n">
        <v>2013</v>
      </c>
      <c r="B131" s="113" t="inlineStr">
        <is>
          <t>天然气占一次能源消费比重</t>
        </is>
      </c>
      <c r="C131" s="113" t="inlineStr">
        <is>
          <t>占比达到</t>
        </is>
      </c>
      <c r="D131" s="113" t="inlineStr">
        <is>
          <t>7.5%</t>
        </is>
      </c>
      <c r="E131" s="113" t="n"/>
      <c r="F131" s="114" t="inlineStr">
        <is>
          <t>2015</t>
        </is>
      </c>
      <c r="G131" s="113" t="inlineStr">
        <is>
          <t>新目标</t>
        </is>
      </c>
      <c r="H131" s="113" t="inlineStr">
        <is>
          <t>过渡能源</t>
        </is>
      </c>
      <c r="I131" s="113" t="inlineStr">
        <is>
          <t>全社会经济</t>
        </is>
      </c>
      <c r="J131" s="113" t="inlineStr">
        <is>
          <t>到2015年，天然气占一次能源消费比重提高到7.5%。</t>
        </is>
      </c>
      <c r="K131" s="113" t="inlineStr">
        <is>
          <t>FYP1302.htm</t>
        </is>
      </c>
      <c r="L131" s="113" t="inlineStr">
        <is>
          <t>能源|电力</t>
        </is>
      </c>
      <c r="M131" s="113" t="inlineStr">
        <is>
          <t>能源消费</t>
        </is>
      </c>
    </row>
    <row r="132" ht="18" customHeight="1" s="235">
      <c r="A132" s="113" t="n">
        <v>2014</v>
      </c>
      <c r="B132" s="113" t="inlineStr">
        <is>
          <t>天然气占一次能源消费比重</t>
        </is>
      </c>
      <c r="C132" s="113" t="inlineStr">
        <is>
          <t>达到</t>
        </is>
      </c>
      <c r="D132" s="113" t="inlineStr">
        <is>
          <t>10%</t>
        </is>
      </c>
      <c r="E132" s="113" t="n"/>
      <c r="F132" s="114" t="inlineStr">
        <is>
          <t>2020</t>
        </is>
      </c>
      <c r="G132" s="113" t="inlineStr">
        <is>
          <t>新目标</t>
        </is>
      </c>
      <c r="H132" s="113" t="inlineStr">
        <is>
          <t>过渡能源</t>
        </is>
      </c>
      <c r="I132" s="113" t="inlineStr">
        <is>
          <t>全社会经济</t>
        </is>
      </c>
      <c r="J132" s="113" t="inlineStr">
        <is>
          <t>到2020年，天然气在一次能源消费中的比重达到10%以上。</t>
        </is>
      </c>
      <c r="K132" s="113" t="inlineStr">
        <is>
          <t>AP1401.htm</t>
        </is>
      </c>
      <c r="L132" s="113" t="inlineStr">
        <is>
          <t>能源|电力</t>
        </is>
      </c>
      <c r="M132" s="113" t="inlineStr">
        <is>
          <t>能源消费</t>
        </is>
      </c>
    </row>
    <row r="133" ht="18" customHeight="1" s="235">
      <c r="A133" s="113" t="n">
        <v>2013</v>
      </c>
      <c r="B133" s="113" t="inlineStr">
        <is>
          <t>天然气发电装机规模</t>
        </is>
      </c>
      <c r="C133" s="113" t="inlineStr">
        <is>
          <t>提高至</t>
        </is>
      </c>
      <c r="D133" s="113" t="inlineStr">
        <is>
          <t>5600万千瓦</t>
        </is>
      </c>
      <c r="E133" s="113" t="n"/>
      <c r="F133" s="114" t="inlineStr">
        <is>
          <t>2015</t>
        </is>
      </c>
      <c r="G133" s="113" t="inlineStr">
        <is>
          <t>新目标</t>
        </is>
      </c>
      <c r="H133" s="113" t="inlineStr">
        <is>
          <t>过渡能源</t>
        </is>
      </c>
      <c r="I133" s="113" t="inlineStr">
        <is>
          <t>全社会经济</t>
        </is>
      </c>
      <c r="J133" s="113" t="inlineStr">
        <is>
          <t>到2015年，天然气发电装机规模达到5600万千瓦。</t>
        </is>
      </c>
      <c r="K133" s="113" t="inlineStr">
        <is>
          <t>FYP1302.htm</t>
        </is>
      </c>
      <c r="L133" s="113" t="inlineStr">
        <is>
          <t>能源|电力</t>
        </is>
      </c>
      <c r="M133" s="113" t="inlineStr">
        <is>
          <t>电力供应</t>
        </is>
      </c>
    </row>
    <row r="134" ht="18" customHeight="1" s="235">
      <c r="A134" s="113" t="n">
        <v>2019</v>
      </c>
      <c r="B134" s="113" t="inlineStr">
        <is>
          <t>天然气在一次能源消费中的占比</t>
        </is>
      </c>
      <c r="C134" s="113" t="inlineStr">
        <is>
          <t>达到</t>
        </is>
      </c>
      <c r="D134" s="113" t="inlineStr">
        <is>
          <t>10%</t>
        </is>
      </c>
      <c r="E134" s="113" t="n"/>
      <c r="F134" s="114" t="inlineStr">
        <is>
          <t>2020</t>
        </is>
      </c>
      <c r="G134" s="113" t="inlineStr">
        <is>
          <t>重申目标</t>
        </is>
      </c>
      <c r="H134" s="113" t="inlineStr">
        <is>
          <t>过渡能源</t>
        </is>
      </c>
      <c r="I134" s="113" t="inlineStr">
        <is>
          <t>全社会经济</t>
        </is>
      </c>
      <c r="J134" s="113" t="inlineStr">
        <is>
          <t>中国致力于到2020年将天然气占一次能源消费的比重提高至10%左右。</t>
        </is>
      </c>
      <c r="K134" s="113" t="inlineStr">
        <is>
          <t>HL1902.pdf</t>
        </is>
      </c>
      <c r="L134" s="113" t="inlineStr">
        <is>
          <t>能源|电力</t>
        </is>
      </c>
      <c r="M134" s="113" t="inlineStr">
        <is>
          <t>能源消费</t>
        </is>
      </c>
    </row>
    <row r="135" ht="18" customHeight="1" s="235">
      <c r="A135" s="113" t="n">
        <v>2012</v>
      </c>
      <c r="B135" s="113" t="inlineStr">
        <is>
          <t>天然气在一次能源消费中的占比</t>
        </is>
      </c>
      <c r="C135" s="113" t="inlineStr">
        <is>
          <t>占比达到</t>
        </is>
      </c>
      <c r="D135" s="113" t="inlineStr">
        <is>
          <t>5.3%</t>
        </is>
      </c>
      <c r="E135" s="113" t="n"/>
      <c r="F135" s="114" t="inlineStr">
        <is>
          <t>2010</t>
        </is>
      </c>
      <c r="G135" s="113" t="inlineStr">
        <is>
          <t>新目标</t>
        </is>
      </c>
      <c r="H135" s="113" t="inlineStr">
        <is>
          <t>过渡能源</t>
        </is>
      </c>
      <c r="I135" s="113" t="inlineStr">
        <is>
          <t>全社会经济</t>
        </is>
      </c>
      <c r="J135" s="113" t="inlineStr">
        <is>
          <t>根据《能源发展“十一五”规划》提出的目标，到2010年使天然气占一次能源消费总量的比重达到5.3%。</t>
        </is>
      </c>
      <c r="K135" s="113" t="inlineStr">
        <is>
          <t>HL1201.pdf</t>
        </is>
      </c>
      <c r="L135" s="113" t="inlineStr">
        <is>
          <t>能源|电力</t>
        </is>
      </c>
      <c r="M135" s="113" t="inlineStr">
        <is>
          <t>能源消费</t>
        </is>
      </c>
    </row>
    <row r="136" ht="18" customHeight="1" s="235">
      <c r="A136" s="113" t="n">
        <v>2016</v>
      </c>
      <c r="B136" s="113" t="inlineStr">
        <is>
          <t>天然气在一次能源消费中的比重</t>
        </is>
      </c>
      <c r="C136" s="113" t="inlineStr">
        <is>
          <t>提高至</t>
        </is>
      </c>
      <c r="D136" s="113" t="inlineStr">
        <is>
          <t>约10%</t>
        </is>
      </c>
      <c r="E136" s="113" t="n"/>
      <c r="F136" s="114" t="inlineStr">
        <is>
          <t>2020</t>
        </is>
      </c>
      <c r="G136" s="113" t="inlineStr">
        <is>
          <t>重申目标</t>
        </is>
      </c>
      <c r="H136" s="113" t="inlineStr">
        <is>
          <t>过渡能源</t>
        </is>
      </c>
      <c r="I136" s="113" t="inlineStr">
        <is>
          <t>全社会经济</t>
        </is>
      </c>
      <c r="J136" s="113" t="inlineStr">
        <is>
          <t>到2020年，天然气消费比重提高到10%左右。</t>
        </is>
      </c>
      <c r="K136" s="113" t="inlineStr">
        <is>
          <t>FYP1601.htm</t>
        </is>
      </c>
      <c r="L136" s="113" t="inlineStr">
        <is>
          <t>能源|电力</t>
        </is>
      </c>
      <c r="M136" s="113" t="inlineStr">
        <is>
          <t>能源消费</t>
        </is>
      </c>
    </row>
    <row r="137" ht="18" customHeight="1" s="235">
      <c r="A137" s="113" t="n">
        <v>2014</v>
      </c>
      <c r="B137" s="113" t="inlineStr">
        <is>
          <t>天然气年产量</t>
        </is>
      </c>
      <c r="C137" s="113" t="inlineStr">
        <is>
          <t>达到</t>
        </is>
      </c>
      <c r="D137" s="113" t="inlineStr">
        <is>
          <t>1850亿立方米</t>
        </is>
      </c>
      <c r="E137" s="113" t="n"/>
      <c r="F137" s="114" t="inlineStr">
        <is>
          <t>2020</t>
        </is>
      </c>
      <c r="G137" s="113" t="inlineStr">
        <is>
          <t>新目标</t>
        </is>
      </c>
      <c r="H137" s="113" t="inlineStr">
        <is>
          <t>过渡能源</t>
        </is>
      </c>
      <c r="I137" s="113" t="inlineStr">
        <is>
          <t>全社会经济</t>
        </is>
      </c>
      <c r="J137" s="113" t="inlineStr">
        <is>
          <t>到2020年，年产常规天然气1850亿立方米。</t>
        </is>
      </c>
      <c r="K137" s="113" t="inlineStr">
        <is>
          <t>AP1401.htm</t>
        </is>
      </c>
      <c r="L137" s="113" t="inlineStr">
        <is>
          <t>能源|电力</t>
        </is>
      </c>
      <c r="M137" s="113" t="inlineStr">
        <is>
          <t>电力供应</t>
        </is>
      </c>
    </row>
    <row r="138" ht="18" customHeight="1" s="235">
      <c r="A138" s="113" t="n">
        <v>2013</v>
      </c>
      <c r="B138" s="113" t="inlineStr">
        <is>
          <t>天然气年产量</t>
        </is>
      </c>
      <c r="C138" s="113" t="inlineStr">
        <is>
          <t>超过</t>
        </is>
      </c>
      <c r="D138" s="113" t="inlineStr">
        <is>
          <t>1300亿立方米</t>
        </is>
      </c>
      <c r="E138" s="113" t="n"/>
      <c r="F138" s="114" t="inlineStr">
        <is>
          <t>2015</t>
        </is>
      </c>
      <c r="G138" s="113" t="inlineStr">
        <is>
          <t>新目标</t>
        </is>
      </c>
      <c r="H138" s="113" t="inlineStr">
        <is>
          <t>过渡能源</t>
        </is>
      </c>
      <c r="I138" s="113" t="inlineStr">
        <is>
          <t>全社会经济</t>
        </is>
      </c>
      <c r="J138" s="113" t="inlineStr">
        <is>
          <t>到2015年，常规天然气产量超过1300亿立方米。</t>
        </is>
      </c>
      <c r="K138" s="113" t="inlineStr">
        <is>
          <t>FYP1302.htm</t>
        </is>
      </c>
      <c r="L138" s="113" t="inlineStr">
        <is>
          <t>能源|电力</t>
        </is>
      </c>
      <c r="M138" s="113" t="inlineStr">
        <is>
          <t>电力供应</t>
        </is>
      </c>
    </row>
    <row r="139" ht="18" customHeight="1" s="235">
      <c r="A139" s="113" t="n">
        <v>2013</v>
      </c>
      <c r="B139" s="113" t="inlineStr">
        <is>
          <t>天然气生产能力</t>
        </is>
      </c>
      <c r="C139" s="113" t="inlineStr">
        <is>
          <t>提高至</t>
        </is>
      </c>
      <c r="D139" s="113" t="inlineStr">
        <is>
          <t>1565亿立方米</t>
        </is>
      </c>
      <c r="E139" s="113" t="n"/>
      <c r="F139" s="114" t="inlineStr">
        <is>
          <t>2015</t>
        </is>
      </c>
      <c r="G139" s="113" t="inlineStr">
        <is>
          <t>新目标</t>
        </is>
      </c>
      <c r="H139" s="113" t="inlineStr">
        <is>
          <t>过渡能源</t>
        </is>
      </c>
      <c r="I139" s="113" t="inlineStr">
        <is>
          <t>行业</t>
        </is>
      </c>
      <c r="J139" s="113" t="inlineStr">
        <is>
          <t>到2015年，天然气生产能力达到1565亿立方米。</t>
        </is>
      </c>
      <c r="K139" s="113" t="inlineStr">
        <is>
          <t>FYP1302.htm</t>
        </is>
      </c>
      <c r="L139" s="113" t="inlineStr">
        <is>
          <t>能源|电力</t>
        </is>
      </c>
      <c r="M139" s="113" t="inlineStr">
        <is>
          <t>电力供应</t>
        </is>
      </c>
    </row>
    <row r="140" ht="18" customHeight="1" s="235">
      <c r="A140" s="113" t="n">
        <v>2019</v>
      </c>
      <c r="B140" s="113" t="inlineStr">
        <is>
          <t>太阳能光伏电站发电装机容量</t>
        </is>
      </c>
      <c r="C140" s="113" t="inlineStr">
        <is>
          <t>提高至</t>
        </is>
      </c>
      <c r="D140" s="113" t="inlineStr">
        <is>
          <t>45吉瓦</t>
        </is>
      </c>
      <c r="E140" s="113" t="n"/>
      <c r="F140" s="114" t="inlineStr">
        <is>
          <t>2020</t>
        </is>
      </c>
      <c r="G140" s="113" t="inlineStr">
        <is>
          <t>新目标</t>
        </is>
      </c>
      <c r="H140" s="113" t="inlineStr">
        <is>
          <t>可再生能源</t>
        </is>
      </c>
      <c r="I140" s="113" t="inlineStr">
        <is>
          <t>全社会经济</t>
        </is>
      </c>
      <c r="J140" s="113" t="inlineStr">
        <is>
          <t>到2020年，中国力争将光伏电站装机容量增加至45吉瓦。</t>
        </is>
      </c>
      <c r="K140" s="113" t="inlineStr">
        <is>
          <t>HL1902.pdf</t>
        </is>
      </c>
      <c r="L140" s="113" t="inlineStr">
        <is>
          <t>能源|电力</t>
        </is>
      </c>
      <c r="M140" s="113" t="inlineStr">
        <is>
          <t>电力供应</t>
        </is>
      </c>
    </row>
    <row r="141" ht="18" customHeight="1" s="235">
      <c r="A141" s="113" t="n">
        <v>2014</v>
      </c>
      <c r="B141" s="113" t="inlineStr">
        <is>
          <t>太阳能发电装机容量</t>
        </is>
      </c>
      <c r="C141" s="113" t="inlineStr">
        <is>
          <t>达到</t>
        </is>
      </c>
      <c r="D141" s="113" t="inlineStr">
        <is>
          <t>1亿千瓦</t>
        </is>
      </c>
      <c r="E141" s="113" t="n"/>
      <c r="F141" s="114" t="inlineStr">
        <is>
          <t>2020</t>
        </is>
      </c>
      <c r="G141" s="113" t="inlineStr">
        <is>
          <t>新目标</t>
        </is>
      </c>
      <c r="H141" s="113" t="inlineStr">
        <is>
          <t>可再生能源</t>
        </is>
      </c>
      <c r="I141" s="113" t="inlineStr">
        <is>
          <t>全社会经济</t>
        </is>
      </c>
      <c r="J141" s="113" t="inlineStr">
        <is>
          <t>到2020年，光伏装机达到1亿千瓦左右，光伏发电与电网销售电价相当。</t>
        </is>
      </c>
      <c r="K141" s="113" t="inlineStr">
        <is>
          <t>AP1401.htm</t>
        </is>
      </c>
      <c r="L141" s="113" t="inlineStr">
        <is>
          <t>能源|电力</t>
        </is>
      </c>
      <c r="M141" s="113" t="inlineStr">
        <is>
          <t>电力供应</t>
        </is>
      </c>
    </row>
    <row r="142" ht="18" customHeight="1" s="235">
      <c r="A142" s="113" t="n">
        <v>2013</v>
      </c>
      <c r="B142" s="113" t="inlineStr">
        <is>
          <t>太阳能发电装机容量</t>
        </is>
      </c>
      <c r="C142" s="113" t="inlineStr">
        <is>
          <t>提高至</t>
        </is>
      </c>
      <c r="D142" s="113" t="inlineStr">
        <is>
          <t>2100万千瓦</t>
        </is>
      </c>
      <c r="E142" s="113" t="n"/>
      <c r="F142" s="114" t="inlineStr">
        <is>
          <t>2015</t>
        </is>
      </c>
      <c r="G142" s="113" t="inlineStr">
        <is>
          <t>新目标</t>
        </is>
      </c>
      <c r="H142" s="113" t="inlineStr">
        <is>
          <t>可再生能源</t>
        </is>
      </c>
      <c r="I142" s="113" t="inlineStr">
        <is>
          <t>全社会经济</t>
        </is>
      </c>
      <c r="J142" s="113" t="inlineStr">
        <is>
          <t>到2015年，太阳能发电装机规模达到2100万千瓦。</t>
        </is>
      </c>
      <c r="K142" s="113" t="inlineStr">
        <is>
          <t>FYP1302.htm</t>
        </is>
      </c>
      <c r="L142" s="113" t="inlineStr">
        <is>
          <t>能源|电力</t>
        </is>
      </c>
      <c r="M142" s="113" t="inlineStr">
        <is>
          <t>电力供应</t>
        </is>
      </c>
    </row>
    <row r="143" ht="18" customHeight="1" s="235">
      <c r="A143" s="113" t="n">
        <v>2016</v>
      </c>
      <c r="B143" s="113" t="inlineStr">
        <is>
          <t>太阳能发电装机容量</t>
        </is>
      </c>
      <c r="C143" s="113" t="inlineStr">
        <is>
          <t>实现</t>
        </is>
      </c>
      <c r="D143" s="113" t="inlineStr">
        <is>
          <t>1亿千瓦</t>
        </is>
      </c>
      <c r="E143" s="113" t="n"/>
      <c r="F143" s="114" t="inlineStr">
        <is>
          <t>2020</t>
        </is>
      </c>
      <c r="G143" s="113" t="inlineStr">
        <is>
          <t>重申目标</t>
        </is>
      </c>
      <c r="H143" s="113" t="inlineStr">
        <is>
          <t>可再生能源</t>
        </is>
      </c>
      <c r="I143" s="113" t="inlineStr">
        <is>
          <t>全社会经济</t>
        </is>
      </c>
      <c r="J143" s="113" t="inlineStr">
        <is>
          <t>到2020年，中国光伏（太阳能）装机容量目标达到1亿千瓦。</t>
        </is>
      </c>
      <c r="K143" s="113" t="inlineStr">
        <is>
          <t>FYP1615.htm</t>
        </is>
      </c>
      <c r="L143" s="113" t="inlineStr">
        <is>
          <t>能源|电力</t>
        </is>
      </c>
      <c r="M143" s="113" t="inlineStr">
        <is>
          <t>电力供应</t>
        </is>
      </c>
    </row>
    <row r="144" ht="18" customHeight="1" s="235">
      <c r="A144" s="113" t="n">
        <v>2019</v>
      </c>
      <c r="B144" s="113" t="inlineStr">
        <is>
          <t>太阳能发电装机容量</t>
        </is>
      </c>
      <c r="C144" s="113" t="inlineStr">
        <is>
          <t>提高至</t>
        </is>
      </c>
      <c r="D144" s="113" t="inlineStr">
        <is>
          <t>超过1.1亿千瓦</t>
        </is>
      </c>
      <c r="E144" s="113" t="n"/>
      <c r="F144" s="114" t="inlineStr">
        <is>
          <t>2020</t>
        </is>
      </c>
      <c r="G144" s="113" t="inlineStr">
        <is>
          <t>重申目标</t>
        </is>
      </c>
      <c r="H144" s="113" t="inlineStr">
        <is>
          <t>可再生能源</t>
        </is>
      </c>
      <c r="I144" s="113" t="inlineStr">
        <is>
          <t>全社会经济</t>
        </is>
      </c>
      <c r="J144" s="113" t="inlineStr">
        <is>
          <t>到2020年，将太阳能发电装机容量提高到超过1.1亿千瓦</t>
        </is>
      </c>
      <c r="K144" s="113" t="inlineStr">
        <is>
          <t>HL1902.pdf</t>
        </is>
      </c>
      <c r="L144" s="113" t="inlineStr">
        <is>
          <t>能源|电力</t>
        </is>
      </c>
      <c r="M144" s="113" t="inlineStr">
        <is>
          <t>电力供应</t>
        </is>
      </c>
    </row>
    <row r="145" ht="18" customHeight="1" s="235">
      <c r="A145" s="113" t="n">
        <v>2019</v>
      </c>
      <c r="B145" s="113" t="inlineStr">
        <is>
          <t>太阳能发电装机容量中的分布式光伏发电装机容量</t>
        </is>
      </c>
      <c r="C145" s="113" t="inlineStr">
        <is>
          <t>提高至</t>
        </is>
      </c>
      <c r="D145" s="113" t="inlineStr">
        <is>
          <t>6000万千瓦</t>
        </is>
      </c>
      <c r="E145" s="113" t="n"/>
      <c r="F145" s="114" t="inlineStr">
        <is>
          <t>2020</t>
        </is>
      </c>
      <c r="G145" s="113" t="inlineStr">
        <is>
          <t>新目标</t>
        </is>
      </c>
      <c r="H145" s="113" t="inlineStr">
        <is>
          <t>可再生能源</t>
        </is>
      </c>
      <c r="I145" s="113" t="inlineStr">
        <is>
          <t>全社会经济</t>
        </is>
      </c>
      <c r="J145" s="113" t="inlineStr">
        <is>
          <t>到2020年，中国力争使分布式光伏发电装机容量达到6000万千瓦。</t>
        </is>
      </c>
      <c r="K145" s="113" t="inlineStr">
        <is>
          <t>HL1902.pdf</t>
        </is>
      </c>
      <c r="L145" s="113" t="inlineStr">
        <is>
          <t>能源|电力</t>
        </is>
      </c>
      <c r="M145" s="113" t="inlineStr">
        <is>
          <t>电力供应</t>
        </is>
      </c>
    </row>
    <row r="146" ht="18" customHeight="1" s="235">
      <c r="A146" s="113" t="n">
        <v>2016</v>
      </c>
      <c r="B146" s="113" t="inlineStr">
        <is>
          <t>太阳能发电装机规模</t>
        </is>
      </c>
      <c r="C146" s="113" t="inlineStr">
        <is>
          <t>达到</t>
        </is>
      </c>
      <c r="D146" s="113" t="inlineStr">
        <is>
          <t>1.1亿千瓦以上</t>
        </is>
      </c>
      <c r="E146" s="113" t="n"/>
      <c r="F146" s="114" t="inlineStr">
        <is>
          <t>2020</t>
        </is>
      </c>
      <c r="G146" s="113" t="inlineStr">
        <is>
          <t>新目标</t>
        </is>
      </c>
      <c r="H146" s="113" t="inlineStr">
        <is>
          <t>可再生能源</t>
        </is>
      </c>
      <c r="I146" s="113" t="inlineStr">
        <is>
          <t>全社会经济</t>
        </is>
      </c>
      <c r="J146" s="113" t="inlineStr">
        <is>
          <t>到2020年，太阳能发电装机规模达到1.1亿千瓦以上，力争实现用户侧平价上网。</t>
        </is>
      </c>
      <c r="K146" s="113" t="inlineStr">
        <is>
          <t>FYP1613.htm</t>
        </is>
      </c>
      <c r="L146" s="113" t="inlineStr">
        <is>
          <t>能源|电力</t>
        </is>
      </c>
      <c r="M146" s="113" t="inlineStr">
        <is>
          <t>电力供应</t>
        </is>
      </c>
    </row>
    <row r="147" ht="18" customHeight="1" s="235">
      <c r="A147" s="113" t="n">
        <v>2019</v>
      </c>
      <c r="B147" s="113" t="inlineStr">
        <is>
          <t>太阳能热发电装机容量</t>
        </is>
      </c>
      <c r="C147" s="113" t="inlineStr">
        <is>
          <t>提高至</t>
        </is>
      </c>
      <c r="D147" s="113" t="inlineStr">
        <is>
          <t>500万千瓦</t>
        </is>
      </c>
      <c r="E147" s="113" t="n"/>
      <c r="F147" s="114" t="inlineStr">
        <is>
          <t>2020</t>
        </is>
      </c>
      <c r="G147" s="113" t="inlineStr">
        <is>
          <t>新目标</t>
        </is>
      </c>
      <c r="H147" s="113" t="inlineStr">
        <is>
          <t>可再生能源</t>
        </is>
      </c>
      <c r="I147" s="113" t="inlineStr">
        <is>
          <t>全社会经济</t>
        </is>
      </c>
      <c r="J147" s="113" t="inlineStr">
        <is>
          <t>到2020年，中国力争将太阳能热发电装机容量提升至500万千瓦。</t>
        </is>
      </c>
      <c r="K147" s="113" t="inlineStr">
        <is>
          <t>HL1902.pdf</t>
        </is>
      </c>
      <c r="L147" s="113" t="inlineStr">
        <is>
          <t>能源|电力</t>
        </is>
      </c>
      <c r="M147" s="113" t="inlineStr">
        <is>
          <t>电力供应</t>
        </is>
      </c>
    </row>
    <row r="148" ht="18" customHeight="1" s="235">
      <c r="A148" s="113" t="n">
        <v>2018</v>
      </c>
      <c r="B148" s="113" t="inlineStr">
        <is>
          <t>太阳能热发电装机规模</t>
        </is>
      </c>
      <c r="C148" s="113" t="inlineStr">
        <is>
          <t>达到</t>
        </is>
      </c>
      <c r="D148" s="113" t="inlineStr">
        <is>
          <t>500万千瓦</t>
        </is>
      </c>
      <c r="E148" s="113" t="n"/>
      <c r="F148" s="114" t="inlineStr">
        <is>
          <t>十三五</t>
        </is>
      </c>
      <c r="G148" s="113" t="inlineStr">
        <is>
          <t>重申目标</t>
        </is>
      </c>
      <c r="H148" s="113" t="inlineStr">
        <is>
          <t>可再生能源</t>
        </is>
      </c>
      <c r="I148" s="113" t="inlineStr">
        <is>
          <t>全社会经济</t>
        </is>
      </c>
      <c r="J148" s="113" t="inlineStr">
        <is>
          <t>“十三五”期间，太阳能热发电装机力争达到500万千瓦。</t>
        </is>
      </c>
      <c r="K148" s="113" t="inlineStr">
        <is>
          <t>GO1801.htm</t>
        </is>
      </c>
      <c r="L148" s="113" t="inlineStr">
        <is>
          <t>能源|电力</t>
        </is>
      </c>
      <c r="M148" s="113" t="inlineStr">
        <is>
          <t>电力供应</t>
        </is>
      </c>
    </row>
    <row r="149" ht="18" customHeight="1" s="235">
      <c r="A149" s="113" t="n">
        <v>2013</v>
      </c>
      <c r="B149" s="113" t="inlineStr">
        <is>
          <t>太阳能示范村</t>
        </is>
      </c>
      <c r="C149" s="113" t="inlineStr">
        <is>
          <t>建立</t>
        </is>
      </c>
      <c r="D149" s="113" t="inlineStr">
        <is>
          <t>1000个示范村</t>
        </is>
      </c>
      <c r="E149" s="113" t="n"/>
      <c r="F149" s="114" t="inlineStr">
        <is>
          <t>2015</t>
        </is>
      </c>
      <c r="G149" s="113" t="inlineStr">
        <is>
          <t>新目标</t>
        </is>
      </c>
      <c r="H149" s="113" t="inlineStr">
        <is>
          <t>可再生能源</t>
        </is>
      </c>
      <c r="I149" s="113" t="inlineStr">
        <is>
          <t>全社会经济</t>
        </is>
      </c>
      <c r="J149" s="113" t="inlineStr">
        <is>
          <t>到2015年，建成1000个太阳能示范村。</t>
        </is>
      </c>
      <c r="K149" s="113" t="inlineStr">
        <is>
          <t>FYP1302.htm</t>
        </is>
      </c>
      <c r="L149" s="113" t="inlineStr">
        <is>
          <t>能源|电力</t>
        </is>
      </c>
      <c r="M149" s="113" t="inlineStr">
        <is>
          <t>电力供应</t>
        </is>
      </c>
    </row>
    <row r="150" ht="18" customHeight="1" s="235">
      <c r="A150" s="113" t="n">
        <v>2012</v>
      </c>
      <c r="B150" s="113" t="inlineStr">
        <is>
          <t>太阳能示范村</t>
        </is>
      </c>
      <c r="C150" s="113" t="inlineStr">
        <is>
          <t>发展</t>
        </is>
      </c>
      <c r="D150" s="113" t="inlineStr">
        <is>
          <t>1000个示范村</t>
        </is>
      </c>
      <c r="E150" s="113" t="n"/>
      <c r="F150" s="114" t="inlineStr">
        <is>
          <t>2015</t>
        </is>
      </c>
      <c r="G150" s="113" t="inlineStr">
        <is>
          <t>重申目标</t>
        </is>
      </c>
      <c r="H150" s="113" t="inlineStr">
        <is>
          <t>可再生能源</t>
        </is>
      </c>
      <c r="I150" s="113" t="inlineStr">
        <is>
          <t>全社会经济</t>
        </is>
      </c>
      <c r="J150" s="113" t="inlineStr">
        <is>
          <t>大力发展农村可再生能源，因地制宜开展绿色能源示范工程，到2015年建成200个绿色能源示范县、1000个太阳能示范村。</t>
        </is>
      </c>
      <c r="K150" s="113" t="inlineStr">
        <is>
          <t>WP1201.htm</t>
        </is>
      </c>
      <c r="L150" s="113" t="inlineStr">
        <is>
          <t>能源|电力</t>
        </is>
      </c>
      <c r="M150" s="113" t="inlineStr">
        <is>
          <t>电力供应</t>
        </is>
      </c>
    </row>
    <row r="151" ht="18" customHeight="1" s="235">
      <c r="A151" s="113" t="n">
        <v>2012</v>
      </c>
      <c r="B151" s="113" t="inlineStr">
        <is>
          <t>太阳能集热面积</t>
        </is>
      </c>
      <c r="C151" s="113" t="inlineStr">
        <is>
          <t>达到</t>
        </is>
      </c>
      <c r="D151" s="113" t="inlineStr">
        <is>
          <t>4亿平方米</t>
        </is>
      </c>
      <c r="E151" s="113" t="n"/>
      <c r="F151" s="114" t="inlineStr">
        <is>
          <t>2015</t>
        </is>
      </c>
      <c r="G151" s="113" t="inlineStr">
        <is>
          <t>新目标</t>
        </is>
      </c>
      <c r="H151" s="113" t="inlineStr">
        <is>
          <t>可再生能源</t>
        </is>
      </c>
      <c r="I151" s="113" t="inlineStr">
        <is>
          <t>地区</t>
        </is>
      </c>
      <c r="J151" s="113" t="inlineStr">
        <is>
          <t>到2015年，中国将建成太阳能发电装机容量2100万千瓦以上，太阳能集热面积达到4亿平方米。</t>
        </is>
      </c>
      <c r="K151" s="113" t="inlineStr">
        <is>
          <t>WP1201.htm</t>
        </is>
      </c>
      <c r="L151" s="113" t="inlineStr">
        <is>
          <t>能源|电力</t>
        </is>
      </c>
      <c r="M151" s="113" t="inlineStr">
        <is>
          <t>电力供应</t>
        </is>
      </c>
    </row>
    <row r="152" ht="18" customHeight="1" s="235">
      <c r="A152" s="113" t="n">
        <v>2021</v>
      </c>
      <c r="B152" s="113" t="inlineStr">
        <is>
          <t>存量煤电机组改造升级</t>
        </is>
      </c>
      <c r="C152" s="113" t="inlineStr">
        <is>
          <t>达到</t>
        </is>
      </c>
      <c r="D152" s="113" t="inlineStr">
        <is>
          <t>5000万千瓦</t>
        </is>
      </c>
      <c r="E152" s="113" t="n"/>
      <c r="F152" s="114" t="inlineStr">
        <is>
          <t>十四五</t>
        </is>
      </c>
      <c r="G152" s="113" t="inlineStr">
        <is>
          <t>新目标</t>
        </is>
      </c>
      <c r="H152" s="113" t="inlineStr">
        <is>
          <t>涉煤</t>
        </is>
      </c>
      <c r="I152" s="113" t="inlineStr">
        <is>
          <t>行业</t>
        </is>
      </c>
      <c r="J152" s="113" t="inlineStr">
        <is>
          <t>鼓励现有燃煤发电机组替代供热，积极关停采暖和工业供汽小锅炉，对具备供热条件的纯凝机组开展供热改造，在落实热负荷需求的前提下，“十四五”期间改造规模力争达到5000万千瓦。</t>
        </is>
      </c>
      <c r="K152" s="113" t="inlineStr">
        <is>
          <t>IP2107.pdf</t>
        </is>
      </c>
      <c r="L152" s="113" t="inlineStr">
        <is>
          <t>能源|电力</t>
        </is>
      </c>
      <c r="M152" s="113" t="inlineStr">
        <is>
          <t>煤电</t>
        </is>
      </c>
    </row>
    <row r="153" ht="18" customHeight="1" s="235">
      <c r="A153" s="113" t="n">
        <v>2021</v>
      </c>
      <c r="B153" s="113" t="inlineStr">
        <is>
          <t>存量通道输电能力</t>
        </is>
      </c>
      <c r="C153" s="113" t="inlineStr">
        <is>
          <t>提高</t>
        </is>
      </c>
      <c r="D153" s="113" t="inlineStr">
        <is>
          <t>4000万千瓦</t>
        </is>
      </c>
      <c r="E153" s="113" t="n"/>
      <c r="F153" s="114" t="inlineStr">
        <is>
          <t>十四五</t>
        </is>
      </c>
      <c r="G153" s="113" t="inlineStr">
        <is>
          <t>新目标</t>
        </is>
      </c>
      <c r="H153" s="113" t="inlineStr">
        <is>
          <t>可再生能源</t>
        </is>
      </c>
      <c r="I153" s="113" t="inlineStr">
        <is>
          <t>不明确</t>
        </is>
      </c>
      <c r="J153" s="113" t="inlineStr">
        <is>
          <t>“十四五”期间，存量通道输电能力提升4000万千瓦以上。</t>
        </is>
      </c>
      <c r="K153" s="113" t="inlineStr">
        <is>
          <t>FYP2105.pdf</t>
        </is>
      </c>
      <c r="L153" s="113" t="inlineStr">
        <is>
          <t>能源|电力</t>
        </is>
      </c>
      <c r="M153" s="113" t="inlineStr">
        <is>
          <t>电力传输/能源运输</t>
        </is>
      </c>
    </row>
    <row r="154" ht="18" customHeight="1" s="235">
      <c r="A154" s="113" t="n">
        <v>2013</v>
      </c>
      <c r="B154" s="113" t="inlineStr">
        <is>
          <t>安全高效煤矿产量</t>
        </is>
      </c>
      <c r="C154" s="113" t="inlineStr">
        <is>
          <t>达到</t>
        </is>
      </c>
      <c r="D154" s="113" t="inlineStr">
        <is>
          <t>25亿吨</t>
        </is>
      </c>
      <c r="E154" s="113" t="n"/>
      <c r="F154" s="114" t="inlineStr">
        <is>
          <t>2015</t>
        </is>
      </c>
      <c r="G154" s="113" t="inlineStr">
        <is>
          <t>新目标</t>
        </is>
      </c>
      <c r="H154" s="113" t="inlineStr">
        <is>
          <t>涉煤</t>
        </is>
      </c>
      <c r="I154" s="113" t="inlineStr">
        <is>
          <t>行业</t>
        </is>
      </c>
      <c r="J154" s="113" t="inlineStr">
        <is>
          <t>到2015年，安全高效煤矿产量达到25亿吨，占全国的60%以上。</t>
        </is>
      </c>
      <c r="K154" s="113" t="inlineStr">
        <is>
          <t>FYP1302.htm</t>
        </is>
      </c>
      <c r="L154" s="113" t="inlineStr">
        <is>
          <t>能源|电力</t>
        </is>
      </c>
      <c r="M154" s="113" t="inlineStr">
        <is>
          <t>煤电</t>
        </is>
      </c>
    </row>
    <row r="155" ht="18" customHeight="1" s="235">
      <c r="A155" s="113" t="n">
        <v>2007</v>
      </c>
      <c r="B155" s="113" t="inlineStr">
        <is>
          <t>小型煤矿整合改造为大中型煤矿的产能增量</t>
        </is>
      </c>
      <c r="C155" s="113" t="inlineStr">
        <is>
          <t>提高</t>
        </is>
      </c>
      <c r="D155" s="113" t="inlineStr">
        <is>
          <t>1000万吨</t>
        </is>
      </c>
      <c r="E155" s="113" t="n"/>
      <c r="F155" s="114" t="inlineStr">
        <is>
          <t>十一五</t>
        </is>
      </c>
      <c r="G155" s="113" t="inlineStr">
        <is>
          <t>新目标</t>
        </is>
      </c>
      <c r="H155" s="113" t="inlineStr">
        <is>
          <t>涉煤</t>
        </is>
      </c>
      <c r="I155" s="113" t="inlineStr">
        <is>
          <t>行业</t>
        </is>
      </c>
      <c r="J155" s="113" t="inlineStr">
        <is>
          <t>到2010年，小型煤矿整合改造为大中型煤矿的生产能力增加1000万吨。</t>
        </is>
      </c>
      <c r="K155" s="113" t="inlineStr">
        <is>
          <t>FYP0701.htm</t>
        </is>
      </c>
      <c r="L155" s="113" t="inlineStr">
        <is>
          <t>能源|电力</t>
        </is>
      </c>
      <c r="M155" s="113" t="inlineStr">
        <is>
          <t>煤电</t>
        </is>
      </c>
    </row>
    <row r="156" ht="18" customHeight="1" s="235">
      <c r="A156" s="113" t="n">
        <v>2007</v>
      </c>
      <c r="B156" s="113" t="inlineStr">
        <is>
          <t>小煤矿整合改造为大中型煤矿所增加的煤炭产能</t>
        </is>
      </c>
      <c r="C156" s="113" t="inlineStr">
        <is>
          <t>提高</t>
        </is>
      </c>
      <c r="D156" s="113" t="inlineStr">
        <is>
          <t>2亿吨</t>
        </is>
      </c>
      <c r="E156" s="113" t="n"/>
      <c r="F156" s="114" t="inlineStr">
        <is>
          <t>十一五</t>
        </is>
      </c>
      <c r="G156" s="113" t="inlineStr">
        <is>
          <t>新目标</t>
        </is>
      </c>
      <c r="H156" s="113" t="inlineStr">
        <is>
          <t>涉煤</t>
        </is>
      </c>
      <c r="I156" s="113" t="inlineStr">
        <is>
          <t>行业</t>
        </is>
      </c>
      <c r="J156" s="113" t="inlineStr">
        <is>
          <t>“十一五”期间，通过整合改造中小型煤矿，增加产能2亿吨。</t>
        </is>
      </c>
      <c r="K156" s="113" t="inlineStr">
        <is>
          <t>FYP0701.htm</t>
        </is>
      </c>
      <c r="L156" s="113" t="inlineStr">
        <is>
          <t>能源|电力</t>
        </is>
      </c>
      <c r="M156" s="113" t="inlineStr">
        <is>
          <t>煤电</t>
        </is>
      </c>
    </row>
    <row r="157" ht="18" customHeight="1" s="235">
      <c r="A157" s="113" t="n">
        <v>2016</v>
      </c>
      <c r="B157" s="113" t="inlineStr">
        <is>
          <t>常规天然气累计探明地质储量</t>
        </is>
      </c>
      <c r="C157" s="113" t="inlineStr">
        <is>
          <t>达到</t>
        </is>
      </c>
      <c r="D157" s="113" t="inlineStr">
        <is>
          <t>16万亿立方米</t>
        </is>
      </c>
      <c r="E157" s="113" t="n"/>
      <c r="F157" s="114" t="inlineStr">
        <is>
          <t>2020</t>
        </is>
      </c>
      <c r="G157" s="113" t="inlineStr">
        <is>
          <t>强化或放宽目标（气候影响不明确）</t>
        </is>
      </c>
      <c r="H157" s="113" t="inlineStr">
        <is>
          <t>过渡能源</t>
        </is>
      </c>
      <c r="I157" s="113" t="inlineStr">
        <is>
          <t>全社会经济</t>
        </is>
      </c>
      <c r="J157" s="113" t="inlineStr">
        <is>
          <t>到2020年，常规天然气累计探明地质储量达到16万亿立方米。</t>
        </is>
      </c>
      <c r="K157" s="113" t="inlineStr">
        <is>
          <t>FYP1625.pdf</t>
        </is>
      </c>
      <c r="L157" s="113" t="inlineStr">
        <is>
          <t>能源|电力</t>
        </is>
      </c>
      <c r="M157" s="113" t="inlineStr">
        <is>
          <t>化石燃料储量</t>
        </is>
      </c>
    </row>
    <row r="158" ht="18" customHeight="1" s="235">
      <c r="A158" s="113" t="n">
        <v>2014</v>
      </c>
      <c r="B158" s="113" t="inlineStr">
        <is>
          <t>常规天然气累计探明地质储量</t>
        </is>
      </c>
      <c r="C158" s="113" t="inlineStr">
        <is>
          <t>达到</t>
        </is>
      </c>
      <c r="D158" s="113" t="inlineStr">
        <is>
          <t>5.5万亿立方米</t>
        </is>
      </c>
      <c r="E158" s="113" t="n"/>
      <c r="F158" s="114" t="inlineStr">
        <is>
          <t>2020</t>
        </is>
      </c>
      <c r="G158" s="113" t="inlineStr">
        <is>
          <t>新目标</t>
        </is>
      </c>
      <c r="H158" s="113" t="inlineStr">
        <is>
          <t>过渡能源</t>
        </is>
      </c>
      <c r="I158" s="113" t="inlineStr">
        <is>
          <t>全社会经济</t>
        </is>
      </c>
      <c r="J158" s="113" t="inlineStr">
        <is>
          <t>到2020年，累计新增常规天然气探明地质储量5.5万亿立方米。</t>
        </is>
      </c>
      <c r="K158" s="113" t="inlineStr">
        <is>
          <t>AP1401.htm</t>
        </is>
      </c>
      <c r="L158" s="113" t="inlineStr">
        <is>
          <t>能源|电力</t>
        </is>
      </c>
      <c r="M158" s="113" t="inlineStr">
        <is>
          <t>化石燃料储量</t>
        </is>
      </c>
    </row>
    <row r="159" ht="18" customHeight="1" s="235">
      <c r="A159" s="113" t="n">
        <v>2016</v>
      </c>
      <c r="B159" s="113" t="inlineStr">
        <is>
          <t>常规水电新增开工规模</t>
        </is>
      </c>
      <c r="C159" s="113" t="inlineStr">
        <is>
          <t>开工建设</t>
        </is>
      </c>
      <c r="D159" s="113" t="inlineStr">
        <is>
          <t>6000万千瓦</t>
        </is>
      </c>
      <c r="E159" s="113" t="n"/>
      <c r="F159" s="114" t="inlineStr">
        <is>
          <t>十三五</t>
        </is>
      </c>
      <c r="G159" s="113" t="inlineStr">
        <is>
          <t>新目标</t>
        </is>
      </c>
      <c r="H159" s="113" t="inlineStr">
        <is>
          <t>可再生能源</t>
        </is>
      </c>
      <c r="I159" s="113" t="inlineStr">
        <is>
          <t>全社会经济</t>
        </is>
      </c>
      <c r="J159" s="113" t="inlineStr">
        <is>
          <t>“十三五”期间，全国常规水电新增投产约4000万千瓦，开工6000万千瓦以上，其中小水电规模500万千瓦左右。</t>
        </is>
      </c>
      <c r="K159" s="113" t="inlineStr">
        <is>
          <t>FYP1607.pdf</t>
        </is>
      </c>
      <c r="L159" s="113" t="inlineStr">
        <is>
          <t>能源|电力</t>
        </is>
      </c>
      <c r="M159" s="113" t="inlineStr">
        <is>
          <t>电力供应</t>
        </is>
      </c>
    </row>
    <row r="160" ht="18" customHeight="1" s="235">
      <c r="A160" s="113" t="n">
        <v>2016</v>
      </c>
      <c r="B160" s="113" t="inlineStr">
        <is>
          <t>年均新增探明石油地质储量</t>
        </is>
      </c>
      <c r="C160" s="113" t="inlineStr">
        <is>
          <t>达到</t>
        </is>
      </c>
      <c r="D160" s="113" t="inlineStr">
        <is>
          <t>10亿吨</t>
        </is>
      </c>
      <c r="E160" s="113" t="n"/>
      <c r="F160" s="114" t="inlineStr">
        <is>
          <t>十三五</t>
        </is>
      </c>
      <c r="G160" s="113" t="inlineStr">
        <is>
          <t>新目标</t>
        </is>
      </c>
      <c r="H160" s="113" t="inlineStr">
        <is>
          <t>过渡能源</t>
        </is>
      </c>
      <c r="I160" s="113" t="inlineStr">
        <is>
          <t>不明确</t>
        </is>
      </c>
      <c r="J160" s="113" t="inlineStr">
        <is>
          <t>“十三五”期间，年均新增探明石油地质储量10亿吨左右。</t>
        </is>
      </c>
      <c r="K160" s="113" t="inlineStr">
        <is>
          <t>FYP1624.pdf</t>
        </is>
      </c>
      <c r="L160" s="113" t="inlineStr">
        <is>
          <t>能源|电力</t>
        </is>
      </c>
      <c r="M160" s="113" t="inlineStr">
        <is>
          <t>化石燃料储量</t>
        </is>
      </c>
    </row>
    <row r="161" ht="18" customHeight="1" s="235">
      <c r="A161" s="113" t="n">
        <v>2004</v>
      </c>
      <c r="B161" s="113" t="inlineStr">
        <is>
          <t>年均节能率</t>
        </is>
      </c>
      <c r="C161" s="113" t="inlineStr">
        <is>
          <t>实现</t>
        </is>
      </c>
      <c r="D161" s="113" t="inlineStr">
        <is>
          <t>3%</t>
        </is>
      </c>
      <c r="E161" s="113" t="n">
        <v>2003</v>
      </c>
      <c r="F161" s="114" t="inlineStr">
        <is>
          <t>2020</t>
        </is>
      </c>
      <c r="G161" s="113" t="inlineStr">
        <is>
          <t>新目标</t>
        </is>
      </c>
      <c r="H161" s="113" t="inlineStr">
        <is>
          <t>节能</t>
        </is>
      </c>
      <c r="I161" s="113" t="inlineStr">
        <is>
          <t>不明确</t>
        </is>
      </c>
      <c r="J161" s="113" t="inlineStr">
        <is>
          <t>预期2003年至2020年间年均节能率达到百分之三</t>
        </is>
      </c>
      <c r="K161" s="113" t="inlineStr">
        <is>
          <t>MLT0402.pdf</t>
        </is>
      </c>
      <c r="L161" s="113" t="inlineStr">
        <is>
          <t>能源|电力</t>
        </is>
      </c>
      <c r="M161" s="113" t="inlineStr">
        <is>
          <t>能源消费</t>
        </is>
      </c>
    </row>
    <row r="162" ht="18" customHeight="1" s="235">
      <c r="A162" s="113" t="n">
        <v>2004</v>
      </c>
      <c r="B162" s="113" t="inlineStr">
        <is>
          <t>年均节能率</t>
        </is>
      </c>
      <c r="C162" s="113" t="inlineStr">
        <is>
          <t>实现</t>
        </is>
      </c>
      <c r="D162" s="113" t="inlineStr">
        <is>
          <t>2.2%</t>
        </is>
      </c>
      <c r="E162" s="113" t="n"/>
      <c r="F162" s="114" t="inlineStr">
        <is>
          <t>2003-2010</t>
        </is>
      </c>
      <c r="G162" s="113" t="inlineStr">
        <is>
          <t>重申目标</t>
        </is>
      </c>
      <c r="H162" s="113" t="inlineStr">
        <is>
          <t>节能</t>
        </is>
      </c>
      <c r="I162" s="113" t="inlineStr">
        <is>
          <t>不明确</t>
        </is>
      </c>
      <c r="J162" s="113" t="inlineStr">
        <is>
          <t>2003-2010年年均节能率为2.2%</t>
        </is>
      </c>
      <c r="K162" s="113" t="inlineStr">
        <is>
          <t>MLT0401.htm</t>
        </is>
      </c>
      <c r="L162" s="113" t="inlineStr">
        <is>
          <t>能源|电力</t>
        </is>
      </c>
      <c r="M162" s="113" t="inlineStr">
        <is>
          <t>能源消费</t>
        </is>
      </c>
    </row>
    <row r="163" ht="18" customHeight="1" s="235">
      <c r="A163" s="113" t="n">
        <v>2004</v>
      </c>
      <c r="B163" s="113" t="inlineStr">
        <is>
          <t>年均节能率</t>
        </is>
      </c>
      <c r="C163" s="113" t="inlineStr">
        <is>
          <t>实现</t>
        </is>
      </c>
      <c r="D163" s="113" t="inlineStr">
        <is>
          <t>3%</t>
        </is>
      </c>
      <c r="E163" s="113" t="n"/>
      <c r="F163" s="114" t="inlineStr">
        <is>
          <t>2003-2020</t>
        </is>
      </c>
      <c r="G163" s="113" t="inlineStr">
        <is>
          <t>重申目标</t>
        </is>
      </c>
      <c r="H163" s="113" t="inlineStr">
        <is>
          <t>节能</t>
        </is>
      </c>
      <c r="I163" s="113" t="inlineStr">
        <is>
          <t>不明确</t>
        </is>
      </c>
      <c r="J163" s="113" t="inlineStr">
        <is>
          <t>2003年至2020年年均节能率为3%。</t>
        </is>
      </c>
      <c r="K163" s="113" t="inlineStr">
        <is>
          <t>MLT0401.htm</t>
        </is>
      </c>
      <c r="L163" s="113" t="inlineStr">
        <is>
          <t>能源|电力</t>
        </is>
      </c>
      <c r="M163" s="113" t="inlineStr">
        <is>
          <t>能源消费</t>
        </is>
      </c>
    </row>
    <row r="164" ht="18" customHeight="1" s="235">
      <c r="A164" s="113" t="n">
        <v>2004</v>
      </c>
      <c r="B164" s="113" t="inlineStr">
        <is>
          <t>年平均节能率</t>
        </is>
      </c>
      <c r="C164" s="113" t="inlineStr">
        <is>
          <t>实现</t>
        </is>
      </c>
      <c r="D164" s="113" t="inlineStr">
        <is>
          <t>2.2%</t>
        </is>
      </c>
      <c r="E164" s="113" t="n">
        <v>2003</v>
      </c>
      <c r="F164" s="114" t="inlineStr">
        <is>
          <t>2010</t>
        </is>
      </c>
      <c r="G164" s="113" t="inlineStr">
        <is>
          <t>新目标</t>
        </is>
      </c>
      <c r="H164" s="113" t="inlineStr">
        <is>
          <t>节能</t>
        </is>
      </c>
      <c r="I164" s="113" t="inlineStr">
        <is>
          <t>不明确</t>
        </is>
      </c>
      <c r="J164" s="113" t="inlineStr">
        <is>
          <t>预计2003年至2010年间，年平均节能率达到2.2%。</t>
        </is>
      </c>
      <c r="K164" s="113" t="inlineStr">
        <is>
          <t>MLT0402.pdf</t>
        </is>
      </c>
      <c r="L164" s="113" t="inlineStr">
        <is>
          <t>能源|电力</t>
        </is>
      </c>
      <c r="M164" s="113" t="inlineStr">
        <is>
          <t>能源消费</t>
        </is>
      </c>
    </row>
    <row r="165" ht="18" customHeight="1" s="235">
      <c r="A165" s="113" t="n">
        <v>2024</v>
      </c>
      <c r="B165" s="113" t="inlineStr">
        <is>
          <t>年度最大用电负荷峰谷差率超过40%的地区需求响应能力占最大用电负荷比例</t>
        </is>
      </c>
      <c r="C165" s="113" t="inlineStr">
        <is>
          <t>达到</t>
        </is>
      </c>
      <c r="D165" s="113" t="inlineStr">
        <is>
          <t>5%以上</t>
        </is>
      </c>
      <c r="E165" s="113" t="n"/>
      <c r="F165" s="114" t="inlineStr">
        <is>
          <t>2025</t>
        </is>
      </c>
      <c r="G165" s="113" t="inlineStr">
        <is>
          <t>新目标</t>
        </is>
      </c>
      <c r="H165" s="113" t="inlineStr">
        <is>
          <t>可再生能源</t>
        </is>
      </c>
      <c r="I165" s="113" t="inlineStr">
        <is>
          <t>地区</t>
        </is>
      </c>
      <c r="J165" s="113" t="inlineStr">
        <is>
          <t>到2025年底，年度最大用电负荷峰谷差率超过40%的地区需求响应能力应达到最大用电负荷的5%以上。</t>
        </is>
      </c>
      <c r="K165" s="113" t="inlineStr">
        <is>
          <t>AP2405.htm</t>
        </is>
      </c>
      <c r="L165" s="113" t="inlineStr">
        <is>
          <t>能源|电力</t>
        </is>
      </c>
      <c r="M165" s="113" t="inlineStr">
        <is>
          <t>电力传输/能源运输</t>
        </is>
      </c>
    </row>
    <row r="166" ht="18" customHeight="1" s="235">
      <c r="A166" s="113" t="n">
        <v>2013</v>
      </c>
      <c r="B166" s="113" t="inlineStr">
        <is>
          <t>年度煤炭产量</t>
        </is>
      </c>
      <c r="C166" s="113" t="inlineStr">
        <is>
          <t>控制在…以内</t>
        </is>
      </c>
      <c r="D166" s="113" t="inlineStr">
        <is>
          <t>39亿吨</t>
        </is>
      </c>
      <c r="E166" s="113" t="n"/>
      <c r="F166" s="114" t="inlineStr">
        <is>
          <t>2015</t>
        </is>
      </c>
      <c r="G166" s="113" t="inlineStr">
        <is>
          <t>新目标</t>
        </is>
      </c>
      <c r="H166" s="113" t="inlineStr">
        <is>
          <t>涉煤</t>
        </is>
      </c>
      <c r="I166" s="113" t="inlineStr">
        <is>
          <t>行业</t>
        </is>
      </c>
      <c r="J166" s="113" t="inlineStr">
        <is>
          <t>到2015年，煤炭产量控制在39亿吨以内</t>
        </is>
      </c>
      <c r="K166" s="113" t="inlineStr">
        <is>
          <t>FYP1302.htm</t>
        </is>
      </c>
      <c r="L166" s="113" t="inlineStr">
        <is>
          <t>能源|电力</t>
        </is>
      </c>
      <c r="M166" s="113" t="inlineStr">
        <is>
          <t>煤电</t>
        </is>
      </c>
    </row>
    <row r="167" ht="18" customHeight="1" s="235">
      <c r="A167" s="113" t="n">
        <v>2013</v>
      </c>
      <c r="B167" s="113" t="inlineStr">
        <is>
          <t>年度煤炭生产能力</t>
        </is>
      </c>
      <c r="C167" s="113" t="inlineStr">
        <is>
          <t>提高至</t>
        </is>
      </c>
      <c r="D167" s="113" t="inlineStr">
        <is>
          <t>41亿吨</t>
        </is>
      </c>
      <c r="E167" s="113" t="n"/>
      <c r="F167" s="114" t="inlineStr">
        <is>
          <t>2015</t>
        </is>
      </c>
      <c r="G167" s="113" t="inlineStr">
        <is>
          <t>新目标</t>
        </is>
      </c>
      <c r="H167" s="113" t="inlineStr">
        <is>
          <t>涉煤</t>
        </is>
      </c>
      <c r="I167" s="113" t="inlineStr">
        <is>
          <t>行业</t>
        </is>
      </c>
      <c r="J167" s="113" t="inlineStr">
        <is>
          <t>到2015年，煤炭生产能力将增长至41亿吨。</t>
        </is>
      </c>
      <c r="K167" s="113" t="inlineStr">
        <is>
          <t>FYP1302.htm</t>
        </is>
      </c>
      <c r="L167" s="113" t="inlineStr">
        <is>
          <t>能源|电力</t>
        </is>
      </c>
      <c r="M167" s="113" t="inlineStr">
        <is>
          <t>煤电</t>
        </is>
      </c>
    </row>
    <row r="168" ht="18" customHeight="1" s="235">
      <c r="A168" s="113" t="n">
        <v>2007</v>
      </c>
      <c r="B168" s="113" t="inlineStr">
        <is>
          <t>年度煤矿瓦斯产生量</t>
        </is>
      </c>
      <c r="C168" s="113" t="inlineStr">
        <is>
          <t>提高至</t>
        </is>
      </c>
      <c r="D168" s="113" t="inlineStr">
        <is>
          <t>177亿立方米</t>
        </is>
      </c>
      <c r="E168" s="113" t="n"/>
      <c r="F168" s="114" t="n">
        <v>2010</v>
      </c>
      <c r="G168" s="113" t="inlineStr">
        <is>
          <t>新目标</t>
        </is>
      </c>
      <c r="H168" s="113" t="inlineStr">
        <is>
          <t>涉煤</t>
        </is>
      </c>
      <c r="I168" s="113" t="inlineStr">
        <is>
          <t>行业</t>
        </is>
      </c>
      <c r="J168" s="113" t="inlineStr">
        <is>
          <t>煤矿瓦斯产生量将从2005年的150亿立方米增至2010年的177亿立方米。</t>
        </is>
      </c>
      <c r="K168" s="113" t="inlineStr">
        <is>
          <t>FYP0701.htm</t>
        </is>
      </c>
      <c r="L168" s="113" t="inlineStr">
        <is>
          <t>能源|电力</t>
        </is>
      </c>
      <c r="M168" s="113" t="inlineStr">
        <is>
          <t>煤电</t>
        </is>
      </c>
    </row>
    <row r="169" ht="18" customHeight="1" s="235">
      <c r="A169" s="113" t="n">
        <v>2007</v>
      </c>
      <c r="B169" s="113" t="inlineStr">
        <is>
          <t>年度煤矿瓦斯抽采量</t>
        </is>
      </c>
      <c r="C169" s="113" t="inlineStr">
        <is>
          <t>提高至</t>
        </is>
      </c>
      <c r="D169" s="113" t="inlineStr">
        <is>
          <t>68亿立方米</t>
        </is>
      </c>
      <c r="E169" s="113" t="n"/>
      <c r="F169" s="114" t="n">
        <v>2010</v>
      </c>
      <c r="G169" s="113" t="inlineStr">
        <is>
          <t>新目标</t>
        </is>
      </c>
      <c r="H169" s="113" t="inlineStr">
        <is>
          <t>涉煤</t>
        </is>
      </c>
      <c r="I169" s="113" t="inlineStr">
        <is>
          <t>行业</t>
        </is>
      </c>
      <c r="J169" s="113" t="inlineStr">
        <is>
          <t>煤矿瓦斯抽采量将从2005年的51亿立方米增加至2010年的68亿立方米。</t>
        </is>
      </c>
      <c r="K169" s="113" t="inlineStr">
        <is>
          <t>FYP0701.htm</t>
        </is>
      </c>
      <c r="L169" s="113" t="inlineStr">
        <is>
          <t>能源|电力</t>
        </is>
      </c>
      <c r="M169" s="113" t="inlineStr">
        <is>
          <t>煤电</t>
        </is>
      </c>
    </row>
    <row r="170" ht="18" customHeight="1" s="235">
      <c r="A170" s="113" t="n">
        <v>2007</v>
      </c>
      <c r="B170" s="113" t="inlineStr">
        <is>
          <t>总节能目标</t>
        </is>
      </c>
      <c r="C170" s="113" t="inlineStr">
        <is>
          <t>实现</t>
        </is>
      </c>
      <c r="D170" s="113" t="inlineStr">
        <is>
          <t>1.18亿吨标准煤</t>
        </is>
      </c>
      <c r="E170" s="113" t="n"/>
      <c r="F170" s="114" t="inlineStr">
        <is>
          <t>十一五</t>
        </is>
      </c>
      <c r="G170" s="113" t="inlineStr">
        <is>
          <t>新目标</t>
        </is>
      </c>
      <c r="H170" s="113" t="inlineStr">
        <is>
          <t>节能</t>
        </is>
      </c>
      <c r="I170" s="113" t="inlineStr">
        <is>
          <t>不明确</t>
        </is>
      </c>
      <c r="J170" s="113" t="inlineStr">
        <is>
          <t>“十一五”期间实现节能1.18亿吨标准煤。</t>
        </is>
      </c>
      <c r="K170" s="113" t="inlineStr">
        <is>
          <t>WOP0701.htm</t>
        </is>
      </c>
      <c r="L170" s="113" t="inlineStr">
        <is>
          <t>能源|电力</t>
        </is>
      </c>
      <c r="M170" s="113" t="inlineStr">
        <is>
          <t>能源消费</t>
        </is>
      </c>
    </row>
    <row r="171" ht="18" customHeight="1" s="235">
      <c r="A171" s="113" t="n">
        <v>2012</v>
      </c>
      <c r="B171" s="113" t="inlineStr">
        <is>
          <t>总节能量</t>
        </is>
      </c>
      <c r="C171" s="113" t="inlineStr">
        <is>
          <t>实现</t>
        </is>
      </c>
      <c r="D171" s="113" t="inlineStr">
        <is>
          <t>6.7亿吨标准煤</t>
        </is>
      </c>
      <c r="E171" s="113" t="n"/>
      <c r="F171" s="114" t="inlineStr">
        <is>
          <t>十二五</t>
        </is>
      </c>
      <c r="G171" s="113" t="inlineStr">
        <is>
          <t>新目标</t>
        </is>
      </c>
      <c r="H171" s="113" t="inlineStr">
        <is>
          <t>节能</t>
        </is>
      </c>
      <c r="I171" s="113" t="inlineStr">
        <is>
          <t>不明确</t>
        </is>
      </c>
      <c r="J171" s="113" t="inlineStr">
        <is>
          <t>“十二五”期间，实现节约能源6.7亿吨标准煤。</t>
        </is>
      </c>
      <c r="K171" s="113" t="inlineStr">
        <is>
          <t>FYP1201.htm</t>
        </is>
      </c>
      <c r="L171" s="113" t="inlineStr">
        <is>
          <t>能源|电力</t>
        </is>
      </c>
      <c r="M171" s="113" t="inlineStr">
        <is>
          <t>能源消费</t>
        </is>
      </c>
    </row>
    <row r="172" ht="18" customHeight="1" s="235">
      <c r="A172" s="113" t="n">
        <v>2013</v>
      </c>
      <c r="B172" s="113" t="inlineStr">
        <is>
          <t>成品油年产量</t>
        </is>
      </c>
      <c r="C172" s="113" t="inlineStr">
        <is>
          <t>达到</t>
        </is>
      </c>
      <c r="D172" s="113" t="inlineStr">
        <is>
          <t>3.3亿吨</t>
        </is>
      </c>
      <c r="E172" s="113" t="n"/>
      <c r="F172" s="114" t="inlineStr">
        <is>
          <t>2015</t>
        </is>
      </c>
      <c r="G172" s="113" t="inlineStr">
        <is>
          <t>新目标</t>
        </is>
      </c>
      <c r="H172" s="113" t="inlineStr">
        <is>
          <t>过渡能源</t>
        </is>
      </c>
      <c r="I172" s="113" t="inlineStr">
        <is>
          <t>行业</t>
        </is>
      </c>
      <c r="J172" s="113" t="inlineStr">
        <is>
          <t>到2015年，成品油产量达到3.3亿吨。</t>
        </is>
      </c>
      <c r="K172" s="113" t="inlineStr">
        <is>
          <t>FYP1302.htm</t>
        </is>
      </c>
      <c r="L172" s="113" t="inlineStr">
        <is>
          <t>能源|电力</t>
        </is>
      </c>
      <c r="M172" s="113" t="inlineStr">
        <is>
          <t>电力供应</t>
        </is>
      </c>
    </row>
    <row r="173" ht="18" customHeight="1" s="235">
      <c r="A173" s="113" t="n">
        <v>2016</v>
      </c>
      <c r="B173" s="113" t="inlineStr">
        <is>
          <t>抽水蓄能电站新增开工建设规模</t>
        </is>
      </c>
      <c r="C173" s="113" t="inlineStr">
        <is>
          <t>完成</t>
        </is>
      </c>
      <c r="D173" s="113" t="inlineStr">
        <is>
          <t>约6000万千瓦</t>
        </is>
      </c>
      <c r="E173" s="113" t="n"/>
      <c r="F173" s="114" t="inlineStr">
        <is>
          <t>十三五</t>
        </is>
      </c>
      <c r="G173" s="113" t="inlineStr">
        <is>
          <t>新目标</t>
        </is>
      </c>
      <c r="H173" s="113" t="inlineStr">
        <is>
          <t>可再生能源</t>
        </is>
      </c>
      <c r="I173" s="113" t="inlineStr">
        <is>
          <t>全社会经济</t>
        </is>
      </c>
      <c r="J173" s="113" t="inlineStr">
        <is>
          <t>“十三五”期间，抽水蓄能电站开工约6000万千瓦。</t>
        </is>
      </c>
      <c r="K173" s="113" t="inlineStr">
        <is>
          <t>FYP1607.pdf</t>
        </is>
      </c>
      <c r="L173" s="113" t="inlineStr">
        <is>
          <t>能源|电力</t>
        </is>
      </c>
      <c r="M173" s="113" t="inlineStr">
        <is>
          <t>电力供应</t>
        </is>
      </c>
    </row>
    <row r="174" ht="18" customHeight="1" s="235">
      <c r="A174" s="113" t="n">
        <v>2026</v>
      </c>
      <c r="B174" s="113" t="inlineStr">
        <is>
          <t>抽水蓄能电站新增投产装机容量</t>
        </is>
      </c>
      <c r="C174" s="113" t="inlineStr">
        <is>
          <t>完成</t>
        </is>
      </c>
      <c r="D174" s="113" t="inlineStr">
        <is>
          <t>新增投产装机容量1亿千瓦左右</t>
        </is>
      </c>
      <c r="E174" s="113" t="n"/>
      <c r="F174" s="114" t="inlineStr">
        <is>
          <t>十五五</t>
        </is>
      </c>
      <c r="G174" s="113" t="inlineStr">
        <is>
          <t>新目标</t>
        </is>
      </c>
      <c r="H174" s="113" t="inlineStr">
        <is>
          <t>可再生能源</t>
        </is>
      </c>
      <c r="I174" s="113" t="inlineStr">
        <is>
          <t>全社会经济</t>
        </is>
      </c>
      <c r="J174" s="113" t="inlineStr">
        <is>
          <t>在厂址资源好、负荷调节需求大的地区建设一批抽水蓄能电站，新增投产装机容量1亿千瓦左右。</t>
        </is>
      </c>
      <c r="K174" s="113" t="inlineStr">
        <is>
          <t>HL2601.pdf</t>
        </is>
      </c>
      <c r="L174" s="113" t="inlineStr">
        <is>
          <t>能源|电力</t>
        </is>
      </c>
      <c r="M174" s="113" t="inlineStr">
        <is>
          <t>电力供应</t>
        </is>
      </c>
    </row>
    <row r="175" ht="18" customHeight="1" s="235">
      <c r="A175" s="113" t="n">
        <v>2017</v>
      </c>
      <c r="B175" s="113" t="inlineStr">
        <is>
          <t>抽水蓄能电站新增装机容量</t>
        </is>
      </c>
      <c r="C175" s="113" t="inlineStr">
        <is>
          <t>完成</t>
        </is>
      </c>
      <c r="D175" s="113" t="inlineStr">
        <is>
          <t>6000万千瓦</t>
        </is>
      </c>
      <c r="E175" s="113" t="n"/>
      <c r="F175" s="114" t="inlineStr">
        <is>
          <t>十三五</t>
        </is>
      </c>
      <c r="G175" s="113" t="inlineStr">
        <is>
          <t>重申目标</t>
        </is>
      </c>
      <c r="H175" s="113" t="inlineStr">
        <is>
          <t>可再生能源</t>
        </is>
      </c>
      <c r="I175" s="113" t="inlineStr">
        <is>
          <t>全社会经济</t>
        </is>
      </c>
      <c r="J175" s="113" t="inlineStr">
        <is>
          <t>按照经济技术合理原则，“十三五”期间开工抽水蓄能电站共计约6000万千瓦。</t>
        </is>
      </c>
      <c r="K175" s="113" t="inlineStr">
        <is>
          <t>IP1702.pdf</t>
        </is>
      </c>
      <c r="L175" s="113" t="inlineStr">
        <is>
          <t>能源|电力</t>
        </is>
      </c>
      <c r="M175" s="113" t="inlineStr">
        <is>
          <t>电力供应</t>
        </is>
      </c>
    </row>
    <row r="176" ht="18" customHeight="1" s="235">
      <c r="A176" s="113" t="n">
        <v>2016</v>
      </c>
      <c r="B176" s="113" t="inlineStr">
        <is>
          <t>抽水蓄能电站新增装机容量</t>
        </is>
      </c>
      <c r="C176" s="113" t="inlineStr">
        <is>
          <t>完成</t>
        </is>
      </c>
      <c r="D176" s="113" t="inlineStr">
        <is>
          <t>约1700万千瓦</t>
        </is>
      </c>
      <c r="E176" s="113" t="n"/>
      <c r="F176" s="114" t="inlineStr">
        <is>
          <t>十三五</t>
        </is>
      </c>
      <c r="G176" s="113" t="inlineStr">
        <is>
          <t>新目标</t>
        </is>
      </c>
      <c r="H176" s="113" t="inlineStr">
        <is>
          <t>可再生能源</t>
        </is>
      </c>
      <c r="I176" s="113" t="inlineStr">
        <is>
          <t>全社会经济</t>
        </is>
      </c>
      <c r="J176" s="113" t="inlineStr">
        <is>
          <t>“十三五”期间，抽水蓄能电站新增投产约1700万千瓦。</t>
        </is>
      </c>
      <c r="K176" s="113" t="inlineStr">
        <is>
          <t>FYP1607.pdf</t>
        </is>
      </c>
      <c r="L176" s="113" t="inlineStr">
        <is>
          <t>能源|电力</t>
        </is>
      </c>
      <c r="M176" s="113" t="inlineStr">
        <is>
          <t>电力供应</t>
        </is>
      </c>
    </row>
    <row r="177" ht="18" customHeight="1" s="235">
      <c r="A177" s="113" t="n">
        <v>2016</v>
      </c>
      <c r="B177" s="113" t="inlineStr">
        <is>
          <t>抽水蓄能电站新增装机规模</t>
        </is>
      </c>
      <c r="C177" s="113" t="inlineStr">
        <is>
          <t>完成</t>
        </is>
      </c>
      <c r="D177" s="113" t="inlineStr">
        <is>
          <t>6000万千瓦</t>
        </is>
      </c>
      <c r="E177" s="113" t="n"/>
      <c r="F177" s="114" t="inlineStr">
        <is>
          <t>十三五</t>
        </is>
      </c>
      <c r="G177" s="113" t="inlineStr">
        <is>
          <t>重申目标</t>
        </is>
      </c>
      <c r="H177" s="113" t="inlineStr">
        <is>
          <t>可再生能源</t>
        </is>
      </c>
      <c r="I177" s="113" t="inlineStr">
        <is>
          <t>全社会经济</t>
        </is>
      </c>
      <c r="J177" s="113" t="inlineStr">
        <is>
          <t>“十三五”期间新开工抽水蓄能电站约6000万千瓦，抽水蓄能电站装机达到4000万千瓦。</t>
        </is>
      </c>
      <c r="K177" s="113" t="inlineStr">
        <is>
          <t>FYP1610.pdf</t>
        </is>
      </c>
      <c r="L177" s="113" t="inlineStr">
        <is>
          <t>能源|电力</t>
        </is>
      </c>
      <c r="M177" s="113" t="inlineStr">
        <is>
          <t>电力供应</t>
        </is>
      </c>
    </row>
    <row r="178" ht="18" customHeight="1" s="235">
      <c r="A178" s="113" t="n">
        <v>2013</v>
      </c>
      <c r="B178" s="113" t="inlineStr">
        <is>
          <t>抽水蓄能电站装机容量</t>
        </is>
      </c>
      <c r="C178" s="113" t="inlineStr">
        <is>
          <t>达到</t>
        </is>
      </c>
      <c r="D178" s="113" t="inlineStr">
        <is>
          <t>3000万千瓦</t>
        </is>
      </c>
      <c r="E178" s="113" t="n"/>
      <c r="F178" s="114" t="inlineStr">
        <is>
          <t>2015</t>
        </is>
      </c>
      <c r="G178" s="113" t="inlineStr">
        <is>
          <t>新目标</t>
        </is>
      </c>
      <c r="H178" s="113" t="inlineStr">
        <is>
          <t>可再生能源</t>
        </is>
      </c>
      <c r="I178" s="113" t="inlineStr">
        <is>
          <t>全社会经济</t>
        </is>
      </c>
      <c r="J178" s="113" t="inlineStr">
        <is>
          <t>到2015年，抽水蓄能电站装机容量达到3000万千瓦。</t>
        </is>
      </c>
      <c r="K178" s="113" t="inlineStr">
        <is>
          <t>FYP1302.htm</t>
        </is>
      </c>
      <c r="L178" s="113" t="inlineStr">
        <is>
          <t>能源|电力</t>
        </is>
      </c>
      <c r="M178" s="113" t="inlineStr">
        <is>
          <t>电力供应</t>
        </is>
      </c>
    </row>
    <row r="179" ht="18" customHeight="1" s="235">
      <c r="A179" s="113" t="n">
        <v>2024</v>
      </c>
      <c r="B179" s="113" t="inlineStr">
        <is>
          <t>抽水蓄能装机容量</t>
        </is>
      </c>
      <c r="C179" s="113" t="inlineStr">
        <is>
          <t>超过</t>
        </is>
      </c>
      <c r="D179" s="113" t="inlineStr">
        <is>
          <t>6200万千瓦</t>
        </is>
      </c>
      <c r="E179" s="113" t="n"/>
      <c r="F179" s="114" t="inlineStr">
        <is>
          <t>2025</t>
        </is>
      </c>
      <c r="G179" s="113" t="inlineStr">
        <is>
          <t>新目标</t>
        </is>
      </c>
      <c r="H179" s="113" t="inlineStr">
        <is>
          <t>可再生能源</t>
        </is>
      </c>
      <c r="I179" s="113" t="inlineStr">
        <is>
          <t>全社会经济</t>
        </is>
      </c>
      <c r="J179" s="113" t="inlineStr">
        <is>
          <t>到2025年底，全国抽水蓄能装机超过6200万千瓦。</t>
        </is>
      </c>
      <c r="K179" s="113" t="inlineStr">
        <is>
          <t>AP2405.htm</t>
        </is>
      </c>
      <c r="L179" s="113" t="inlineStr">
        <is>
          <t>能源|电力</t>
        </is>
      </c>
      <c r="M179" s="113" t="inlineStr">
        <is>
          <t>电力供应</t>
        </is>
      </c>
    </row>
    <row r="180" ht="18" customHeight="1" s="235">
      <c r="A180" s="113" t="n">
        <v>2024</v>
      </c>
      <c r="B180" s="113" t="inlineStr">
        <is>
          <t>抽水蓄能装机容量</t>
        </is>
      </c>
      <c r="C180" s="113" t="inlineStr">
        <is>
          <t>超过</t>
        </is>
      </c>
      <c r="D180" s="113" t="inlineStr">
        <is>
          <t>1.2亿千瓦</t>
        </is>
      </c>
      <c r="E180" s="113" t="n"/>
      <c r="F180" s="114" t="inlineStr">
        <is>
          <t>2030</t>
        </is>
      </c>
      <c r="G180" s="113" t="inlineStr">
        <is>
          <t>新目标</t>
        </is>
      </c>
      <c r="H180" s="113" t="inlineStr">
        <is>
          <t>可再生能源</t>
        </is>
      </c>
      <c r="I180" s="113" t="inlineStr">
        <is>
          <t>全社会经济</t>
        </is>
      </c>
      <c r="J180" s="113" t="inlineStr">
        <is>
          <t>到2030年，抽水蓄能装机容量超过1.2亿千瓦。</t>
        </is>
      </c>
      <c r="K180" s="113" t="inlineStr">
        <is>
          <t>O2407.htm</t>
        </is>
      </c>
      <c r="L180" s="113" t="inlineStr">
        <is>
          <t>能源|电力</t>
        </is>
      </c>
      <c r="M180" s="113" t="inlineStr">
        <is>
          <t>电力供应</t>
        </is>
      </c>
    </row>
    <row r="181" ht="18" customHeight="1" s="235">
      <c r="A181" s="113" t="n">
        <v>2018</v>
      </c>
      <c r="B181" s="113" t="inlineStr">
        <is>
          <t>抽水蓄能装机容量</t>
        </is>
      </c>
      <c r="C181" s="113" t="inlineStr">
        <is>
          <t>达到</t>
        </is>
      </c>
      <c r="D181" s="113" t="inlineStr">
        <is>
          <t>4000万千瓦</t>
        </is>
      </c>
      <c r="E181" s="113" t="n"/>
      <c r="F181" s="114" t="inlineStr">
        <is>
          <t>2020</t>
        </is>
      </c>
      <c r="G181" s="113" t="inlineStr">
        <is>
          <t>重申目标</t>
        </is>
      </c>
      <c r="H181" s="113" t="inlineStr">
        <is>
          <t>可再生能源</t>
        </is>
      </c>
      <c r="I181" s="113" t="inlineStr">
        <is>
          <t>全社会经济</t>
        </is>
      </c>
      <c r="J181" s="113" t="inlineStr">
        <is>
          <t>到2020年，抽水蓄能电站装机规模达到4000万千瓦（其中“三北”地区1140万千瓦），有效提升电力系统调节能力。</t>
        </is>
      </c>
      <c r="K181" s="113" t="inlineStr">
        <is>
          <t>GO1801.htm</t>
        </is>
      </c>
      <c r="L181" s="113" t="inlineStr">
        <is>
          <t>能源|电力</t>
        </is>
      </c>
      <c r="M181" s="113" t="inlineStr">
        <is>
          <t>电力供应</t>
        </is>
      </c>
    </row>
    <row r="182" ht="18" customHeight="1" s="235">
      <c r="A182" s="113" t="n">
        <v>2016</v>
      </c>
      <c r="B182" s="113" t="inlineStr">
        <is>
          <t>抽水蓄能装机容量</t>
        </is>
      </c>
      <c r="C182" s="113" t="inlineStr">
        <is>
          <t>达到</t>
        </is>
      </c>
      <c r="D182" s="113" t="inlineStr">
        <is>
          <t>4000万千瓦</t>
        </is>
      </c>
      <c r="E182" s="113" t="n"/>
      <c r="F182" s="114" t="inlineStr">
        <is>
          <t>十三五</t>
        </is>
      </c>
      <c r="G182" s="113" t="inlineStr">
        <is>
          <t>重申目标</t>
        </is>
      </c>
      <c r="H182" s="113" t="inlineStr">
        <is>
          <t>可再生能源</t>
        </is>
      </c>
      <c r="I182" s="113" t="inlineStr">
        <is>
          <t>全社会经济</t>
        </is>
      </c>
      <c r="J182" s="113" t="inlineStr">
        <is>
          <t>“十三五”期间，抽水蓄能电站装机达到4000万千瓦。</t>
        </is>
      </c>
      <c r="K182" s="113" t="inlineStr">
        <is>
          <t>FYP1616.pdf</t>
        </is>
      </c>
      <c r="L182" s="113" t="inlineStr">
        <is>
          <t>能源|电力</t>
        </is>
      </c>
      <c r="M182" s="113" t="inlineStr">
        <is>
          <t>电力供应</t>
        </is>
      </c>
    </row>
    <row r="183" ht="18" customHeight="1" s="235">
      <c r="A183" s="113" t="n">
        <v>2021</v>
      </c>
      <c r="B183" s="113" t="inlineStr">
        <is>
          <t>抽水蓄能装机容量</t>
        </is>
      </c>
      <c r="C183" s="113" t="inlineStr">
        <is>
          <t>达到</t>
        </is>
      </c>
      <c r="D183" s="113" t="inlineStr">
        <is>
          <t>约1.2亿千瓦</t>
        </is>
      </c>
      <c r="E183" s="113" t="n"/>
      <c r="F183" s="114" t="inlineStr">
        <is>
          <t>2030</t>
        </is>
      </c>
      <c r="G183" s="113" t="inlineStr">
        <is>
          <t>重申目标</t>
        </is>
      </c>
      <c r="H183" s="113" t="inlineStr">
        <is>
          <t>可再生能源</t>
        </is>
      </c>
      <c r="I183" s="113" t="inlineStr">
        <is>
          <t>全社会经济</t>
        </is>
      </c>
      <c r="J183" s="113" t="inlineStr">
        <is>
          <t>到2030年，抽水蓄能电站装机容量达到约1.2亿千瓦。</t>
        </is>
      </c>
      <c r="K183" s="113" t="inlineStr">
        <is>
          <t>HL2102.pdf</t>
        </is>
      </c>
      <c r="L183" s="113" t="inlineStr">
        <is>
          <t>能源|电力</t>
        </is>
      </c>
      <c r="M183" s="113" t="inlineStr">
        <is>
          <t>电力供应</t>
        </is>
      </c>
    </row>
    <row r="184" ht="18" customHeight="1" s="235">
      <c r="A184" s="113" t="n">
        <v>2016</v>
      </c>
      <c r="B184" s="113" t="inlineStr">
        <is>
          <t>抽水蓄能装机规模</t>
        </is>
      </c>
      <c r="C184" s="113" t="inlineStr">
        <is>
          <t>达到</t>
        </is>
      </c>
      <c r="D184" s="113" t="inlineStr">
        <is>
          <t>4000万千瓦</t>
        </is>
      </c>
      <c r="E184" s="113" t="n"/>
      <c r="F184" s="114" t="inlineStr">
        <is>
          <t>2020</t>
        </is>
      </c>
      <c r="G184" s="113" t="inlineStr">
        <is>
          <t>新目标</t>
        </is>
      </c>
      <c r="H184" s="113" t="inlineStr">
        <is>
          <t>可再生能源</t>
        </is>
      </c>
      <c r="I184" s="113" t="inlineStr">
        <is>
          <t>全社会经济</t>
        </is>
      </c>
      <c r="J184" s="113" t="inlineStr">
        <is>
          <t>到2020年，抽水蓄能电站装机新增约1700万千瓦，达到4000万千瓦左右。</t>
        </is>
      </c>
      <c r="K184" s="113" t="inlineStr">
        <is>
          <t>FYP1607.pdf</t>
        </is>
      </c>
      <c r="L184" s="113" t="inlineStr">
        <is>
          <t>能源|电力</t>
        </is>
      </c>
      <c r="M184" s="113" t="inlineStr">
        <is>
          <t>电力供应</t>
        </is>
      </c>
    </row>
    <row r="185" ht="18" customHeight="1" s="235">
      <c r="A185" s="113" t="n">
        <v>2024</v>
      </c>
      <c r="B185" s="113" t="inlineStr">
        <is>
          <t>新型储能装机容量</t>
        </is>
      </c>
      <c r="C185" s="113" t="inlineStr">
        <is>
          <t>超过</t>
        </is>
      </c>
      <c r="D185" s="113" t="inlineStr">
        <is>
          <t>4000万千瓦</t>
        </is>
      </c>
      <c r="E185" s="113" t="n"/>
      <c r="F185" s="114" t="inlineStr">
        <is>
          <t>2025</t>
        </is>
      </c>
      <c r="G185" s="113" t="inlineStr">
        <is>
          <t>强化或放宽目标（积极气候影响）</t>
        </is>
      </c>
      <c r="H185" s="113" t="inlineStr">
        <is>
          <t>可再生能源</t>
        </is>
      </c>
      <c r="I185" s="113" t="inlineStr">
        <is>
          <t>全社会经济</t>
        </is>
      </c>
      <c r="J185" s="113" t="inlineStr">
        <is>
          <t>到2025年底，全国新型储能装机超过4000万千瓦。</t>
        </is>
      </c>
      <c r="K185" s="113" t="inlineStr">
        <is>
          <t>AP2405.htm</t>
        </is>
      </c>
      <c r="L185" s="113" t="inlineStr">
        <is>
          <t>能源|电力</t>
        </is>
      </c>
      <c r="M185" s="113" t="inlineStr">
        <is>
          <t>电力供应</t>
        </is>
      </c>
    </row>
    <row r="186" ht="18" customHeight="1" s="235">
      <c r="A186" s="113" t="n">
        <v>2021</v>
      </c>
      <c r="B186" s="113" t="inlineStr">
        <is>
          <t>新型储能装机容量</t>
        </is>
      </c>
      <c r="C186" s="113" t="inlineStr">
        <is>
          <t>达到</t>
        </is>
      </c>
      <c r="D186" s="113" t="inlineStr">
        <is>
          <t>3000万千瓦以上</t>
        </is>
      </c>
      <c r="E186" s="113" t="n"/>
      <c r="F186" s="114" t="inlineStr">
        <is>
          <t>2025</t>
        </is>
      </c>
      <c r="G186" s="113" t="inlineStr">
        <is>
          <t>新目标</t>
        </is>
      </c>
      <c r="H186" s="113" t="inlineStr">
        <is>
          <t>可再生能源</t>
        </is>
      </c>
      <c r="I186" s="113" t="inlineStr">
        <is>
          <t>全社会经济</t>
        </is>
      </c>
      <c r="J186" s="113" t="inlineStr">
        <is>
          <t>到2025年，新型储能装机容量将达到3000万千瓦以上。</t>
        </is>
      </c>
      <c r="K186" s="113" t="inlineStr">
        <is>
          <t>HL2102.pdf</t>
        </is>
      </c>
      <c r="L186" s="113" t="inlineStr">
        <is>
          <t>能源|电力</t>
        </is>
      </c>
      <c r="M186" s="113" t="inlineStr">
        <is>
          <t>电力供应</t>
        </is>
      </c>
    </row>
    <row r="187" ht="18" customHeight="1" s="235">
      <c r="A187" s="113" t="n">
        <v>2025</v>
      </c>
      <c r="B187" s="113" t="inlineStr">
        <is>
          <t>新型储能装机规模</t>
        </is>
      </c>
      <c r="C187" s="113" t="inlineStr">
        <is>
          <t>超过</t>
        </is>
      </c>
      <c r="D187" s="113" t="inlineStr">
        <is>
          <t>1.8亿千瓦</t>
        </is>
      </c>
      <c r="E187" s="113" t="n"/>
      <c r="F187" s="114" t="n">
        <v>2027</v>
      </c>
      <c r="G187" s="113" t="inlineStr">
        <is>
          <t>新目标</t>
        </is>
      </c>
      <c r="H187" s="113" t="inlineStr">
        <is>
          <t>可再生能源</t>
        </is>
      </c>
      <c r="I187" s="113" t="inlineStr">
        <is>
          <t>全社会经济</t>
        </is>
      </c>
      <c r="J187" s="113" t="inlineStr">
        <is>
          <t>到2027年，全国新型储能装机规模达到1.8亿千瓦以上</t>
        </is>
      </c>
      <c r="K187" s="113" t="inlineStr">
        <is>
          <t>AP2503.pdf</t>
        </is>
      </c>
      <c r="L187" s="113" t="inlineStr">
        <is>
          <t>能源|电力</t>
        </is>
      </c>
      <c r="M187" s="113" t="inlineStr">
        <is>
          <t>电力供应</t>
        </is>
      </c>
    </row>
    <row r="188" ht="18" customHeight="1" s="235">
      <c r="A188" s="113" t="n">
        <v>2012</v>
      </c>
      <c r="B188" s="113" t="inlineStr">
        <is>
          <t>新增余热余压发电节能能力</t>
        </is>
      </c>
      <c r="C188" s="113" t="inlineStr">
        <is>
          <t>实现</t>
        </is>
      </c>
      <c r="D188" s="113" t="inlineStr">
        <is>
          <t>5700万吨标准煤</t>
        </is>
      </c>
      <c r="E188" s="113" t="n"/>
      <c r="F188" s="114" t="inlineStr">
        <is>
          <t>十二五</t>
        </is>
      </c>
      <c r="G188" s="113" t="inlineStr">
        <is>
          <t>新目标</t>
        </is>
      </c>
      <c r="H188" s="113" t="inlineStr">
        <is>
          <t>节能</t>
        </is>
      </c>
      <c r="I188" s="113" t="inlineStr">
        <is>
          <t>不明确</t>
        </is>
      </c>
      <c r="J188" s="113" t="inlineStr">
        <is>
          <t>“十二五”时期，通过新增余热余压发电能力，形成5700万吨标准煤的节能能力。</t>
        </is>
      </c>
      <c r="K188" s="113" t="inlineStr">
        <is>
          <t>FYP1201.htm</t>
        </is>
      </c>
      <c r="L188" s="113" t="inlineStr">
        <is>
          <t>能源|电力</t>
        </is>
      </c>
      <c r="M188" s="113" t="inlineStr">
        <is>
          <t>能源消费</t>
        </is>
      </c>
    </row>
    <row r="189" ht="18" customHeight="1" s="235">
      <c r="A189" s="113" t="n">
        <v>2012</v>
      </c>
      <c r="B189" s="113" t="inlineStr">
        <is>
          <t>新增余热余压发电装机容量</t>
        </is>
      </c>
      <c r="C189" s="113" t="inlineStr">
        <is>
          <t>达到</t>
        </is>
      </c>
      <c r="D189" s="113" t="inlineStr">
        <is>
          <t>2000万千瓦</t>
        </is>
      </c>
      <c r="E189" s="113" t="n"/>
      <c r="F189" s="114" t="inlineStr">
        <is>
          <t>2015</t>
        </is>
      </c>
      <c r="G189" s="113" t="inlineStr">
        <is>
          <t>新目标</t>
        </is>
      </c>
      <c r="H189" s="113" t="inlineStr">
        <is>
          <t>能源效率</t>
        </is>
      </c>
      <c r="I189" s="113" t="inlineStr">
        <is>
          <t>全社会经济</t>
        </is>
      </c>
      <c r="J189" s="113" t="inlineStr">
        <is>
          <t>到2015年，新增余热余压发电能力2000万千瓦。</t>
        </is>
      </c>
      <c r="K189" s="113" t="inlineStr">
        <is>
          <t>FYP1201.htm</t>
        </is>
      </c>
      <c r="L189" s="113" t="inlineStr">
        <is>
          <t>能源|电力</t>
        </is>
      </c>
      <c r="M189" s="113" t="inlineStr">
        <is>
          <t>电力供应</t>
        </is>
      </c>
    </row>
    <row r="190" ht="18" customHeight="1" s="235">
      <c r="A190" s="113" t="n">
        <v>2012</v>
      </c>
      <c r="B190" s="113" t="inlineStr">
        <is>
          <t>新增光伏发电系统装机容量</t>
        </is>
      </c>
      <c r="C190" s="113" t="inlineStr">
        <is>
          <t>达到</t>
        </is>
      </c>
      <c r="D190" s="113" t="inlineStr">
        <is>
          <t>2.5吉瓦</t>
        </is>
      </c>
      <c r="E190" s="113" t="n"/>
      <c r="F190" s="114" t="n">
        <v>2015</v>
      </c>
      <c r="G190" s="113" t="inlineStr">
        <is>
          <t>新目标</t>
        </is>
      </c>
      <c r="H190" s="113" t="inlineStr">
        <is>
          <t>可再生能源</t>
        </is>
      </c>
      <c r="I190" s="113" t="inlineStr">
        <is>
          <t>全社会经济</t>
        </is>
      </c>
      <c r="J190" s="113" t="inlineStr">
        <is>
          <t>到2015年，光伏发电系统新增装机容量达到2.5吉瓦，国内市场光伏发电年产值达到200亿元人民币。</t>
        </is>
      </c>
      <c r="K190" s="113" t="inlineStr">
        <is>
          <t>HL1201.pdf</t>
        </is>
      </c>
      <c r="L190" s="113" t="inlineStr">
        <is>
          <t>能源|电力</t>
        </is>
      </c>
      <c r="M190" s="113" t="inlineStr">
        <is>
          <t>电力供应</t>
        </is>
      </c>
    </row>
    <row r="191" ht="18" customHeight="1" s="235">
      <c r="A191" s="113" t="n">
        <v>2013</v>
      </c>
      <c r="B191" s="113" t="inlineStr">
        <is>
          <t>新增天然气干线管输能力</t>
        </is>
      </c>
      <c r="C191" s="113" t="inlineStr">
        <is>
          <t>超过</t>
        </is>
      </c>
      <c r="D191" s="113" t="inlineStr">
        <is>
          <t>1500亿立方米以上</t>
        </is>
      </c>
      <c r="E191" s="113" t="n"/>
      <c r="F191" s="114" t="inlineStr">
        <is>
          <t>2015</t>
        </is>
      </c>
      <c r="G191" s="113" t="inlineStr">
        <is>
          <t>新目标</t>
        </is>
      </c>
      <c r="H191" s="113" t="inlineStr">
        <is>
          <t>过渡能源</t>
        </is>
      </c>
      <c r="I191" s="113" t="inlineStr">
        <is>
          <t>不明确</t>
        </is>
      </c>
      <c r="J191" s="113" t="inlineStr">
        <is>
          <t>到2015年，新增天然气干线管输能力达到1500亿立方米以上，覆盖京津冀、长三角、珠三角等区域。</t>
        </is>
      </c>
      <c r="K191" s="113" t="inlineStr">
        <is>
          <t>AP1302.htm</t>
        </is>
      </c>
      <c r="L191" s="113" t="inlineStr">
        <is>
          <t>能源|电力</t>
        </is>
      </c>
      <c r="M191" s="113" t="inlineStr">
        <is>
          <t>电力传输/能源运输</t>
        </is>
      </c>
    </row>
    <row r="192" ht="18" customHeight="1" s="235">
      <c r="A192" s="113" t="n">
        <v>2022</v>
      </c>
      <c r="B192" s="113" t="inlineStr">
        <is>
          <t>新增太阳能光伏发电装机容量</t>
        </is>
      </c>
      <c r="C192" s="113" t="inlineStr">
        <is>
          <t>安装</t>
        </is>
      </c>
      <c r="D192" s="113" t="inlineStr">
        <is>
          <t>5000万千瓦</t>
        </is>
      </c>
      <c r="E192" s="113" t="n"/>
      <c r="F192" s="114" t="inlineStr">
        <is>
          <t>十四五</t>
        </is>
      </c>
      <c r="G192" s="113" t="inlineStr">
        <is>
          <t>新目标</t>
        </is>
      </c>
      <c r="H192" s="113" t="inlineStr">
        <is>
          <t>可再生能源</t>
        </is>
      </c>
      <c r="I192" s="113" t="inlineStr">
        <is>
          <t>全社会经济</t>
        </is>
      </c>
      <c r="J192" s="113" t="inlineStr">
        <is>
          <t>“十四五”期间，累计新增建筑太阳能光伏装机容量0.5亿千瓦</t>
        </is>
      </c>
      <c r="K192" s="113" t="inlineStr">
        <is>
          <t>FYP2206.pdf</t>
        </is>
      </c>
      <c r="L192" s="113" t="inlineStr">
        <is>
          <t>能源|电力</t>
        </is>
      </c>
      <c r="M192" s="113" t="inlineStr">
        <is>
          <t>电力供应</t>
        </is>
      </c>
    </row>
    <row r="193" ht="18" customHeight="1" s="235">
      <c r="A193" s="113" t="n">
        <v>2012</v>
      </c>
      <c r="B193" s="113" t="inlineStr">
        <is>
          <t>新增太阳能发电装机容量</t>
        </is>
      </c>
      <c r="C193" s="113" t="inlineStr">
        <is>
          <t>达到</t>
        </is>
      </c>
      <c r="D193" s="113" t="inlineStr">
        <is>
          <t>2100万千瓦</t>
        </is>
      </c>
      <c r="E193" s="113" t="n"/>
      <c r="F193" s="114" t="inlineStr">
        <is>
          <t>2015</t>
        </is>
      </c>
      <c r="G193" s="113" t="inlineStr">
        <is>
          <t>新目标</t>
        </is>
      </c>
      <c r="H193" s="113" t="inlineStr">
        <is>
          <t>可再生能源</t>
        </is>
      </c>
      <c r="I193" s="113" t="inlineStr">
        <is>
          <t>全社会经济</t>
        </is>
      </c>
      <c r="J193" s="113" t="inlineStr">
        <is>
          <t>到2015年，中国将建成太阳能发电装机容量2100万千瓦以上，太阳能集热面积达到4亿平方米。</t>
        </is>
      </c>
      <c r="K193" s="113" t="inlineStr">
        <is>
          <t>WP1201.htm</t>
        </is>
      </c>
      <c r="L193" s="113" t="inlineStr">
        <is>
          <t>能源|电力</t>
        </is>
      </c>
      <c r="M193" s="113" t="inlineStr">
        <is>
          <t>电力供应</t>
        </is>
      </c>
    </row>
    <row r="194" ht="18" customHeight="1" s="235">
      <c r="A194" s="113" t="n">
        <v>2016</v>
      </c>
      <c r="B194" s="113" t="inlineStr">
        <is>
          <t>新增太阳能发电装机容量</t>
        </is>
      </c>
      <c r="C194" s="113" t="inlineStr">
        <is>
          <t>投产</t>
        </is>
      </c>
      <c r="D194" s="113" t="inlineStr">
        <is>
          <t>6800万千瓦</t>
        </is>
      </c>
      <c r="E194" s="113" t="n"/>
      <c r="F194" s="114" t="inlineStr">
        <is>
          <t>十三五</t>
        </is>
      </c>
      <c r="G194" s="113" t="inlineStr">
        <is>
          <t>新目标</t>
        </is>
      </c>
      <c r="H194" s="113" t="inlineStr">
        <is>
          <t>可再生能源</t>
        </is>
      </c>
      <c r="I194" s="113" t="inlineStr">
        <is>
          <t>全社会经济</t>
        </is>
      </c>
      <c r="J194" s="113" t="inlineStr">
        <is>
          <t>“十三五”期间，太阳能发电新增投产0.68亿千瓦以上。</t>
        </is>
      </c>
      <c r="K194" s="113" t="inlineStr">
        <is>
          <t>FYP1607.pdf</t>
        </is>
      </c>
      <c r="L194" s="113" t="inlineStr">
        <is>
          <t>能源|电力</t>
        </is>
      </c>
      <c r="M194" s="113" t="inlineStr">
        <is>
          <t>电力供应</t>
        </is>
      </c>
    </row>
    <row r="195" ht="18" customHeight="1" s="235">
      <c r="A195" s="113" t="n">
        <v>2016</v>
      </c>
      <c r="B195" s="113" t="inlineStr">
        <is>
          <t>新增小水电站装机容量</t>
        </is>
      </c>
      <c r="C195" s="113" t="inlineStr">
        <is>
          <t>开工建设</t>
        </is>
      </c>
      <c r="D195" s="113" t="inlineStr">
        <is>
          <t>500万千瓦</t>
        </is>
      </c>
      <c r="E195" s="113" t="n"/>
      <c r="F195" s="114" t="inlineStr">
        <is>
          <t>十三五</t>
        </is>
      </c>
      <c r="G195" s="113" t="inlineStr">
        <is>
          <t>新目标</t>
        </is>
      </c>
      <c r="H195" s="113" t="inlineStr">
        <is>
          <t>可再生能源</t>
        </is>
      </c>
      <c r="I195" s="113" t="inlineStr">
        <is>
          <t>全社会经济</t>
        </is>
      </c>
      <c r="J195" s="113" t="inlineStr">
        <is>
          <t>“十三五”期间，全国规划新开工小水电500万千瓦左右。</t>
        </is>
      </c>
      <c r="K195" s="113" t="inlineStr">
        <is>
          <t>FYP1610.pdf</t>
        </is>
      </c>
      <c r="L195" s="113" t="inlineStr">
        <is>
          <t>能源|电力</t>
        </is>
      </c>
      <c r="M195" s="113" t="inlineStr">
        <is>
          <t>电力供应</t>
        </is>
      </c>
    </row>
    <row r="196" ht="18" customHeight="1" s="235">
      <c r="A196" s="113" t="n">
        <v>2013</v>
      </c>
      <c r="B196" s="113" t="inlineStr">
        <is>
          <t>新增常规天然气探明地质储量</t>
        </is>
      </c>
      <c r="C196" s="113" t="inlineStr">
        <is>
          <t>达到</t>
        </is>
      </c>
      <c r="D196" s="113" t="inlineStr">
        <is>
          <t>3.5万亿立方米</t>
        </is>
      </c>
      <c r="E196" s="113" t="n"/>
      <c r="F196" s="114" t="inlineStr">
        <is>
          <t>2015</t>
        </is>
      </c>
      <c r="G196" s="113" t="inlineStr">
        <is>
          <t>新目标</t>
        </is>
      </c>
      <c r="H196" s="113" t="inlineStr">
        <is>
          <t>过渡能源</t>
        </is>
      </c>
      <c r="I196" s="113" t="inlineStr">
        <is>
          <t>行业</t>
        </is>
      </c>
      <c r="J196" s="113" t="inlineStr">
        <is>
          <t>到2015年，新增常规天然气探明地质储量3.5万亿立方米</t>
        </is>
      </c>
      <c r="K196" s="113" t="inlineStr">
        <is>
          <t>FYP1302.htm</t>
        </is>
      </c>
      <c r="L196" s="113" t="inlineStr">
        <is>
          <t>能源|电力</t>
        </is>
      </c>
      <c r="M196" s="113" t="inlineStr">
        <is>
          <t>化石燃料储量</t>
        </is>
      </c>
    </row>
    <row r="197" ht="18" customHeight="1" s="235">
      <c r="A197" s="113" t="n">
        <v>2016</v>
      </c>
      <c r="B197" s="113" t="inlineStr">
        <is>
          <t>新增探明石油和天然气地质储量</t>
        </is>
      </c>
      <c r="C197" s="113" t="inlineStr">
        <is>
          <t>发现</t>
        </is>
      </c>
      <c r="D197" s="113" t="inlineStr">
        <is>
          <t>12亿吨</t>
        </is>
      </c>
      <c r="E197" s="113" t="n"/>
      <c r="F197" s="114" t="inlineStr">
        <is>
          <t>十三五</t>
        </is>
      </c>
      <c r="G197" s="113" t="inlineStr">
        <is>
          <t>新目标</t>
        </is>
      </c>
      <c r="H197" s="113" t="inlineStr">
        <is>
          <t>过渡能源</t>
        </is>
      </c>
      <c r="I197" s="113" t="inlineStr">
        <is>
          <t>行业</t>
        </is>
      </c>
      <c r="J197" s="113" t="inlineStr">
        <is>
          <t>加快海洋油气勘探力度，“十三五”期间新增探明地质储量12亿吨左右。</t>
        </is>
      </c>
      <c r="K197" s="113" t="inlineStr">
        <is>
          <t>FYP1624.pdf</t>
        </is>
      </c>
      <c r="L197" s="113" t="inlineStr">
        <is>
          <t>能源|电力</t>
        </is>
      </c>
      <c r="M197" s="113" t="inlineStr">
        <is>
          <t>化石燃料储量</t>
        </is>
      </c>
    </row>
    <row r="198" ht="18" customHeight="1" s="235">
      <c r="A198" s="113" t="n">
        <v>2016</v>
      </c>
      <c r="B198" s="113" t="inlineStr">
        <is>
          <t>新增探明石油地质储量</t>
        </is>
      </c>
      <c r="C198" s="113" t="inlineStr">
        <is>
          <t>实现</t>
        </is>
      </c>
      <c r="D198" s="113" t="inlineStr">
        <is>
          <t>50亿吨</t>
        </is>
      </c>
      <c r="E198" s="113" t="n"/>
      <c r="F198" s="114" t="inlineStr">
        <is>
          <t>十三五</t>
        </is>
      </c>
      <c r="G198" s="113" t="inlineStr">
        <is>
          <t>重申目标</t>
        </is>
      </c>
      <c r="H198" s="113" t="inlineStr">
        <is>
          <t>过渡能源</t>
        </is>
      </c>
      <c r="I198" s="113" t="inlineStr">
        <is>
          <t>全社会经济</t>
        </is>
      </c>
      <c r="J198" s="113" t="inlineStr">
        <is>
          <t>石油企业要切实加大勘探力度，保障“十三五”勘探工作量投入，实现“十三五”期间新增探明地质储量50亿吨左右。</t>
        </is>
      </c>
      <c r="K198" s="113" t="inlineStr">
        <is>
          <t>FYP1624.pdf</t>
        </is>
      </c>
      <c r="L198" s="113" t="inlineStr">
        <is>
          <t>能源|电力</t>
        </is>
      </c>
      <c r="M198" s="113" t="inlineStr">
        <is>
          <t>化石燃料储量</t>
        </is>
      </c>
    </row>
    <row r="199" ht="18" customHeight="1" s="235">
      <c r="A199" s="113" t="n">
        <v>2016</v>
      </c>
      <c r="B199" s="113" t="inlineStr">
        <is>
          <t>新增核电装机容量</t>
        </is>
      </c>
      <c r="C199" s="113" t="inlineStr">
        <is>
          <t>投产</t>
        </is>
      </c>
      <c r="D199" s="113" t="inlineStr">
        <is>
          <t>3000万千瓦</t>
        </is>
      </c>
      <c r="E199" s="113" t="n"/>
      <c r="F199" s="114" t="inlineStr">
        <is>
          <t>十三五</t>
        </is>
      </c>
      <c r="G199" s="113" t="inlineStr">
        <is>
          <t>新目标</t>
        </is>
      </c>
      <c r="H199" s="113" t="inlineStr">
        <is>
          <t>过渡能源</t>
        </is>
      </c>
      <c r="I199" s="113" t="inlineStr">
        <is>
          <t>全社会经济</t>
        </is>
      </c>
      <c r="J199" s="113" t="inlineStr">
        <is>
          <t>“十三五”期间，全国核电投产约3000万千瓦、开工3000万千瓦以上。</t>
        </is>
      </c>
      <c r="K199" s="113" t="inlineStr">
        <is>
          <t>FYP1607.pdf</t>
        </is>
      </c>
      <c r="L199" s="113" t="inlineStr">
        <is>
          <t>能源|电力</t>
        </is>
      </c>
      <c r="M199" s="113" t="inlineStr">
        <is>
          <t>电力供应</t>
        </is>
      </c>
    </row>
    <row r="200" ht="18" customHeight="1" s="235">
      <c r="A200" s="113" t="n">
        <v>2016</v>
      </c>
      <c r="B200" s="113" t="inlineStr">
        <is>
          <t>新增水电装机规模</t>
        </is>
      </c>
      <c r="C200" s="113" t="inlineStr">
        <is>
          <t>投产</t>
        </is>
      </c>
      <c r="D200" s="113" t="inlineStr">
        <is>
          <t>4000万千瓦</t>
        </is>
      </c>
      <c r="E200" s="113" t="n"/>
      <c r="F200" s="114" t="inlineStr">
        <is>
          <t>十三五</t>
        </is>
      </c>
      <c r="G200" s="113" t="inlineStr">
        <is>
          <t>新目标</t>
        </is>
      </c>
      <c r="H200" s="113" t="inlineStr">
        <is>
          <t>可再生能源</t>
        </is>
      </c>
      <c r="I200" s="113" t="inlineStr">
        <is>
          <t>全社会经济</t>
        </is>
      </c>
      <c r="J200" s="113" t="inlineStr">
        <is>
          <t>“十三五”期间，全国常规水电新增投产约4000万千瓦</t>
        </is>
      </c>
      <c r="K200" s="113" t="inlineStr">
        <is>
          <t>FYP1607.pdf</t>
        </is>
      </c>
      <c r="L200" s="113" t="inlineStr">
        <is>
          <t>能源|电力</t>
        </is>
      </c>
      <c r="M200" s="113" t="inlineStr">
        <is>
          <t>电力供应</t>
        </is>
      </c>
    </row>
    <row r="201" ht="18" customHeight="1" s="235">
      <c r="A201" s="113" t="n">
        <v>2016</v>
      </c>
      <c r="B201" s="113" t="inlineStr">
        <is>
          <t>新增煤层气探明地质储量</t>
        </is>
      </c>
      <c r="C201" s="113" t="inlineStr">
        <is>
          <t>发现</t>
        </is>
      </c>
      <c r="D201" s="113" t="inlineStr">
        <is>
          <t>4200亿立方米</t>
        </is>
      </c>
      <c r="E201" s="113" t="n"/>
      <c r="F201" s="114" t="inlineStr">
        <is>
          <t>十三五</t>
        </is>
      </c>
      <c r="G201" s="113" t="inlineStr">
        <is>
          <t>重申目标</t>
        </is>
      </c>
      <c r="H201" s="113" t="inlineStr">
        <is>
          <t>过渡能源</t>
        </is>
      </c>
      <c r="I201" s="113" t="inlineStr">
        <is>
          <t>行业</t>
        </is>
      </c>
      <c r="J201" s="113" t="inlineStr">
        <is>
          <t>“十三五”期间，新增煤层气探明地质储量4200亿立方米，建成2-3个煤层气产业化基地。</t>
        </is>
      </c>
      <c r="K201" s="113" t="inlineStr">
        <is>
          <t>FYP1605.pdf</t>
        </is>
      </c>
      <c r="L201" s="113" t="inlineStr">
        <is>
          <t>能源|电力</t>
        </is>
      </c>
      <c r="M201" s="113" t="inlineStr">
        <is>
          <t>化石燃料储量</t>
        </is>
      </c>
    </row>
    <row r="202" ht="18" customHeight="1" s="235">
      <c r="A202" s="113" t="n">
        <v>2011</v>
      </c>
      <c r="B202" s="113" t="inlineStr">
        <is>
          <t>新增煤层气探明地质储量</t>
        </is>
      </c>
      <c r="C202" s="113" t="inlineStr">
        <is>
          <t>提高</t>
        </is>
      </c>
      <c r="D202" s="113" t="inlineStr">
        <is>
          <t>1万亿立方米</t>
        </is>
      </c>
      <c r="E202" s="113" t="n">
        <v>2010</v>
      </c>
      <c r="F202" s="114" t="inlineStr">
        <is>
          <t>2015</t>
        </is>
      </c>
      <c r="G202" s="113" t="inlineStr">
        <is>
          <t>新目标</t>
        </is>
      </c>
      <c r="H202" s="113" t="inlineStr">
        <is>
          <t>过渡能源</t>
        </is>
      </c>
      <c r="I202" s="113" t="inlineStr">
        <is>
          <t>行业</t>
        </is>
      </c>
      <c r="J202" s="113" t="inlineStr">
        <is>
          <t>到2015年，新增煤层气探明地质储量1万亿立方米。</t>
        </is>
      </c>
      <c r="K202" s="113" t="inlineStr">
        <is>
          <t>FYP1103.htm</t>
        </is>
      </c>
      <c r="L202" s="113" t="inlineStr">
        <is>
          <t>能源|电力</t>
        </is>
      </c>
      <c r="M202" s="113" t="inlineStr">
        <is>
          <t>化石燃料储量</t>
        </is>
      </c>
    </row>
    <row r="203" ht="18" customHeight="1" s="235">
      <c r="A203" s="113" t="n">
        <v>2008</v>
      </c>
      <c r="B203" s="113" t="inlineStr">
        <is>
          <t>新增煤炭开采产能</t>
        </is>
      </c>
      <c r="C203" s="113" t="inlineStr">
        <is>
          <t>建设</t>
        </is>
      </c>
      <c r="D203" s="113" t="inlineStr">
        <is>
          <t>16亿立方米</t>
        </is>
      </c>
      <c r="E203" s="113" t="n"/>
      <c r="F203" s="114" t="inlineStr">
        <is>
          <t>十一五</t>
        </is>
      </c>
      <c r="G203" s="113" t="inlineStr">
        <is>
          <t>新目标</t>
        </is>
      </c>
      <c r="H203" s="113" t="inlineStr">
        <is>
          <t>涉煤</t>
        </is>
      </c>
      <c r="I203" s="113" t="inlineStr">
        <is>
          <t>行业</t>
        </is>
      </c>
      <c r="J203" s="113" t="inlineStr">
        <is>
          <t>“十一五”期间，建成煤炭开采产能16亿立方米。</t>
        </is>
      </c>
      <c r="K203" s="113" t="inlineStr">
        <is>
          <t>FYP0801.htm</t>
        </is>
      </c>
      <c r="L203" s="113" t="inlineStr">
        <is>
          <t>能源|电力</t>
        </is>
      </c>
      <c r="M203" s="113" t="inlineStr">
        <is>
          <t>煤电</t>
        </is>
      </c>
    </row>
    <row r="204" ht="18" customHeight="1" s="235">
      <c r="A204" s="113" t="n">
        <v>2004</v>
      </c>
      <c r="B204" s="113" t="inlineStr">
        <is>
          <t>新增燃煤热电联产机组</t>
        </is>
      </c>
      <c r="C204" s="113" t="inlineStr">
        <is>
          <t>安装</t>
        </is>
      </c>
      <c r="D204" s="113" t="inlineStr">
        <is>
          <t>4000万千瓦</t>
        </is>
      </c>
      <c r="E204" s="113" t="n"/>
      <c r="F204" s="114" t="inlineStr">
        <is>
          <t>2004-2010</t>
        </is>
      </c>
      <c r="G204" s="113" t="inlineStr">
        <is>
          <t>新目标</t>
        </is>
      </c>
      <c r="H204" s="113" t="inlineStr">
        <is>
          <t>涉煤</t>
        </is>
      </c>
      <c r="I204" s="113" t="inlineStr">
        <is>
          <t>不明确</t>
        </is>
      </c>
      <c r="J204" s="113" t="inlineStr">
        <is>
          <t>到2010年，新增供暖热电联产机组4000万千瓦，年节能3500万吨标准煤。</t>
        </is>
      </c>
      <c r="K204" s="113" t="inlineStr">
        <is>
          <t>MLT0401.htm</t>
        </is>
      </c>
      <c r="L204" s="113" t="inlineStr">
        <is>
          <t>能源|电力</t>
        </is>
      </c>
      <c r="M204" s="113" t="inlineStr">
        <is>
          <t>煤电</t>
        </is>
      </c>
    </row>
    <row r="205" ht="18" customHeight="1" s="235">
      <c r="A205" s="113" t="n">
        <v>2013</v>
      </c>
      <c r="B205" s="113" t="inlineStr">
        <is>
          <t>新增石油探明地质储量</t>
        </is>
      </c>
      <c r="C205" s="113" t="inlineStr">
        <is>
          <t>超过</t>
        </is>
      </c>
      <c r="D205" s="113" t="inlineStr">
        <is>
          <t>65亿吨</t>
        </is>
      </c>
      <c r="E205" s="113" t="n"/>
      <c r="F205" s="114" t="inlineStr">
        <is>
          <t>2015</t>
        </is>
      </c>
      <c r="G205" s="113" t="inlineStr">
        <is>
          <t>新目标</t>
        </is>
      </c>
      <c r="H205" s="113" t="inlineStr">
        <is>
          <t>过渡能源</t>
        </is>
      </c>
      <c r="I205" s="113" t="inlineStr">
        <is>
          <t>行业</t>
        </is>
      </c>
      <c r="J205" s="113" t="inlineStr">
        <is>
          <t>到2015年，新增石油探明地质储量65亿吨以上</t>
        </is>
      </c>
      <c r="K205" s="113" t="inlineStr">
        <is>
          <t>FYP1302.htm</t>
        </is>
      </c>
      <c r="L205" s="113" t="inlineStr">
        <is>
          <t>能源|电力</t>
        </is>
      </c>
      <c r="M205" s="113" t="inlineStr">
        <is>
          <t>化石燃料储量</t>
        </is>
      </c>
    </row>
    <row r="206" ht="18" customHeight="1" s="235">
      <c r="A206" s="113" t="n">
        <v>2018</v>
      </c>
      <c r="B206" s="113" t="inlineStr">
        <is>
          <t>新增调峰气电装机容量</t>
        </is>
      </c>
      <c r="C206" s="113" t="inlineStr">
        <is>
          <t>新增</t>
        </is>
      </c>
      <c r="D206" s="113" t="inlineStr">
        <is>
          <t>500万千瓦</t>
        </is>
      </c>
      <c r="E206" s="113" t="n"/>
      <c r="F206" s="114" t="inlineStr">
        <is>
          <t>十三五</t>
        </is>
      </c>
      <c r="G206" s="113" t="inlineStr">
        <is>
          <t>新目标</t>
        </is>
      </c>
      <c r="H206" s="113" t="inlineStr">
        <is>
          <t>过渡能源</t>
        </is>
      </c>
      <c r="I206" s="113" t="inlineStr">
        <is>
          <t>全社会经济</t>
        </is>
      </c>
      <c r="J206" s="113" t="inlineStr">
        <is>
          <t>“十三五”期间，新增调峰气电规模500万千瓦。</t>
        </is>
      </c>
      <c r="K206" s="113" t="inlineStr">
        <is>
          <t>GO1801.htm</t>
        </is>
      </c>
      <c r="L206" s="113" t="inlineStr">
        <is>
          <t>能源|电力</t>
        </is>
      </c>
      <c r="M206" s="113" t="inlineStr">
        <is>
          <t>电力供应</t>
        </is>
      </c>
    </row>
    <row r="207" ht="18" customHeight="1" s="235">
      <c r="A207" s="113" t="n">
        <v>2012</v>
      </c>
      <c r="B207" s="113" t="inlineStr">
        <is>
          <t>新增陆上风电基地</t>
        </is>
      </c>
      <c r="C207" s="113" t="inlineStr">
        <is>
          <t>建设</t>
        </is>
      </c>
      <c r="D207" s="113" t="inlineStr">
        <is>
          <t>6个</t>
        </is>
      </c>
      <c r="E207" s="113" t="n"/>
      <c r="F207" s="114" t="inlineStr">
        <is>
          <t>十二五</t>
        </is>
      </c>
      <c r="G207" s="113" t="inlineStr">
        <is>
          <t>新目标</t>
        </is>
      </c>
      <c r="H207" s="113" t="inlineStr">
        <is>
          <t>可再生能源</t>
        </is>
      </c>
      <c r="I207" s="113" t="inlineStr">
        <is>
          <t>不明确</t>
        </is>
      </c>
      <c r="J207" s="113" t="inlineStr">
        <is>
          <t>“十二五”期间，国家规划建设6个陆上风电基地和2个海上及沿海风电基地。</t>
        </is>
      </c>
      <c r="K207" s="113" t="inlineStr">
        <is>
          <t>FYP1206.pdf</t>
        </is>
      </c>
      <c r="L207" s="113" t="inlineStr">
        <is>
          <t>能源|电力</t>
        </is>
      </c>
      <c r="M207" s="113" t="inlineStr">
        <is>
          <t>电力供应</t>
        </is>
      </c>
    </row>
    <row r="208" ht="18" customHeight="1" s="235">
      <c r="A208" s="113" t="n">
        <v>2016</v>
      </c>
      <c r="B208" s="113" t="inlineStr">
        <is>
          <t>新增页岩气探明地质储量</t>
        </is>
      </c>
      <c r="C208" s="113" t="inlineStr">
        <is>
          <t>新增</t>
        </is>
      </c>
      <c r="D208" s="113" t="inlineStr">
        <is>
          <t>1万亿立方米</t>
        </is>
      </c>
      <c r="E208" s="113" t="n"/>
      <c r="F208" s="114" t="inlineStr">
        <is>
          <t>十三五</t>
        </is>
      </c>
      <c r="G208" s="113" t="inlineStr">
        <is>
          <t>重申目标</t>
        </is>
      </c>
      <c r="H208" s="113" t="inlineStr">
        <is>
          <t>过渡能源</t>
        </is>
      </c>
      <c r="I208" s="113" t="inlineStr">
        <is>
          <t>行业</t>
        </is>
      </c>
      <c r="J208" s="113" t="inlineStr">
        <is>
          <t>“十三五”期间新增页岩气探明地质储量1万亿立方米</t>
        </is>
      </c>
      <c r="K208" s="113" t="inlineStr">
        <is>
          <t>FYP1625.pdf</t>
        </is>
      </c>
      <c r="L208" s="113" t="inlineStr">
        <is>
          <t>能源|电力</t>
        </is>
      </c>
      <c r="M208" s="113" t="inlineStr">
        <is>
          <t>化石燃料储量</t>
        </is>
      </c>
    </row>
    <row r="209" ht="18" customHeight="1" s="235">
      <c r="A209" s="113" t="n">
        <v>2007</v>
      </c>
      <c r="B209" s="113" t="inlineStr">
        <is>
          <t>新建（含改扩建）煤矿规模</t>
        </is>
      </c>
      <c r="C209" s="113" t="inlineStr">
        <is>
          <t>开工建设</t>
        </is>
      </c>
      <c r="D209" s="113" t="inlineStr">
        <is>
          <t>4.5亿吨</t>
        </is>
      </c>
      <c r="E209" s="113" t="n"/>
      <c r="F209" s="114" t="inlineStr">
        <is>
          <t>十一五</t>
        </is>
      </c>
      <c r="G209" s="113" t="inlineStr">
        <is>
          <t>新目标</t>
        </is>
      </c>
      <c r="H209" s="113" t="inlineStr">
        <is>
          <t>涉煤</t>
        </is>
      </c>
      <c r="I209" s="113" t="inlineStr">
        <is>
          <t>行业</t>
        </is>
      </c>
      <c r="J209" s="113" t="inlineStr">
        <is>
          <t>“十一五”期间，新开工新建和改扩建煤矿规模4.5亿吨。</t>
        </is>
      </c>
      <c r="K209" s="113" t="inlineStr">
        <is>
          <t>FYP0701.htm</t>
        </is>
      </c>
      <c r="L209" s="113" t="inlineStr">
        <is>
          <t>能源|电力</t>
        </is>
      </c>
      <c r="M209" s="113" t="inlineStr">
        <is>
          <t>煤电</t>
        </is>
      </c>
    </row>
    <row r="210" ht="18" customHeight="1" s="235">
      <c r="A210" s="113" t="n">
        <v>2024</v>
      </c>
      <c r="B210" s="113" t="inlineStr">
        <is>
          <t>新建大型炼化一体化项目中原油加工生产的成品油产量占比</t>
        </is>
      </c>
      <c r="C210" s="113" t="inlineStr">
        <is>
          <t>降至…以下</t>
        </is>
      </c>
      <c r="D210" s="113" t="inlineStr">
        <is>
          <t>低于40%</t>
        </is>
      </c>
      <c r="E210" s="113" t="n"/>
      <c r="F210" s="114" t="inlineStr">
        <is>
          <t>2025</t>
        </is>
      </c>
      <c r="G210" s="113" t="inlineStr">
        <is>
          <t>新目标</t>
        </is>
      </c>
      <c r="H210" s="113" t="inlineStr">
        <is>
          <t>过渡能源</t>
        </is>
      </c>
      <c r="I210" s="113" t="inlineStr">
        <is>
          <t>不明确</t>
        </is>
      </c>
      <c r="J210" s="113" t="inlineStr">
        <is>
          <t>到2025年，新建大型炼化一体化项目成品油产量占原油加工量的比例下降至40%以下</t>
        </is>
      </c>
      <c r="K210" s="113" t="inlineStr">
        <is>
          <t>HL2401.pdf</t>
        </is>
      </c>
      <c r="L210" s="113" t="inlineStr">
        <is>
          <t>能源|电力</t>
        </is>
      </c>
      <c r="M210" s="113" t="inlineStr">
        <is>
          <t>电力供应</t>
        </is>
      </c>
    </row>
    <row r="211" ht="18" customHeight="1" s="235">
      <c r="A211" s="113" t="n">
        <v>2016</v>
      </c>
      <c r="B211" s="113" t="inlineStr">
        <is>
          <t>新建天然气主干及配套管道</t>
        </is>
      </c>
      <c r="C211" s="113" t="inlineStr">
        <is>
          <t>建设</t>
        </is>
      </c>
      <c r="D211" s="113" t="inlineStr">
        <is>
          <t>4万公里</t>
        </is>
      </c>
      <c r="E211" s="113" t="n"/>
      <c r="F211" s="114" t="inlineStr">
        <is>
          <t>十三五</t>
        </is>
      </c>
      <c r="G211" s="113" t="inlineStr">
        <is>
          <t>新目标</t>
        </is>
      </c>
      <c r="H211" s="113" t="inlineStr">
        <is>
          <t>过渡能源</t>
        </is>
      </c>
      <c r="I211" s="113" t="inlineStr">
        <is>
          <t>不明确</t>
        </is>
      </c>
      <c r="J211" s="113" t="inlineStr">
        <is>
          <t>“十三五”期间，新建天然气主干及配套管道4万公里。</t>
        </is>
      </c>
      <c r="K211" s="113" t="inlineStr">
        <is>
          <t>FYP1625.pdf</t>
        </is>
      </c>
      <c r="L211" s="113" t="inlineStr">
        <is>
          <t>能源|电力</t>
        </is>
      </c>
      <c r="M211" s="113" t="inlineStr">
        <is>
          <t>电力传输/能源运输</t>
        </is>
      </c>
    </row>
    <row r="212" ht="18" customHeight="1" s="235">
      <c r="A212" s="113" t="n">
        <v>2016</v>
      </c>
      <c r="B212" s="113" t="inlineStr">
        <is>
          <t>新建核电站装机容量</t>
        </is>
      </c>
      <c r="C212" s="113" t="inlineStr">
        <is>
          <t>达到</t>
        </is>
      </c>
      <c r="D212" s="113" t="inlineStr">
        <is>
          <t>3000万千瓦</t>
        </is>
      </c>
      <c r="E212" s="113" t="n"/>
      <c r="F212" s="114" t="inlineStr">
        <is>
          <t>2020</t>
        </is>
      </c>
      <c r="G212" s="113" t="inlineStr">
        <is>
          <t>重申目标</t>
        </is>
      </c>
      <c r="H212" s="113" t="inlineStr">
        <is>
          <t>过渡能源</t>
        </is>
      </c>
      <c r="I212" s="113" t="inlineStr">
        <is>
          <t>全社会经济</t>
        </is>
      </c>
      <c r="J212" s="113" t="inlineStr">
        <is>
          <t>到2020年，在建核电装机规模达到3000万千瓦，形成国际先进的集技术开发、设计、装备制造、运营服务于一体的核电全产业链发展能力。</t>
        </is>
      </c>
      <c r="K212" s="113" t="inlineStr">
        <is>
          <t>FYP1613.htm</t>
        </is>
      </c>
      <c r="L212" s="113" t="inlineStr">
        <is>
          <t>能源|电力</t>
        </is>
      </c>
      <c r="M212" s="113" t="inlineStr">
        <is>
          <t>电力供应</t>
        </is>
      </c>
    </row>
    <row r="213" ht="18" customHeight="1" s="235">
      <c r="A213" s="113" t="n">
        <v>2012</v>
      </c>
      <c r="B213" s="113" t="inlineStr">
        <is>
          <t>新建海上及沿海风电基地</t>
        </is>
      </c>
      <c r="C213" s="113" t="inlineStr">
        <is>
          <t>建设</t>
        </is>
      </c>
      <c r="D213" s="113" t="inlineStr">
        <is>
          <t>2个基地</t>
        </is>
      </c>
      <c r="E213" s="113" t="n"/>
      <c r="F213" s="114" t="inlineStr">
        <is>
          <t>十二五</t>
        </is>
      </c>
      <c r="G213" s="113" t="inlineStr">
        <is>
          <t>新目标</t>
        </is>
      </c>
      <c r="H213" s="113" t="inlineStr">
        <is>
          <t>可再生能源</t>
        </is>
      </c>
      <c r="I213" s="113" t="inlineStr">
        <is>
          <t>不明确</t>
        </is>
      </c>
      <c r="J213" s="113" t="inlineStr">
        <is>
          <t>“十二五”期间，我国规划建设6个陆上风电基地和2个海上及沿海风电基地。</t>
        </is>
      </c>
      <c r="K213" s="113" t="inlineStr">
        <is>
          <t>FYP1206.pdf</t>
        </is>
      </c>
      <c r="L213" s="113" t="inlineStr">
        <is>
          <t>能源|电力</t>
        </is>
      </c>
      <c r="M213" s="113" t="inlineStr">
        <is>
          <t>电力供应</t>
        </is>
      </c>
    </row>
    <row r="214" ht="18" customHeight="1" s="235">
      <c r="A214" s="113" t="n">
        <v>2007</v>
      </c>
      <c r="B214" s="113" t="inlineStr">
        <is>
          <t>新建煤层气管道总输气能力</t>
        </is>
      </c>
      <c r="C214" s="113" t="inlineStr">
        <is>
          <t>达到</t>
        </is>
      </c>
      <c r="D214" s="113" t="inlineStr">
        <is>
          <t>65亿立方米</t>
        </is>
      </c>
      <c r="E214" s="113" t="n"/>
      <c r="F214" s="114" t="inlineStr">
        <is>
          <t>十一五</t>
        </is>
      </c>
      <c r="G214" s="113" t="inlineStr">
        <is>
          <t>新目标</t>
        </is>
      </c>
      <c r="H214" s="113" t="inlineStr">
        <is>
          <t>过渡能源</t>
        </is>
      </c>
      <c r="I214" s="113" t="inlineStr">
        <is>
          <t>不明确</t>
        </is>
      </c>
      <c r="J214" s="113" t="inlineStr">
        <is>
          <t>“十一五”期间，规划建设主要煤层气输气管道10条，线路全长1441公里，设计总输气能力65亿立方米。</t>
        </is>
      </c>
      <c r="K214" s="113" t="inlineStr">
        <is>
          <t>FYP0701.htm</t>
        </is>
      </c>
      <c r="L214" s="113" t="inlineStr">
        <is>
          <t>能源|电力</t>
        </is>
      </c>
      <c r="M214" s="113" t="inlineStr">
        <is>
          <t>电力传输/能源运输</t>
        </is>
      </c>
    </row>
    <row r="215" ht="18" customHeight="1" s="235">
      <c r="A215" s="113" t="n">
        <v>2007</v>
      </c>
      <c r="B215" s="113" t="inlineStr">
        <is>
          <t>新建煤矸石电厂装机容量</t>
        </is>
      </c>
      <c r="C215" s="113" t="inlineStr">
        <is>
          <t>开工建设</t>
        </is>
      </c>
      <c r="D215" s="113" t="inlineStr">
        <is>
          <t>500万千瓦</t>
        </is>
      </c>
      <c r="E215" s="113" t="n"/>
      <c r="F215" s="114" t="inlineStr">
        <is>
          <t>2010</t>
        </is>
      </c>
      <c r="G215" s="113" t="inlineStr">
        <is>
          <t>新目标</t>
        </is>
      </c>
      <c r="H215" s="113" t="inlineStr">
        <is>
          <t>涉煤</t>
        </is>
      </c>
      <c r="I215" s="113" t="inlineStr">
        <is>
          <t>全社会经济</t>
        </is>
      </c>
      <c r="J215" s="113" t="inlineStr">
        <is>
          <t>2010年开工建设煤矸石综合利用电厂500万千瓦</t>
        </is>
      </c>
      <c r="K215" s="113" t="inlineStr">
        <is>
          <t>WOP0701.htm</t>
        </is>
      </c>
      <c r="L215" s="113" t="inlineStr">
        <is>
          <t>能源|电力</t>
        </is>
      </c>
      <c r="M215" s="113" t="inlineStr">
        <is>
          <t>电力供应</t>
        </is>
      </c>
    </row>
    <row r="216" ht="18" customHeight="1" s="235">
      <c r="A216" s="113" t="n">
        <v>2007</v>
      </c>
      <c r="B216" s="113" t="inlineStr">
        <is>
          <t>新建煤矸石综合利用电厂装机容量</t>
        </is>
      </c>
      <c r="C216" s="113" t="inlineStr">
        <is>
          <t>建设</t>
        </is>
      </c>
      <c r="D216" s="113" t="inlineStr">
        <is>
          <t>2000万千瓦</t>
        </is>
      </c>
      <c r="E216" s="113" t="n"/>
      <c r="F216" s="114" t="inlineStr">
        <is>
          <t>十一五</t>
        </is>
      </c>
      <c r="G216" s="113" t="inlineStr">
        <is>
          <t>新目标</t>
        </is>
      </c>
      <c r="H216" s="113" t="inlineStr">
        <is>
          <t>涉煤</t>
        </is>
      </c>
      <c r="I216" s="113" t="inlineStr">
        <is>
          <t>全社会经济</t>
        </is>
      </c>
      <c r="J216" s="113" t="inlineStr">
        <is>
          <t>“十一五”期间建设煤矸石综合利用电厂2000万千瓦。</t>
        </is>
      </c>
      <c r="K216" s="113" t="inlineStr">
        <is>
          <t>WOP0701.htm</t>
        </is>
      </c>
      <c r="L216" s="113" t="inlineStr">
        <is>
          <t>能源|电力</t>
        </is>
      </c>
      <c r="M216" s="113" t="inlineStr">
        <is>
          <t>电力供应</t>
        </is>
      </c>
    </row>
    <row r="217" ht="18" customHeight="1" s="235">
      <c r="A217" s="113" t="n">
        <v>2021</v>
      </c>
      <c r="B217" s="113" t="inlineStr">
        <is>
          <t>暂停或放缓煤电装机建设</t>
        </is>
      </c>
      <c r="C217" s="113" t="inlineStr">
        <is>
          <t>达到</t>
        </is>
      </c>
      <c r="D217" s="113" t="inlineStr">
        <is>
          <t>1.5亿千瓦</t>
        </is>
      </c>
      <c r="E217" s="113" t="n"/>
      <c r="F217" s="114" t="inlineStr">
        <is>
          <t>十四五</t>
        </is>
      </c>
      <c r="G217" s="113" t="inlineStr">
        <is>
          <t>重申目标</t>
        </is>
      </c>
      <c r="H217" s="113" t="inlineStr">
        <is>
          <t>涉煤</t>
        </is>
      </c>
      <c r="I217" s="113" t="inlineStr">
        <is>
          <t>不明确</t>
        </is>
      </c>
      <c r="J217" s="113" t="inlineStr">
        <is>
          <t>“十四五”期间，实现煤电机组灵活制造规模1.5亿千瓦。</t>
        </is>
      </c>
      <c r="K217" s="113" t="inlineStr">
        <is>
          <t>IP2107.pdf</t>
        </is>
      </c>
      <c r="L217" s="113" t="inlineStr">
        <is>
          <t>能源|电力</t>
        </is>
      </c>
      <c r="M217" s="113" t="inlineStr">
        <is>
          <t>煤电</t>
        </is>
      </c>
    </row>
    <row r="218" ht="18" customHeight="1" s="235">
      <c r="A218" s="113" t="n">
        <v>2016</v>
      </c>
      <c r="B218" s="113" t="inlineStr">
        <is>
          <t>核电、风电、太阳能、生物质能等产业产值规模</t>
        </is>
      </c>
      <c r="C218" s="113" t="inlineStr">
        <is>
          <t>超过</t>
        </is>
      </c>
      <c r="D218" s="113" t="inlineStr">
        <is>
          <t>1.5万亿元</t>
        </is>
      </c>
      <c r="E218" s="113" t="n"/>
      <c r="F218" s="114" t="inlineStr">
        <is>
          <t>2020</t>
        </is>
      </c>
      <c r="G218" s="113" t="inlineStr">
        <is>
          <t>新目标</t>
        </is>
      </c>
      <c r="H218" s="113" t="inlineStr">
        <is>
          <t>可再生能源</t>
        </is>
      </c>
      <c r="I218" s="113" t="inlineStr">
        <is>
          <t>行业</t>
        </is>
      </c>
      <c r="J218" s="113" t="inlineStr">
        <is>
          <t>到2020年，核电、风电、太阳能、生物质能等产业产值规模超过1.5万亿元，打造世界领先的新能源产业。</t>
        </is>
      </c>
      <c r="K218" s="113" t="inlineStr">
        <is>
          <t>FYP1613.htm</t>
        </is>
      </c>
      <c r="L218" s="113" t="inlineStr">
        <is>
          <t>能源|电力</t>
        </is>
      </c>
      <c r="M218" s="113" t="inlineStr">
        <is>
          <t>电力供应</t>
        </is>
      </c>
    </row>
    <row r="219" ht="18" customHeight="1" s="235">
      <c r="A219" s="113" t="n">
        <v>2016</v>
      </c>
      <c r="B219" s="113" t="inlineStr">
        <is>
          <t>核电、风电、太阳能、生物质能等占能源消费总量比重（不含水电）</t>
        </is>
      </c>
      <c r="C219" s="113" t="inlineStr">
        <is>
          <t>占比达到</t>
        </is>
      </c>
      <c r="D219" s="113" t="inlineStr">
        <is>
          <t>8%</t>
        </is>
      </c>
      <c r="E219" s="113" t="n"/>
      <c r="F219" s="114" t="inlineStr">
        <is>
          <t>2020</t>
        </is>
      </c>
      <c r="G219" s="113" t="inlineStr">
        <is>
          <t>新目标</t>
        </is>
      </c>
      <c r="H219" s="113" t="inlineStr">
        <is>
          <t>可再生能源</t>
        </is>
      </c>
      <c r="I219" s="113" t="inlineStr">
        <is>
          <t>全社会经济</t>
        </is>
      </c>
      <c r="J219" s="113" t="inlineStr">
        <is>
          <t>到2020年，核电、风电、太阳能、生物质能等占能源消费总量比重达到8%以上。</t>
        </is>
      </c>
      <c r="K219" s="113" t="inlineStr">
        <is>
          <t>FYP1613.htm</t>
        </is>
      </c>
      <c r="L219" s="113" t="inlineStr">
        <is>
          <t>能源|电力</t>
        </is>
      </c>
      <c r="M219" s="113" t="inlineStr">
        <is>
          <t>能源消费</t>
        </is>
      </c>
    </row>
    <row r="220" ht="18" customHeight="1" s="235">
      <c r="A220" s="113" t="n">
        <v>2012</v>
      </c>
      <c r="B220" s="113" t="inlineStr">
        <is>
          <t>核电装机容量</t>
        </is>
      </c>
      <c r="C220" s="113" t="inlineStr">
        <is>
          <t>达到</t>
        </is>
      </c>
      <c r="D220" s="113" t="inlineStr">
        <is>
          <t>4000万千瓦</t>
        </is>
      </c>
      <c r="E220" s="113" t="n"/>
      <c r="F220" s="114" t="inlineStr">
        <is>
          <t>2015</t>
        </is>
      </c>
      <c r="G220" s="113" t="inlineStr">
        <is>
          <t>新目标</t>
        </is>
      </c>
      <c r="H220" s="113" t="inlineStr">
        <is>
          <t>过渡能源</t>
        </is>
      </c>
      <c r="I220" s="113" t="inlineStr">
        <is>
          <t>全社会经济</t>
        </is>
      </c>
      <c r="J220" s="113" t="inlineStr">
        <is>
          <t>到2015年，中国运行核电装机容量将达到4000万千瓦。</t>
        </is>
      </c>
      <c r="K220" s="113" t="inlineStr">
        <is>
          <t>WP1201.htm</t>
        </is>
      </c>
      <c r="L220" s="113" t="inlineStr">
        <is>
          <t>能源|电力</t>
        </is>
      </c>
      <c r="M220" s="113" t="inlineStr">
        <is>
          <t>电力供应</t>
        </is>
      </c>
    </row>
    <row r="221" ht="18" customHeight="1" s="235">
      <c r="A221" s="113" t="n">
        <v>2012</v>
      </c>
      <c r="B221" s="113" t="inlineStr">
        <is>
          <t>核电装机容量</t>
        </is>
      </c>
      <c r="C221" s="113" t="inlineStr">
        <is>
          <t>达到</t>
        </is>
      </c>
      <c r="D221" s="113" t="inlineStr">
        <is>
          <t>4000万千瓦</t>
        </is>
      </c>
      <c r="E221" s="113" t="n"/>
      <c r="F221" s="114" t="inlineStr">
        <is>
          <t>2015</t>
        </is>
      </c>
      <c r="G221" s="113" t="inlineStr">
        <is>
          <t>重申目标</t>
        </is>
      </c>
      <c r="H221" s="113" t="inlineStr">
        <is>
          <t>过渡能源</t>
        </is>
      </c>
      <c r="I221" s="113" t="inlineStr">
        <is>
          <t>全社会经济</t>
        </is>
      </c>
      <c r="J221" s="113" t="inlineStr">
        <is>
          <t>到2015年，核电运行装机达到4000万千瓦。</t>
        </is>
      </c>
      <c r="K221" s="113" t="inlineStr">
        <is>
          <t>FYP1203.htm</t>
        </is>
      </c>
      <c r="L221" s="113" t="inlineStr">
        <is>
          <t>能源|电力</t>
        </is>
      </c>
      <c r="M221" s="113" t="inlineStr">
        <is>
          <t>电力供应</t>
        </is>
      </c>
    </row>
    <row r="222" ht="18" customHeight="1" s="235">
      <c r="A222" s="113" t="n">
        <v>2013</v>
      </c>
      <c r="B222" s="113" t="inlineStr">
        <is>
          <t>核电装机容量</t>
        </is>
      </c>
      <c r="C222" s="113" t="inlineStr">
        <is>
          <t>达到</t>
        </is>
      </c>
      <c r="D222" s="113" t="inlineStr">
        <is>
          <t>5000万千瓦</t>
        </is>
      </c>
      <c r="E222" s="113" t="n"/>
      <c r="F222" s="114" t="inlineStr">
        <is>
          <t>2017</t>
        </is>
      </c>
      <c r="G222" s="113" t="inlineStr">
        <is>
          <t>新目标</t>
        </is>
      </c>
      <c r="H222" s="113" t="inlineStr">
        <is>
          <t>过渡能源</t>
        </is>
      </c>
      <c r="I222" s="113" t="inlineStr">
        <is>
          <t>全社会经济</t>
        </is>
      </c>
      <c r="J222" s="113" t="inlineStr">
        <is>
          <t>到2017年，运行核电机组装机容量达到5000万千瓦。</t>
        </is>
      </c>
      <c r="K222" s="113" t="inlineStr">
        <is>
          <t>AP1302.htm</t>
        </is>
      </c>
      <c r="L222" s="113" t="inlineStr">
        <is>
          <t>能源|电力</t>
        </is>
      </c>
      <c r="M222" s="113" t="inlineStr">
        <is>
          <t>电力供应</t>
        </is>
      </c>
    </row>
    <row r="223" ht="18" customHeight="1" s="235">
      <c r="A223" s="113" t="n">
        <v>2016</v>
      </c>
      <c r="B223" s="113" t="inlineStr">
        <is>
          <t>核电装机容量</t>
        </is>
      </c>
      <c r="C223" s="113" t="inlineStr">
        <is>
          <t>达到</t>
        </is>
      </c>
      <c r="D223" s="113" t="inlineStr">
        <is>
          <t>5800万千瓦</t>
        </is>
      </c>
      <c r="E223" s="113" t="n"/>
      <c r="F223" s="114" t="inlineStr">
        <is>
          <t>2020</t>
        </is>
      </c>
      <c r="G223" s="113" t="inlineStr">
        <is>
          <t>重申目标</t>
        </is>
      </c>
      <c r="H223" s="113" t="inlineStr">
        <is>
          <t>过渡能源</t>
        </is>
      </c>
      <c r="I223" s="113" t="inlineStr">
        <is>
          <t>全社会经济</t>
        </is>
      </c>
      <c r="J223" s="113" t="inlineStr">
        <is>
          <t>“十三五”期间，全国核电装机容量到2020年达到5800万千瓦。</t>
        </is>
      </c>
      <c r="K223" s="113" t="inlineStr">
        <is>
          <t>FYP1607.pdf</t>
        </is>
      </c>
      <c r="L223" s="113" t="inlineStr">
        <is>
          <t>能源|电力</t>
        </is>
      </c>
      <c r="M223" s="113" t="inlineStr">
        <is>
          <t>电力供应</t>
        </is>
      </c>
    </row>
    <row r="224" ht="18" customHeight="1" s="235">
      <c r="A224" s="113" t="n">
        <v>2013</v>
      </c>
      <c r="B224" s="113" t="inlineStr">
        <is>
          <t>核电装机容量</t>
        </is>
      </c>
      <c r="C224" s="113" t="inlineStr">
        <is>
          <t>提高至</t>
        </is>
      </c>
      <c r="D224" s="113" t="inlineStr">
        <is>
          <t>4000万千瓦</t>
        </is>
      </c>
      <c r="E224" s="113" t="n"/>
      <c r="F224" s="114" t="inlineStr">
        <is>
          <t>2015</t>
        </is>
      </c>
      <c r="G224" s="113" t="inlineStr">
        <is>
          <t>重申目标</t>
        </is>
      </c>
      <c r="H224" s="113" t="inlineStr">
        <is>
          <t>过渡能源</t>
        </is>
      </c>
      <c r="I224" s="113" t="inlineStr">
        <is>
          <t>全社会经济</t>
        </is>
      </c>
      <c r="J224" s="113" t="inlineStr">
        <is>
          <t>到2015年，核电装机容量达到4000万千瓦。</t>
        </is>
      </c>
      <c r="K224" s="113" t="inlineStr">
        <is>
          <t>FYP1302.htm</t>
        </is>
      </c>
      <c r="L224" s="113" t="inlineStr">
        <is>
          <t>能源|电力</t>
        </is>
      </c>
      <c r="M224" s="113" t="inlineStr">
        <is>
          <t>电力供应</t>
        </is>
      </c>
    </row>
    <row r="225" ht="18" customHeight="1" s="235">
      <c r="A225" s="113" t="n">
        <v>2016</v>
      </c>
      <c r="B225" s="113" t="inlineStr">
        <is>
          <t>核电装机容量</t>
        </is>
      </c>
      <c r="C225" s="113" t="inlineStr">
        <is>
          <t>实现</t>
        </is>
      </c>
      <c r="D225" s="113" t="inlineStr">
        <is>
          <t>5800万千瓦</t>
        </is>
      </c>
      <c r="E225" s="113" t="n"/>
      <c r="F225" s="114" t="inlineStr">
        <is>
          <t>2020</t>
        </is>
      </c>
      <c r="G225" s="113" t="inlineStr">
        <is>
          <t>重申目标</t>
        </is>
      </c>
      <c r="H225" s="113" t="inlineStr">
        <is>
          <t>过渡能源</t>
        </is>
      </c>
      <c r="I225" s="113" t="inlineStr">
        <is>
          <t>全社会经济</t>
        </is>
      </c>
      <c r="J225" s="113" t="inlineStr">
        <is>
          <t>到2020年，中国力争核电装机容量达到5800万千瓦。</t>
        </is>
      </c>
      <c r="K225" s="113" t="inlineStr">
        <is>
          <t>FYP1615.htm</t>
        </is>
      </c>
      <c r="L225" s="113" t="inlineStr">
        <is>
          <t>能源|电力</t>
        </is>
      </c>
      <c r="M225" s="113" t="inlineStr">
        <is>
          <t>电力供应</t>
        </is>
      </c>
    </row>
    <row r="226" ht="18" customHeight="1" s="235">
      <c r="A226" s="113" t="n">
        <v>2016</v>
      </c>
      <c r="B226" s="113" t="inlineStr">
        <is>
          <t>核电装机规模</t>
        </is>
      </c>
      <c r="C226" s="113" t="inlineStr">
        <is>
          <t>达到</t>
        </is>
      </c>
      <c r="D226" s="113" t="inlineStr">
        <is>
          <t>5800万千瓦</t>
        </is>
      </c>
      <c r="E226" s="113" t="n"/>
      <c r="F226" s="114" t="inlineStr">
        <is>
          <t>2020</t>
        </is>
      </c>
      <c r="G226" s="113" t="inlineStr">
        <is>
          <t>新目标</t>
        </is>
      </c>
      <c r="H226" s="113" t="inlineStr">
        <is>
          <t>过渡能源</t>
        </is>
      </c>
      <c r="I226" s="113" t="inlineStr">
        <is>
          <t>全社会经济</t>
        </is>
      </c>
      <c r="J226" s="113" t="inlineStr">
        <is>
          <t>到2020年，核电装机规模达到5800万千瓦。</t>
        </is>
      </c>
      <c r="K226" s="113" t="inlineStr">
        <is>
          <t>FYP1613.htm</t>
        </is>
      </c>
      <c r="L226" s="113" t="inlineStr">
        <is>
          <t>能源|电力</t>
        </is>
      </c>
      <c r="M226" s="113" t="inlineStr">
        <is>
          <t>电力供应</t>
        </is>
      </c>
    </row>
    <row r="227" ht="18" customHeight="1" s="235">
      <c r="A227" s="113" t="n">
        <v>2026</v>
      </c>
      <c r="B227" s="113" t="inlineStr">
        <is>
          <t>核电运行装机容量</t>
        </is>
      </c>
      <c r="C227" s="113" t="inlineStr">
        <is>
          <t>达到</t>
        </is>
      </c>
      <c r="D227" s="113" t="inlineStr">
        <is>
          <t>1.1亿千瓦左右</t>
        </is>
      </c>
      <c r="E227" s="113" t="n"/>
      <c r="F227" s="114" t="n">
        <v>2030</v>
      </c>
      <c r="G227" s="113" t="inlineStr">
        <is>
          <t>新目标</t>
        </is>
      </c>
      <c r="H227" s="113" t="inlineStr">
        <is>
          <t>过渡能源</t>
        </is>
      </c>
      <c r="I227" s="113" t="inlineStr">
        <is>
          <t>全社会经济</t>
        </is>
      </c>
      <c r="J227" s="113" t="inlineStr">
        <is>
          <t>积极安全有序推进沿海核电建设，核电运行装机容量达到1.1亿千瓦左右。</t>
        </is>
      </c>
      <c r="K227" s="113" t="inlineStr">
        <is>
          <t>HL2601.pdf</t>
        </is>
      </c>
      <c r="L227" s="113" t="inlineStr">
        <is>
          <t>能源|电力</t>
        </is>
      </c>
      <c r="M227" s="113" t="inlineStr">
        <is>
          <t>电力供应</t>
        </is>
      </c>
    </row>
    <row r="228" ht="18" customHeight="1" s="235">
      <c r="A228" s="113" t="n">
        <v>2018</v>
      </c>
      <c r="B228" s="113" t="inlineStr">
        <is>
          <t>每小时35蒸吨以下燃煤锅炉</t>
        </is>
      </c>
      <c r="C228" s="113" t="inlineStr">
        <is>
          <t>基本淘汰</t>
        </is>
      </c>
      <c r="D228" s="113" t="inlineStr">
        <is>
          <t>基本淘汰</t>
        </is>
      </c>
      <c r="E228" s="113" t="n"/>
      <c r="F228" s="114" t="inlineStr">
        <is>
          <t>2020</t>
        </is>
      </c>
      <c r="G228" s="113" t="inlineStr">
        <is>
          <t>新目标</t>
        </is>
      </c>
      <c r="H228" s="113" t="inlineStr">
        <is>
          <t>涉煤</t>
        </is>
      </c>
      <c r="I228" s="113" t="inlineStr">
        <is>
          <t>行业</t>
        </is>
      </c>
      <c r="J228" s="113" t="inlineStr">
        <is>
          <t>到2020年，重点区域基本淘汰每小时35蒸吨以下燃煤锅炉。</t>
        </is>
      </c>
      <c r="K228" s="113" t="inlineStr">
        <is>
          <t>O1802.htm</t>
        </is>
      </c>
      <c r="L228" s="113" t="inlineStr">
        <is>
          <t>能源|电力</t>
        </is>
      </c>
      <c r="M228" s="113" t="inlineStr">
        <is>
          <t>煤电</t>
        </is>
      </c>
    </row>
    <row r="229" ht="18" customHeight="1" s="235">
      <c r="A229" s="113" t="n">
        <v>2017</v>
      </c>
      <c r="B229" s="113" t="inlineStr">
        <is>
          <t>民航运输吨公里能耗</t>
        </is>
      </c>
      <c r="C229" s="113" t="inlineStr">
        <is>
          <t>降低</t>
        </is>
      </c>
      <c r="D229" s="113" t="inlineStr">
        <is>
          <t>3%</t>
        </is>
      </c>
      <c r="E229" s="113" t="n"/>
      <c r="F229" s="114" t="inlineStr">
        <is>
          <t>十二五</t>
        </is>
      </c>
      <c r="G229" s="113" t="inlineStr">
        <is>
          <t>新目标</t>
        </is>
      </c>
      <c r="H229" s="113" t="inlineStr">
        <is>
          <t>能源效率</t>
        </is>
      </c>
      <c r="I229" s="113" t="inlineStr">
        <is>
          <t>行业</t>
        </is>
      </c>
      <c r="J229" s="113" t="inlineStr">
        <is>
          <t>2011年，交通运输部印发了《交通运输“十二五”发展规划》，提出“十二五”时期民航运输吨公里的能耗下降3%以上的目标。</t>
        </is>
      </c>
      <c r="K229" s="113" t="inlineStr">
        <is>
          <t>HL1701.pdf</t>
        </is>
      </c>
      <c r="L229" s="113" t="inlineStr">
        <is>
          <t>能源|电力</t>
        </is>
      </c>
      <c r="M229" s="113" t="inlineStr">
        <is>
          <t>能源消费</t>
        </is>
      </c>
    </row>
    <row r="230" ht="18" customHeight="1" s="235">
      <c r="A230" s="113" t="n">
        <v>2016</v>
      </c>
      <c r="B230" s="113" t="inlineStr">
        <is>
          <t>气电装机容量</t>
        </is>
      </c>
      <c r="C230" s="113" t="inlineStr">
        <is>
          <t>达到</t>
        </is>
      </c>
      <c r="D230" s="113" t="inlineStr">
        <is>
          <t>1.1亿千瓦</t>
        </is>
      </c>
      <c r="E230" s="113" t="n"/>
      <c r="F230" s="114" t="inlineStr">
        <is>
          <t>2020</t>
        </is>
      </c>
      <c r="G230" s="113" t="inlineStr">
        <is>
          <t>新目标</t>
        </is>
      </c>
      <c r="H230" s="113" t="inlineStr">
        <is>
          <t>过渡能源</t>
        </is>
      </c>
      <c r="I230" s="113" t="inlineStr">
        <is>
          <t>全社会经济</t>
        </is>
      </c>
      <c r="J230" s="113" t="inlineStr">
        <is>
          <t>到2020年，全国气电装机达到1.1亿千瓦以上，其中热电冷多联供1500万千瓦。</t>
        </is>
      </c>
      <c r="K230" s="113" t="inlineStr">
        <is>
          <t>FYP1607.pdf</t>
        </is>
      </c>
      <c r="L230" s="113" t="inlineStr">
        <is>
          <t>能源|电力</t>
        </is>
      </c>
      <c r="M230" s="113" t="inlineStr">
        <is>
          <t>电力供应</t>
        </is>
      </c>
    </row>
    <row r="231" ht="18" customHeight="1" s="235">
      <c r="A231" s="113" t="n">
        <v>2016</v>
      </c>
      <c r="B231" s="113" t="inlineStr">
        <is>
          <t>气电装机规模</t>
        </is>
      </c>
      <c r="C231" s="113" t="inlineStr">
        <is>
          <t>提高</t>
        </is>
      </c>
      <c r="D231" s="113" t="inlineStr">
        <is>
          <t>5000万千瓦</t>
        </is>
      </c>
      <c r="E231" s="113" t="n"/>
      <c r="F231" s="114" t="inlineStr">
        <is>
          <t>十三五</t>
        </is>
      </c>
      <c r="G231" s="113" t="inlineStr">
        <is>
          <t>新目标</t>
        </is>
      </c>
      <c r="H231" s="113" t="inlineStr">
        <is>
          <t>过渡能源</t>
        </is>
      </c>
      <c r="I231" s="113" t="inlineStr">
        <is>
          <t>全社会经济</t>
        </is>
      </c>
      <c r="J231" s="113" t="inlineStr">
        <is>
          <t>“十三五”期间，全国气电新增投产5000万千瓦。</t>
        </is>
      </c>
      <c r="K231" s="113" t="inlineStr">
        <is>
          <t>FYP1607.pdf</t>
        </is>
      </c>
      <c r="L231" s="113" t="inlineStr">
        <is>
          <t>能源|电力</t>
        </is>
      </c>
      <c r="M231" s="113" t="inlineStr">
        <is>
          <t>电力供应</t>
        </is>
      </c>
    </row>
    <row r="232" ht="18" customHeight="1" s="235">
      <c r="A232" s="113" t="n">
        <v>2012</v>
      </c>
      <c r="B232" s="113" t="inlineStr">
        <is>
          <t>水泥纯低温余热发电比例</t>
        </is>
      </c>
      <c r="C232" s="113" t="inlineStr">
        <is>
          <t>提高至</t>
        </is>
      </c>
      <c r="D232" s="113" t="inlineStr">
        <is>
          <t>70%以上</t>
        </is>
      </c>
      <c r="E232" s="113" t="n"/>
      <c r="F232" s="114" t="inlineStr">
        <is>
          <t>2015</t>
        </is>
      </c>
      <c r="G232" s="113" t="inlineStr">
        <is>
          <t>新目标</t>
        </is>
      </c>
      <c r="H232" s="113" t="inlineStr">
        <is>
          <t>能源效率</t>
        </is>
      </c>
      <c r="I232" s="113" t="inlineStr">
        <is>
          <t>全社会经济</t>
        </is>
      </c>
      <c r="J232" s="113" t="inlineStr">
        <is>
          <t>推广纯低温余热发电技术，到2015年水泥纯低温余热发电比例提高到70%以上。</t>
        </is>
      </c>
      <c r="K232" s="113" t="inlineStr">
        <is>
          <t>FYP1201.htm</t>
        </is>
      </c>
      <c r="L232" s="113" t="inlineStr">
        <is>
          <t>能源|电力</t>
        </is>
      </c>
      <c r="M232" s="113" t="inlineStr">
        <is>
          <t>电力供应</t>
        </is>
      </c>
    </row>
    <row r="233" ht="18" customHeight="1" s="235">
      <c r="A233" s="113" t="n">
        <v>2017</v>
      </c>
      <c r="B233" s="113" t="inlineStr">
        <is>
          <t>水电占总发电量比重</t>
        </is>
      </c>
      <c r="C233" s="113" t="inlineStr">
        <is>
          <t>提高</t>
        </is>
      </c>
      <c r="D233" s="113" t="inlineStr">
        <is>
          <t>3.5个百分点</t>
        </is>
      </c>
      <c r="E233" s="113" t="n">
        <v>2005</v>
      </c>
      <c r="F233" s="114" t="inlineStr">
        <is>
          <t>2020</t>
        </is>
      </c>
      <c r="G233" s="113" t="inlineStr">
        <is>
          <t>新目标</t>
        </is>
      </c>
      <c r="H233" s="113" t="inlineStr">
        <is>
          <t>可再生能源</t>
        </is>
      </c>
      <c r="I233" s="113" t="inlineStr">
        <is>
          <t>全社会经济</t>
        </is>
      </c>
      <c r="J233" s="113" t="inlineStr">
        <is>
          <t>到2020年，力争水电占总发电量比重较2005年提高3.5个百分点。</t>
        </is>
      </c>
      <c r="K233" s="113" t="inlineStr">
        <is>
          <t>HL1701.pdf</t>
        </is>
      </c>
      <c r="L233" s="113" t="inlineStr">
        <is>
          <t>能源|电力</t>
        </is>
      </c>
      <c r="M233" s="113" t="inlineStr">
        <is>
          <t>电力供应</t>
        </is>
      </c>
    </row>
    <row r="234" ht="18" customHeight="1" s="235">
      <c r="A234" s="113" t="n">
        <v>2017</v>
      </c>
      <c r="B234" s="113" t="inlineStr">
        <is>
          <t>水电占总发电量的比重</t>
        </is>
      </c>
      <c r="C234" s="113" t="inlineStr">
        <is>
          <t>占比达到</t>
        </is>
      </c>
      <c r="D234" s="113" t="inlineStr">
        <is>
          <t>19.4%</t>
        </is>
      </c>
      <c r="E234" s="113" t="n"/>
      <c r="F234" s="114" t="inlineStr">
        <is>
          <t>2020</t>
        </is>
      </c>
      <c r="G234" s="113" t="inlineStr">
        <is>
          <t>新目标</t>
        </is>
      </c>
      <c r="H234" s="113" t="inlineStr">
        <is>
          <t>可再生能源</t>
        </is>
      </c>
      <c r="I234" s="113" t="inlineStr">
        <is>
          <t>全社会经济</t>
        </is>
      </c>
      <c r="J234" s="113" t="inlineStr">
        <is>
          <t>到2020年，力争水电占总发电量比重达到19.4%左右。</t>
        </is>
      </c>
      <c r="K234" s="113" t="inlineStr">
        <is>
          <t>HL1701.pdf</t>
        </is>
      </c>
      <c r="L234" s="113" t="inlineStr">
        <is>
          <t>能源|电力</t>
        </is>
      </c>
      <c r="M234" s="113" t="inlineStr">
        <is>
          <t>电力供应</t>
        </is>
      </c>
    </row>
    <row r="235" ht="18" customHeight="1" s="235">
      <c r="A235" s="113" t="n">
        <v>2014</v>
      </c>
      <c r="B235" s="113" t="inlineStr">
        <is>
          <t>水电装机容量</t>
        </is>
      </c>
      <c r="C235" s="113" t="inlineStr">
        <is>
          <t>实现</t>
        </is>
      </c>
      <c r="D235" s="113" t="inlineStr">
        <is>
          <t>3.5亿千瓦</t>
        </is>
      </c>
      <c r="E235" s="113" t="n"/>
      <c r="F235" s="114" t="inlineStr">
        <is>
          <t>2020</t>
        </is>
      </c>
      <c r="G235" s="113" t="inlineStr">
        <is>
          <t>新目标</t>
        </is>
      </c>
      <c r="H235" s="113" t="inlineStr">
        <is>
          <t>可再生能源</t>
        </is>
      </c>
      <c r="I235" s="113" t="inlineStr">
        <is>
          <t>全社会经济</t>
        </is>
      </c>
      <c r="J235" s="113" t="inlineStr">
        <is>
          <t>到2020年，力争常规水电装机达到3.5亿千瓦左右。</t>
        </is>
      </c>
      <c r="K235" s="113" t="inlineStr">
        <is>
          <t>AP1401.htm</t>
        </is>
      </c>
      <c r="L235" s="113" t="inlineStr">
        <is>
          <t>能源|电力</t>
        </is>
      </c>
      <c r="M235" s="113" t="inlineStr">
        <is>
          <t>电力供应</t>
        </is>
      </c>
    </row>
    <row r="236" ht="18" customHeight="1" s="235">
      <c r="A236" s="113" t="n">
        <v>2019</v>
      </c>
      <c r="B236" s="113" t="inlineStr">
        <is>
          <t>水电装机容量</t>
        </is>
      </c>
      <c r="C236" s="113" t="inlineStr">
        <is>
          <t>提高至</t>
        </is>
      </c>
      <c r="D236" s="113" t="inlineStr">
        <is>
          <t>3.4亿千瓦</t>
        </is>
      </c>
      <c r="E236" s="113" t="n"/>
      <c r="F236" s="114" t="inlineStr">
        <is>
          <t>2020</t>
        </is>
      </c>
      <c r="G236" s="113" t="inlineStr">
        <is>
          <t>强化或放宽目标（消极气候影响）</t>
        </is>
      </c>
      <c r="H236" s="113" t="inlineStr">
        <is>
          <t>可再生能源</t>
        </is>
      </c>
      <c r="I236" s="113" t="inlineStr">
        <is>
          <t>全社会经济</t>
        </is>
      </c>
      <c r="J236" s="113" t="inlineStr">
        <is>
          <t>到2020年，中国力争将常规水电装机容量提升至3.4亿千瓦。</t>
        </is>
      </c>
      <c r="K236" s="113" t="inlineStr">
        <is>
          <t>HL1902.pdf</t>
        </is>
      </c>
      <c r="L236" s="113" t="inlineStr">
        <is>
          <t>能源|电力</t>
        </is>
      </c>
      <c r="M236" s="113" t="inlineStr">
        <is>
          <t>电力供应</t>
        </is>
      </c>
    </row>
    <row r="237" ht="18" customHeight="1" s="235">
      <c r="A237" s="113" t="n">
        <v>2013</v>
      </c>
      <c r="B237" s="113" t="inlineStr">
        <is>
          <t>水电装机容量</t>
        </is>
      </c>
      <c r="C237" s="113" t="inlineStr">
        <is>
          <t>提高至</t>
        </is>
      </c>
      <c r="D237" s="113" t="inlineStr">
        <is>
          <t>2.9亿千瓦</t>
        </is>
      </c>
      <c r="E237" s="113" t="n"/>
      <c r="F237" s="114" t="inlineStr">
        <is>
          <t>2015</t>
        </is>
      </c>
      <c r="G237" s="113" t="inlineStr">
        <is>
          <t>新目标</t>
        </is>
      </c>
      <c r="H237" s="113" t="inlineStr">
        <is>
          <t>可再生能源</t>
        </is>
      </c>
      <c r="I237" s="113" t="inlineStr">
        <is>
          <t>全社会经济</t>
        </is>
      </c>
      <c r="J237" s="113" t="inlineStr">
        <is>
          <t>到2015年，水电装机容量达到2.9亿千瓦。</t>
        </is>
      </c>
      <c r="K237" s="113" t="inlineStr">
        <is>
          <t>FYP1302.htm</t>
        </is>
      </c>
      <c r="L237" s="113" t="inlineStr">
        <is>
          <t>能源|电力</t>
        </is>
      </c>
      <c r="M237" s="113" t="inlineStr">
        <is>
          <t>电力供应</t>
        </is>
      </c>
    </row>
    <row r="238" ht="18" customHeight="1" s="235">
      <c r="A238" s="113" t="n">
        <v>2016</v>
      </c>
      <c r="B238" s="113" t="inlineStr">
        <is>
          <t>水电装机容量</t>
        </is>
      </c>
      <c r="C238" s="113" t="inlineStr">
        <is>
          <t>实现</t>
        </is>
      </c>
      <c r="D238" s="113" t="inlineStr">
        <is>
          <t>3.4亿千瓦</t>
        </is>
      </c>
      <c r="E238" s="113" t="n"/>
      <c r="F238" s="114" t="inlineStr">
        <is>
          <t>2020</t>
        </is>
      </c>
      <c r="G238" s="113" t="inlineStr">
        <is>
          <t>重申目标</t>
        </is>
      </c>
      <c r="H238" s="113" t="inlineStr">
        <is>
          <t>可再生能源</t>
        </is>
      </c>
      <c r="I238" s="113" t="inlineStr">
        <is>
          <t>全社会经济</t>
        </is>
      </c>
      <c r="J238" s="113" t="inlineStr">
        <is>
          <t>到2020年，力争常规水电装机达到3.4亿千瓦</t>
        </is>
      </c>
      <c r="K238" s="113" t="inlineStr">
        <is>
          <t>FYP1615.htm</t>
        </is>
      </c>
      <c r="L238" s="113" t="inlineStr">
        <is>
          <t>能源|电力</t>
        </is>
      </c>
      <c r="M238" s="113" t="inlineStr">
        <is>
          <t>电力供应</t>
        </is>
      </c>
    </row>
    <row r="239" ht="18" customHeight="1" s="235">
      <c r="A239" s="113" t="n">
        <v>2017</v>
      </c>
      <c r="B239" s="113" t="inlineStr">
        <is>
          <t>水电装机容量</t>
        </is>
      </c>
      <c r="C239" s="113" t="inlineStr">
        <is>
          <t>达到</t>
        </is>
      </c>
      <c r="D239" s="113" t="inlineStr">
        <is>
          <t>3.5亿千瓦</t>
        </is>
      </c>
      <c r="E239" s="113" t="n"/>
      <c r="F239" s="114" t="inlineStr">
        <is>
          <t>2020</t>
        </is>
      </c>
      <c r="G239" s="113" t="inlineStr">
        <is>
          <t>重申目标</t>
        </is>
      </c>
      <c r="H239" s="113" t="inlineStr">
        <is>
          <t>可再生能源</t>
        </is>
      </c>
      <c r="I239" s="113" t="inlineStr">
        <is>
          <t>全社会经济</t>
        </is>
      </c>
      <c r="J239" s="113" t="inlineStr">
        <is>
          <t>到2020年，力争常规水电装机容量达到3.5亿千瓦左右。</t>
        </is>
      </c>
      <c r="K239" s="113" t="inlineStr">
        <is>
          <t>HL1701.pdf</t>
        </is>
      </c>
      <c r="L239" s="113" t="inlineStr">
        <is>
          <t>能源|电力</t>
        </is>
      </c>
      <c r="M239" s="113" t="inlineStr">
        <is>
          <t>电力供应</t>
        </is>
      </c>
    </row>
    <row r="240" ht="18" customHeight="1" s="235">
      <c r="A240" s="113" t="n">
        <v>2012</v>
      </c>
      <c r="B240" s="113" t="inlineStr">
        <is>
          <t>水电装机容量</t>
        </is>
      </c>
      <c r="C240" s="113" t="inlineStr">
        <is>
          <t>达到</t>
        </is>
      </c>
      <c r="D240" s="113" t="inlineStr">
        <is>
          <t>2.9亿千瓦</t>
        </is>
      </c>
      <c r="E240" s="113" t="n"/>
      <c r="F240" s="114" t="inlineStr">
        <is>
          <t>2015</t>
        </is>
      </c>
      <c r="G240" s="113" t="inlineStr">
        <is>
          <t>重申目标</t>
        </is>
      </c>
      <c r="H240" s="113" t="inlineStr">
        <is>
          <t>可再生能源</t>
        </is>
      </c>
      <c r="I240" s="113" t="inlineStr">
        <is>
          <t>全社会经济</t>
        </is>
      </c>
      <c r="J240" s="113" t="inlineStr">
        <is>
          <t>到2015年，中国水电装机容量将达到2.9亿千瓦。</t>
        </is>
      </c>
      <c r="K240" s="113" t="inlineStr">
        <is>
          <t>WP1201.htm</t>
        </is>
      </c>
      <c r="L240" s="113" t="inlineStr">
        <is>
          <t>能源|电力</t>
        </is>
      </c>
      <c r="M240" s="113" t="inlineStr">
        <is>
          <t>电力供应</t>
        </is>
      </c>
    </row>
    <row r="241" ht="18" customHeight="1" s="235">
      <c r="A241" s="113" t="n">
        <v>2026</v>
      </c>
      <c r="B241" s="113" t="inlineStr">
        <is>
          <t>海上风电累计并网装机规模</t>
        </is>
      </c>
      <c r="C241" s="113" t="inlineStr">
        <is>
          <t>达到</t>
        </is>
      </c>
      <c r="D241" s="113" t="inlineStr">
        <is>
          <t>1亿千瓦以上</t>
        </is>
      </c>
      <c r="E241" s="113" t="n"/>
      <c r="F241" s="114" t="n">
        <v>2030</v>
      </c>
      <c r="G241" s="113" t="inlineStr">
        <is>
          <t>新目标</t>
        </is>
      </c>
      <c r="H241" s="113" t="inlineStr">
        <is>
          <t>可再生能源</t>
        </is>
      </c>
      <c r="I241" s="113" t="inlineStr">
        <is>
          <t>全社会经济</t>
        </is>
      </c>
      <c r="J241" s="113" t="inlineStr">
        <is>
          <t>在渤海、黄海、东海、南海海域建设海上风电基地，海上风电累计并网装机规模达到1亿千瓦以上。</t>
        </is>
      </c>
      <c r="K241" s="113" t="inlineStr">
        <is>
          <t>HL2601.pdf</t>
        </is>
      </c>
      <c r="L241" s="113" t="inlineStr">
        <is>
          <t>能源|电力</t>
        </is>
      </c>
      <c r="M241" s="113" t="inlineStr">
        <is>
          <t>电力供应</t>
        </is>
      </c>
    </row>
    <row r="242" ht="18" customHeight="1" s="235">
      <c r="A242" s="113" t="n">
        <v>2025</v>
      </c>
      <c r="B242" s="113" t="inlineStr">
        <is>
          <t>海洋能装机规模</t>
        </is>
      </c>
      <c r="C242" s="113" t="inlineStr">
        <is>
          <t>实现</t>
        </is>
      </c>
      <c r="D242" s="113" t="inlineStr">
        <is>
          <t>40万千瓦</t>
        </is>
      </c>
      <c r="E242" s="113" t="n"/>
      <c r="F242" s="114" t="inlineStr">
        <is>
          <t>2030</t>
        </is>
      </c>
      <c r="G242" s="113" t="inlineStr">
        <is>
          <t>新目标</t>
        </is>
      </c>
      <c r="H242" s="113" t="inlineStr">
        <is>
          <t>可再生能源</t>
        </is>
      </c>
      <c r="I242" s="113" t="inlineStr">
        <is>
          <t>全社会经济</t>
        </is>
      </c>
      <c r="J242" s="113" t="inlineStr">
        <is>
          <t>力争到2030年，海洋能装机规模达到40万千瓦，建成一批海岛多能互补电力系统和海洋能规模化示范工程，海洋能应用场景不断拓展丰富，形成系列高效、稳定、经济的海洋能技术装备产品，海洋能规模化产业化发展的法律、政策、标准体系和市场环境进一步健全完善，培育一批具有较强技术研发能力和全球竞争力的海洋能规模化开发利用企业。</t>
        </is>
      </c>
      <c r="K242" s="113" t="inlineStr">
        <is>
          <t>GO2504.htm</t>
        </is>
      </c>
      <c r="L242" s="113" t="inlineStr">
        <is>
          <t>能源|电力</t>
        </is>
      </c>
      <c r="M242" s="113" t="inlineStr">
        <is>
          <t>电力供应</t>
        </is>
      </c>
    </row>
    <row r="243" ht="18" customHeight="1" s="235">
      <c r="A243" s="113" t="n">
        <v>2016</v>
      </c>
      <c r="B243" s="113" t="inlineStr">
        <is>
          <t>海洋能装机规模</t>
        </is>
      </c>
      <c r="C243" s="113" t="inlineStr">
        <is>
          <t>超过</t>
        </is>
      </c>
      <c r="D243" s="113" t="inlineStr">
        <is>
          <t>50000千瓦</t>
        </is>
      </c>
      <c r="E243" s="113" t="n"/>
      <c r="F243" s="114" t="inlineStr">
        <is>
          <t>2020</t>
        </is>
      </c>
      <c r="G243" s="113" t="inlineStr">
        <is>
          <t>新目标</t>
        </is>
      </c>
      <c r="H243" s="113" t="inlineStr">
        <is>
          <t>可再生能源</t>
        </is>
      </c>
      <c r="I243" s="113" t="inlineStr">
        <is>
          <t>全社会经济</t>
        </is>
      </c>
      <c r="J243" s="113" t="inlineStr">
        <is>
          <t>到2020年，全国海洋能总装机规模超过50,000千瓦。</t>
        </is>
      </c>
      <c r="K243" s="113" t="inlineStr">
        <is>
          <t>FYP1620.pdf</t>
        </is>
      </c>
      <c r="L243" s="113" t="inlineStr">
        <is>
          <t>能源|电力</t>
        </is>
      </c>
      <c r="M243" s="113" t="inlineStr">
        <is>
          <t>电力供应</t>
        </is>
      </c>
    </row>
    <row r="244" ht="18" customHeight="1" s="235">
      <c r="A244" s="113" t="n">
        <v>2024</v>
      </c>
      <c r="B244" s="113" t="inlineStr">
        <is>
          <t>淘汰35蒸吨/小时及以下燃煤锅炉</t>
        </is>
      </c>
      <c r="C244" s="113" t="inlineStr">
        <is>
          <t>淘汰</t>
        </is>
      </c>
      <c r="D244" s="113" t="inlineStr">
        <is>
          <t>基本完成</t>
        </is>
      </c>
      <c r="E244" s="113" t="n"/>
      <c r="F244" s="114" t="inlineStr">
        <is>
          <t>2025</t>
        </is>
      </c>
      <c r="G244" s="113" t="inlineStr">
        <is>
          <t>重申目标</t>
        </is>
      </c>
      <c r="H244" s="113" t="inlineStr">
        <is>
          <t>涉煤</t>
        </is>
      </c>
      <c r="I244" s="113" t="inlineStr">
        <is>
          <t>行业</t>
        </is>
      </c>
      <c r="J244" s="113" t="inlineStr">
        <is>
          <t>到2025年底，大气污染防治重点区域平原地区散煤基本清零，基本淘汰35蒸吨/小时及以下燃煤锅炉及各类燃煤设施。</t>
        </is>
      </c>
      <c r="K244" s="113" t="inlineStr">
        <is>
          <t>AP2405.htm</t>
        </is>
      </c>
      <c r="L244" s="113" t="inlineStr">
        <is>
          <t>能源|电力</t>
        </is>
      </c>
      <c r="M244" s="113" t="inlineStr">
        <is>
          <t>煤电</t>
        </is>
      </c>
    </row>
    <row r="245" ht="18" customHeight="1" s="235">
      <c r="A245" s="113" t="n">
        <v>2016</v>
      </c>
      <c r="B245" s="113" t="inlineStr">
        <is>
          <t>淘汰或缓建煤电建设项目规模</t>
        </is>
      </c>
      <c r="C245" s="113" t="inlineStr">
        <is>
          <t>取消和推迟</t>
        </is>
      </c>
      <c r="D245" s="113" t="inlineStr">
        <is>
          <t>1.5亿千瓦</t>
        </is>
      </c>
      <c r="E245" s="113" t="n"/>
      <c r="F245" s="114" t="inlineStr">
        <is>
          <t>十三五</t>
        </is>
      </c>
      <c r="G245" s="113" t="inlineStr">
        <is>
          <t>新目标</t>
        </is>
      </c>
      <c r="H245" s="113" t="inlineStr">
        <is>
          <t>涉煤</t>
        </is>
      </c>
      <c r="I245" s="113" t="inlineStr">
        <is>
          <t>行业</t>
        </is>
      </c>
      <c r="J245" s="113" t="inlineStr">
        <is>
          <t>“十三五”期间，取消和推迟煤电建设项目1.5亿千瓦以上。</t>
        </is>
      </c>
      <c r="K245" s="113" t="inlineStr">
        <is>
          <t>FYP1607.pdf</t>
        </is>
      </c>
      <c r="L245" s="113" t="inlineStr">
        <is>
          <t>能源|电力</t>
        </is>
      </c>
      <c r="M245" s="113" t="inlineStr">
        <is>
          <t>煤电</t>
        </is>
      </c>
    </row>
    <row r="246" ht="18" customHeight="1" s="235">
      <c r="A246" s="113" t="n">
        <v>2013</v>
      </c>
      <c r="B246" s="113" t="inlineStr">
        <is>
          <t>淘汰每小时10蒸吨及以下燃煤锅炉</t>
        </is>
      </c>
      <c r="C246" s="113" t="inlineStr">
        <is>
          <t>淘汰</t>
        </is>
      </c>
      <c r="D246" s="113" t="n"/>
      <c r="E246" s="113" t="n"/>
      <c r="F246" s="114" t="inlineStr">
        <is>
          <t>2017</t>
        </is>
      </c>
      <c r="G246" s="113" t="inlineStr">
        <is>
          <t>重申目标</t>
        </is>
      </c>
      <c r="H246" s="113" t="inlineStr">
        <is>
          <t>涉煤</t>
        </is>
      </c>
      <c r="I246" s="113" t="inlineStr">
        <is>
          <t>行业</t>
        </is>
      </c>
      <c r="J246" s="113" t="inlineStr">
        <is>
          <t>到2017年，除必要保留的以外，地级及以上城市建成区基本淘汰每小时10蒸吨及以下的燃煤锅炉。</t>
        </is>
      </c>
      <c r="K246" s="113" t="inlineStr">
        <is>
          <t>AP1302.htm</t>
        </is>
      </c>
      <c r="L246" s="113" t="inlineStr">
        <is>
          <t>能源|电力</t>
        </is>
      </c>
      <c r="M246" s="113" t="inlineStr">
        <is>
          <t>煤电</t>
        </is>
      </c>
    </row>
    <row r="247" ht="18" customHeight="1" s="235">
      <c r="A247" s="113" t="n">
        <v>2013</v>
      </c>
      <c r="B247" s="113" t="inlineStr">
        <is>
          <t>淘汰每小时10蒸吨及以下燃煤锅炉（其他地区原则上不再新建）</t>
        </is>
      </c>
      <c r="C247" s="113" t="inlineStr">
        <is>
          <t>淘汰</t>
        </is>
      </c>
      <c r="D247" s="113" t="n"/>
      <c r="E247" s="113" t="n"/>
      <c r="F247" s="114" t="inlineStr">
        <is>
          <t>2017</t>
        </is>
      </c>
      <c r="G247" s="113" t="inlineStr">
        <is>
          <t>重申目标</t>
        </is>
      </c>
      <c r="H247" s="113" t="inlineStr">
        <is>
          <t>涉煤</t>
        </is>
      </c>
      <c r="I247" s="113" t="inlineStr">
        <is>
          <t>行业</t>
        </is>
      </c>
      <c r="J247" s="113" t="inlineStr">
        <is>
          <t>到2017年，其他地区原则上不再新建每小时10蒸吨以下的燃煤锅炉。</t>
        </is>
      </c>
      <c r="K247" s="113" t="inlineStr">
        <is>
          <t>AP1302.htm</t>
        </is>
      </c>
      <c r="L247" s="113" t="inlineStr">
        <is>
          <t>能源|电力</t>
        </is>
      </c>
      <c r="M247" s="113" t="inlineStr">
        <is>
          <t>煤电</t>
        </is>
      </c>
    </row>
    <row r="248" ht="18" customHeight="1" s="235">
      <c r="A248" s="113" t="n">
        <v>2017</v>
      </c>
      <c r="B248" s="113" t="inlineStr">
        <is>
          <t>淘汰煤电落后产能</t>
        </is>
      </c>
      <c r="C248" s="113" t="inlineStr">
        <is>
          <t>淘汰</t>
        </is>
      </c>
      <c r="D248" s="113" t="inlineStr">
        <is>
          <t>2000万千瓦</t>
        </is>
      </c>
      <c r="E248" s="113" t="n"/>
      <c r="F248" s="114" t="inlineStr">
        <is>
          <t>十三五</t>
        </is>
      </c>
      <c r="G248" s="113" t="inlineStr">
        <is>
          <t>重申目标</t>
        </is>
      </c>
      <c r="H248" s="113" t="inlineStr">
        <is>
          <t>涉煤</t>
        </is>
      </c>
      <c r="I248" s="113" t="inlineStr">
        <is>
          <t>行业</t>
        </is>
      </c>
      <c r="J248" s="113" t="inlineStr">
        <is>
          <t>“十三五”期间，全国淘汰落后煤电产能2000万千瓦以上。</t>
        </is>
      </c>
      <c r="K248" s="113" t="inlineStr">
        <is>
          <t>O1703.pdf</t>
        </is>
      </c>
      <c r="L248" s="113" t="inlineStr">
        <is>
          <t>能源|电力</t>
        </is>
      </c>
      <c r="M248" s="113" t="inlineStr">
        <is>
          <t>煤电</t>
        </is>
      </c>
    </row>
    <row r="249" ht="18" customHeight="1" s="235">
      <c r="A249" s="113" t="n">
        <v>2016</v>
      </c>
      <c r="B249" s="113" t="inlineStr">
        <is>
          <t>淘汰燃煤电厂落后产能</t>
        </is>
      </c>
      <c r="C249" s="113" t="inlineStr">
        <is>
          <t>淘汰</t>
        </is>
      </c>
      <c r="D249" s="113" t="inlineStr">
        <is>
          <t>2000万千瓦</t>
        </is>
      </c>
      <c r="E249" s="113" t="n"/>
      <c r="F249" s="114" t="n"/>
      <c r="G249" s="113" t="inlineStr">
        <is>
          <t>重申目标</t>
        </is>
      </c>
      <c r="H249" s="113" t="inlineStr">
        <is>
          <t>涉煤</t>
        </is>
      </c>
      <c r="I249" s="113" t="inlineStr">
        <is>
          <t>行业</t>
        </is>
      </c>
      <c r="J249" s="113" t="inlineStr">
        <is>
          <t>限期淘汰2000万千瓦落后产能和不符合相关强制性标准要求的机组。</t>
        </is>
      </c>
      <c r="K249" s="113" t="inlineStr">
        <is>
          <t>FYP1601.htm</t>
        </is>
      </c>
      <c r="L249" s="113" t="inlineStr">
        <is>
          <t>能源|电力</t>
        </is>
      </c>
      <c r="M249" s="113" t="inlineStr">
        <is>
          <t>煤电</t>
        </is>
      </c>
    </row>
    <row r="250" ht="18" customHeight="1" s="235">
      <c r="A250" s="113" t="n">
        <v>2015</v>
      </c>
      <c r="B250" s="113" t="inlineStr">
        <is>
          <t>淘汰落后火电机组</t>
        </is>
      </c>
      <c r="C250" s="113" t="inlineStr">
        <is>
          <t>淘汰</t>
        </is>
      </c>
      <c r="D250" s="113" t="inlineStr">
        <is>
          <t>2000万千瓦</t>
        </is>
      </c>
      <c r="E250" s="113" t="n"/>
      <c r="F250" s="114" t="inlineStr">
        <is>
          <t>十三五</t>
        </is>
      </c>
      <c r="G250" s="113" t="inlineStr">
        <is>
          <t>重申目标</t>
        </is>
      </c>
      <c r="H250" s="113" t="inlineStr">
        <is>
          <t>涉煤</t>
        </is>
      </c>
      <c r="I250" s="113" t="inlineStr">
        <is>
          <t>行业</t>
        </is>
      </c>
      <c r="J250" s="113" t="inlineStr">
        <is>
          <t>力争“十三五”期间淘汰落后火电机组规模超过2000万千瓦。</t>
        </is>
      </c>
      <c r="K250" s="113" t="inlineStr">
        <is>
          <t>WOP1501.pdf</t>
        </is>
      </c>
      <c r="L250" s="113" t="inlineStr">
        <is>
          <t>能源|电力</t>
        </is>
      </c>
      <c r="M250" s="113" t="inlineStr">
        <is>
          <t>煤电</t>
        </is>
      </c>
    </row>
    <row r="251" ht="18" customHeight="1" s="235">
      <c r="A251" s="113" t="n">
        <v>2017</v>
      </c>
      <c r="B251" s="113" t="inlineStr">
        <is>
          <t>港口生产单位吞吐量能耗</t>
        </is>
      </c>
      <c r="C251" s="113" t="inlineStr">
        <is>
          <t>降低</t>
        </is>
      </c>
      <c r="D251" s="113" t="inlineStr">
        <is>
          <t>2%</t>
        </is>
      </c>
      <c r="E251" s="113" t="n">
        <v>2015</v>
      </c>
      <c r="F251" s="114" t="inlineStr">
        <is>
          <t>2020</t>
        </is>
      </c>
      <c r="G251" s="113" t="inlineStr">
        <is>
          <t>新目标</t>
        </is>
      </c>
      <c r="H251" s="113" t="inlineStr">
        <is>
          <t>能源效率</t>
        </is>
      </c>
      <c r="I251" s="113" t="inlineStr">
        <is>
          <t>港口</t>
        </is>
      </c>
      <c r="J251" s="113" t="inlineStr">
        <is>
          <t>到2020年，港口生产单位吞吐量能耗与2015年相比下降2%。</t>
        </is>
      </c>
      <c r="K251" s="113" t="inlineStr">
        <is>
          <t>IP1701.htm</t>
        </is>
      </c>
      <c r="L251" s="113" t="inlineStr">
        <is>
          <t>能源|电力</t>
        </is>
      </c>
      <c r="M251" s="113" t="inlineStr">
        <is>
          <t>能源消费</t>
        </is>
      </c>
    </row>
    <row r="252" ht="18" customHeight="1" s="235">
      <c r="A252" s="113" t="n">
        <v>2013</v>
      </c>
      <c r="B252" s="113" t="inlineStr">
        <is>
          <t>火电供电标准煤耗</t>
        </is>
      </c>
      <c r="C252" s="113" t="inlineStr">
        <is>
          <t>降低至</t>
        </is>
      </c>
      <c r="D252" s="113" t="inlineStr">
        <is>
          <t>323克/千瓦时</t>
        </is>
      </c>
      <c r="E252" s="113" t="n"/>
      <c r="F252" s="114" t="inlineStr">
        <is>
          <t>2015</t>
        </is>
      </c>
      <c r="G252" s="113" t="inlineStr">
        <is>
          <t>强化或放宽目标（积极气候影响）</t>
        </is>
      </c>
      <c r="H252" s="113" t="inlineStr">
        <is>
          <t>涉煤</t>
        </is>
      </c>
      <c r="I252" s="113" t="inlineStr">
        <is>
          <t>行业</t>
        </is>
      </c>
      <c r="J252" s="113" t="inlineStr">
        <is>
          <t>到2015年，火电供电标准煤耗下降到323克/千瓦时。</t>
        </is>
      </c>
      <c r="K252" s="113" t="inlineStr">
        <is>
          <t>FYP1302.htm</t>
        </is>
      </c>
      <c r="L252" s="113" t="inlineStr">
        <is>
          <t>能源|电力</t>
        </is>
      </c>
      <c r="M252" s="113" t="inlineStr">
        <is>
          <t>煤电</t>
        </is>
      </c>
    </row>
    <row r="253" ht="18" customHeight="1" s="235">
      <c r="A253" s="113" t="n">
        <v>2013</v>
      </c>
      <c r="B253" s="113" t="inlineStr">
        <is>
          <t>火电平均供电煤耗</t>
        </is>
      </c>
      <c r="C253" s="113" t="inlineStr">
        <is>
          <t>降低至</t>
        </is>
      </c>
      <c r="D253" s="113" t="inlineStr">
        <is>
          <t>325克标准煤/千瓦时</t>
        </is>
      </c>
      <c r="E253" s="113" t="n"/>
      <c r="F253" s="114" t="inlineStr">
        <is>
          <t>2015</t>
        </is>
      </c>
      <c r="G253" s="113" t="inlineStr">
        <is>
          <t>新目标</t>
        </is>
      </c>
      <c r="H253" s="113" t="inlineStr">
        <is>
          <t>涉煤</t>
        </is>
      </c>
      <c r="I253" s="113" t="inlineStr">
        <is>
          <t>行业</t>
        </is>
      </c>
      <c r="J253" s="113" t="inlineStr">
        <is>
          <t>到2015年，火电平均供电煤耗降到325克标准煤/千瓦时。</t>
        </is>
      </c>
      <c r="K253" s="113" t="inlineStr">
        <is>
          <t>DP1301.htm</t>
        </is>
      </c>
      <c r="L253" s="113" t="inlineStr">
        <is>
          <t>能源|电力</t>
        </is>
      </c>
      <c r="M253" s="113" t="inlineStr">
        <is>
          <t>煤电</t>
        </is>
      </c>
    </row>
    <row r="254" ht="18" customHeight="1" s="235">
      <c r="A254" s="113" t="n">
        <v>2018</v>
      </c>
      <c r="B254" s="113" t="inlineStr">
        <is>
          <t>火电灵活性改造</t>
        </is>
      </c>
      <c r="C254" s="113" t="inlineStr">
        <is>
          <t>完成</t>
        </is>
      </c>
      <c r="D254" s="113" t="inlineStr">
        <is>
          <t>2.2亿千瓦</t>
        </is>
      </c>
      <c r="E254" s="113" t="n"/>
      <c r="F254" s="114" t="inlineStr">
        <is>
          <t>十三五</t>
        </is>
      </c>
      <c r="G254" s="113" t="inlineStr">
        <is>
          <t>重申目标</t>
        </is>
      </c>
      <c r="H254" s="113" t="inlineStr">
        <is>
          <t>涉煤</t>
        </is>
      </c>
      <c r="I254" s="113" t="inlineStr">
        <is>
          <t>行业</t>
        </is>
      </c>
      <c r="J254" s="113" t="inlineStr">
        <is>
          <t>“十三五”期间，力争完成2.2亿千瓦火电机组灵活性改造。</t>
        </is>
      </c>
      <c r="K254" s="113" t="inlineStr">
        <is>
          <t>GO1801.htm</t>
        </is>
      </c>
      <c r="L254" s="113" t="inlineStr">
        <is>
          <t>能源|电力</t>
        </is>
      </c>
      <c r="M254" s="113" t="inlineStr">
        <is>
          <t>煤电</t>
        </is>
      </c>
    </row>
    <row r="255" ht="18" customHeight="1" s="235">
      <c r="A255" s="113" t="n">
        <v>2023</v>
      </c>
      <c r="B255" s="113" t="inlineStr">
        <is>
          <t>炼油产能能效超标杆水平比例</t>
        </is>
      </c>
      <c r="C255" s="113" t="inlineStr">
        <is>
          <t>超过</t>
        </is>
      </c>
      <c r="D255" s="113" t="inlineStr">
        <is>
          <t>30%</t>
        </is>
      </c>
      <c r="E255" s="113" t="n"/>
      <c r="F255" s="114" t="inlineStr">
        <is>
          <t>2025</t>
        </is>
      </c>
      <c r="G255" s="113" t="inlineStr">
        <is>
          <t>新目标</t>
        </is>
      </c>
      <c r="H255" s="113" t="inlineStr">
        <is>
          <t>能源效率</t>
        </is>
      </c>
      <c r="I255" s="113" t="inlineStr">
        <is>
          <t>行业</t>
        </is>
      </c>
      <c r="J255" s="113" t="inlineStr">
        <is>
          <t>到2025年，国内炼油产能能效优于标杆水平的比例应超过30%。</t>
        </is>
      </c>
      <c r="K255" s="113" t="inlineStr">
        <is>
          <t>GO2304.htm</t>
        </is>
      </c>
      <c r="L255" s="113" t="inlineStr">
        <is>
          <t>能源|电力</t>
        </is>
      </c>
      <c r="M255" s="113" t="inlineStr">
        <is>
          <t>电力供应</t>
        </is>
      </c>
    </row>
    <row r="256" ht="18" customHeight="1" s="235">
      <c r="A256" s="113" t="n">
        <v>2013</v>
      </c>
      <c r="B256" s="113" t="inlineStr">
        <is>
          <t>炼油综合加工能耗</t>
        </is>
      </c>
      <c r="C256" s="113" t="inlineStr">
        <is>
          <t>降低至</t>
        </is>
      </c>
      <c r="D256" s="113" t="inlineStr">
        <is>
          <t>63千克标准油/吨</t>
        </is>
      </c>
      <c r="E256" s="113" t="n"/>
      <c r="F256" s="114" t="inlineStr">
        <is>
          <t>2015</t>
        </is>
      </c>
      <c r="G256" s="113" t="inlineStr">
        <is>
          <t>新目标</t>
        </is>
      </c>
      <c r="H256" s="113" t="inlineStr">
        <is>
          <t>节能</t>
        </is>
      </c>
      <c r="I256" s="113" t="inlineStr">
        <is>
          <t>行业</t>
        </is>
      </c>
      <c r="J256" s="113" t="inlineStr">
        <is>
          <t>到2015年，炼油综合加工能耗下降到63千克标准油/吨。</t>
        </is>
      </c>
      <c r="K256" s="113" t="inlineStr">
        <is>
          <t>FYP1302.htm</t>
        </is>
      </c>
      <c r="L256" s="113" t="inlineStr">
        <is>
          <t>能源|电力</t>
        </is>
      </c>
      <c r="M256" s="113" t="inlineStr">
        <is>
          <t>能源消费</t>
        </is>
      </c>
    </row>
    <row r="257" ht="18" customHeight="1" s="235">
      <c r="A257" s="113" t="n">
        <v>2013</v>
      </c>
      <c r="B257" s="113" t="inlineStr">
        <is>
          <t>煤层气（瓦斯）抽采利用率</t>
        </is>
      </c>
      <c r="C257" s="113" t="inlineStr">
        <is>
          <t>达到</t>
        </is>
      </c>
      <c r="D257" s="113" t="inlineStr">
        <is>
          <t>60%</t>
        </is>
      </c>
      <c r="E257" s="113" t="n"/>
      <c r="F257" s="114" t="inlineStr">
        <is>
          <t>2015</t>
        </is>
      </c>
      <c r="G257" s="113" t="inlineStr">
        <is>
          <t>新目标</t>
        </is>
      </c>
      <c r="H257" s="113" t="inlineStr">
        <is>
          <t>过渡能源</t>
        </is>
      </c>
      <c r="I257" s="113" t="inlineStr">
        <is>
          <t>行业</t>
        </is>
      </c>
      <c r="J257" s="113" t="inlineStr">
        <is>
          <t>到2015年，煤层气（瓦斯）抽采利用率达到60%。</t>
        </is>
      </c>
      <c r="K257" s="113" t="inlineStr">
        <is>
          <t>DP1301.htm</t>
        </is>
      </c>
      <c r="L257" s="113" t="inlineStr">
        <is>
          <t>能源|电力</t>
        </is>
      </c>
      <c r="M257" s="113" t="inlineStr">
        <is>
          <t>电力供应</t>
        </is>
      </c>
    </row>
    <row r="258" ht="18" customHeight="1" s="235">
      <c r="A258" s="113" t="n">
        <v>2016</v>
      </c>
      <c r="B258" s="113" t="inlineStr">
        <is>
          <t>煤层气产业化基地数量</t>
        </is>
      </c>
      <c r="C258" s="113" t="inlineStr">
        <is>
          <t>建设</t>
        </is>
      </c>
      <c r="D258" s="113" t="inlineStr">
        <is>
          <t>2-3个基地</t>
        </is>
      </c>
      <c r="E258" s="113" t="n"/>
      <c r="F258" s="114" t="inlineStr">
        <is>
          <t>十三五</t>
        </is>
      </c>
      <c r="G258" s="113" t="inlineStr">
        <is>
          <t>新目标</t>
        </is>
      </c>
      <c r="H258" s="113" t="inlineStr">
        <is>
          <t>过渡能源</t>
        </is>
      </c>
      <c r="I258" s="113" t="inlineStr">
        <is>
          <t>行业</t>
        </is>
      </c>
      <c r="J258" s="113" t="inlineStr">
        <is>
          <t>“十三五”期间，建成2-3个煤层气产业化基地。</t>
        </is>
      </c>
      <c r="K258" s="113" t="inlineStr">
        <is>
          <t>FYP1605.pdf</t>
        </is>
      </c>
      <c r="L258" s="113" t="inlineStr">
        <is>
          <t>能源|电力</t>
        </is>
      </c>
      <c r="M258" s="113" t="inlineStr">
        <is>
          <t>电力供应</t>
        </is>
      </c>
    </row>
    <row r="259" ht="18" customHeight="1" s="235">
      <c r="A259" s="113" t="n">
        <v>2014</v>
      </c>
      <c r="B259" s="113" t="inlineStr">
        <is>
          <t>煤层气产量</t>
        </is>
      </c>
      <c r="C259" s="113" t="inlineStr">
        <is>
          <t>达到</t>
        </is>
      </c>
      <c r="D259" s="113" t="inlineStr">
        <is>
          <t>300亿立方米</t>
        </is>
      </c>
      <c r="E259" s="113" t="n"/>
      <c r="F259" s="114" t="inlineStr">
        <is>
          <t>2020</t>
        </is>
      </c>
      <c r="G259" s="113" t="inlineStr">
        <is>
          <t>新目标</t>
        </is>
      </c>
      <c r="H259" s="113" t="inlineStr">
        <is>
          <t>过渡能源</t>
        </is>
      </c>
      <c r="I259" s="113" t="inlineStr">
        <is>
          <t>行业</t>
        </is>
      </c>
      <c r="J259" s="113" t="inlineStr">
        <is>
          <t>到2020年，煤层气产量力争达到300亿立方米。</t>
        </is>
      </c>
      <c r="K259" s="113" t="inlineStr">
        <is>
          <t>AP1401.htm</t>
        </is>
      </c>
      <c r="L259" s="113" t="inlineStr">
        <is>
          <t>能源|电力</t>
        </is>
      </c>
      <c r="M259" s="113" t="inlineStr">
        <is>
          <t>电力供应</t>
        </is>
      </c>
    </row>
    <row r="260" ht="18" customHeight="1" s="235">
      <c r="A260" s="113" t="n">
        <v>2013</v>
      </c>
      <c r="B260" s="113" t="inlineStr">
        <is>
          <t>煤层气发电装机容量</t>
        </is>
      </c>
      <c r="C260" s="113" t="inlineStr">
        <is>
          <t>超过</t>
        </is>
      </c>
      <c r="D260" s="113" t="inlineStr">
        <is>
          <t>285万千瓦</t>
        </is>
      </c>
      <c r="E260" s="113" t="n"/>
      <c r="F260" s="114" t="inlineStr">
        <is>
          <t>2015</t>
        </is>
      </c>
      <c r="G260" s="113" t="inlineStr">
        <is>
          <t>新目标</t>
        </is>
      </c>
      <c r="H260" s="113" t="inlineStr">
        <is>
          <t>过渡能源</t>
        </is>
      </c>
      <c r="I260" s="113" t="inlineStr">
        <is>
          <t>全社会经济</t>
        </is>
      </c>
      <c r="J260" s="113" t="inlineStr">
        <is>
          <t>到2015年，煤层气发电装机容量超过285万千瓦。</t>
        </is>
      </c>
      <c r="K260" s="113" t="inlineStr">
        <is>
          <t>DP1301.htm</t>
        </is>
      </c>
      <c r="L260" s="113" t="inlineStr">
        <is>
          <t>能源|电力</t>
        </is>
      </c>
      <c r="M260" s="113" t="inlineStr">
        <is>
          <t>电力供应</t>
        </is>
      </c>
    </row>
    <row r="261" ht="18" customHeight="1" s="235">
      <c r="A261" s="113" t="n">
        <v>2012</v>
      </c>
      <c r="B261" s="113" t="inlineStr">
        <is>
          <t>煤层气发电装机容量</t>
        </is>
      </c>
      <c r="C261" s="113" t="inlineStr">
        <is>
          <t>达到</t>
        </is>
      </c>
      <c r="D261" s="113" t="inlineStr">
        <is>
          <t>285万千瓦</t>
        </is>
      </c>
      <c r="E261" s="113" t="n"/>
      <c r="F261" s="114" t="inlineStr">
        <is>
          <t>2015</t>
        </is>
      </c>
      <c r="G261" s="113" t="inlineStr">
        <is>
          <t>重申目标</t>
        </is>
      </c>
      <c r="H261" s="113" t="inlineStr">
        <is>
          <t>过渡能源</t>
        </is>
      </c>
      <c r="I261" s="113" t="inlineStr">
        <is>
          <t>全社会经济</t>
        </is>
      </c>
      <c r="J261" s="113" t="inlineStr">
        <is>
          <t>到2015年，其他预测性发展目标为：煤层气（CBM）发电装机容量达到285万千瓦。</t>
        </is>
      </c>
      <c r="K261" s="113" t="inlineStr">
        <is>
          <t>HL1202.pdf</t>
        </is>
      </c>
      <c r="L261" s="113" t="inlineStr">
        <is>
          <t>能源|电力</t>
        </is>
      </c>
      <c r="M261" s="113" t="inlineStr">
        <is>
          <t>电力供应</t>
        </is>
      </c>
    </row>
    <row r="262" ht="18" customHeight="1" s="235">
      <c r="A262" s="113" t="n">
        <v>2013</v>
      </c>
      <c r="B262" s="113" t="inlineStr">
        <is>
          <t>煤层气商品量</t>
        </is>
      </c>
      <c r="C262" s="113" t="inlineStr">
        <is>
          <t>达到</t>
        </is>
      </c>
      <c r="D262" s="113" t="inlineStr">
        <is>
          <t>200亿立方米</t>
        </is>
      </c>
      <c r="E262" s="113" t="n"/>
      <c r="F262" s="114" t="inlineStr">
        <is>
          <t>2015</t>
        </is>
      </c>
      <c r="G262" s="113" t="inlineStr">
        <is>
          <t>新目标</t>
        </is>
      </c>
      <c r="H262" s="113" t="inlineStr">
        <is>
          <t>过渡能源</t>
        </is>
      </c>
      <c r="I262" s="113" t="inlineStr">
        <is>
          <t>行业</t>
        </is>
      </c>
      <c r="J262" s="113" t="inlineStr">
        <is>
          <t>到2015年，煤层气商品量达到200亿立方米。</t>
        </is>
      </c>
      <c r="K262" s="113" t="inlineStr">
        <is>
          <t>FYP1302.htm</t>
        </is>
      </c>
      <c r="L262" s="113" t="inlineStr">
        <is>
          <t>能源|电力</t>
        </is>
      </c>
      <c r="M262" s="113" t="inlineStr">
        <is>
          <t>电力供应</t>
        </is>
      </c>
    </row>
    <row r="263" ht="18" customHeight="1" s="235">
      <c r="A263" s="113" t="n">
        <v>2008</v>
      </c>
      <c r="B263" s="113" t="inlineStr">
        <is>
          <t>煤层气抽采量</t>
        </is>
      </c>
      <c r="C263" s="113" t="inlineStr">
        <is>
          <t>提高至</t>
        </is>
      </c>
      <c r="D263" s="113" t="inlineStr">
        <is>
          <t>100亿立方米</t>
        </is>
      </c>
      <c r="E263" s="113" t="n"/>
      <c r="F263" s="114" t="inlineStr">
        <is>
          <t>2010</t>
        </is>
      </c>
      <c r="G263" s="113" t="inlineStr">
        <is>
          <t>新目标</t>
        </is>
      </c>
      <c r="H263" s="113" t="inlineStr">
        <is>
          <t>过渡能源</t>
        </is>
      </c>
      <c r="I263" s="113" t="inlineStr">
        <is>
          <t>行业</t>
        </is>
      </c>
      <c r="J263" s="113" t="inlineStr">
        <is>
          <t>到2010年的目标是，将煤矿瓦斯抽采量提高到100亿立方米。</t>
        </is>
      </c>
      <c r="K263" s="113" t="inlineStr">
        <is>
          <t>HL0801.pdf</t>
        </is>
      </c>
      <c r="L263" s="113" t="inlineStr">
        <is>
          <t>能源|电力</t>
        </is>
      </c>
      <c r="M263" s="113" t="inlineStr">
        <is>
          <t>电力供应</t>
        </is>
      </c>
    </row>
    <row r="264" ht="18" customHeight="1" s="235">
      <c r="A264" s="113" t="n">
        <v>2016</v>
      </c>
      <c r="B264" s="113" t="inlineStr">
        <is>
          <t>煤层气新增探明地质储量</t>
        </is>
      </c>
      <c r="C264" s="113" t="inlineStr">
        <is>
          <t>发现</t>
        </is>
      </c>
      <c r="D264" s="113" t="inlineStr">
        <is>
          <t>4200亿立方米</t>
        </is>
      </c>
      <c r="E264" s="113" t="n"/>
      <c r="F264" s="114" t="inlineStr">
        <is>
          <t>十三五</t>
        </is>
      </c>
      <c r="G264" s="113" t="inlineStr">
        <is>
          <t>新目标</t>
        </is>
      </c>
      <c r="H264" s="113" t="inlineStr">
        <is>
          <t>过渡能源</t>
        </is>
      </c>
      <c r="I264" s="113" t="inlineStr">
        <is>
          <t>行业</t>
        </is>
      </c>
      <c r="J264" s="113" t="inlineStr">
        <is>
          <t>“十三五”期间新增探明地质储量4200亿立方米</t>
        </is>
      </c>
      <c r="K264" s="113" t="inlineStr">
        <is>
          <t>FYP1625.pdf</t>
        </is>
      </c>
      <c r="L264" s="113" t="inlineStr">
        <is>
          <t>能源|电力</t>
        </is>
      </c>
      <c r="M264" s="113" t="inlineStr">
        <is>
          <t>化石燃料储量</t>
        </is>
      </c>
    </row>
    <row r="265" ht="18" customHeight="1" s="235">
      <c r="A265" s="113" t="n">
        <v>2013</v>
      </c>
      <c r="B265" s="113" t="inlineStr">
        <is>
          <t>煤层气新增探明地质储量</t>
        </is>
      </c>
      <c r="C265" s="113" t="inlineStr">
        <is>
          <t>提高</t>
        </is>
      </c>
      <c r="D265" s="113" t="inlineStr">
        <is>
          <t>1万亿立方米</t>
        </is>
      </c>
      <c r="E265" s="113" t="n">
        <v>2010</v>
      </c>
      <c r="F265" s="114" t="n">
        <v>2015</v>
      </c>
      <c r="G265" s="113" t="inlineStr">
        <is>
          <t>重申目标</t>
        </is>
      </c>
      <c r="H265" s="113" t="inlineStr">
        <is>
          <t>过渡能源</t>
        </is>
      </c>
      <c r="I265" s="113" t="inlineStr">
        <is>
          <t>行业</t>
        </is>
      </c>
      <c r="J265" s="113" t="inlineStr">
        <is>
          <t>到2015年，煤层气探明地质储量增加1万亿立方米</t>
        </is>
      </c>
      <c r="K265" s="113" t="inlineStr">
        <is>
          <t>FYP1302.htm</t>
        </is>
      </c>
      <c r="L265" s="113" t="inlineStr">
        <is>
          <t>能源|电力</t>
        </is>
      </c>
      <c r="M265" s="113" t="inlineStr">
        <is>
          <t>化石燃料储量</t>
        </is>
      </c>
    </row>
    <row r="266" ht="18" customHeight="1" s="235">
      <c r="A266" s="113" t="n">
        <v>2016</v>
      </c>
      <c r="B266" s="113" t="inlineStr">
        <is>
          <t>煤层气累计探明地质储量</t>
        </is>
      </c>
      <c r="C266" s="113" t="inlineStr">
        <is>
          <t>超过</t>
        </is>
      </c>
      <c r="D266" s="113" t="inlineStr">
        <is>
          <t>1万亿立方米</t>
        </is>
      </c>
      <c r="E266" s="113" t="n"/>
      <c r="F266" s="114" t="inlineStr">
        <is>
          <t>2020</t>
        </is>
      </c>
      <c r="G266" s="113" t="inlineStr">
        <is>
          <t>重申目标</t>
        </is>
      </c>
      <c r="H266" s="113" t="inlineStr">
        <is>
          <t>过渡能源</t>
        </is>
      </c>
      <c r="I266" s="113" t="inlineStr">
        <is>
          <t>行业</t>
        </is>
      </c>
      <c r="J266" s="113" t="inlineStr">
        <is>
          <t>到2020年，煤层气累计探明地质储量超过1万亿立方米。</t>
        </is>
      </c>
      <c r="K266" s="113" t="inlineStr">
        <is>
          <t>FYP1625.pdf</t>
        </is>
      </c>
      <c r="L266" s="113" t="inlineStr">
        <is>
          <t>能源|电力</t>
        </is>
      </c>
      <c r="M266" s="113" t="inlineStr">
        <is>
          <t>化石燃料储量</t>
        </is>
      </c>
    </row>
    <row r="267" ht="18" customHeight="1" s="235">
      <c r="A267" s="113" t="n">
        <v>2019</v>
      </c>
      <c r="B267" s="113" t="inlineStr">
        <is>
          <t>煤炭占一次能源消费比重</t>
        </is>
      </c>
      <c r="C267" s="113" t="inlineStr">
        <is>
          <t>降低至</t>
        </is>
      </c>
      <c r="D267" s="113" t="inlineStr">
        <is>
          <t>低于58%</t>
        </is>
      </c>
      <c r="E267" s="113" t="n"/>
      <c r="F267" s="114" t="inlineStr">
        <is>
          <t>2020</t>
        </is>
      </c>
      <c r="G267" s="113" t="inlineStr">
        <is>
          <t>重申目标</t>
        </is>
      </c>
      <c r="H267" s="113" t="inlineStr">
        <is>
          <t>涉煤</t>
        </is>
      </c>
      <c r="I267" s="113" t="inlineStr">
        <is>
          <t>全社会经济</t>
        </is>
      </c>
      <c r="J267" s="113" t="inlineStr">
        <is>
          <t>中国提出，到2020年，将煤炭消费比重降至百分之五十八以下。</t>
        </is>
      </c>
      <c r="K267" s="113" t="inlineStr">
        <is>
          <t>HL1902.pdf</t>
        </is>
      </c>
      <c r="L267" s="113" t="inlineStr">
        <is>
          <t>能源|电力</t>
        </is>
      </c>
      <c r="M267" s="113" t="inlineStr">
        <is>
          <t>能源消费</t>
        </is>
      </c>
    </row>
    <row r="268" ht="18" customHeight="1" s="235">
      <c r="A268" s="113" t="n">
        <v>2018</v>
      </c>
      <c r="B268" s="113" t="inlineStr">
        <is>
          <t>煤炭占一次能源消费比重</t>
        </is>
      </c>
      <c r="C268" s="113" t="inlineStr">
        <is>
          <t>降至…以下</t>
        </is>
      </c>
      <c r="D268" s="113" t="inlineStr">
        <is>
          <t>58%</t>
        </is>
      </c>
      <c r="E268" s="113" t="n"/>
      <c r="F268" s="114" t="inlineStr">
        <is>
          <t>2020</t>
        </is>
      </c>
      <c r="G268" s="113" t="inlineStr">
        <is>
          <t>重申目标</t>
        </is>
      </c>
      <c r="H268" s="113" t="inlineStr">
        <is>
          <t>涉煤</t>
        </is>
      </c>
      <c r="I268" s="113" t="inlineStr">
        <is>
          <t>全社会经济</t>
        </is>
      </c>
      <c r="J268" s="113" t="inlineStr">
        <is>
          <t>到2020年，全国煤炭占能源消费总量比重下降到58%以下。</t>
        </is>
      </c>
      <c r="K268" s="113" t="inlineStr">
        <is>
          <t>AP1802.htm</t>
        </is>
      </c>
      <c r="L268" s="113" t="inlineStr">
        <is>
          <t>能源|电力</t>
        </is>
      </c>
      <c r="M268" s="113" t="inlineStr">
        <is>
          <t>能源消费</t>
        </is>
      </c>
    </row>
    <row r="269" ht="18" customHeight="1" s="235">
      <c r="A269" s="113" t="n">
        <v>2014</v>
      </c>
      <c r="B269" s="113" t="inlineStr">
        <is>
          <t>煤炭占一次能源消费比重</t>
        </is>
      </c>
      <c r="C269" s="113" t="inlineStr">
        <is>
          <t>控制在…以内</t>
        </is>
      </c>
      <c r="D269" s="113" t="inlineStr">
        <is>
          <t>62%以内</t>
        </is>
      </c>
      <c r="E269" s="113" t="n"/>
      <c r="F269" s="114" t="inlineStr">
        <is>
          <t>2020</t>
        </is>
      </c>
      <c r="G269" s="113" t="inlineStr">
        <is>
          <t>重申目标</t>
        </is>
      </c>
      <c r="H269" s="113" t="inlineStr">
        <is>
          <t>涉煤</t>
        </is>
      </c>
      <c r="I269" s="113" t="inlineStr">
        <is>
          <t>全社会经济</t>
        </is>
      </c>
      <c r="J269" s="113" t="inlineStr">
        <is>
          <t>在执行更严格能效环保标准的前提下，到2020年，力争使煤炭占一次能源消费比重下降到62%以内。</t>
        </is>
      </c>
      <c r="K269" s="113" t="inlineStr">
        <is>
          <t>AP1403.htm</t>
        </is>
      </c>
      <c r="L269" s="113" t="inlineStr">
        <is>
          <t>能源|电力</t>
        </is>
      </c>
      <c r="M269" s="113" t="inlineStr">
        <is>
          <t>能源消费</t>
        </is>
      </c>
    </row>
    <row r="270" ht="18" customHeight="1" s="235">
      <c r="A270" s="113" t="n">
        <v>2014</v>
      </c>
      <c r="B270" s="113" t="inlineStr">
        <is>
          <t>煤炭占一次能源消费比重</t>
        </is>
      </c>
      <c r="C270" s="113" t="inlineStr">
        <is>
          <t>控制在…以内</t>
        </is>
      </c>
      <c r="D270" s="113" t="inlineStr">
        <is>
          <t>62%</t>
        </is>
      </c>
      <c r="E270" s="113" t="n"/>
      <c r="F270" s="114" t="inlineStr">
        <is>
          <t>2020</t>
        </is>
      </c>
      <c r="G270" s="113" t="inlineStr">
        <is>
          <t>重申目标</t>
        </is>
      </c>
      <c r="H270" s="113" t="inlineStr">
        <is>
          <t>涉煤</t>
        </is>
      </c>
      <c r="I270" s="113" t="inlineStr">
        <is>
          <t>全社会经济</t>
        </is>
      </c>
      <c r="J270" s="113" t="inlineStr">
        <is>
          <t>到2020年，煤炭占一次能源消费比重控制在62%以内。</t>
        </is>
      </c>
      <c r="K270" s="113" t="inlineStr">
        <is>
          <t>O1401.htm</t>
        </is>
      </c>
      <c r="L270" s="113" t="inlineStr">
        <is>
          <t>能源|电力</t>
        </is>
      </c>
      <c r="M270" s="113" t="inlineStr">
        <is>
          <t>能源消费</t>
        </is>
      </c>
    </row>
    <row r="271" ht="18" customHeight="1" s="235">
      <c r="A271" s="113" t="n">
        <v>2013</v>
      </c>
      <c r="B271" s="113" t="inlineStr">
        <is>
          <t>煤炭占一次能源消费比重</t>
        </is>
      </c>
      <c r="C271" s="113" t="inlineStr">
        <is>
          <t>降低至</t>
        </is>
      </c>
      <c r="D271" s="113" t="inlineStr">
        <is>
          <t>约65%</t>
        </is>
      </c>
      <c r="E271" s="113" t="n"/>
      <c r="F271" s="114" t="inlineStr">
        <is>
          <t>2015</t>
        </is>
      </c>
      <c r="G271" s="113" t="inlineStr">
        <is>
          <t>新目标</t>
        </is>
      </c>
      <c r="H271" s="113" t="inlineStr">
        <is>
          <t>涉煤</t>
        </is>
      </c>
      <c r="I271" s="113" t="inlineStr">
        <is>
          <t>全社会经济</t>
        </is>
      </c>
      <c r="J271" s="113" t="inlineStr">
        <is>
          <t>到2015年，煤炭消费比重降低到65%左右。</t>
        </is>
      </c>
      <c r="K271" s="113" t="inlineStr">
        <is>
          <t>FYP1302.htm</t>
        </is>
      </c>
      <c r="L271" s="113" t="inlineStr">
        <is>
          <t>能源|电力</t>
        </is>
      </c>
      <c r="M271" s="113" t="inlineStr">
        <is>
          <t>能源消费</t>
        </is>
      </c>
    </row>
    <row r="272" ht="18" customHeight="1" s="235">
      <c r="A272" s="113" t="n">
        <v>2013</v>
      </c>
      <c r="B272" s="113" t="inlineStr">
        <is>
          <t>煤炭占一次能源消费比重</t>
        </is>
      </c>
      <c r="C272" s="113" t="inlineStr">
        <is>
          <t>降低至</t>
        </is>
      </c>
      <c r="D272" s="113" t="inlineStr">
        <is>
          <t>低于65%</t>
        </is>
      </c>
      <c r="E272" s="113" t="n"/>
      <c r="F272" s="114" t="inlineStr">
        <is>
          <t>2017</t>
        </is>
      </c>
      <c r="G272" s="113" t="inlineStr">
        <is>
          <t>新目标</t>
        </is>
      </c>
      <c r="H272" s="113" t="inlineStr">
        <is>
          <t>涉煤</t>
        </is>
      </c>
      <c r="I272" s="113" t="inlineStr">
        <is>
          <t>全社会经济</t>
        </is>
      </c>
      <c r="J272" s="113" t="inlineStr">
        <is>
          <t>到2017年，煤炭占能源消费总量比重降低到65%以下。</t>
        </is>
      </c>
      <c r="K272" s="113" t="inlineStr">
        <is>
          <t>AP1302.htm</t>
        </is>
      </c>
      <c r="L272" s="113" t="inlineStr">
        <is>
          <t>能源|电力</t>
        </is>
      </c>
      <c r="M272" s="113" t="inlineStr">
        <is>
          <t>能源消费</t>
        </is>
      </c>
    </row>
    <row r="273" ht="18" customHeight="1" s="235">
      <c r="A273" s="113" t="n">
        <v>2014</v>
      </c>
      <c r="B273" s="113" t="inlineStr">
        <is>
          <t>煤炭占一次能源消费比重</t>
        </is>
      </c>
      <c r="C273" s="113" t="inlineStr">
        <is>
          <t>控制在…以内</t>
        </is>
      </c>
      <c r="D273" s="113" t="inlineStr">
        <is>
          <t>62%</t>
        </is>
      </c>
      <c r="E273" s="113" t="n"/>
      <c r="F273" s="114" t="inlineStr">
        <is>
          <t>2020</t>
        </is>
      </c>
      <c r="G273" s="113" t="inlineStr">
        <is>
          <t>新目标</t>
        </is>
      </c>
      <c r="H273" s="113" t="inlineStr">
        <is>
          <t>涉煤</t>
        </is>
      </c>
      <c r="I273" s="113" t="inlineStr">
        <is>
          <t>全社会经济</t>
        </is>
      </c>
      <c r="J273" s="113" t="inlineStr">
        <is>
          <t>到2020年，煤炭消费比重控制在62%以内。</t>
        </is>
      </c>
      <c r="K273" s="113" t="inlineStr">
        <is>
          <t>AP1401.htm</t>
        </is>
      </c>
      <c r="L273" s="113" t="inlineStr">
        <is>
          <t>能源|电力</t>
        </is>
      </c>
      <c r="M273" s="113" t="inlineStr">
        <is>
          <t>能源消费</t>
        </is>
      </c>
    </row>
    <row r="274" ht="18" customHeight="1" s="235">
      <c r="A274" s="113" t="n">
        <v>2016</v>
      </c>
      <c r="B274" s="113" t="inlineStr">
        <is>
          <t>煤炭占一次能源消费比重</t>
        </is>
      </c>
      <c r="C274" s="113" t="inlineStr">
        <is>
          <t>降低至</t>
        </is>
      </c>
      <c r="D274" s="113" t="inlineStr">
        <is>
          <t>低于58%</t>
        </is>
      </c>
      <c r="E274" s="113" t="n"/>
      <c r="F274" s="114" t="inlineStr">
        <is>
          <t>2020</t>
        </is>
      </c>
      <c r="G274" s="113" t="inlineStr">
        <is>
          <t>强化或放宽目标（积极气候影响）</t>
        </is>
      </c>
      <c r="H274" s="113" t="inlineStr">
        <is>
          <t>涉煤</t>
        </is>
      </c>
      <c r="I274" s="113" t="inlineStr">
        <is>
          <t>全社会经济</t>
        </is>
      </c>
      <c r="J274" s="113" t="inlineStr">
        <is>
          <t>到2020年，煤炭占能源消费总量比重下降到58%以下</t>
        </is>
      </c>
      <c r="K274" s="113" t="inlineStr">
        <is>
          <t>FYP1601.htm</t>
        </is>
      </c>
      <c r="L274" s="113" t="inlineStr">
        <is>
          <t>能源|电力</t>
        </is>
      </c>
      <c r="M274" s="113" t="inlineStr">
        <is>
          <t>能源消费</t>
        </is>
      </c>
    </row>
    <row r="275" ht="18" customHeight="1" s="235">
      <c r="A275" s="113" t="n">
        <v>2014</v>
      </c>
      <c r="B275" s="113" t="inlineStr">
        <is>
          <t>煤炭消费总量</t>
        </is>
      </c>
      <c r="C275" s="113" t="inlineStr">
        <is>
          <t>控制在…以内</t>
        </is>
      </c>
      <c r="D275" s="113" t="inlineStr">
        <is>
          <t>42亿吨</t>
        </is>
      </c>
      <c r="E275" s="113" t="n"/>
      <c r="F275" s="114" t="inlineStr">
        <is>
          <t>2020</t>
        </is>
      </c>
      <c r="G275" s="113" t="inlineStr">
        <is>
          <t>新目标</t>
        </is>
      </c>
      <c r="H275" s="113" t="inlineStr">
        <is>
          <t>涉煤</t>
        </is>
      </c>
      <c r="I275" s="113" t="inlineStr">
        <is>
          <t>全社会经济</t>
        </is>
      </c>
      <c r="J275" s="113" t="inlineStr">
        <is>
          <t>到2020年，煤炭消费总量控制在42亿吨左右。</t>
        </is>
      </c>
      <c r="K275" s="113" t="inlineStr">
        <is>
          <t>AP1401.htm</t>
        </is>
      </c>
      <c r="L275" s="113" t="inlineStr">
        <is>
          <t>能源|电力</t>
        </is>
      </c>
      <c r="M275" s="113" t="inlineStr">
        <is>
          <t>煤电</t>
        </is>
      </c>
    </row>
    <row r="276" ht="18" customHeight="1" s="235">
      <c r="A276" s="113" t="n">
        <v>2026</v>
      </c>
      <c r="B276" s="113" t="inlineStr">
        <is>
          <t>煤炭消费总量</t>
        </is>
      </c>
      <c r="C276" s="113" t="inlineStr">
        <is>
          <t>达峰</t>
        </is>
      </c>
      <c r="D276" s="113" t="n"/>
      <c r="E276" s="113" t="n"/>
      <c r="F276" s="114" t="inlineStr">
        <is>
          <t>十五五</t>
        </is>
      </c>
      <c r="G276" s="113" t="inlineStr">
        <is>
          <t>新目标</t>
        </is>
      </c>
      <c r="H276" s="113" t="inlineStr">
        <is>
          <t>涉煤</t>
        </is>
      </c>
      <c r="I276" s="113" t="inlineStr">
        <is>
          <t>全社会经济</t>
        </is>
      </c>
      <c r="J276" s="113" t="inlineStr">
        <is>
          <t>规划将深入开展节能降碳改造和控煤减煤，推动煤炭和石油消费达峰。</t>
        </is>
      </c>
      <c r="K276" s="113" t="inlineStr">
        <is>
          <t>HL2601.pdf</t>
        </is>
      </c>
      <c r="L276" s="113" t="inlineStr">
        <is>
          <t>能源|电力</t>
        </is>
      </c>
      <c r="M276" s="113" t="inlineStr">
        <is>
          <t>煤电</t>
        </is>
      </c>
    </row>
    <row r="277" ht="18" customHeight="1" s="235">
      <c r="A277" s="113" t="n">
        <v>2019</v>
      </c>
      <c r="B277" s="113" t="inlineStr">
        <is>
          <t>煤炭消费总量中用于发电的比例</t>
        </is>
      </c>
      <c r="C277" s="113" t="inlineStr">
        <is>
          <t>达到</t>
        </is>
      </c>
      <c r="D277" s="113" t="inlineStr">
        <is>
          <t>55%</t>
        </is>
      </c>
      <c r="E277" s="113" t="n"/>
      <c r="F277" s="114" t="inlineStr">
        <is>
          <t>2020</t>
        </is>
      </c>
      <c r="G277" s="113" t="inlineStr">
        <is>
          <t>重申目标</t>
        </is>
      </c>
      <c r="H277" s="113" t="inlineStr">
        <is>
          <t>涉煤</t>
        </is>
      </c>
      <c r="I277" s="113" t="inlineStr">
        <is>
          <t>行业</t>
        </is>
      </c>
      <c r="J277" s="113" t="inlineStr">
        <is>
          <t>此外，新建耗煤项目实行煤炭减量替代，到2020年，发电用煤占煤炭消费总量的比重应达到55%以上。</t>
        </is>
      </c>
      <c r="K277" s="113" t="inlineStr">
        <is>
          <t>HL1903.pdf</t>
        </is>
      </c>
      <c r="L277" s="113" t="inlineStr">
        <is>
          <t>能源|电力</t>
        </is>
      </c>
      <c r="M277" s="113" t="inlineStr">
        <is>
          <t>煤电</t>
        </is>
      </c>
    </row>
    <row r="278" ht="18" customHeight="1" s="235">
      <c r="A278" s="113" t="n">
        <v>2026</v>
      </c>
      <c r="B278" s="113" t="inlineStr">
        <is>
          <t>煤炭消费清洁替代量</t>
        </is>
      </c>
      <c r="C278" s="113" t="inlineStr">
        <is>
          <t>达到</t>
        </is>
      </c>
      <c r="D278" s="113" t="inlineStr">
        <is>
          <t>3000万吨/年</t>
        </is>
      </c>
      <c r="E278" s="113" t="n"/>
      <c r="F278" s="114" t="inlineStr">
        <is>
          <t>十五五</t>
        </is>
      </c>
      <c r="G278" s="113" t="inlineStr">
        <is>
          <t>新目标</t>
        </is>
      </c>
      <c r="H278" s="113" t="inlineStr">
        <is>
          <t>可再生能源</t>
        </is>
      </c>
      <c r="I278" s="113" t="inlineStr">
        <is>
          <t>行业</t>
        </is>
      </c>
      <c r="J278" s="113" t="inlineStr">
        <is>
          <t>推进食品、纺织、造纸等行业燃煤锅炉和工业窑炉清洁化替代，推动煤炭消费量替代达到3000万吨/年。</t>
        </is>
      </c>
      <c r="K278" s="113" t="inlineStr">
        <is>
          <t>HL2601.pdf</t>
        </is>
      </c>
      <c r="L278" s="113" t="inlineStr">
        <is>
          <t>能源|电力</t>
        </is>
      </c>
      <c r="M278" s="113" t="inlineStr">
        <is>
          <t>电力供应</t>
        </is>
      </c>
    </row>
    <row r="279" ht="18" customHeight="1" s="235">
      <c r="A279" s="113" t="n">
        <v>2013</v>
      </c>
      <c r="B279" s="113" t="inlineStr">
        <is>
          <t>煤炭采掘机械化率</t>
        </is>
      </c>
      <c r="C279" s="113" t="inlineStr">
        <is>
          <t>达到</t>
        </is>
      </c>
      <c r="D279" s="113" t="inlineStr">
        <is>
          <t>75%</t>
        </is>
      </c>
      <c r="E279" s="113" t="n"/>
      <c r="F279" s="114" t="inlineStr">
        <is>
          <t>2015</t>
        </is>
      </c>
      <c r="G279" s="113" t="inlineStr">
        <is>
          <t>新目标</t>
        </is>
      </c>
      <c r="H279" s="113" t="inlineStr">
        <is>
          <t>涉煤</t>
        </is>
      </c>
      <c r="I279" s="113" t="inlineStr">
        <is>
          <t>行业</t>
        </is>
      </c>
      <c r="J279" s="113" t="inlineStr">
        <is>
          <t>到2015年，采煤机械化程度达到75%以上。</t>
        </is>
      </c>
      <c r="K279" s="113" t="inlineStr">
        <is>
          <t>FYP1302.htm</t>
        </is>
      </c>
      <c r="L279" s="113" t="inlineStr">
        <is>
          <t>能源|电力</t>
        </is>
      </c>
      <c r="M279" s="113" t="inlineStr">
        <is>
          <t>煤电</t>
        </is>
      </c>
    </row>
    <row r="280" ht="18" customHeight="1" s="235">
      <c r="A280" s="113" t="n">
        <v>2017</v>
      </c>
      <c r="B280" s="113" t="inlineStr">
        <is>
          <t>煤电产能停建或缓建规模</t>
        </is>
      </c>
      <c r="C280" s="113" t="inlineStr">
        <is>
          <t>停建和缓建</t>
        </is>
      </c>
      <c r="D280" s="113" t="inlineStr">
        <is>
          <t>1.5亿千瓦</t>
        </is>
      </c>
      <c r="E280" s="113" t="n"/>
      <c r="F280" s="114" t="inlineStr">
        <is>
          <t>十三五</t>
        </is>
      </c>
      <c r="G280" s="113" t="inlineStr">
        <is>
          <t>重申目标</t>
        </is>
      </c>
      <c r="H280" s="113" t="inlineStr">
        <is>
          <t>涉煤</t>
        </is>
      </c>
      <c r="I280" s="113" t="inlineStr">
        <is>
          <t>行业</t>
        </is>
      </c>
      <c r="J280" s="113" t="inlineStr">
        <is>
          <t>“十三五”期间，全国停建和缓建煤电产能1.5亿千瓦。</t>
        </is>
      </c>
      <c r="K280" s="113" t="inlineStr">
        <is>
          <t>O1703.pdf</t>
        </is>
      </c>
      <c r="L280" s="113" t="inlineStr">
        <is>
          <t>能源|电力</t>
        </is>
      </c>
      <c r="M280" s="113" t="inlineStr">
        <is>
          <t>煤电</t>
        </is>
      </c>
    </row>
    <row r="281" ht="18" customHeight="1" s="235">
      <c r="A281" s="113" t="n">
        <v>2021</v>
      </c>
      <c r="B281" s="113" t="inlineStr">
        <is>
          <t>煤电机组应急备用能力</t>
        </is>
      </c>
      <c r="C281" s="113" t="inlineStr">
        <is>
          <t>创建和维护</t>
        </is>
      </c>
      <c r="D281" s="113" t="inlineStr">
        <is>
          <t>1500万千瓦</t>
        </is>
      </c>
      <c r="E281" s="113" t="n"/>
      <c r="F281" s="114" t="inlineStr">
        <is>
          <t>十四五</t>
        </is>
      </c>
      <c r="G281" s="113" t="inlineStr">
        <is>
          <t>新目标</t>
        </is>
      </c>
      <c r="H281" s="113" t="inlineStr">
        <is>
          <t>涉煤</t>
        </is>
      </c>
      <c r="I281" s="113" t="inlineStr">
        <is>
          <t>地区</t>
        </is>
      </c>
      <c r="J281" s="113" t="inlineStr">
        <is>
          <t>“十四五”期间，形成并保持1500万千瓦的煤电机组应急备用能力。</t>
        </is>
      </c>
      <c r="K281" s="113" t="inlineStr">
        <is>
          <t>IP2107.pdf</t>
        </is>
      </c>
      <c r="L281" s="113" t="inlineStr">
        <is>
          <t>能源|电力</t>
        </is>
      </c>
      <c r="M281" s="113" t="inlineStr">
        <is>
          <t>煤电</t>
        </is>
      </c>
    </row>
    <row r="282" ht="18" customHeight="1" s="235">
      <c r="A282" s="113" t="n">
        <v>2014</v>
      </c>
      <c r="B282" s="113" t="inlineStr">
        <is>
          <t>煤电机组改造</t>
        </is>
      </c>
      <c r="C282" s="113" t="inlineStr">
        <is>
          <t>完成</t>
        </is>
      </c>
      <c r="D282" s="113" t="inlineStr">
        <is>
          <t>1.5亿千瓦</t>
        </is>
      </c>
      <c r="E282" s="113" t="n"/>
      <c r="F282" s="114" t="inlineStr">
        <is>
          <t>2014-2015</t>
        </is>
      </c>
      <c r="G282" s="113" t="inlineStr">
        <is>
          <t>新目标</t>
        </is>
      </c>
      <c r="H282" s="113" t="inlineStr">
        <is>
          <t>涉煤</t>
        </is>
      </c>
      <c r="I282" s="113" t="inlineStr">
        <is>
          <t>行业</t>
        </is>
      </c>
      <c r="J282" s="113" t="inlineStr">
        <is>
          <t>力争2015年前完成改造机组容量1.5亿千瓦</t>
        </is>
      </c>
      <c r="K282" s="113" t="inlineStr">
        <is>
          <t>AP1403.htm</t>
        </is>
      </c>
      <c r="L282" s="113" t="inlineStr">
        <is>
          <t>能源|电力</t>
        </is>
      </c>
      <c r="M282" s="113" t="inlineStr">
        <is>
          <t>煤电</t>
        </is>
      </c>
    </row>
    <row r="283" ht="18" customHeight="1" s="235">
      <c r="A283" s="113" t="n">
        <v>2014</v>
      </c>
      <c r="B283" s="113" t="inlineStr">
        <is>
          <t>煤电机组改造</t>
        </is>
      </c>
      <c r="C283" s="113" t="inlineStr">
        <is>
          <t>完成</t>
        </is>
      </c>
      <c r="D283" s="113" t="inlineStr">
        <is>
          <t>3.5亿千瓦</t>
        </is>
      </c>
      <c r="E283" s="113" t="n"/>
      <c r="F283" s="114" t="inlineStr">
        <is>
          <t>十三五</t>
        </is>
      </c>
      <c r="G283" s="113" t="inlineStr">
        <is>
          <t>新目标</t>
        </is>
      </c>
      <c r="H283" s="113" t="inlineStr">
        <is>
          <t>涉煤</t>
        </is>
      </c>
      <c r="I283" s="113" t="inlineStr">
        <is>
          <t>行业</t>
        </is>
      </c>
      <c r="J283" s="113" t="inlineStr">
        <is>
          <t>力争“十三五”期间完成改造机组容量3.5亿千瓦。</t>
        </is>
      </c>
      <c r="K283" s="113" t="inlineStr">
        <is>
          <t>AP1403.htm</t>
        </is>
      </c>
      <c r="L283" s="113" t="inlineStr">
        <is>
          <t>能源|电力</t>
        </is>
      </c>
      <c r="M283" s="113" t="inlineStr">
        <is>
          <t>煤电</t>
        </is>
      </c>
    </row>
    <row r="284" ht="18" customHeight="1" s="235">
      <c r="A284" s="113" t="n">
        <v>2021</v>
      </c>
      <c r="B284" s="113" t="inlineStr">
        <is>
          <t>煤电机组改造升级</t>
        </is>
      </c>
      <c r="C284" s="113" t="inlineStr">
        <is>
          <t>达到</t>
        </is>
      </c>
      <c r="D284" s="113" t="inlineStr">
        <is>
          <t>3.5亿千瓦</t>
        </is>
      </c>
      <c r="E284" s="113" t="n"/>
      <c r="F284" s="114" t="inlineStr">
        <is>
          <t>十四五</t>
        </is>
      </c>
      <c r="G284" s="113" t="inlineStr">
        <is>
          <t>新目标</t>
        </is>
      </c>
      <c r="H284" s="113" t="inlineStr">
        <is>
          <t>涉煤</t>
        </is>
      </c>
      <c r="I284" s="113" t="inlineStr">
        <is>
          <t>行业</t>
        </is>
      </c>
      <c r="J284" s="113" t="inlineStr">
        <is>
          <t>“十四五”期间，煤电机组改造规模不低于3.5亿千瓦。</t>
        </is>
      </c>
      <c r="K284" s="113" t="inlineStr">
        <is>
          <t>IP2107.pdf</t>
        </is>
      </c>
      <c r="L284" s="113" t="inlineStr">
        <is>
          <t>能源|电力</t>
        </is>
      </c>
      <c r="M284" s="113" t="inlineStr">
        <is>
          <t>煤电</t>
        </is>
      </c>
    </row>
    <row r="285" ht="18" customHeight="1" s="235">
      <c r="A285" s="113" t="n">
        <v>2017</v>
      </c>
      <c r="B285" s="113" t="inlineStr">
        <is>
          <t>煤电机组灵活性改造</t>
        </is>
      </c>
      <c r="C285" s="113" t="inlineStr">
        <is>
          <t>实施</t>
        </is>
      </c>
      <c r="D285" s="113" t="inlineStr">
        <is>
          <t>2.2亿千瓦</t>
        </is>
      </c>
      <c r="E285" s="113" t="n"/>
      <c r="F285" s="114" t="inlineStr">
        <is>
          <t>十三五</t>
        </is>
      </c>
      <c r="G285" s="113" t="inlineStr">
        <is>
          <t>新目标</t>
        </is>
      </c>
      <c r="H285" s="113" t="inlineStr">
        <is>
          <t>涉煤</t>
        </is>
      </c>
      <c r="I285" s="113" t="inlineStr">
        <is>
          <t>行业</t>
        </is>
      </c>
      <c r="J285" s="113" t="inlineStr">
        <is>
          <t>“十三五”期间，全国实施煤电灵活性改造2.2亿千瓦。</t>
        </is>
      </c>
      <c r="K285" s="113" t="inlineStr">
        <is>
          <t>O1703.pdf</t>
        </is>
      </c>
      <c r="L285" s="113" t="inlineStr">
        <is>
          <t>能源|电力</t>
        </is>
      </c>
      <c r="M285" s="113" t="inlineStr">
        <is>
          <t>煤电</t>
        </is>
      </c>
    </row>
    <row r="286" ht="18" customHeight="1" s="235">
      <c r="A286" s="113" t="n">
        <v>2016</v>
      </c>
      <c r="B286" s="113" t="inlineStr">
        <is>
          <t>煤电机组节能改造</t>
        </is>
      </c>
      <c r="C286" s="113" t="inlineStr">
        <is>
          <t>实施</t>
        </is>
      </c>
      <c r="D286" s="113" t="inlineStr">
        <is>
          <t>3.4亿千瓦</t>
        </is>
      </c>
      <c r="E286" s="113" t="n"/>
      <c r="F286" s="114" t="inlineStr">
        <is>
          <t>十三五</t>
        </is>
      </c>
      <c r="G286" s="113" t="inlineStr">
        <is>
          <t>新目标</t>
        </is>
      </c>
      <c r="H286" s="113" t="inlineStr">
        <is>
          <t>涉煤</t>
        </is>
      </c>
      <c r="I286" s="113" t="inlineStr">
        <is>
          <t>行业</t>
        </is>
      </c>
      <c r="J286" s="113" t="inlineStr">
        <is>
          <t>“十三五”期间，全国实施煤电机组节能改造约3.4亿千瓦。</t>
        </is>
      </c>
      <c r="K286" s="113" t="inlineStr">
        <is>
          <t>FYP1607.pdf</t>
        </is>
      </c>
      <c r="L286" s="113" t="inlineStr">
        <is>
          <t>能源|电力</t>
        </is>
      </c>
      <c r="M286" s="113" t="inlineStr">
        <is>
          <t>煤电</t>
        </is>
      </c>
    </row>
    <row r="287" ht="18" customHeight="1" s="235">
      <c r="A287" s="113" t="n">
        <v>2017</v>
      </c>
      <c r="B287" s="113" t="inlineStr">
        <is>
          <t>煤电机组超低排放改造</t>
        </is>
      </c>
      <c r="C287" s="113" t="inlineStr">
        <is>
          <t>实施</t>
        </is>
      </c>
      <c r="D287" s="113" t="inlineStr">
        <is>
          <t>4.2亿千瓦</t>
        </is>
      </c>
      <c r="E287" s="113" t="n"/>
      <c r="F287" s="114" t="inlineStr">
        <is>
          <t>十三五</t>
        </is>
      </c>
      <c r="G287" s="113" t="inlineStr">
        <is>
          <t>重申目标</t>
        </is>
      </c>
      <c r="H287" s="113" t="inlineStr">
        <is>
          <t>涉煤</t>
        </is>
      </c>
      <c r="I287" s="113" t="inlineStr">
        <is>
          <t>行业</t>
        </is>
      </c>
      <c r="J287" s="113" t="inlineStr">
        <is>
          <t>“十三五”期间，全国实施煤电超低排放改造4.2亿千瓦。</t>
        </is>
      </c>
      <c r="K287" s="113" t="inlineStr">
        <is>
          <t>O1703.pdf</t>
        </is>
      </c>
      <c r="L287" s="113" t="inlineStr">
        <is>
          <t>能源|电力</t>
        </is>
      </c>
      <c r="M287" s="113" t="inlineStr">
        <is>
          <t>煤电</t>
        </is>
      </c>
    </row>
    <row r="288" ht="18" customHeight="1" s="235">
      <c r="A288" s="113" t="n">
        <v>2016</v>
      </c>
      <c r="B288" s="113" t="inlineStr">
        <is>
          <t>煤电机组超低排放改造规模</t>
        </is>
      </c>
      <c r="C288" s="113" t="inlineStr">
        <is>
          <t>实施</t>
        </is>
      </c>
      <c r="D288" s="113" t="inlineStr">
        <is>
          <t>4.2亿千瓦</t>
        </is>
      </c>
      <c r="E288" s="113" t="n"/>
      <c r="F288" s="114" t="inlineStr">
        <is>
          <t>十三五</t>
        </is>
      </c>
      <c r="G288" s="113" t="inlineStr">
        <is>
          <t>新目标</t>
        </is>
      </c>
      <c r="H288" s="113" t="inlineStr">
        <is>
          <t>涉煤</t>
        </is>
      </c>
      <c r="I288" s="113" t="inlineStr">
        <is>
          <t>行业</t>
        </is>
      </c>
      <c r="J288" s="113" t="inlineStr">
        <is>
          <t>“十三五”期间，全国实施煤电超低排放改造约4.2亿千瓦。</t>
        </is>
      </c>
      <c r="K288" s="113" t="inlineStr">
        <is>
          <t>FYP1607.pdf</t>
        </is>
      </c>
      <c r="L288" s="113" t="inlineStr">
        <is>
          <t>能源|电力</t>
        </is>
      </c>
      <c r="M288" s="113" t="inlineStr">
        <is>
          <t>煤电</t>
        </is>
      </c>
    </row>
    <row r="289" ht="18" customHeight="1" s="235">
      <c r="A289" s="113" t="n">
        <v>2017</v>
      </c>
      <c r="B289" s="113" t="inlineStr">
        <is>
          <t>煤电节能改造</t>
        </is>
      </c>
      <c r="C289" s="113" t="inlineStr">
        <is>
          <t>实施</t>
        </is>
      </c>
      <c r="D289" s="113" t="inlineStr">
        <is>
          <t>3.4亿千瓦</t>
        </is>
      </c>
      <c r="E289" s="113" t="n"/>
      <c r="F289" s="114" t="inlineStr">
        <is>
          <t>十三五</t>
        </is>
      </c>
      <c r="G289" s="113" t="inlineStr">
        <is>
          <t>重申目标</t>
        </is>
      </c>
      <c r="H289" s="113" t="inlineStr">
        <is>
          <t>涉煤</t>
        </is>
      </c>
      <c r="I289" s="113" t="inlineStr">
        <is>
          <t>行业</t>
        </is>
      </c>
      <c r="J289" s="113" t="inlineStr">
        <is>
          <t>“十三五”期间，全国实施煤电节能改造3.4亿千瓦。</t>
        </is>
      </c>
      <c r="K289" s="113" t="inlineStr">
        <is>
          <t>O1703.pdf</t>
        </is>
      </c>
      <c r="L289" s="113" t="inlineStr">
        <is>
          <t>能源|电力</t>
        </is>
      </c>
      <c r="M289" s="113" t="inlineStr">
        <is>
          <t>煤电</t>
        </is>
      </c>
    </row>
    <row r="290" ht="18" customHeight="1" s="235">
      <c r="A290" s="113" t="n">
        <v>2021</v>
      </c>
      <c r="B290" s="113" t="inlineStr">
        <is>
          <t>煤电节能改造规模</t>
        </is>
      </c>
      <c r="C290" s="113" t="inlineStr">
        <is>
          <t>达到</t>
        </is>
      </c>
      <c r="D290" s="113" t="inlineStr">
        <is>
          <t>3.5亿千瓦</t>
        </is>
      </c>
      <c r="E290" s="113" t="n"/>
      <c r="F290" s="114" t="inlineStr">
        <is>
          <t>十四五</t>
        </is>
      </c>
      <c r="G290" s="113" t="inlineStr">
        <is>
          <t>重申目标</t>
        </is>
      </c>
      <c r="H290" s="113" t="inlineStr">
        <is>
          <t>涉煤</t>
        </is>
      </c>
      <c r="I290" s="113" t="inlineStr">
        <is>
          <t>行业</t>
        </is>
      </c>
      <c r="J290" s="113" t="inlineStr">
        <is>
          <t>“十四五”期间，煤电节能改造规模不低于3.5亿千瓦。</t>
        </is>
      </c>
      <c r="K290" s="113" t="inlineStr">
        <is>
          <t>FYP2105.pdf</t>
        </is>
      </c>
      <c r="L290" s="113" t="inlineStr">
        <is>
          <t>能源|电力</t>
        </is>
      </c>
      <c r="M290" s="113" t="inlineStr">
        <is>
          <t>煤电</t>
        </is>
      </c>
    </row>
    <row r="291" ht="18" customHeight="1" s="235">
      <c r="A291" s="113" t="n">
        <v>2021</v>
      </c>
      <c r="B291" s="113" t="inlineStr">
        <is>
          <t>煤电落后产能</t>
        </is>
      </c>
      <c r="C291" s="113" t="inlineStr">
        <is>
          <t>淘汰</t>
        </is>
      </c>
      <c r="D291" s="113" t="inlineStr">
        <is>
          <t>3000万千瓦</t>
        </is>
      </c>
      <c r="E291" s="113" t="n"/>
      <c r="F291" s="114" t="inlineStr">
        <is>
          <t>十四五</t>
        </is>
      </c>
      <c r="G291" s="113" t="inlineStr">
        <is>
          <t>新目标</t>
        </is>
      </c>
      <c r="H291" s="113" t="inlineStr">
        <is>
          <t>涉煤</t>
        </is>
      </c>
      <c r="I291" s="113" t="inlineStr">
        <is>
          <t>行业</t>
        </is>
      </c>
      <c r="J291" s="113" t="inlineStr">
        <is>
          <t>“十四五”期间淘汰（含到期退役机组）3000万千瓦煤电落后产能。</t>
        </is>
      </c>
      <c r="K291" s="113" t="inlineStr">
        <is>
          <t>FYP2105.pdf</t>
        </is>
      </c>
      <c r="L291" s="113" t="inlineStr">
        <is>
          <t>能源|电力</t>
        </is>
      </c>
      <c r="M291" s="113" t="inlineStr">
        <is>
          <t>煤电</t>
        </is>
      </c>
    </row>
    <row r="292" ht="18" customHeight="1" s="235">
      <c r="A292" s="113" t="n">
        <v>2013</v>
      </c>
      <c r="B292" s="113" t="inlineStr">
        <is>
          <t>煤电装机规模</t>
        </is>
      </c>
      <c r="C292" s="113" t="inlineStr">
        <is>
          <t>提高至</t>
        </is>
      </c>
      <c r="D292" s="113" t="inlineStr">
        <is>
          <t>9.6亿千瓦</t>
        </is>
      </c>
      <c r="E292" s="113" t="n"/>
      <c r="F292" s="114" t="inlineStr">
        <is>
          <t>2015</t>
        </is>
      </c>
      <c r="G292" s="113" t="inlineStr">
        <is>
          <t>新目标</t>
        </is>
      </c>
      <c r="H292" s="113" t="inlineStr">
        <is>
          <t>涉煤</t>
        </is>
      </c>
      <c r="I292" s="113" t="inlineStr">
        <is>
          <t>全社会经济</t>
        </is>
      </c>
      <c r="J292" s="113" t="inlineStr">
        <is>
          <t>到2015年，煤电装机规模达到9.6亿千瓦。</t>
        </is>
      </c>
      <c r="K292" s="113" t="inlineStr">
        <is>
          <t>FYP1302.htm</t>
        </is>
      </c>
      <c r="L292" s="113" t="inlineStr">
        <is>
          <t>能源|电力</t>
        </is>
      </c>
      <c r="M292" s="113" t="inlineStr">
        <is>
          <t>煤电</t>
        </is>
      </c>
    </row>
    <row r="293" ht="18" customHeight="1" s="235">
      <c r="A293" s="113" t="n">
        <v>2017</v>
      </c>
      <c r="B293" s="113" t="inlineStr">
        <is>
          <t>煤电装机规模</t>
        </is>
      </c>
      <c r="C293" s="113" t="inlineStr">
        <is>
          <t>控制在…以内</t>
        </is>
      </c>
      <c r="D293" s="113" t="inlineStr">
        <is>
          <t>11亿千瓦</t>
        </is>
      </c>
      <c r="E293" s="113" t="n"/>
      <c r="F293" s="114" t="inlineStr">
        <is>
          <t>2020</t>
        </is>
      </c>
      <c r="G293" s="113" t="inlineStr">
        <is>
          <t>新目标</t>
        </is>
      </c>
      <c r="H293" s="113" t="inlineStr">
        <is>
          <t>涉煤</t>
        </is>
      </c>
      <c r="I293" s="113" t="inlineStr">
        <is>
          <t>全社会经济</t>
        </is>
      </c>
      <c r="J293" s="113" t="inlineStr">
        <is>
          <t>采取有力措施，到2020年将煤电装机总规模控制在11亿千瓦以内。</t>
        </is>
      </c>
      <c r="K293" s="113" t="inlineStr">
        <is>
          <t>GO1703.pdf</t>
        </is>
      </c>
      <c r="L293" s="113" t="inlineStr">
        <is>
          <t>能源|电力</t>
        </is>
      </c>
      <c r="M293" s="113" t="inlineStr">
        <is>
          <t>煤电</t>
        </is>
      </c>
    </row>
    <row r="294" ht="18" customHeight="1" s="235">
      <c r="A294" s="113" t="n">
        <v>2012</v>
      </c>
      <c r="B294" s="113" t="inlineStr">
        <is>
          <t>煤矸石等大宗固体废弃物综合利用能力</t>
        </is>
      </c>
      <c r="C294" s="113" t="inlineStr">
        <is>
          <t>达到</t>
        </is>
      </c>
      <c r="D294" s="113" t="inlineStr">
        <is>
          <t>4亿吨</t>
        </is>
      </c>
      <c r="E294" s="113" t="n"/>
      <c r="F294" s="114" t="inlineStr">
        <is>
          <t>2015</t>
        </is>
      </c>
      <c r="G294" s="113" t="inlineStr">
        <is>
          <t>新目标</t>
        </is>
      </c>
      <c r="H294" s="113" t="inlineStr">
        <is>
          <t>资源效率</t>
        </is>
      </c>
      <c r="I294" s="113" t="inlineStr">
        <is>
          <t>不明确</t>
        </is>
      </c>
      <c r="J294" s="113" t="inlineStr">
        <is>
          <t>到2015年，煤矸石等大宗固体废弃物综合利用能力达每年4亿吨。</t>
        </is>
      </c>
      <c r="K294" s="113" t="inlineStr">
        <is>
          <t>FYP1203.htm</t>
        </is>
      </c>
      <c r="L294" s="113" t="inlineStr">
        <is>
          <t>能源|电力</t>
        </is>
      </c>
      <c r="M294" s="113" t="inlineStr">
        <is>
          <t>电力供应</t>
        </is>
      </c>
    </row>
    <row r="295" ht="18" customHeight="1" s="235">
      <c r="A295" s="113" t="n">
        <v>2013</v>
      </c>
      <c r="B295" s="113" t="inlineStr">
        <is>
          <t>煤矸石综合利用率</t>
        </is>
      </c>
      <c r="C295" s="113" t="inlineStr">
        <is>
          <t>提高至</t>
        </is>
      </c>
      <c r="D295" s="113" t="inlineStr">
        <is>
          <t>75%</t>
        </is>
      </c>
      <c r="E295" s="113" t="n"/>
      <c r="F295" s="114" t="inlineStr">
        <is>
          <t>2015</t>
        </is>
      </c>
      <c r="G295" s="113" t="inlineStr">
        <is>
          <t>重申目标</t>
        </is>
      </c>
      <c r="H295" s="113" t="inlineStr">
        <is>
          <t>资源效率</t>
        </is>
      </c>
      <c r="I295" s="113" t="inlineStr">
        <is>
          <t>不明确</t>
        </is>
      </c>
      <c r="J295" s="113" t="inlineStr">
        <is>
          <t>到2015年，煤矸石综合利用率提高到75%。</t>
        </is>
      </c>
      <c r="K295" s="113" t="inlineStr">
        <is>
          <t>FYP1302.htm</t>
        </is>
      </c>
      <c r="L295" s="113" t="inlineStr">
        <is>
          <t>能源|电力</t>
        </is>
      </c>
      <c r="M295" s="113" t="inlineStr">
        <is>
          <t>电力供应</t>
        </is>
      </c>
    </row>
    <row r="296" ht="18" customHeight="1" s="235">
      <c r="A296" s="113" t="n">
        <v>2013</v>
      </c>
      <c r="B296" s="113" t="inlineStr">
        <is>
          <t>煤矸石综合利用率</t>
        </is>
      </c>
      <c r="C296" s="113" t="inlineStr">
        <is>
          <t>达到</t>
        </is>
      </c>
      <c r="D296" s="113" t="inlineStr">
        <is>
          <t>75%</t>
        </is>
      </c>
      <c r="E296" s="113" t="n"/>
      <c r="F296" s="114" t="inlineStr">
        <is>
          <t>2015</t>
        </is>
      </c>
      <c r="G296" s="113" t="inlineStr">
        <is>
          <t>新目标</t>
        </is>
      </c>
      <c r="H296" s="113" t="inlineStr">
        <is>
          <t>资源效率</t>
        </is>
      </c>
      <c r="I296" s="113" t="inlineStr">
        <is>
          <t>不明确</t>
        </is>
      </c>
      <c r="J296" s="113" t="inlineStr">
        <is>
          <t>到2015年，煤矸石综合利用率达到75%。</t>
        </is>
      </c>
      <c r="K296" s="113" t="inlineStr">
        <is>
          <t>DP1301.htm</t>
        </is>
      </c>
      <c r="L296" s="113" t="inlineStr">
        <is>
          <t>能源|电力</t>
        </is>
      </c>
      <c r="M296" s="113" t="inlineStr">
        <is>
          <t>电力供应</t>
        </is>
      </c>
    </row>
    <row r="297" ht="18" customHeight="1" s="235">
      <c r="A297" s="113" t="n">
        <v>2024</v>
      </c>
      <c r="B297" s="113" t="inlineStr">
        <is>
          <t>煤矿瓦斯利用量</t>
        </is>
      </c>
      <c r="C297" s="113" t="inlineStr">
        <is>
          <t>达到</t>
        </is>
      </c>
      <c r="D297" s="113" t="inlineStr">
        <is>
          <t>60亿立方米</t>
        </is>
      </c>
      <c r="E297" s="113" t="n"/>
      <c r="F297" s="114" t="inlineStr">
        <is>
          <t>2025</t>
        </is>
      </c>
      <c r="G297" s="113" t="inlineStr">
        <is>
          <t>重申目标</t>
        </is>
      </c>
      <c r="H297" s="113" t="inlineStr">
        <is>
          <t>过渡能源</t>
        </is>
      </c>
      <c r="I297" s="113" t="inlineStr">
        <is>
          <t>不明确</t>
        </is>
      </c>
      <c r="J297" s="113" t="inlineStr">
        <is>
          <t>到2025年，煤矿瓦斯年利用量达到60亿立方米</t>
        </is>
      </c>
      <c r="K297" s="113" t="inlineStr">
        <is>
          <t>HL2401.pdf</t>
        </is>
      </c>
      <c r="L297" s="113" t="inlineStr">
        <is>
          <t>能源|电力</t>
        </is>
      </c>
      <c r="M297" s="113" t="inlineStr">
        <is>
          <t>电力供应</t>
        </is>
      </c>
    </row>
    <row r="298" ht="18" customHeight="1" s="235">
      <c r="A298" s="113" t="n">
        <v>2024</v>
      </c>
      <c r="B298" s="113" t="inlineStr">
        <is>
          <t>煤矿瓦斯利用量</t>
        </is>
      </c>
      <c r="C298" s="113" t="inlineStr">
        <is>
          <t>达到</t>
        </is>
      </c>
      <c r="D298" s="113" t="inlineStr">
        <is>
          <t>60亿立方米</t>
        </is>
      </c>
      <c r="E298" s="113" t="n"/>
      <c r="F298" s="114" t="inlineStr">
        <is>
          <t>2025</t>
        </is>
      </c>
      <c r="G298" s="113" t="inlineStr">
        <is>
          <t>新目标</t>
        </is>
      </c>
      <c r="H298" s="113" t="inlineStr">
        <is>
          <t>过渡能源</t>
        </is>
      </c>
      <c r="I298" s="113" t="inlineStr">
        <is>
          <t>不明确</t>
        </is>
      </c>
      <c r="J298" s="113" t="inlineStr">
        <is>
          <t>到2025年，煤矿瓦斯利用量达到60亿立方米。</t>
        </is>
      </c>
      <c r="K298" s="113" t="inlineStr">
        <is>
          <t>HL2401.pdf</t>
        </is>
      </c>
      <c r="L298" s="113" t="inlineStr">
        <is>
          <t>能源|电力</t>
        </is>
      </c>
      <c r="M298" s="113" t="inlineStr">
        <is>
          <t>电力供应</t>
        </is>
      </c>
    </row>
    <row r="299" ht="18" customHeight="1" s="235">
      <c r="A299" s="113" t="n">
        <v>2014</v>
      </c>
      <c r="B299" s="113" t="inlineStr">
        <is>
          <t>燃煤机组烟气旁路</t>
        </is>
      </c>
      <c r="C299" s="113" t="inlineStr">
        <is>
          <t>拆除</t>
        </is>
      </c>
      <c r="D299" s="113" t="inlineStr">
        <is>
          <t>2.5亿千瓦</t>
        </is>
      </c>
      <c r="E299" s="113" t="n"/>
      <c r="F299" s="114" t="inlineStr">
        <is>
          <t>2014-2015</t>
        </is>
      </c>
      <c r="G299" s="113" t="inlineStr">
        <is>
          <t>新目标</t>
        </is>
      </c>
      <c r="H299" s="113" t="inlineStr">
        <is>
          <t>涉煤</t>
        </is>
      </c>
      <c r="I299" s="113" t="inlineStr">
        <is>
          <t>行业</t>
        </is>
      </c>
      <c r="J299" s="113" t="inlineStr">
        <is>
          <t>完成2.5亿千瓦燃煤机组拆除烟气旁路</t>
        </is>
      </c>
      <c r="K299" s="113" t="inlineStr">
        <is>
          <t>AP1404.htm</t>
        </is>
      </c>
      <c r="L299" s="113" t="inlineStr">
        <is>
          <t>能源|电力</t>
        </is>
      </c>
      <c r="M299" s="113" t="inlineStr">
        <is>
          <t>煤电</t>
        </is>
      </c>
    </row>
    <row r="300" ht="18" customHeight="1" s="235">
      <c r="A300" s="113" t="n">
        <v>2014</v>
      </c>
      <c r="B300" s="113" t="inlineStr">
        <is>
          <t>燃煤机组脱硝改造</t>
        </is>
      </c>
      <c r="C300" s="113" t="inlineStr">
        <is>
          <t>完成</t>
        </is>
      </c>
      <c r="D300" s="113" t="inlineStr">
        <is>
          <t>3亿千瓦</t>
        </is>
      </c>
      <c r="E300" s="113" t="n"/>
      <c r="F300" s="114" t="inlineStr">
        <is>
          <t>2014-2015</t>
        </is>
      </c>
      <c r="G300" s="113" t="inlineStr">
        <is>
          <t>新目标</t>
        </is>
      </c>
      <c r="H300" s="113" t="inlineStr">
        <is>
          <t>涉煤</t>
        </is>
      </c>
      <c r="I300" s="113" t="inlineStr">
        <is>
          <t>行业</t>
        </is>
      </c>
      <c r="J300" s="113" t="inlineStr">
        <is>
          <t>完成3亿千瓦燃煤机组脱硝改造</t>
        </is>
      </c>
      <c r="K300" s="113" t="inlineStr">
        <is>
          <t>AP1404.htm</t>
        </is>
      </c>
      <c r="L300" s="113" t="inlineStr">
        <is>
          <t>能源|电力</t>
        </is>
      </c>
      <c r="M300" s="113" t="inlineStr">
        <is>
          <t>煤电</t>
        </is>
      </c>
    </row>
    <row r="301" ht="18" customHeight="1" s="235">
      <c r="A301" s="113" t="n">
        <v>2012</v>
      </c>
      <c r="B301" s="113" t="inlineStr">
        <is>
          <t>燃煤机组脱硝效率</t>
        </is>
      </c>
      <c r="C301" s="113" t="inlineStr">
        <is>
          <t>达到</t>
        </is>
      </c>
      <c r="D301" s="113" t="inlineStr">
        <is>
          <t>75%</t>
        </is>
      </c>
      <c r="E301" s="113" t="n"/>
      <c r="F301" s="114" t="inlineStr">
        <is>
          <t>2015</t>
        </is>
      </c>
      <c r="G301" s="113" t="inlineStr">
        <is>
          <t>新目标</t>
        </is>
      </c>
      <c r="H301" s="113" t="inlineStr">
        <is>
          <t>涉煤</t>
        </is>
      </c>
      <c r="I301" s="113" t="inlineStr">
        <is>
          <t>行业</t>
        </is>
      </c>
      <c r="J301" s="113" t="inlineStr">
        <is>
          <t>到2015年，综合脱硝效率达到75%以上。</t>
        </is>
      </c>
      <c r="K301" s="113" t="inlineStr">
        <is>
          <t>FYP1201.htm</t>
        </is>
      </c>
      <c r="L301" s="113" t="inlineStr">
        <is>
          <t>能源|电力</t>
        </is>
      </c>
      <c r="M301" s="113" t="inlineStr">
        <is>
          <t>煤电</t>
        </is>
      </c>
    </row>
    <row r="302" ht="18" customHeight="1" s="235">
      <c r="A302" s="113" t="n">
        <v>2012</v>
      </c>
      <c r="B302" s="113" t="inlineStr">
        <is>
          <t>燃煤机组脱硫效率</t>
        </is>
      </c>
      <c r="C302" s="113" t="inlineStr">
        <is>
          <t>达到</t>
        </is>
      </c>
      <c r="D302" s="113" t="inlineStr">
        <is>
          <t>95%</t>
        </is>
      </c>
      <c r="E302" s="113" t="n"/>
      <c r="F302" s="114" t="inlineStr">
        <is>
          <t>2015</t>
        </is>
      </c>
      <c r="G302" s="113" t="inlineStr">
        <is>
          <t>新目标</t>
        </is>
      </c>
      <c r="H302" s="113" t="inlineStr">
        <is>
          <t>涉煤</t>
        </is>
      </c>
      <c r="I302" s="113" t="inlineStr">
        <is>
          <t>行业</t>
        </is>
      </c>
      <c r="J302" s="113" t="inlineStr">
        <is>
          <t>到2015年，燃煤机组脱硫效率达到95%。</t>
        </is>
      </c>
      <c r="K302" s="113" t="inlineStr">
        <is>
          <t>FYP1201.htm</t>
        </is>
      </c>
      <c r="L302" s="113" t="inlineStr">
        <is>
          <t>能源|电力</t>
        </is>
      </c>
      <c r="M302" s="113" t="inlineStr">
        <is>
          <t>煤电</t>
        </is>
      </c>
    </row>
    <row r="303" ht="18" customHeight="1" s="235">
      <c r="A303" s="113" t="n">
        <v>2014</v>
      </c>
      <c r="B303" s="113" t="inlineStr">
        <is>
          <t>燃煤机组装机容量超过1.5亿千瓦的改造</t>
        </is>
      </c>
      <c r="C303" s="113" t="inlineStr">
        <is>
          <t>完成</t>
        </is>
      </c>
      <c r="D303" s="113" t="inlineStr">
        <is>
          <t>100%</t>
        </is>
      </c>
      <c r="E303" s="113" t="n"/>
      <c r="F303" s="114" t="inlineStr">
        <is>
          <t>2020</t>
        </is>
      </c>
      <c r="G303" s="113" t="inlineStr">
        <is>
          <t>新目标</t>
        </is>
      </c>
      <c r="H303" s="113" t="inlineStr">
        <is>
          <t>涉煤</t>
        </is>
      </c>
      <c r="I303" s="113" t="inlineStr">
        <is>
          <t>行业</t>
        </is>
      </c>
      <c r="J303" s="113" t="inlineStr">
        <is>
          <t>力争2020年前完成改造机组容量1.5亿千瓦以上。</t>
        </is>
      </c>
      <c r="K303" s="113" t="inlineStr">
        <is>
          <t>AP1403.htm</t>
        </is>
      </c>
      <c r="L303" s="113" t="inlineStr">
        <is>
          <t>能源|电力</t>
        </is>
      </c>
      <c r="M303" s="113" t="inlineStr">
        <is>
          <t>煤电</t>
        </is>
      </c>
    </row>
    <row r="304" ht="18" customHeight="1" s="235">
      <c r="A304" s="113" t="n">
        <v>2014</v>
      </c>
      <c r="B304" s="113" t="inlineStr">
        <is>
          <t>燃煤热电机组装机容量</t>
        </is>
      </c>
      <c r="C304" s="113" t="inlineStr">
        <is>
          <t>占比达到</t>
        </is>
      </c>
      <c r="D304" s="113" t="inlineStr">
        <is>
          <t>28%</t>
        </is>
      </c>
      <c r="E304" s="113" t="n"/>
      <c r="F304" s="114" t="inlineStr">
        <is>
          <t>2020</t>
        </is>
      </c>
      <c r="G304" s="113" t="inlineStr">
        <is>
          <t>新目标</t>
        </is>
      </c>
      <c r="H304" s="113" t="inlineStr">
        <is>
          <t>涉煤</t>
        </is>
      </c>
      <c r="I304" s="113" t="inlineStr">
        <is>
          <t>全社会经济</t>
        </is>
      </c>
      <c r="J304" s="113" t="inlineStr">
        <is>
          <t>到2020年，燃煤热电机组装机容量占煤电总装机容量比重力争达到28%。</t>
        </is>
      </c>
      <c r="K304" s="113" t="inlineStr">
        <is>
          <t>AP1403.htm</t>
        </is>
      </c>
      <c r="L304" s="113" t="inlineStr">
        <is>
          <t>能源|电力</t>
        </is>
      </c>
      <c r="M304" s="113" t="inlineStr">
        <is>
          <t>煤电</t>
        </is>
      </c>
    </row>
    <row r="305" ht="18" customHeight="1" s="235">
      <c r="A305" s="113" t="n">
        <v>2016</v>
      </c>
      <c r="B305" s="113" t="inlineStr">
        <is>
          <t>燃煤电厂超低排放改造机组容量</t>
        </is>
      </c>
      <c r="C305" s="113" t="inlineStr">
        <is>
          <t>完成</t>
        </is>
      </c>
      <c r="D305" s="113" t="inlineStr">
        <is>
          <t>5.8亿千瓦</t>
        </is>
      </c>
      <c r="E305" s="113" t="n"/>
      <c r="F305" s="114" t="inlineStr">
        <is>
          <t>2016-2020</t>
        </is>
      </c>
      <c r="G305" s="113" t="inlineStr">
        <is>
          <t>强化或放宽目标（积极气候影响）</t>
        </is>
      </c>
      <c r="H305" s="113" t="inlineStr">
        <is>
          <t>涉煤</t>
        </is>
      </c>
      <c r="I305" s="113" t="inlineStr">
        <is>
          <t>全社会经济</t>
        </is>
      </c>
      <c r="J305" s="113" t="inlineStr">
        <is>
          <t>到2020年，累计完成5.8亿千瓦燃煤机组超低排放改造任务。</t>
        </is>
      </c>
      <c r="K305" s="113" t="inlineStr">
        <is>
          <t>FYP1601.htm</t>
        </is>
      </c>
      <c r="L305" s="113" t="inlineStr">
        <is>
          <t>能源|电力</t>
        </is>
      </c>
      <c r="M305" s="113" t="inlineStr">
        <is>
          <t>煤电</t>
        </is>
      </c>
    </row>
    <row r="306" ht="18" customHeight="1" s="235">
      <c r="A306" s="113" t="n">
        <v>2004</v>
      </c>
      <c r="B306" s="113" t="inlineStr">
        <is>
          <t>燃煤窑炉效率</t>
        </is>
      </c>
      <c r="C306" s="113" t="inlineStr">
        <is>
          <t>提高</t>
        </is>
      </c>
      <c r="D306" s="113" t="inlineStr">
        <is>
          <t>2个百分点</t>
        </is>
      </c>
      <c r="E306" s="113" t="n"/>
      <c r="F306" s="114" t="inlineStr">
        <is>
          <t>十一五</t>
        </is>
      </c>
      <c r="G306" s="113" t="inlineStr">
        <is>
          <t>新目标</t>
        </is>
      </c>
      <c r="H306" s="113" t="inlineStr">
        <is>
          <t>涉煤</t>
        </is>
      </c>
      <c r="I306" s="113" t="inlineStr">
        <is>
          <t>行业</t>
        </is>
      </c>
      <c r="J306" s="113" t="inlineStr">
        <is>
          <t>“十一五”期间，通过实施以燃用优质煤、筛选块煤、固硫型煤和采用循环流化床、粉煤燃烧等先进技术改造或替代现有中小燃煤锅炉（窑炉），建立科学的管理和运行机制，燃煤窑炉效率提高2个百分点，节煤1000万吨。</t>
        </is>
      </c>
      <c r="K306" s="113" t="inlineStr">
        <is>
          <t>MLT0401.pdf</t>
        </is>
      </c>
      <c r="L306" s="113" t="inlineStr">
        <is>
          <t>能源|电力</t>
        </is>
      </c>
      <c r="M306" s="113" t="inlineStr">
        <is>
          <t>煤电</t>
        </is>
      </c>
    </row>
    <row r="307" ht="18" customHeight="1" s="235">
      <c r="A307" s="113" t="n">
        <v>2014</v>
      </c>
      <c r="B307" s="113" t="inlineStr">
        <is>
          <t>现役60万千瓦及以上机组（除空冷机组外）改造后平均供电煤耗</t>
        </is>
      </c>
      <c r="C307" s="113" t="inlineStr">
        <is>
          <t>低于</t>
        </is>
      </c>
      <c r="D307" s="113" t="inlineStr">
        <is>
          <t>低于300克标准煤/千瓦时</t>
        </is>
      </c>
      <c r="E307" s="113" t="n"/>
      <c r="F307" s="114" t="inlineStr">
        <is>
          <t>2020</t>
        </is>
      </c>
      <c r="G307" s="113" t="inlineStr">
        <is>
          <t>新目标</t>
        </is>
      </c>
      <c r="H307" s="113" t="inlineStr">
        <is>
          <t>涉煤</t>
        </is>
      </c>
      <c r="I307" s="113" t="inlineStr">
        <is>
          <t>行业</t>
        </is>
      </c>
      <c r="J307" s="113" t="inlineStr">
        <is>
          <t>到2020年，现役燃煤发电机组改造后平均供电煤耗低于310克/千瓦时，其中现役60万千瓦及以上机组（除空冷机组外）改造后平均供电煤耗低于300克/千瓦时。</t>
        </is>
      </c>
      <c r="K307" s="113" t="inlineStr">
        <is>
          <t>AP1403.htm</t>
        </is>
      </c>
      <c r="L307" s="113" t="inlineStr">
        <is>
          <t>能源|电力</t>
        </is>
      </c>
      <c r="M307" s="113" t="inlineStr">
        <is>
          <t>煤电</t>
        </is>
      </c>
    </row>
    <row r="308" ht="18" customHeight="1" s="235">
      <c r="A308" s="113" t="n">
        <v>2014</v>
      </c>
      <c r="B308" s="113" t="inlineStr">
        <is>
          <t>现役燃煤发电机组改造后平均供电煤耗</t>
        </is>
      </c>
      <c r="C308" s="113" t="inlineStr">
        <is>
          <t>低于</t>
        </is>
      </c>
      <c r="D308" s="113" t="inlineStr">
        <is>
          <t>310克标准煤/千瓦时</t>
        </is>
      </c>
      <c r="E308" s="113" t="n"/>
      <c r="F308" s="114" t="inlineStr">
        <is>
          <t>2020</t>
        </is>
      </c>
      <c r="G308" s="113" t="inlineStr">
        <is>
          <t>新目标</t>
        </is>
      </c>
      <c r="H308" s="113" t="inlineStr">
        <is>
          <t>涉煤</t>
        </is>
      </c>
      <c r="I308" s="113" t="inlineStr">
        <is>
          <t>行业</t>
        </is>
      </c>
      <c r="J308" s="113" t="inlineStr">
        <is>
          <t>到2020年，现役燃煤发电机组改造后平均供电煤耗低于310克/千瓦时。</t>
        </is>
      </c>
      <c r="K308" s="113" t="inlineStr">
        <is>
          <t>AP1403.htm</t>
        </is>
      </c>
      <c r="L308" s="113" t="inlineStr">
        <is>
          <t>能源|电力</t>
        </is>
      </c>
      <c r="M308" s="113" t="inlineStr">
        <is>
          <t>煤电</t>
        </is>
      </c>
    </row>
    <row r="309" ht="18" customHeight="1" s="235">
      <c r="A309" s="113" t="n">
        <v>2019</v>
      </c>
      <c r="B309" s="113" t="inlineStr">
        <is>
          <t>生物质发电装机容量</t>
        </is>
      </c>
      <c r="C309" s="113" t="inlineStr">
        <is>
          <t>提高至</t>
        </is>
      </c>
      <c r="D309" s="113" t="inlineStr">
        <is>
          <t>1500万千瓦</t>
        </is>
      </c>
      <c r="E309" s="113" t="n"/>
      <c r="F309" s="114" t="inlineStr">
        <is>
          <t>2020</t>
        </is>
      </c>
      <c r="G309" s="113" t="inlineStr">
        <is>
          <t>新目标</t>
        </is>
      </c>
      <c r="H309" s="113" t="inlineStr">
        <is>
          <t>可再生能源</t>
        </is>
      </c>
      <c r="I309" s="113" t="inlineStr">
        <is>
          <t>全社会经济</t>
        </is>
      </c>
      <c r="J309" s="113" t="inlineStr">
        <is>
          <t>到2020年，中国力争将生物质发电装机容量提高到1500万千瓦。</t>
        </is>
      </c>
      <c r="K309" s="113" t="inlineStr">
        <is>
          <t>HL1902.pdf</t>
        </is>
      </c>
      <c r="L309" s="113" t="inlineStr">
        <is>
          <t>能源|电力</t>
        </is>
      </c>
      <c r="M309" s="113" t="inlineStr">
        <is>
          <t>电力供应</t>
        </is>
      </c>
    </row>
    <row r="310" ht="18" customHeight="1" s="235">
      <c r="A310" s="113" t="n">
        <v>2013</v>
      </c>
      <c r="B310" s="113" t="inlineStr">
        <is>
          <t>生物质发电装机容量</t>
        </is>
      </c>
      <c r="C310" s="113" t="inlineStr">
        <is>
          <t>达到</t>
        </is>
      </c>
      <c r="D310" s="113" t="inlineStr">
        <is>
          <t>1300万千瓦</t>
        </is>
      </c>
      <c r="E310" s="113" t="n"/>
      <c r="F310" s="114" t="inlineStr">
        <is>
          <t>2015</t>
        </is>
      </c>
      <c r="G310" s="113" t="inlineStr">
        <is>
          <t>重申目标</t>
        </is>
      </c>
      <c r="H310" s="113" t="inlineStr">
        <is>
          <t>可再生能源</t>
        </is>
      </c>
      <c r="I310" s="113" t="inlineStr">
        <is>
          <t>全社会经济</t>
        </is>
      </c>
      <c r="J310" s="113" t="inlineStr">
        <is>
          <t>到2015年，生物质发电装机容量达到1300万千瓦。</t>
        </is>
      </c>
      <c r="K310" s="113" t="inlineStr">
        <is>
          <t>DP1301.htm</t>
        </is>
      </c>
      <c r="L310" s="113" t="inlineStr">
        <is>
          <t>能源|电力</t>
        </is>
      </c>
      <c r="M310" s="113" t="inlineStr">
        <is>
          <t>电力供应</t>
        </is>
      </c>
    </row>
    <row r="311" ht="18" customHeight="1" s="235">
      <c r="A311" s="113" t="n">
        <v>2013</v>
      </c>
      <c r="B311" s="113" t="inlineStr">
        <is>
          <t>生物质发电装机规模</t>
        </is>
      </c>
      <c r="C311" s="113" t="inlineStr">
        <is>
          <t>达到</t>
        </is>
      </c>
      <c r="D311" s="113" t="inlineStr">
        <is>
          <t>1300万千瓦</t>
        </is>
      </c>
      <c r="E311" s="113" t="n"/>
      <c r="F311" s="114" t="inlineStr">
        <is>
          <t>2015</t>
        </is>
      </c>
      <c r="G311" s="113" t="inlineStr">
        <is>
          <t>新目标</t>
        </is>
      </c>
      <c r="H311" s="113" t="inlineStr">
        <is>
          <t>可再生能源</t>
        </is>
      </c>
      <c r="I311" s="113" t="inlineStr">
        <is>
          <t>全社会经济</t>
        </is>
      </c>
      <c r="J311" s="113" t="inlineStr">
        <is>
          <t>到2015年，生物质能发电装机规模达到1300万千瓦。</t>
        </is>
      </c>
      <c r="K311" s="113" t="inlineStr">
        <is>
          <t>FYP1302.htm</t>
        </is>
      </c>
      <c r="L311" s="113" t="inlineStr">
        <is>
          <t>能源|电力</t>
        </is>
      </c>
      <c r="M311" s="113" t="inlineStr">
        <is>
          <t>电力供应</t>
        </is>
      </c>
    </row>
    <row r="312" ht="18" customHeight="1" s="235">
      <c r="A312" s="113" t="n">
        <v>2019</v>
      </c>
      <c r="B312" s="113" t="inlineStr">
        <is>
          <t>用于发电的煤炭消费占煤炭消费总量的比重</t>
        </is>
      </c>
      <c r="C312" s="113" t="inlineStr">
        <is>
          <t>提高至</t>
        </is>
      </c>
      <c r="D312" s="113" t="inlineStr">
        <is>
          <t>55%</t>
        </is>
      </c>
      <c r="E312" s="113" t="n"/>
      <c r="F312" s="114" t="inlineStr">
        <is>
          <t>2020</t>
        </is>
      </c>
      <c r="G312" s="113" t="inlineStr">
        <is>
          <t>强化或放宽目标（气候影响不明确）</t>
        </is>
      </c>
      <c r="H312" s="113" t="inlineStr">
        <is>
          <t>涉煤</t>
        </is>
      </c>
      <c r="I312" s="113" t="inlineStr">
        <is>
          <t>全社会经济</t>
        </is>
      </c>
      <c r="J312" s="113" t="inlineStr">
        <is>
          <t>中国计划到2020年，将用于发电的煤炭消费占煤炭消费总量的比重提高至55%以上。</t>
        </is>
      </c>
      <c r="K312" s="113" t="inlineStr">
        <is>
          <t>HL1902.pdf</t>
        </is>
      </c>
      <c r="L312" s="113" t="inlineStr">
        <is>
          <t>能源|电力</t>
        </is>
      </c>
      <c r="M312" s="113" t="inlineStr">
        <is>
          <t>煤电</t>
        </is>
      </c>
    </row>
    <row r="313" ht="18" customHeight="1" s="235">
      <c r="A313" s="113" t="n">
        <v>2018</v>
      </c>
      <c r="B313" s="113" t="inlineStr">
        <is>
          <t>电力系统调节能力</t>
        </is>
      </c>
      <c r="C313" s="113" t="inlineStr">
        <is>
          <t>提高</t>
        </is>
      </c>
      <c r="D313" s="113" t="inlineStr">
        <is>
          <t>4600万千瓦</t>
        </is>
      </c>
      <c r="E313" s="113" t="n"/>
      <c r="F313" s="114" t="inlineStr">
        <is>
          <t>十三五</t>
        </is>
      </c>
      <c r="G313" s="113" t="inlineStr">
        <is>
          <t>新目标</t>
        </is>
      </c>
      <c r="H313" s="113" t="inlineStr">
        <is>
          <t>可再生能源</t>
        </is>
      </c>
      <c r="I313" s="113" t="inlineStr">
        <is>
          <t>全社会经济</t>
        </is>
      </c>
      <c r="J313" s="113" t="inlineStr">
        <is>
          <t>“十三五”期间，提升电力系统调节能力4600万千瓦。</t>
        </is>
      </c>
      <c r="K313" s="113" t="inlineStr">
        <is>
          <t>GO1801.htm</t>
        </is>
      </c>
      <c r="L313" s="113" t="inlineStr">
        <is>
          <t>能源|电力</t>
        </is>
      </c>
      <c r="M313" s="113" t="inlineStr">
        <is>
          <t>电力传输/能源运输</t>
        </is>
      </c>
    </row>
    <row r="314" ht="18" customHeight="1" s="235">
      <c r="A314" s="113" t="n">
        <v>2014</v>
      </c>
      <c r="B314" s="113" t="inlineStr">
        <is>
          <t>电煤占煤炭消费比重</t>
        </is>
      </c>
      <c r="C314" s="113" t="inlineStr">
        <is>
          <t>提高至</t>
        </is>
      </c>
      <c r="D314" s="113" t="inlineStr">
        <is>
          <t>60%以上</t>
        </is>
      </c>
      <c r="E314" s="113" t="n"/>
      <c r="F314" s="114" t="inlineStr">
        <is>
          <t>2020</t>
        </is>
      </c>
      <c r="G314" s="113" t="inlineStr">
        <is>
          <t>新目标</t>
        </is>
      </c>
      <c r="H314" s="113" t="inlineStr">
        <is>
          <t>涉煤</t>
        </is>
      </c>
      <c r="I314" s="113" t="inlineStr">
        <is>
          <t>全社会经济</t>
        </is>
      </c>
      <c r="J314" s="113" t="inlineStr">
        <is>
          <t>在执行更严格能效环保标准的前提下，到2020年，力争使电煤占煤炭消费比重提高到60%以上。</t>
        </is>
      </c>
      <c r="K314" s="113" t="inlineStr">
        <is>
          <t>AP1403.htm</t>
        </is>
      </c>
      <c r="L314" s="113" t="inlineStr">
        <is>
          <t>能源|电力</t>
        </is>
      </c>
      <c r="M314" s="113" t="inlineStr">
        <is>
          <t>煤电</t>
        </is>
      </c>
    </row>
    <row r="315" ht="18" customHeight="1" s="235">
      <c r="A315" s="113" t="n">
        <v>2016</v>
      </c>
      <c r="B315" s="113" t="inlineStr">
        <is>
          <t>电煤占煤炭消费比重</t>
        </is>
      </c>
      <c r="C315" s="113" t="inlineStr">
        <is>
          <t>提高</t>
        </is>
      </c>
      <c r="D315" s="113" t="inlineStr">
        <is>
          <t>约1.9%</t>
        </is>
      </c>
      <c r="E315" s="113" t="n"/>
      <c r="F315" s="114" t="inlineStr">
        <is>
          <t>2014-2016</t>
        </is>
      </c>
      <c r="G315" s="113" t="inlineStr">
        <is>
          <t>新目标</t>
        </is>
      </c>
      <c r="H315" s="113" t="inlineStr">
        <is>
          <t>涉煤</t>
        </is>
      </c>
      <c r="I315" s="113" t="inlineStr">
        <is>
          <t>全社会经济</t>
        </is>
      </c>
      <c r="J315" s="113" t="inlineStr">
        <is>
          <t>2016—2020年，带动电煤占煤炭消费比重提高约1.9%</t>
        </is>
      </c>
      <c r="K315" s="113" t="inlineStr">
        <is>
          <t>GO1603.htm</t>
        </is>
      </c>
      <c r="L315" s="113" t="inlineStr">
        <is>
          <t>能源|电力</t>
        </is>
      </c>
      <c r="M315" s="113" t="inlineStr">
        <is>
          <t>煤电</t>
        </is>
      </c>
    </row>
    <row r="316" ht="18" customHeight="1" s="235">
      <c r="A316" s="113" t="n">
        <v>2016</v>
      </c>
      <c r="B316" s="113" t="inlineStr">
        <is>
          <t>电煤占煤炭消费量比重</t>
        </is>
      </c>
      <c r="C316" s="113" t="inlineStr">
        <is>
          <t>提高至</t>
        </is>
      </c>
      <c r="D316" s="113" t="inlineStr">
        <is>
          <t>55%以上</t>
        </is>
      </c>
      <c r="E316" s="113" t="n"/>
      <c r="F316" s="114" t="inlineStr">
        <is>
          <t>2020</t>
        </is>
      </c>
      <c r="G316" s="113" t="inlineStr">
        <is>
          <t>重申目标</t>
        </is>
      </c>
      <c r="H316" s="113" t="inlineStr">
        <is>
          <t>涉煤</t>
        </is>
      </c>
      <c r="I316" s="113" t="inlineStr">
        <is>
          <t>行业</t>
        </is>
      </c>
      <c r="J316" s="113" t="inlineStr">
        <is>
          <t>到2020年，电煤占煤炭消费量比重提高到55%以上。</t>
        </is>
      </c>
      <c r="K316" s="113" t="inlineStr">
        <is>
          <t>FYP1601.htm</t>
        </is>
      </c>
      <c r="L316" s="113" t="inlineStr">
        <is>
          <t>能源|电力</t>
        </is>
      </c>
      <c r="M316" s="113" t="inlineStr">
        <is>
          <t>煤电</t>
        </is>
      </c>
    </row>
    <row r="317" ht="18" customHeight="1" s="235">
      <c r="A317" s="113" t="n">
        <v>2024</v>
      </c>
      <c r="B317" s="113" t="inlineStr">
        <is>
          <t>电站锅炉平均运行热效率</t>
        </is>
      </c>
      <c r="C317" s="113" t="inlineStr">
        <is>
          <t>提高</t>
        </is>
      </c>
      <c r="D317" s="113" t="inlineStr">
        <is>
          <t>0.5个百分点</t>
        </is>
      </c>
      <c r="E317" s="113" t="n">
        <v>2021</v>
      </c>
      <c r="F317" s="114" t="n">
        <v>2025</v>
      </c>
      <c r="G317" s="113" t="inlineStr">
        <is>
          <t>新目标</t>
        </is>
      </c>
      <c r="H317" s="113" t="inlineStr">
        <is>
          <t>涉煤</t>
        </is>
      </c>
      <c r="I317" s="113" t="inlineStr">
        <is>
          <t>行业</t>
        </is>
      </c>
      <c r="J317" s="113" t="inlineStr">
        <is>
          <t>与2021年相比，2025年电站锅炉平均运行热效率提高0.5个百分点以上。</t>
        </is>
      </c>
      <c r="K317" s="113" t="inlineStr">
        <is>
          <t>AP2405.htm</t>
        </is>
      </c>
      <c r="L317" s="113" t="inlineStr">
        <is>
          <t>能源|电力</t>
        </is>
      </c>
      <c r="M317" s="113" t="inlineStr">
        <is>
          <t>煤电</t>
        </is>
      </c>
    </row>
    <row r="318" ht="18" customHeight="1" s="235">
      <c r="A318" s="113" t="n">
        <v>2013</v>
      </c>
      <c r="B318" s="113" t="inlineStr">
        <is>
          <t>电网综合线损率</t>
        </is>
      </c>
      <c r="C318" s="113" t="inlineStr">
        <is>
          <t>降低至</t>
        </is>
      </c>
      <c r="D318" s="113" t="inlineStr">
        <is>
          <t>6.3%</t>
        </is>
      </c>
      <c r="E318" s="113" t="n"/>
      <c r="F318" s="114" t="inlineStr">
        <is>
          <t>2015</t>
        </is>
      </c>
      <c r="G318" s="113" t="inlineStr">
        <is>
          <t>新目标</t>
        </is>
      </c>
      <c r="H318" s="113" t="inlineStr">
        <is>
          <t>能源效率</t>
        </is>
      </c>
      <c r="I318" s="113" t="inlineStr">
        <is>
          <t>全社会经济</t>
        </is>
      </c>
      <c r="J318" s="113" t="inlineStr">
        <is>
          <t>到2015年，电网综合线损率降至6.3%。</t>
        </is>
      </c>
      <c r="K318" s="113" t="inlineStr">
        <is>
          <t>FYP1302.htm</t>
        </is>
      </c>
      <c r="L318" s="113" t="inlineStr">
        <is>
          <t>能源|电力</t>
        </is>
      </c>
      <c r="M318" s="113" t="inlineStr">
        <is>
          <t>电力传输/能源运输</t>
        </is>
      </c>
    </row>
    <row r="319" ht="18" customHeight="1" s="235">
      <c r="A319" s="113" t="n">
        <v>2018</v>
      </c>
      <c r="B319" s="113" t="inlineStr">
        <is>
          <t>电能占终端能源消费比重</t>
        </is>
      </c>
      <c r="C319" s="113" t="inlineStr">
        <is>
          <t>提高至</t>
        </is>
      </c>
      <c r="D319" s="113" t="inlineStr">
        <is>
          <t>27%</t>
        </is>
      </c>
      <c r="E319" s="113" t="n"/>
      <c r="F319" s="114" t="inlineStr">
        <is>
          <t>2020</t>
        </is>
      </c>
      <c r="G319" s="113" t="inlineStr">
        <is>
          <t>重申目标</t>
        </is>
      </c>
      <c r="H319" s="113" t="inlineStr">
        <is>
          <t>电气化</t>
        </is>
      </c>
      <c r="I319" s="113" t="inlineStr">
        <is>
          <t>全社会经济</t>
        </is>
      </c>
      <c r="J319" s="113" t="inlineStr">
        <is>
          <t>到2020年，电能占终端能源消费的比重上升至27%。</t>
        </is>
      </c>
      <c r="K319" s="113" t="inlineStr">
        <is>
          <t>GO1801.htm</t>
        </is>
      </c>
      <c r="L319" s="113" t="inlineStr">
        <is>
          <t>能源|电力</t>
        </is>
      </c>
      <c r="M319" s="113" t="inlineStr">
        <is>
          <t>能源消费</t>
        </is>
      </c>
    </row>
    <row r="320" ht="18" customHeight="1" s="235">
      <c r="A320" s="113" t="n">
        <v>2023</v>
      </c>
      <c r="B320" s="113" t="inlineStr">
        <is>
          <t>电能占终端能源消费比重</t>
        </is>
      </c>
      <c r="C320" s="113" t="inlineStr">
        <is>
          <t>占比达到</t>
        </is>
      </c>
      <c r="D320" s="113" t="inlineStr">
        <is>
          <t>30%</t>
        </is>
      </c>
      <c r="E320" s="113" t="n"/>
      <c r="F320" s="114" t="inlineStr">
        <is>
          <t>2025</t>
        </is>
      </c>
      <c r="G320" s="113" t="inlineStr">
        <is>
          <t>新目标</t>
        </is>
      </c>
      <c r="H320" s="113" t="inlineStr">
        <is>
          <t>电气化</t>
        </is>
      </c>
      <c r="I320" s="113" t="inlineStr">
        <is>
          <t>全社会经济</t>
        </is>
      </c>
      <c r="J320" s="113" t="inlineStr">
        <is>
          <t>到2025年，电能占终端能源消费比重达30%左右。</t>
        </is>
      </c>
      <c r="K320" s="113" t="inlineStr">
        <is>
          <t>AP2304.htm</t>
        </is>
      </c>
      <c r="L320" s="113" t="inlineStr">
        <is>
          <t>能源|电力</t>
        </is>
      </c>
      <c r="M320" s="113" t="inlineStr">
        <is>
          <t>能源消费</t>
        </is>
      </c>
    </row>
    <row r="321" ht="18" customHeight="1" s="235">
      <c r="A321" s="113" t="n">
        <v>2016</v>
      </c>
      <c r="B321" s="113" t="inlineStr">
        <is>
          <t>电能占终端能源消费比重</t>
        </is>
      </c>
      <c r="C321" s="113" t="inlineStr">
        <is>
          <t>提高</t>
        </is>
      </c>
      <c r="D321" s="113" t="inlineStr">
        <is>
          <t>1.5个百分点</t>
        </is>
      </c>
      <c r="E321" s="113" t="n">
        <v>2016</v>
      </c>
      <c r="F321" s="114" t="n">
        <v>2020</v>
      </c>
      <c r="G321" s="113" t="inlineStr">
        <is>
          <t>新目标</t>
        </is>
      </c>
      <c r="H321" s="113" t="inlineStr">
        <is>
          <t>电气化</t>
        </is>
      </c>
      <c r="I321" s="113" t="inlineStr">
        <is>
          <t>全社会经济</t>
        </is>
      </c>
      <c r="J321" s="113" t="inlineStr">
        <is>
          <t>2016—2020年，电能占终端能源消费比重提高约1.5%。</t>
        </is>
      </c>
      <c r="K321" s="113" t="inlineStr">
        <is>
          <t>GO1603.htm</t>
        </is>
      </c>
      <c r="L321" s="113" t="inlineStr">
        <is>
          <t>能源|电力</t>
        </is>
      </c>
      <c r="M321" s="113" t="inlineStr">
        <is>
          <t>能源消费</t>
        </is>
      </c>
    </row>
    <row r="322" ht="18" customHeight="1" s="235">
      <c r="A322" s="113" t="n">
        <v>2016</v>
      </c>
      <c r="B322" s="113" t="inlineStr">
        <is>
          <t>电能占终端能源消费比重</t>
        </is>
      </c>
      <c r="C322" s="113" t="inlineStr">
        <is>
          <t>达到</t>
        </is>
      </c>
      <c r="D322" s="113" t="inlineStr">
        <is>
          <t>约27%</t>
        </is>
      </c>
      <c r="E322" s="113" t="n"/>
      <c r="F322" s="114" t="inlineStr">
        <is>
          <t>2020</t>
        </is>
      </c>
      <c r="G322" s="113" t="inlineStr">
        <is>
          <t>新目标</t>
        </is>
      </c>
      <c r="H322" s="113" t="inlineStr">
        <is>
          <t>电气化</t>
        </is>
      </c>
      <c r="I322" s="113" t="inlineStr">
        <is>
          <t>全社会经济</t>
        </is>
      </c>
      <c r="J322" s="113" t="inlineStr">
        <is>
          <t>到2020年，电能占终端能源消费比重达到约27%。</t>
        </is>
      </c>
      <c r="K322" s="113" t="inlineStr">
        <is>
          <t>GO1603.htm</t>
        </is>
      </c>
      <c r="L322" s="113" t="inlineStr">
        <is>
          <t>能源|电力</t>
        </is>
      </c>
      <c r="M322" s="113" t="inlineStr">
        <is>
          <t>能源消费</t>
        </is>
      </c>
    </row>
    <row r="323" ht="18" customHeight="1" s="235">
      <c r="A323" s="113" t="n">
        <v>2017</v>
      </c>
      <c r="B323" s="113" t="inlineStr">
        <is>
          <t>电能替代化石能源消费量</t>
        </is>
      </c>
      <c r="C323" s="113" t="inlineStr">
        <is>
          <t>实现</t>
        </is>
      </c>
      <c r="D323" s="113" t="inlineStr">
        <is>
          <t>4500亿千瓦时</t>
        </is>
      </c>
      <c r="E323" s="113" t="n"/>
      <c r="F323" s="114" t="inlineStr">
        <is>
          <t>十三五</t>
        </is>
      </c>
      <c r="G323" s="113" t="inlineStr">
        <is>
          <t>新目标</t>
        </is>
      </c>
      <c r="H323" s="113" t="inlineStr">
        <is>
          <t>电气化</t>
        </is>
      </c>
      <c r="I323" s="113" t="inlineStr">
        <is>
          <t>不明确</t>
        </is>
      </c>
      <c r="J323" s="113" t="inlineStr">
        <is>
          <t>“十三五”期间全国实现电能替代电量4500亿千瓦时。</t>
        </is>
      </c>
      <c r="K323" s="113" t="inlineStr">
        <is>
          <t>IP1702.pdf</t>
        </is>
      </c>
      <c r="L323" s="113" t="inlineStr">
        <is>
          <t>能源|电力</t>
        </is>
      </c>
      <c r="M323" s="113" t="inlineStr">
        <is>
          <t>电力供应</t>
        </is>
      </c>
    </row>
    <row r="324" ht="18" customHeight="1" s="235">
      <c r="A324" s="113" t="n">
        <v>2018</v>
      </c>
      <c r="B324" s="113" t="inlineStr">
        <is>
          <t>电能替代化石能源消费量</t>
        </is>
      </c>
      <c r="C324" s="113" t="inlineStr">
        <is>
          <t>达到</t>
        </is>
      </c>
      <c r="D324" s="113" t="inlineStr">
        <is>
          <t>4500亿千瓦时</t>
        </is>
      </c>
      <c r="E324" s="113" t="n"/>
      <c r="F324" s="114" t="inlineStr">
        <is>
          <t>2020</t>
        </is>
      </c>
      <c r="G324" s="113" t="inlineStr">
        <is>
          <t>重申目标</t>
        </is>
      </c>
      <c r="H324" s="113" t="inlineStr">
        <is>
          <t>电气化</t>
        </is>
      </c>
      <c r="I324" s="113" t="inlineStr">
        <is>
          <t>不明确</t>
        </is>
      </c>
      <c r="J324" s="113" t="inlineStr">
        <is>
          <t>到2020年，电能替代电量达到4500亿千瓦时。</t>
        </is>
      </c>
      <c r="K324" s="113" t="inlineStr">
        <is>
          <t>GO1801.htm</t>
        </is>
      </c>
      <c r="L324" s="113" t="inlineStr">
        <is>
          <t>能源|电力</t>
        </is>
      </c>
      <c r="M324" s="113" t="inlineStr">
        <is>
          <t>电力供应</t>
        </is>
      </c>
    </row>
    <row r="325" ht="18" customHeight="1" s="235">
      <c r="A325" s="113" t="n">
        <v>2022</v>
      </c>
      <c r="B325" s="113" t="inlineStr">
        <is>
          <t>电解铝用能结构中可再生能源占比</t>
        </is>
      </c>
      <c r="C325" s="113" t="inlineStr">
        <is>
          <t>达到</t>
        </is>
      </c>
      <c r="D325" s="113" t="inlineStr">
        <is>
          <t>30%及以上</t>
        </is>
      </c>
      <c r="E325" s="113" t="n"/>
      <c r="F325" s="114" t="inlineStr">
        <is>
          <t>十五五</t>
        </is>
      </c>
      <c r="G325" s="113" t="inlineStr">
        <is>
          <t>新目标</t>
        </is>
      </c>
      <c r="H325" s="113" t="inlineStr">
        <is>
          <t>可再生能源</t>
        </is>
      </c>
      <c r="I325" s="113" t="inlineStr">
        <is>
          <t>行业</t>
        </is>
      </c>
      <c r="J325" s="113" t="inlineStr">
        <is>
          <t>“十五五”期间，有色金属行业用能结构大幅改善，电解铝使用可再生能源比例达到30%以上，绿色低碳循环发展的产业体系基本建立。</t>
        </is>
      </c>
      <c r="K325" s="113" t="inlineStr">
        <is>
          <t>IP2220.htm</t>
        </is>
      </c>
      <c r="L325" s="113" t="inlineStr">
        <is>
          <t>能源|电力</t>
        </is>
      </c>
      <c r="M325" s="113" t="inlineStr">
        <is>
          <t>能源消费</t>
        </is>
      </c>
    </row>
    <row r="326" ht="18" customHeight="1" s="235">
      <c r="A326" s="113" t="n">
        <v>2021</v>
      </c>
      <c r="B326" s="113" t="inlineStr">
        <is>
          <t>省级电网尖峰负荷响应能力</t>
        </is>
      </c>
      <c r="C326" s="113" t="inlineStr">
        <is>
          <t>达到</t>
        </is>
      </c>
      <c r="D326" s="113" t="inlineStr">
        <is>
          <t>5%及以上</t>
        </is>
      </c>
      <c r="E326" s="113" t="n"/>
      <c r="F326" s="114" t="inlineStr">
        <is>
          <t>2030</t>
        </is>
      </c>
      <c r="G326" s="113" t="inlineStr">
        <is>
          <t>新目标</t>
        </is>
      </c>
      <c r="H326" s="113" t="inlineStr">
        <is>
          <t>可再生能源</t>
        </is>
      </c>
      <c r="I326" s="113" t="inlineStr">
        <is>
          <t>不明确</t>
        </is>
      </c>
      <c r="J326" s="113" t="inlineStr">
        <is>
          <t>到2030年，省级电网尖峰负荷响应能力达到5%及以上。</t>
        </is>
      </c>
      <c r="K326" s="113" t="inlineStr">
        <is>
          <t>HL2102.pdf</t>
        </is>
      </c>
      <c r="L326" s="113" t="inlineStr">
        <is>
          <t>能源|电力</t>
        </is>
      </c>
      <c r="M326" s="113" t="inlineStr">
        <is>
          <t>电力传输/能源运输</t>
        </is>
      </c>
    </row>
    <row r="327" ht="18" customHeight="1" s="235">
      <c r="A327" s="113" t="n">
        <v>2016</v>
      </c>
      <c r="B327" s="113" t="inlineStr">
        <is>
          <t>石油新增探明地质储量</t>
        </is>
      </c>
      <c r="C327" s="113" t="inlineStr">
        <is>
          <t>达到</t>
        </is>
      </c>
      <c r="D327" s="113" t="inlineStr">
        <is>
          <t>约50亿吨</t>
        </is>
      </c>
      <c r="E327" s="113" t="n"/>
      <c r="F327" s="114" t="inlineStr">
        <is>
          <t>十三五</t>
        </is>
      </c>
      <c r="G327" s="113" t="inlineStr">
        <is>
          <t>新目标</t>
        </is>
      </c>
      <c r="H327" s="113" t="inlineStr">
        <is>
          <t>过渡能源</t>
        </is>
      </c>
      <c r="I327" s="113" t="inlineStr">
        <is>
          <t>行业</t>
        </is>
      </c>
      <c r="J327" s="113" t="inlineStr">
        <is>
          <t>“十三五”期间，石油新增探明储量约50亿吨，年产量约2亿吨。</t>
        </is>
      </c>
      <c r="K327" s="113" t="inlineStr">
        <is>
          <t>FYP1603.pdf</t>
        </is>
      </c>
      <c r="L327" s="113" t="inlineStr">
        <is>
          <t>能源|电力</t>
        </is>
      </c>
      <c r="M327" s="113" t="inlineStr">
        <is>
          <t>化石燃料储量</t>
        </is>
      </c>
    </row>
    <row r="328" ht="18" customHeight="1" s="235">
      <c r="A328" s="113" t="n">
        <v>2014</v>
      </c>
      <c r="B328" s="113" t="inlineStr">
        <is>
          <t>石油替代能力</t>
        </is>
      </c>
      <c r="C328" s="113" t="inlineStr">
        <is>
          <t>超过</t>
        </is>
      </c>
      <c r="D328" s="113" t="inlineStr">
        <is>
          <t>4000万吨</t>
        </is>
      </c>
      <c r="E328" s="113" t="n"/>
      <c r="F328" s="114" t="inlineStr">
        <is>
          <t>2020</t>
        </is>
      </c>
      <c r="G328" s="113" t="inlineStr">
        <is>
          <t>新目标</t>
        </is>
      </c>
      <c r="H328" s="113" t="inlineStr">
        <is>
          <t>可再生能源</t>
        </is>
      </c>
      <c r="I328" s="113" t="inlineStr">
        <is>
          <t>全社会经济</t>
        </is>
      </c>
      <c r="J328" s="113" t="inlineStr">
        <is>
          <t>到2020年，形成石油替代能力4000万吨以上。</t>
        </is>
      </c>
      <c r="K328" s="113" t="inlineStr">
        <is>
          <t>AP1401.htm</t>
        </is>
      </c>
      <c r="L328" s="113" t="inlineStr">
        <is>
          <t>能源|电力</t>
        </is>
      </c>
      <c r="M328" s="113" t="inlineStr">
        <is>
          <t>能源消费</t>
        </is>
      </c>
    </row>
    <row r="329" ht="18" customHeight="1" s="235">
      <c r="A329" s="113" t="n">
        <v>2026</v>
      </c>
      <c r="B329" s="113" t="inlineStr">
        <is>
          <t>石油消费总量</t>
        </is>
      </c>
      <c r="C329" s="113" t="inlineStr">
        <is>
          <t>达峰</t>
        </is>
      </c>
      <c r="D329" s="113" t="n"/>
      <c r="E329" s="113" t="n"/>
      <c r="F329" s="114" t="inlineStr">
        <is>
          <t>十五五</t>
        </is>
      </c>
      <c r="G329" s="113" t="inlineStr">
        <is>
          <t>新目标</t>
        </is>
      </c>
      <c r="H329" s="113" t="inlineStr">
        <is>
          <t>过渡能源</t>
        </is>
      </c>
      <c r="I329" s="113" t="inlineStr">
        <is>
          <t>全社会经济</t>
        </is>
      </c>
      <c r="J329" s="113" t="inlineStr">
        <is>
          <t>规划将深入推进节能降碳改造和控煤减煤，推动煤炭和石油消费达峰。</t>
        </is>
      </c>
      <c r="K329" s="113" t="inlineStr">
        <is>
          <t>HL2601.pdf</t>
        </is>
      </c>
      <c r="L329" s="113" t="inlineStr">
        <is>
          <t>能源|电力</t>
        </is>
      </c>
      <c r="M329" s="113" t="inlineStr">
        <is>
          <t>电力供应</t>
        </is>
      </c>
    </row>
    <row r="330" ht="18" customHeight="1" s="235">
      <c r="A330" s="113" t="n">
        <v>2013</v>
      </c>
      <c r="B330" s="113" t="inlineStr">
        <is>
          <t>示范地区建筑可再生能源消费量占建筑能耗总量的比例</t>
        </is>
      </c>
      <c r="C330" s="113" t="inlineStr">
        <is>
          <t>达到</t>
        </is>
      </c>
      <c r="D330" s="113" t="inlineStr">
        <is>
          <t>10%</t>
        </is>
      </c>
      <c r="E330" s="113" t="n"/>
      <c r="F330" s="114" t="inlineStr">
        <is>
          <t>2015</t>
        </is>
      </c>
      <c r="G330" s="113" t="inlineStr">
        <is>
          <t>新目标</t>
        </is>
      </c>
      <c r="H330" s="113" t="inlineStr">
        <is>
          <t>可再生能源</t>
        </is>
      </c>
      <c r="I330" s="113" t="inlineStr">
        <is>
          <t>全社会经济</t>
        </is>
      </c>
      <c r="J330" s="113" t="inlineStr">
        <is>
          <t>到2015年末，示范地区建筑可再生能源消费量占建筑能耗总量的比例达到10%以上。</t>
        </is>
      </c>
      <c r="K330" s="113" t="inlineStr">
        <is>
          <t>AP1301.htm</t>
        </is>
      </c>
      <c r="L330" s="113" t="inlineStr">
        <is>
          <t>能源|电力</t>
        </is>
      </c>
      <c r="M330" s="113" t="inlineStr">
        <is>
          <t>能源消费</t>
        </is>
      </c>
    </row>
    <row r="331" ht="18" customHeight="1" s="235">
      <c r="A331" s="113" t="n">
        <v>2016</v>
      </c>
      <c r="B331" s="113" t="inlineStr">
        <is>
          <t>纯凝机组改造</t>
        </is>
      </c>
      <c r="C331" s="113" t="inlineStr">
        <is>
          <t>达到</t>
        </is>
      </c>
      <c r="D331" s="113" t="inlineStr">
        <is>
          <t>8200万千瓦</t>
        </is>
      </c>
      <c r="E331" s="113" t="n"/>
      <c r="F331" s="114" t="inlineStr">
        <is>
          <t>十三五</t>
        </is>
      </c>
      <c r="G331" s="113" t="inlineStr">
        <is>
          <t>新目标</t>
        </is>
      </c>
      <c r="H331" s="113" t="inlineStr">
        <is>
          <t>涉煤</t>
        </is>
      </c>
      <c r="I331" s="113" t="inlineStr">
        <is>
          <t>行业</t>
        </is>
      </c>
      <c r="J331" s="113" t="inlineStr">
        <is>
          <t>“十三五”期间，纯凝机组改造约8200万千瓦。</t>
        </is>
      </c>
      <c r="K331" s="113" t="inlineStr">
        <is>
          <t>FYP1607.pdf</t>
        </is>
      </c>
      <c r="L331" s="113" t="inlineStr">
        <is>
          <t>能源|电力</t>
        </is>
      </c>
      <c r="M331" s="113" t="inlineStr">
        <is>
          <t>煤电</t>
        </is>
      </c>
    </row>
    <row r="332" ht="18" customHeight="1" s="235">
      <c r="A332" s="113" t="n">
        <v>2013</v>
      </c>
      <c r="B332" s="113" t="inlineStr">
        <is>
          <t>绿色能源示范县</t>
        </is>
      </c>
      <c r="C332" s="113" t="inlineStr">
        <is>
          <t>建设</t>
        </is>
      </c>
      <c r="D332" s="113" t="inlineStr">
        <is>
          <t>200个</t>
        </is>
      </c>
      <c r="E332" s="113" t="n"/>
      <c r="F332" s="114" t="inlineStr">
        <is>
          <t>2015</t>
        </is>
      </c>
      <c r="G332" s="113" t="inlineStr">
        <is>
          <t>新目标</t>
        </is>
      </c>
      <c r="H332" s="113" t="inlineStr">
        <is>
          <t>可再生能源</t>
        </is>
      </c>
      <c r="I332" s="113" t="inlineStr">
        <is>
          <t>城市</t>
        </is>
      </c>
      <c r="J332" s="113" t="inlineStr">
        <is>
          <t>到2015年，建成200个绿色能源示范县。</t>
        </is>
      </c>
      <c r="K332" s="113" t="inlineStr">
        <is>
          <t>FYP1302.htm</t>
        </is>
      </c>
      <c r="L332" s="113" t="inlineStr">
        <is>
          <t>能源|电力</t>
        </is>
      </c>
      <c r="M332" s="113" t="inlineStr">
        <is>
          <t>能源消费</t>
        </is>
      </c>
    </row>
    <row r="333" ht="18" customHeight="1" s="235">
      <c r="A333" s="113" t="n">
        <v>2012</v>
      </c>
      <c r="B333" s="113" t="inlineStr">
        <is>
          <t>绿色能源示范县</t>
        </is>
      </c>
      <c r="C333" s="113" t="inlineStr">
        <is>
          <t>发展</t>
        </is>
      </c>
      <c r="D333" s="113" t="inlineStr">
        <is>
          <t>200个</t>
        </is>
      </c>
      <c r="E333" s="113" t="n"/>
      <c r="F333" s="114" t="inlineStr">
        <is>
          <t>2015</t>
        </is>
      </c>
      <c r="G333" s="113" t="inlineStr">
        <is>
          <t>重申目标</t>
        </is>
      </c>
      <c r="H333" s="113" t="inlineStr">
        <is>
          <t>可再生能源</t>
        </is>
      </c>
      <c r="I333" s="113" t="inlineStr">
        <is>
          <t>全社会经济</t>
        </is>
      </c>
      <c r="J333" s="113" t="inlineStr">
        <is>
          <t>大力发展农村可再生能源，因地制宜开展绿色能源示范工程，到2015年建成200个绿色能源示范县、1000个太阳能示范村。</t>
        </is>
      </c>
      <c r="K333" s="113" t="inlineStr">
        <is>
          <t>WP1201.htm</t>
        </is>
      </c>
      <c r="L333" s="113" t="inlineStr">
        <is>
          <t>能源|电力</t>
        </is>
      </c>
      <c r="M333" s="113" t="inlineStr">
        <is>
          <t>能源消费</t>
        </is>
      </c>
    </row>
    <row r="334" ht="18" customHeight="1" s="235">
      <c r="A334" s="113" t="n">
        <v>2013</v>
      </c>
      <c r="B334" s="113" t="inlineStr">
        <is>
          <t>绿色能源示范县</t>
        </is>
      </c>
      <c r="C334" s="113" t="inlineStr">
        <is>
          <t>提高至</t>
        </is>
      </c>
      <c r="D334" s="113" t="inlineStr">
        <is>
          <t>200个</t>
        </is>
      </c>
      <c r="E334" s="113" t="n"/>
      <c r="F334" s="114" t="inlineStr">
        <is>
          <t>2015</t>
        </is>
      </c>
      <c r="G334" s="113" t="inlineStr">
        <is>
          <t>重申目标</t>
        </is>
      </c>
      <c r="H334" s="113" t="inlineStr">
        <is>
          <t>可再生能源</t>
        </is>
      </c>
      <c r="I334" s="113" t="inlineStr">
        <is>
          <t>全社会经济</t>
        </is>
      </c>
      <c r="J334" s="113" t="inlineStr">
        <is>
          <t>到2015年，建成200个绿色能源示范县。</t>
        </is>
      </c>
      <c r="K334" s="113" t="inlineStr">
        <is>
          <t>FYP1302.htm</t>
        </is>
      </c>
      <c r="L334" s="113" t="inlineStr">
        <is>
          <t>能源|电力</t>
        </is>
      </c>
      <c r="M334" s="113" t="inlineStr">
        <is>
          <t>能源消费</t>
        </is>
      </c>
    </row>
    <row r="335" ht="18" customHeight="1" s="235">
      <c r="A335" s="113" t="n">
        <v>2004</v>
      </c>
      <c r="B335" s="113" t="inlineStr">
        <is>
          <t>能源消费总量</t>
        </is>
      </c>
      <c r="C335" s="113" t="inlineStr">
        <is>
          <t>达到</t>
        </is>
      </c>
      <c r="D335" s="113" t="inlineStr">
        <is>
          <t>30亿吨标准煤</t>
        </is>
      </c>
      <c r="E335" s="113" t="n"/>
      <c r="F335" s="114" t="inlineStr">
        <is>
          <t>2020</t>
        </is>
      </c>
      <c r="G335" s="113" t="inlineStr">
        <is>
          <t>重申目标</t>
        </is>
      </c>
      <c r="H335" s="113" t="inlineStr">
        <is>
          <t>能源效率</t>
        </is>
      </c>
      <c r="I335" s="113" t="inlineStr">
        <is>
          <t>全社会经济</t>
        </is>
      </c>
      <c r="J335" s="113" t="inlineStr">
        <is>
          <t>根据中长期能源发展规划，在各项节能措施全面落实的前提下，到2020年能源消费总量将达到30亿吨标准煤。</t>
        </is>
      </c>
      <c r="K335" s="113" t="inlineStr">
        <is>
          <t>MLT0402.pdf</t>
        </is>
      </c>
      <c r="L335" s="113" t="inlineStr">
        <is>
          <t>能源|电力</t>
        </is>
      </c>
      <c r="M335" s="113" t="inlineStr">
        <is>
          <t>能源消费</t>
        </is>
      </c>
    </row>
    <row r="336" ht="18" customHeight="1" s="235">
      <c r="A336" s="113" t="n">
        <v>2013</v>
      </c>
      <c r="B336" s="113" t="inlineStr">
        <is>
          <t>能源消费总量</t>
        </is>
      </c>
      <c r="C336" s="113" t="inlineStr">
        <is>
          <t>提高至</t>
        </is>
      </c>
      <c r="D336" s="113" t="inlineStr">
        <is>
          <t>40亿吨标准煤</t>
        </is>
      </c>
      <c r="E336" s="113" t="n"/>
      <c r="F336" s="114" t="n">
        <v>2015</v>
      </c>
      <c r="G336" s="113" t="inlineStr">
        <is>
          <t>重申目标</t>
        </is>
      </c>
      <c r="H336" s="113" t="inlineStr">
        <is>
          <t>能源效率</t>
        </is>
      </c>
      <c r="I336" s="113" t="inlineStr">
        <is>
          <t>全社会经济</t>
        </is>
      </c>
      <c r="J336" s="113" t="inlineStr">
        <is>
          <t>到2015年，全国一次能源消费总量控制在40亿吨标准煤左右。</t>
        </is>
      </c>
      <c r="K336" s="113" t="inlineStr">
        <is>
          <t>FYP1302.htm</t>
        </is>
      </c>
      <c r="L336" s="113" t="inlineStr">
        <is>
          <t>能源|电力</t>
        </is>
      </c>
      <c r="M336" s="113" t="inlineStr">
        <is>
          <t>能源消费</t>
        </is>
      </c>
    </row>
    <row r="337" ht="18" customHeight="1" s="235">
      <c r="A337" s="113" t="n">
        <v>2016</v>
      </c>
      <c r="B337" s="113" t="inlineStr">
        <is>
          <t>能源消费总量</t>
        </is>
      </c>
      <c r="C337" s="113" t="inlineStr">
        <is>
          <t>控制在…以内</t>
        </is>
      </c>
      <c r="D337" s="113" t="inlineStr">
        <is>
          <t>50亿吨标准煤</t>
        </is>
      </c>
      <c r="E337" s="113" t="n"/>
      <c r="F337" s="114" t="inlineStr">
        <is>
          <t>2020</t>
        </is>
      </c>
      <c r="G337" s="113" t="inlineStr">
        <is>
          <t>重申目标</t>
        </is>
      </c>
      <c r="H337" s="113" t="inlineStr">
        <is>
          <t>能源效率</t>
        </is>
      </c>
      <c r="I337" s="113" t="inlineStr">
        <is>
          <t>全社会经济</t>
        </is>
      </c>
      <c r="J337" s="113" t="inlineStr">
        <is>
          <t>到2020年，能源消费总量控制在50亿吨标准煤以内。</t>
        </is>
      </c>
      <c r="K337" s="113" t="inlineStr">
        <is>
          <t>FYP1615.htm</t>
        </is>
      </c>
      <c r="L337" s="113" t="inlineStr">
        <is>
          <t>能源|电力</t>
        </is>
      </c>
      <c r="M337" s="113" t="inlineStr">
        <is>
          <t>能源消费</t>
        </is>
      </c>
    </row>
    <row r="338" ht="18" customHeight="1" s="235">
      <c r="A338" s="113" t="n">
        <v>2019</v>
      </c>
      <c r="B338" s="113" t="inlineStr">
        <is>
          <t>能源消费总量</t>
        </is>
      </c>
      <c r="C338" s="113" t="inlineStr">
        <is>
          <t>控制在…以内</t>
        </is>
      </c>
      <c r="D338" s="113" t="inlineStr">
        <is>
          <t>50亿吨标准煤</t>
        </is>
      </c>
      <c r="E338" s="113" t="n"/>
      <c r="F338" s="114" t="inlineStr">
        <is>
          <t>2020</t>
        </is>
      </c>
      <c r="G338" s="113" t="inlineStr">
        <is>
          <t>重申目标</t>
        </is>
      </c>
      <c r="H338" s="113" t="inlineStr">
        <is>
          <t>能源效率</t>
        </is>
      </c>
      <c r="I338" s="113" t="inlineStr">
        <is>
          <t>全社会经济</t>
        </is>
      </c>
      <c r="J338" s="113" t="inlineStr">
        <is>
          <t>到2020年，能源消费总量控制在50亿吨标准煤以下</t>
        </is>
      </c>
      <c r="K338" s="113" t="inlineStr">
        <is>
          <t>HL1902.pdf</t>
        </is>
      </c>
      <c r="L338" s="113" t="inlineStr">
        <is>
          <t>能源|电力</t>
        </is>
      </c>
      <c r="M338" s="113" t="inlineStr">
        <is>
          <t>能源消费</t>
        </is>
      </c>
    </row>
    <row r="339" ht="18" customHeight="1" s="235">
      <c r="A339" s="113" t="n">
        <v>2023</v>
      </c>
      <c r="B339" s="113" t="inlineStr">
        <is>
          <t>能源消费总量</t>
        </is>
      </c>
      <c r="C339" s="113" t="inlineStr">
        <is>
          <t>控制在…以内</t>
        </is>
      </c>
      <c r="D339" s="113" t="inlineStr">
        <is>
          <t>50亿吨标准煤</t>
        </is>
      </c>
      <c r="E339" s="113" t="n"/>
      <c r="F339" s="114" t="inlineStr">
        <is>
          <t>2020</t>
        </is>
      </c>
      <c r="G339" s="113" t="inlineStr">
        <is>
          <t>重申目标</t>
        </is>
      </c>
      <c r="H339" s="113" t="inlineStr">
        <is>
          <t>能源效率</t>
        </is>
      </c>
      <c r="I339" s="113" t="inlineStr">
        <is>
          <t>全社会经济</t>
        </is>
      </c>
      <c r="J339" s="113" t="inlineStr">
        <is>
          <t>到2020年，能源消费总量控制在50亿吨标准煤以内</t>
        </is>
      </c>
      <c r="K339" s="113" t="inlineStr">
        <is>
          <t>HL2302.pdf</t>
        </is>
      </c>
      <c r="L339" s="113" t="inlineStr">
        <is>
          <t>能源|电力</t>
        </is>
      </c>
      <c r="M339" s="113" t="inlineStr">
        <is>
          <t>能源消费</t>
        </is>
      </c>
    </row>
    <row r="340" ht="18" customHeight="1" s="235">
      <c r="A340" s="113" t="n">
        <v>2004</v>
      </c>
      <c r="B340" s="113" t="inlineStr">
        <is>
          <t>能源消费总量</t>
        </is>
      </c>
      <c r="C340" s="113" t="inlineStr">
        <is>
          <t>达到</t>
        </is>
      </c>
      <c r="D340" s="113" t="inlineStr">
        <is>
          <t>30亿吨</t>
        </is>
      </c>
      <c r="E340" s="113" t="n"/>
      <c r="F340" s="114" t="inlineStr">
        <is>
          <t>2020</t>
        </is>
      </c>
      <c r="G340" s="113" t="inlineStr">
        <is>
          <t>新目标</t>
        </is>
      </c>
      <c r="H340" s="113" t="inlineStr">
        <is>
          <t>能源效率</t>
        </is>
      </c>
      <c r="I340" s="113" t="inlineStr">
        <is>
          <t>全社会经济</t>
        </is>
      </c>
      <c r="J340" s="113" t="inlineStr">
        <is>
          <t>按照能源中长期发展规划，在充分考虑节能因素的情况下，到2020年能源消费总量需要30亿吨标准煤。</t>
        </is>
      </c>
      <c r="K340" s="113" t="inlineStr">
        <is>
          <t>MLT0401.htm</t>
        </is>
      </c>
      <c r="L340" s="113" t="inlineStr">
        <is>
          <t>能源|电力</t>
        </is>
      </c>
      <c r="M340" s="113" t="inlineStr">
        <is>
          <t>能源消费</t>
        </is>
      </c>
    </row>
    <row r="341" ht="18" customHeight="1" s="235">
      <c r="A341" s="113" t="n">
        <v>2014</v>
      </c>
      <c r="B341" s="113" t="inlineStr">
        <is>
          <t>能源消费总量</t>
        </is>
      </c>
      <c r="C341" s="113" t="inlineStr">
        <is>
          <t>控制在…以内</t>
        </is>
      </c>
      <c r="D341" s="113" t="inlineStr">
        <is>
          <t>48亿吨标准煤</t>
        </is>
      </c>
      <c r="E341" s="113" t="n"/>
      <c r="F341" s="114" t="inlineStr">
        <is>
          <t>2020</t>
        </is>
      </c>
      <c r="G341" s="113" t="inlineStr">
        <is>
          <t>强化或放宽目标（消极气候影响）</t>
        </is>
      </c>
      <c r="H341" s="113" t="inlineStr">
        <is>
          <t>能源效率</t>
        </is>
      </c>
      <c r="I341" s="113" t="inlineStr">
        <is>
          <t>全社会经济</t>
        </is>
      </c>
      <c r="J341" s="113" t="inlineStr">
        <is>
          <t>到2020年，一次能源消费总量控制在48亿吨标准煤左右。</t>
        </is>
      </c>
      <c r="K341" s="113" t="inlineStr">
        <is>
          <t>AP1401.htm</t>
        </is>
      </c>
      <c r="L341" s="113" t="inlineStr">
        <is>
          <t>能源|电力</t>
        </is>
      </c>
      <c r="M341" s="113" t="inlineStr">
        <is>
          <t>能源消费</t>
        </is>
      </c>
    </row>
    <row r="342" ht="18" customHeight="1" s="235">
      <c r="A342" s="113" t="n">
        <v>2016</v>
      </c>
      <c r="B342" s="113" t="inlineStr">
        <is>
          <t>能源消费总量</t>
        </is>
      </c>
      <c r="C342" s="113" t="inlineStr">
        <is>
          <t>控制在…以内</t>
        </is>
      </c>
      <c r="D342" s="113" t="inlineStr">
        <is>
          <t>50亿吨标准煤</t>
        </is>
      </c>
      <c r="E342" s="113" t="n"/>
      <c r="F342" s="114" t="inlineStr">
        <is>
          <t>2020</t>
        </is>
      </c>
      <c r="G342" s="113" t="inlineStr">
        <is>
          <t>强化或放宽目标（消极气候影响）</t>
        </is>
      </c>
      <c r="H342" s="113" t="inlineStr">
        <is>
          <t>能源效率</t>
        </is>
      </c>
      <c r="I342" s="113" t="inlineStr">
        <is>
          <t>全社会经济</t>
        </is>
      </c>
      <c r="J342" s="113" t="inlineStr">
        <is>
          <t>到2020年，全国能源消费总量控制在50亿吨标准煤以内。</t>
        </is>
      </c>
      <c r="K342" s="113" t="inlineStr">
        <is>
          <t>FYP1601.htm</t>
        </is>
      </c>
      <c r="L342" s="113" t="inlineStr">
        <is>
          <t>能源|电力</t>
        </is>
      </c>
      <c r="M342" s="113" t="inlineStr">
        <is>
          <t>能源消费</t>
        </is>
      </c>
    </row>
    <row r="343" ht="18" customHeight="1" s="235">
      <c r="A343" s="113" t="n">
        <v>2013</v>
      </c>
      <c r="B343" s="113" t="inlineStr">
        <is>
          <t>能源综合效率</t>
        </is>
      </c>
      <c r="C343" s="113" t="inlineStr">
        <is>
          <t>提高至</t>
        </is>
      </c>
      <c r="D343" s="113" t="inlineStr">
        <is>
          <t>38%</t>
        </is>
      </c>
      <c r="E343" s="113" t="n"/>
      <c r="F343" s="114" t="inlineStr">
        <is>
          <t>2015</t>
        </is>
      </c>
      <c r="G343" s="113" t="inlineStr">
        <is>
          <t>新目标</t>
        </is>
      </c>
      <c r="H343" s="113" t="inlineStr">
        <is>
          <t>能源效率</t>
        </is>
      </c>
      <c r="I343" s="113" t="inlineStr">
        <is>
          <t>不明确</t>
        </is>
      </c>
      <c r="J343" s="113" t="inlineStr">
        <is>
          <t>到2015年，能源综合效率提高到38%。</t>
        </is>
      </c>
      <c r="K343" s="113" t="inlineStr">
        <is>
          <t>FYP1302.htm</t>
        </is>
      </c>
      <c r="L343" s="113" t="inlineStr">
        <is>
          <t>能源|电力</t>
        </is>
      </c>
      <c r="M343" s="113" t="inlineStr">
        <is>
          <t>能源消费</t>
        </is>
      </c>
    </row>
    <row r="344" ht="18" customHeight="1" s="235">
      <c r="A344" s="113" t="n">
        <v>2007</v>
      </c>
      <c r="B344" s="113" t="inlineStr">
        <is>
          <t>脱硫机组</t>
        </is>
      </c>
      <c r="C344" s="113" t="inlineStr">
        <is>
          <t>投产</t>
        </is>
      </c>
      <c r="D344" s="113" t="inlineStr">
        <is>
          <t>3.55亿千瓦</t>
        </is>
      </c>
      <c r="E344" s="113" t="n"/>
      <c r="F344" s="114" t="inlineStr">
        <is>
          <t>十一五</t>
        </is>
      </c>
      <c r="G344" s="113" t="inlineStr">
        <is>
          <t>新目标</t>
        </is>
      </c>
      <c r="H344" s="113" t="inlineStr">
        <is>
          <t>涉煤</t>
        </is>
      </c>
      <c r="I344" s="113" t="inlineStr">
        <is>
          <t>不明确</t>
        </is>
      </c>
      <c r="J344" s="113" t="inlineStr">
        <is>
          <t>“十一五”期间投运脱硫机组3.55亿千瓦。</t>
        </is>
      </c>
      <c r="K344" s="113" t="inlineStr">
        <is>
          <t>WOP0701.htm</t>
        </is>
      </c>
      <c r="L344" s="113" t="inlineStr">
        <is>
          <t>能源|电力</t>
        </is>
      </c>
      <c r="M344" s="113" t="inlineStr">
        <is>
          <t>煤电</t>
        </is>
      </c>
    </row>
    <row r="345" ht="18" customHeight="1" s="235">
      <c r="A345" s="113" t="n">
        <v>2012</v>
      </c>
      <c r="B345" s="113" t="inlineStr">
        <is>
          <t>节电能力</t>
        </is>
      </c>
      <c r="C345" s="113" t="inlineStr">
        <is>
          <t>实现</t>
        </is>
      </c>
      <c r="D345" s="113" t="inlineStr">
        <is>
          <t>800亿千瓦时</t>
        </is>
      </c>
      <c r="E345" s="113" t="n"/>
      <c r="F345" s="114" t="inlineStr">
        <is>
          <t>十二五</t>
        </is>
      </c>
      <c r="G345" s="113" t="inlineStr">
        <is>
          <t>新目标</t>
        </is>
      </c>
      <c r="H345" s="113" t="inlineStr">
        <is>
          <t>节能</t>
        </is>
      </c>
      <c r="I345" s="113" t="inlineStr">
        <is>
          <t>不明确</t>
        </is>
      </c>
      <c r="J345" s="113" t="inlineStr">
        <is>
          <t>“十二五”时期形成800亿千瓦时的节电能力。</t>
        </is>
      </c>
      <c r="K345" s="113" t="inlineStr">
        <is>
          <t>FYP1201.htm</t>
        </is>
      </c>
      <c r="L345" s="113" t="inlineStr">
        <is>
          <t>能源|电力</t>
        </is>
      </c>
      <c r="M345" s="113" t="inlineStr">
        <is>
          <t>能源消费</t>
        </is>
      </c>
    </row>
    <row r="346" ht="18" customHeight="1" s="235">
      <c r="A346" s="113" t="n">
        <v>2004</v>
      </c>
      <c r="B346" s="113" t="inlineStr">
        <is>
          <t>节电能力</t>
        </is>
      </c>
      <c r="C346" s="113" t="inlineStr">
        <is>
          <t>达到</t>
        </is>
      </c>
      <c r="D346" s="113" t="inlineStr">
        <is>
          <t>4亿吨标准煤</t>
        </is>
      </c>
      <c r="E346" s="113" t="n"/>
      <c r="F346" s="114" t="inlineStr">
        <is>
          <t>十一五</t>
        </is>
      </c>
      <c r="G346" s="113" t="inlineStr">
        <is>
          <t>新目标</t>
        </is>
      </c>
      <c r="H346" s="113" t="inlineStr">
        <is>
          <t>节能</t>
        </is>
      </c>
      <c r="I346" s="113" t="inlineStr">
        <is>
          <t>不明确</t>
        </is>
      </c>
      <c r="J346" s="113" t="inlineStr">
        <is>
          <t>到2010年，形成的节能能力为4亿吨标准煤。</t>
        </is>
      </c>
      <c r="K346" s="113" t="inlineStr">
        <is>
          <t>MLT0401.htm</t>
        </is>
      </c>
      <c r="L346" s="113" t="inlineStr">
        <is>
          <t>能源|电力</t>
        </is>
      </c>
      <c r="M346" s="113" t="inlineStr">
        <is>
          <t>能源消费</t>
        </is>
      </c>
    </row>
    <row r="347" ht="18" customHeight="1" s="235">
      <c r="A347" s="113" t="n">
        <v>2007</v>
      </c>
      <c r="B347" s="113" t="inlineStr">
        <is>
          <t>节能总量</t>
        </is>
      </c>
      <c r="C347" s="113" t="inlineStr">
        <is>
          <t>实现</t>
        </is>
      </c>
      <c r="D347" s="113" t="inlineStr">
        <is>
          <t>3150万吨标准煤</t>
        </is>
      </c>
      <c r="E347" s="113" t="n"/>
      <c r="F347" s="114" t="n">
        <v>2007</v>
      </c>
      <c r="G347" s="113" t="inlineStr">
        <is>
          <t>新目标</t>
        </is>
      </c>
      <c r="H347" s="113" t="inlineStr">
        <is>
          <t>节能</t>
        </is>
      </c>
      <c r="I347" s="113" t="inlineStr">
        <is>
          <t>不明确</t>
        </is>
      </c>
      <c r="J347" s="113" t="inlineStr">
        <is>
          <t>2007年实现节能3150万吨标准煤。</t>
        </is>
      </c>
      <c r="K347" s="113" t="inlineStr">
        <is>
          <t>WOP0701.htm</t>
        </is>
      </c>
      <c r="L347" s="113" t="inlineStr">
        <is>
          <t>能源|电力</t>
        </is>
      </c>
      <c r="M347" s="113" t="inlineStr">
        <is>
          <t>能源消费</t>
        </is>
      </c>
    </row>
    <row r="348" ht="18" customHeight="1" s="235">
      <c r="A348" s="113" t="n">
        <v>2004</v>
      </c>
      <c r="B348" s="113" t="inlineStr">
        <is>
          <t>节能总量</t>
        </is>
      </c>
      <c r="C348" s="113" t="inlineStr">
        <is>
          <t>相当于</t>
        </is>
      </c>
      <c r="D348" s="113" t="inlineStr">
        <is>
          <t>2100万吨二氧化硫排放</t>
        </is>
      </c>
      <c r="E348" s="113" t="n"/>
      <c r="F348" s="114" t="inlineStr">
        <is>
          <t>2003-2020</t>
        </is>
      </c>
      <c r="G348" s="113" t="inlineStr">
        <is>
          <t>新目标</t>
        </is>
      </c>
      <c r="H348" s="113" t="inlineStr">
        <is>
          <t>节能</t>
        </is>
      </c>
      <c r="I348" s="113" t="inlineStr">
        <is>
          <t>不明确</t>
        </is>
      </c>
      <c r="J348" s="113" t="inlineStr">
        <is>
          <t>2003年至2020年，我国形成的节能能力相当于减少二氧化硫排放2100万吨。</t>
        </is>
      </c>
      <c r="K348" s="113" t="inlineStr">
        <is>
          <t>MLT0401.htm</t>
        </is>
      </c>
      <c r="L348" s="113" t="inlineStr">
        <is>
          <t>能源|电力</t>
        </is>
      </c>
      <c r="M348" s="113" t="inlineStr">
        <is>
          <t>能源消费</t>
        </is>
      </c>
    </row>
    <row r="349" ht="18" customHeight="1" s="235">
      <c r="A349" s="113" t="n">
        <v>2010</v>
      </c>
      <c r="B349" s="113" t="inlineStr">
        <is>
          <t>节能提高能效的贡献率</t>
        </is>
      </c>
      <c r="C349" s="113" t="inlineStr">
        <is>
          <t>达到</t>
        </is>
      </c>
      <c r="D349" s="113" t="inlineStr">
        <is>
          <t>85%以上</t>
        </is>
      </c>
      <c r="E349" s="113" t="n"/>
      <c r="F349" s="114" t="inlineStr">
        <is>
          <t>2020</t>
        </is>
      </c>
      <c r="G349" s="113" t="inlineStr">
        <is>
          <t>新目标</t>
        </is>
      </c>
      <c r="H349" s="113" t="inlineStr">
        <is>
          <t>节能</t>
        </is>
      </c>
      <c r="I349" s="113" t="inlineStr">
        <is>
          <t>不明确</t>
        </is>
      </c>
      <c r="J349" s="113" t="inlineStr">
        <is>
          <t>到2020年，节能提高能效的贡献率要达到85%以上。</t>
        </is>
      </c>
      <c r="K349" s="113" t="inlineStr">
        <is>
          <t>N1001.htm</t>
        </is>
      </c>
      <c r="L349" s="113" t="inlineStr">
        <is>
          <t>能源|电力</t>
        </is>
      </c>
      <c r="M349" s="113" t="inlineStr">
        <is>
          <t>能源消费</t>
        </is>
      </c>
    </row>
    <row r="350" ht="18" customHeight="1" s="235">
      <c r="A350" s="113" t="n">
        <v>2004</v>
      </c>
      <c r="B350" s="113" t="inlineStr">
        <is>
          <t>节能能力</t>
        </is>
      </c>
      <c r="C350" s="113" t="inlineStr">
        <is>
          <t>达到</t>
        </is>
      </c>
      <c r="D350" s="113" t="inlineStr">
        <is>
          <t>14亿吨标准煤</t>
        </is>
      </c>
      <c r="E350" s="113" t="n"/>
      <c r="F350" s="114" t="inlineStr">
        <is>
          <t>2011–2020</t>
        </is>
      </c>
      <c r="G350" s="113" t="inlineStr">
        <is>
          <t>新目标</t>
        </is>
      </c>
      <c r="H350" s="113" t="inlineStr">
        <is>
          <t>节能</t>
        </is>
      </c>
      <c r="I350" s="113" t="inlineStr">
        <is>
          <t>不明确</t>
        </is>
      </c>
      <c r="J350" s="113" t="inlineStr">
        <is>
          <t>到2020年，节能能力达到14亿吨标准煤。</t>
        </is>
      </c>
      <c r="K350" s="113" t="inlineStr">
        <is>
          <t>MLT0401.htm</t>
        </is>
      </c>
      <c r="L350" s="113" t="inlineStr">
        <is>
          <t>能源|电力</t>
        </is>
      </c>
      <c r="M350" s="113" t="inlineStr">
        <is>
          <t>能源消费</t>
        </is>
      </c>
    </row>
    <row r="351" ht="18" customHeight="1" s="235">
      <c r="A351" s="113" t="n">
        <v>2016</v>
      </c>
      <c r="B351" s="113" t="inlineStr">
        <is>
          <t>节能能力</t>
        </is>
      </c>
      <c r="C351" s="113" t="inlineStr">
        <is>
          <t>形成</t>
        </is>
      </c>
      <c r="D351" s="113" t="inlineStr">
        <is>
          <t>约3亿吨标准煤</t>
        </is>
      </c>
      <c r="E351" s="113" t="n">
        <v>2015</v>
      </c>
      <c r="F351" s="114" t="inlineStr">
        <is>
          <t>2020</t>
        </is>
      </c>
      <c r="G351" s="113" t="inlineStr">
        <is>
          <t>新目标</t>
        </is>
      </c>
      <c r="H351" s="113" t="inlineStr">
        <is>
          <t>节能</t>
        </is>
      </c>
      <c r="I351" s="113" t="inlineStr">
        <is>
          <t>不明确</t>
        </is>
      </c>
      <c r="J351" s="113" t="inlineStr">
        <is>
          <t>推进能源综合梯级利用，到2020年形成约3亿吨标准煤的节能能力。</t>
        </is>
      </c>
      <c r="K351" s="113" t="inlineStr">
        <is>
          <t>FYP1601.htm</t>
        </is>
      </c>
      <c r="L351" s="113" t="inlineStr">
        <is>
          <t>能源|电力</t>
        </is>
      </c>
      <c r="M351" s="113" t="inlineStr">
        <is>
          <t>能源消费</t>
        </is>
      </c>
    </row>
    <row r="352" ht="18" customHeight="1" s="235">
      <c r="A352" s="113" t="n">
        <v>2011</v>
      </c>
      <c r="B352" s="113" t="inlineStr">
        <is>
          <t>节能能力</t>
        </is>
      </c>
      <c r="C352" s="113" t="inlineStr">
        <is>
          <t>实现</t>
        </is>
      </c>
      <c r="D352" s="113" t="inlineStr">
        <is>
          <t>3亿吨标准煤</t>
        </is>
      </c>
      <c r="E352" s="113" t="n"/>
      <c r="F352" s="114" t="inlineStr">
        <is>
          <t>2015</t>
        </is>
      </c>
      <c r="G352" s="113" t="inlineStr">
        <is>
          <t>新目标</t>
        </is>
      </c>
      <c r="H352" s="113" t="inlineStr">
        <is>
          <t>节能</t>
        </is>
      </c>
      <c r="I352" s="113" t="inlineStr">
        <is>
          <t>不明确</t>
        </is>
      </c>
      <c r="J352" s="113" t="inlineStr">
        <is>
          <t>到2015年，形成3亿吨标准煤的节能能力</t>
        </is>
      </c>
      <c r="K352" s="113" t="inlineStr">
        <is>
          <t>FYP1101.htm</t>
        </is>
      </c>
      <c r="L352" s="113" t="inlineStr">
        <is>
          <t>能源|电力</t>
        </is>
      </c>
      <c r="M352" s="113" t="inlineStr">
        <is>
          <t>能源消费</t>
        </is>
      </c>
    </row>
    <row r="353" ht="18" customHeight="1" s="235">
      <c r="A353" s="113" t="n">
        <v>2016</v>
      </c>
      <c r="B353" s="113" t="inlineStr">
        <is>
          <t>节能能力</t>
        </is>
      </c>
      <c r="C353" s="113" t="inlineStr">
        <is>
          <t>形成</t>
        </is>
      </c>
      <c r="D353" s="113" t="inlineStr">
        <is>
          <t>3亿吨标准煤</t>
        </is>
      </c>
      <c r="E353" s="113" t="n"/>
      <c r="F353" s="114" t="inlineStr">
        <is>
          <t>十三五</t>
        </is>
      </c>
      <c r="G353" s="113" t="inlineStr">
        <is>
          <t>新目标</t>
        </is>
      </c>
      <c r="H353" s="113" t="inlineStr">
        <is>
          <t>节能</t>
        </is>
      </c>
      <c r="I353" s="113" t="inlineStr">
        <is>
          <t>不明确</t>
        </is>
      </c>
      <c r="J353" s="113" t="inlineStr">
        <is>
          <t>“十三五”期间形成约3亿吨标准煤的节能能力。</t>
        </is>
      </c>
      <c r="K353" s="113" t="inlineStr">
        <is>
          <t>FYP1623.pdf</t>
        </is>
      </c>
      <c r="L353" s="113" t="inlineStr">
        <is>
          <t>能源|电力</t>
        </is>
      </c>
      <c r="M353" s="113" t="inlineStr">
        <is>
          <t>能源消费</t>
        </is>
      </c>
    </row>
    <row r="354" ht="18" customHeight="1" s="235">
      <c r="A354" s="113" t="n">
        <v>2017</v>
      </c>
      <c r="B354" s="113" t="inlineStr">
        <is>
          <t>营运客车单位周转量能耗</t>
        </is>
      </c>
      <c r="C354" s="113" t="inlineStr">
        <is>
          <t>降低</t>
        </is>
      </c>
      <c r="D354" s="113" t="inlineStr">
        <is>
          <t>2.1%</t>
        </is>
      </c>
      <c r="E354" s="113" t="n">
        <v>2015</v>
      </c>
      <c r="F354" s="114" t="inlineStr">
        <is>
          <t>2020</t>
        </is>
      </c>
      <c r="G354" s="113" t="inlineStr">
        <is>
          <t>新目标</t>
        </is>
      </c>
      <c r="H354" s="113" t="inlineStr">
        <is>
          <t>能源效率</t>
        </is>
      </c>
      <c r="I354" s="113" t="inlineStr">
        <is>
          <t>行业</t>
        </is>
      </c>
      <c r="J354" s="113" t="inlineStr">
        <is>
          <t>到2020年，营运客车单位周转量能耗与2015年相比下降2.1%。</t>
        </is>
      </c>
      <c r="K354" s="113" t="inlineStr">
        <is>
          <t>IP1701.htm</t>
        </is>
      </c>
      <c r="L354" s="113" t="inlineStr">
        <is>
          <t>能源|电力</t>
        </is>
      </c>
      <c r="M354" s="113" t="inlineStr">
        <is>
          <t>能源消费</t>
        </is>
      </c>
    </row>
    <row r="355" ht="18" customHeight="1" s="235">
      <c r="A355" s="113" t="n">
        <v>2017</v>
      </c>
      <c r="B355" s="113" t="inlineStr">
        <is>
          <t>营运船舶单位周转量能耗</t>
        </is>
      </c>
      <c r="C355" s="113" t="inlineStr">
        <is>
          <t>降低</t>
        </is>
      </c>
      <c r="D355" s="113" t="inlineStr">
        <is>
          <t>6.0%</t>
        </is>
      </c>
      <c r="E355" s="113" t="n">
        <v>2015</v>
      </c>
      <c r="F355" s="114" t="inlineStr">
        <is>
          <t>2020</t>
        </is>
      </c>
      <c r="G355" s="113" t="inlineStr">
        <is>
          <t>新目标</t>
        </is>
      </c>
      <c r="H355" s="113" t="inlineStr">
        <is>
          <t>能源效率</t>
        </is>
      </c>
      <c r="I355" s="113" t="inlineStr">
        <is>
          <t>行业</t>
        </is>
      </c>
      <c r="J355" s="113" t="inlineStr">
        <is>
          <t>到2020年，营运船舶单位周转量能耗与2015年相比下降6.0%。</t>
        </is>
      </c>
      <c r="K355" s="113" t="inlineStr">
        <is>
          <t>IP1701.htm</t>
        </is>
      </c>
      <c r="L355" s="113" t="inlineStr">
        <is>
          <t>能源|电力</t>
        </is>
      </c>
      <c r="M355" s="113" t="inlineStr">
        <is>
          <t>能源消费</t>
        </is>
      </c>
    </row>
    <row r="356" ht="18" customHeight="1" s="235">
      <c r="A356" s="113" t="n">
        <v>2011</v>
      </c>
      <c r="B356" s="113" t="inlineStr">
        <is>
          <t>营运船舶单位运输周转量能耗</t>
        </is>
      </c>
      <c r="C356" s="113" t="inlineStr">
        <is>
          <t>降低</t>
        </is>
      </c>
      <c r="D356" s="113" t="inlineStr">
        <is>
          <t>15%</t>
        </is>
      </c>
      <c r="E356" s="113" t="n"/>
      <c r="F356" s="114" t="inlineStr">
        <is>
          <t>十二五</t>
        </is>
      </c>
      <c r="G356" s="113" t="inlineStr">
        <is>
          <t>新目标</t>
        </is>
      </c>
      <c r="H356" s="113" t="inlineStr">
        <is>
          <t>能源效率</t>
        </is>
      </c>
      <c r="I356" s="113" t="inlineStr">
        <is>
          <t>行业</t>
        </is>
      </c>
      <c r="J356" s="113" t="inlineStr">
        <is>
          <t>2011年交通运输部印发了《交通运输“十二五”发展规划》，提出“十二五”时期营运船舶单位运输周转量的能耗下降15%的目标。</t>
        </is>
      </c>
      <c r="K356" s="113" t="inlineStr">
        <is>
          <t>HL1701.pdf</t>
        </is>
      </c>
      <c r="L356" s="113" t="inlineStr">
        <is>
          <t>能源|电力</t>
        </is>
      </c>
      <c r="M356" s="113" t="inlineStr">
        <is>
          <t>能源消费</t>
        </is>
      </c>
    </row>
    <row r="357" ht="18" customHeight="1" s="235">
      <c r="A357" s="113" t="n">
        <v>2017</v>
      </c>
      <c r="B357" s="113" t="inlineStr">
        <is>
          <t>营运货车单位周转量能耗</t>
        </is>
      </c>
      <c r="C357" s="113" t="inlineStr">
        <is>
          <t>降低</t>
        </is>
      </c>
      <c r="D357" s="113" t="inlineStr">
        <is>
          <t>6.8%</t>
        </is>
      </c>
      <c r="E357" s="113" t="n">
        <v>2015</v>
      </c>
      <c r="F357" s="114" t="inlineStr">
        <is>
          <t>2020</t>
        </is>
      </c>
      <c r="G357" s="113" t="inlineStr">
        <is>
          <t>强化或放宽目标（积极气候影响）</t>
        </is>
      </c>
      <c r="H357" s="113" t="inlineStr">
        <is>
          <t>能源效率</t>
        </is>
      </c>
      <c r="I357" s="113" t="inlineStr">
        <is>
          <t>行业</t>
        </is>
      </c>
      <c r="J357" s="113" t="inlineStr">
        <is>
          <t>到2020年，营运货车单位周转量能耗与2015年相比下降6.8%。</t>
        </is>
      </c>
      <c r="K357" s="113" t="inlineStr">
        <is>
          <t>IP1701.htm</t>
        </is>
      </c>
      <c r="L357" s="113" t="inlineStr">
        <is>
          <t>能源|电力</t>
        </is>
      </c>
      <c r="M357" s="113" t="inlineStr">
        <is>
          <t>能源消费</t>
        </is>
      </c>
    </row>
    <row r="358" ht="18" customHeight="1" s="235">
      <c r="A358" s="113" t="n">
        <v>2014</v>
      </c>
      <c r="B358" s="113" t="inlineStr">
        <is>
          <t>营运货车单位运输周转量能耗</t>
        </is>
      </c>
      <c r="C358" s="113" t="inlineStr">
        <is>
          <t>降低</t>
        </is>
      </c>
      <c r="D358" s="113" t="inlineStr">
        <is>
          <t>4%以上</t>
        </is>
      </c>
      <c r="E358" s="113" t="n">
        <v>2013</v>
      </c>
      <c r="F358" s="114" t="inlineStr">
        <is>
          <t>2015</t>
        </is>
      </c>
      <c r="G358" s="113" t="inlineStr">
        <is>
          <t>新目标</t>
        </is>
      </c>
      <c r="H358" s="113" t="inlineStr">
        <is>
          <t>能源效率</t>
        </is>
      </c>
      <c r="I358" s="113" t="inlineStr">
        <is>
          <t>行业</t>
        </is>
      </c>
      <c r="J358" s="113" t="inlineStr">
        <is>
          <t>到2015年，营运货车单位运输周转量能耗比2013年降低4%以上。</t>
        </is>
      </c>
      <c r="K358" s="113" t="inlineStr">
        <is>
          <t>AP1404.htm</t>
        </is>
      </c>
      <c r="L358" s="113" t="inlineStr">
        <is>
          <t>能源|电力</t>
        </is>
      </c>
      <c r="M358" s="113" t="inlineStr">
        <is>
          <t>能源消费</t>
        </is>
      </c>
    </row>
    <row r="359" ht="18" customHeight="1" s="235">
      <c r="A359" s="113" t="n">
        <v>2017</v>
      </c>
      <c r="B359" s="113" t="inlineStr">
        <is>
          <t>营运车辆单位运输周转量能耗</t>
        </is>
      </c>
      <c r="C359" s="113" t="inlineStr">
        <is>
          <t>降低</t>
        </is>
      </c>
      <c r="D359" s="113" t="inlineStr">
        <is>
          <t>10%</t>
        </is>
      </c>
      <c r="E359" s="113" t="n">
        <v>2005</v>
      </c>
      <c r="F359" s="114" t="inlineStr">
        <is>
          <t>2011</t>
        </is>
      </c>
      <c r="G359" s="113" t="inlineStr">
        <is>
          <t>重申目标</t>
        </is>
      </c>
      <c r="H359" s="113" t="inlineStr">
        <is>
          <t>能源效率</t>
        </is>
      </c>
      <c r="I359" s="113" t="inlineStr">
        <is>
          <t>不明确</t>
        </is>
      </c>
      <c r="J359" s="113" t="inlineStr">
        <is>
          <t>2011年，交通运输部印发《交通运输“十二五”发展规划》，提出到2015年，营运车辆单位运输周转量的能耗与2005年相比下降10%。</t>
        </is>
      </c>
      <c r="K359" s="113" t="inlineStr">
        <is>
          <t>HL1701.pdf</t>
        </is>
      </c>
      <c r="L359" s="113" t="inlineStr">
        <is>
          <t>能源|电力</t>
        </is>
      </c>
      <c r="M359" s="113" t="inlineStr">
        <is>
          <t>能源消费</t>
        </is>
      </c>
    </row>
    <row r="360" ht="18" customHeight="1" s="235">
      <c r="A360" s="113" t="n">
        <v>2014</v>
      </c>
      <c r="B360" s="113" t="inlineStr">
        <is>
          <t>落后火电机组</t>
        </is>
      </c>
      <c r="C360" s="113" t="inlineStr">
        <is>
          <t>淘汰</t>
        </is>
      </c>
      <c r="D360" s="113" t="inlineStr">
        <is>
          <t>1000万千瓦</t>
        </is>
      </c>
      <c r="E360" s="113" t="n"/>
      <c r="F360" s="114" t="inlineStr">
        <is>
          <t>2014-2020</t>
        </is>
      </c>
      <c r="G360" s="113" t="inlineStr">
        <is>
          <t>新目标</t>
        </is>
      </c>
      <c r="H360" s="113" t="inlineStr">
        <is>
          <t>涉煤</t>
        </is>
      </c>
      <c r="I360" s="113" t="inlineStr">
        <is>
          <t>行业</t>
        </is>
      </c>
      <c r="J360" s="113" t="inlineStr">
        <is>
          <t>2020年前，力争淘汰落后火电机组1000万千瓦以上。</t>
        </is>
      </c>
      <c r="K360" s="113" t="inlineStr">
        <is>
          <t>AP1403.htm</t>
        </is>
      </c>
      <c r="L360" s="113" t="inlineStr">
        <is>
          <t>能源|电力</t>
        </is>
      </c>
      <c r="M360" s="113" t="inlineStr">
        <is>
          <t>煤电</t>
        </is>
      </c>
    </row>
    <row r="361" ht="18" customHeight="1" s="235">
      <c r="A361" s="113" t="n">
        <v>2016</v>
      </c>
      <c r="B361" s="113" t="inlineStr">
        <is>
          <t>落后煤电机组</t>
        </is>
      </c>
      <c r="C361" s="113" t="inlineStr">
        <is>
          <t>淘汰</t>
        </is>
      </c>
      <c r="D361" s="113" t="inlineStr">
        <is>
          <t>2000万千瓦</t>
        </is>
      </c>
      <c r="E361" s="113" t="n"/>
      <c r="F361" s="114" t="inlineStr">
        <is>
          <t>十三五</t>
        </is>
      </c>
      <c r="G361" s="113" t="inlineStr">
        <is>
          <t>强化或放宽目标（积极气候影响）</t>
        </is>
      </c>
      <c r="H361" s="113" t="inlineStr">
        <is>
          <t>涉煤</t>
        </is>
      </c>
      <c r="I361" s="113" t="inlineStr">
        <is>
          <t>行业</t>
        </is>
      </c>
      <c r="J361" s="113" t="inlineStr">
        <is>
          <t>“十三五”期间，全国力争淘汰落后煤电机组约2000万千瓦。</t>
        </is>
      </c>
      <c r="K361" s="113" t="inlineStr">
        <is>
          <t>FYP1607.pdf</t>
        </is>
      </c>
      <c r="L361" s="113" t="inlineStr">
        <is>
          <t>能源|电力</t>
        </is>
      </c>
      <c r="M361" s="113" t="inlineStr">
        <is>
          <t>煤电</t>
        </is>
      </c>
    </row>
    <row r="362" ht="18" customHeight="1" s="235">
      <c r="A362" s="113" t="n">
        <v>2014</v>
      </c>
      <c r="B362" s="113" t="inlineStr">
        <is>
          <t>落后锅炉</t>
        </is>
      </c>
      <c r="C362" s="113" t="inlineStr">
        <is>
          <t>淘汰</t>
        </is>
      </c>
      <c r="D362" s="113" t="inlineStr">
        <is>
          <t>20万蒸吨</t>
        </is>
      </c>
      <c r="E362" s="113" t="n"/>
      <c r="F362" s="114" t="inlineStr">
        <is>
          <t>2014-2015</t>
        </is>
      </c>
      <c r="G362" s="113" t="inlineStr">
        <is>
          <t>新目标</t>
        </is>
      </c>
      <c r="H362" s="113" t="inlineStr">
        <is>
          <t>涉煤</t>
        </is>
      </c>
      <c r="I362" s="113" t="inlineStr">
        <is>
          <t>不明确</t>
        </is>
      </c>
      <c r="J362" s="113" t="inlineStr">
        <is>
          <t>到2015年底淘汰落后锅炉20万蒸吨（具体任务附后）</t>
        </is>
      </c>
      <c r="K362" s="113" t="inlineStr">
        <is>
          <t>AP1404.htm</t>
        </is>
      </c>
      <c r="L362" s="113" t="inlineStr">
        <is>
          <t>能源|电力</t>
        </is>
      </c>
      <c r="M362" s="113" t="inlineStr">
        <is>
          <t>煤电</t>
        </is>
      </c>
    </row>
    <row r="363" ht="18" customHeight="1" s="235">
      <c r="A363" s="113" t="n">
        <v>2014</v>
      </c>
      <c r="B363" s="113" t="inlineStr">
        <is>
          <t>薄煤层采区回采率</t>
        </is>
      </c>
      <c r="C363" s="113" t="inlineStr">
        <is>
          <t>达到</t>
        </is>
      </c>
      <c r="D363" s="113" t="inlineStr">
        <is>
          <t>90%以上</t>
        </is>
      </c>
      <c r="E363" s="113" t="n"/>
      <c r="F363" s="114" t="inlineStr">
        <is>
          <t>2020</t>
        </is>
      </c>
      <c r="G363" s="113" t="inlineStr">
        <is>
          <t>新目标</t>
        </is>
      </c>
      <c r="H363" s="113" t="inlineStr">
        <is>
          <t>涉煤</t>
        </is>
      </c>
      <c r="I363" s="113" t="inlineStr">
        <is>
          <t>不明确</t>
        </is>
      </c>
      <c r="J363" s="113" t="inlineStr">
        <is>
          <t>到2020年，薄煤层采区回采率达到90%以上。</t>
        </is>
      </c>
      <c r="K363" s="113" t="inlineStr">
        <is>
          <t>O1401.htm</t>
        </is>
      </c>
      <c r="L363" s="113" t="inlineStr">
        <is>
          <t>能源|电力</t>
        </is>
      </c>
      <c r="M363" s="113" t="inlineStr">
        <is>
          <t>煤电</t>
        </is>
      </c>
    </row>
    <row r="364" ht="18" customHeight="1" s="235">
      <c r="A364" s="113" t="n">
        <v>2026</v>
      </c>
      <c r="B364" s="113" t="inlineStr">
        <is>
          <t>西电东送能力</t>
        </is>
      </c>
      <c r="C364" s="113" t="inlineStr">
        <is>
          <t>达到</t>
        </is>
      </c>
      <c r="D364" s="113" t="inlineStr">
        <is>
          <t>4.2亿千瓦以上</t>
        </is>
      </c>
      <c r="E364" s="113" t="n"/>
      <c r="F364" s="114" t="n">
        <v>2030</v>
      </c>
      <c r="G364" s="113" t="inlineStr">
        <is>
          <t>新目标</t>
        </is>
      </c>
      <c r="H364" s="113" t="inlineStr">
        <is>
          <t>可再生能源</t>
        </is>
      </c>
      <c r="I364" s="113" t="inlineStr">
        <is>
          <t>全社会经济</t>
        </is>
      </c>
      <c r="J364" s="113" t="inlineStr">
        <is>
          <t>建设内蒙古、吉林、黑龙江、甘肃、青海、宁夏、新疆、西藏等省区清洁能源基地电力外送通道，西电东送能力达到4.2亿千瓦以上。</t>
        </is>
      </c>
      <c r="K364" s="113" t="inlineStr">
        <is>
          <t>HL2601.pdf</t>
        </is>
      </c>
      <c r="L364" s="113" t="inlineStr">
        <is>
          <t>能源|电力</t>
        </is>
      </c>
      <c r="M364" s="113" t="inlineStr">
        <is>
          <t>电力传输/能源运输</t>
        </is>
      </c>
    </row>
    <row r="365" ht="18" customHeight="1" s="235">
      <c r="A365" s="113" t="n">
        <v>2016</v>
      </c>
      <c r="B365" s="113" t="inlineStr">
        <is>
          <t>西电东送输电能力</t>
        </is>
      </c>
      <c r="C365" s="113" t="inlineStr">
        <is>
          <t>提高</t>
        </is>
      </c>
      <c r="D365" s="113" t="inlineStr">
        <is>
          <t>1.3亿千瓦</t>
        </is>
      </c>
      <c r="E365" s="113" t="n"/>
      <c r="F365" s="114" t="inlineStr">
        <is>
          <t>2020</t>
        </is>
      </c>
      <c r="G365" s="113" t="inlineStr">
        <is>
          <t>重申目标</t>
        </is>
      </c>
      <c r="H365" s="113" t="inlineStr">
        <is>
          <t>可再生能源</t>
        </is>
      </c>
      <c r="I365" s="113" t="inlineStr">
        <is>
          <t>不明确</t>
        </is>
      </c>
      <c r="J365" s="113" t="inlineStr">
        <is>
          <t>“十三五”期间，新增“西电东送”输电能力1.3亿千瓦，2020年达到2.7亿千瓦。</t>
        </is>
      </c>
      <c r="K365" s="113" t="inlineStr">
        <is>
          <t>FYP1607.pdf</t>
        </is>
      </c>
      <c r="L365" s="113" t="inlineStr">
        <is>
          <t>能源|电力</t>
        </is>
      </c>
      <c r="M365" s="113" t="inlineStr">
        <is>
          <t>电力传输/能源运输</t>
        </is>
      </c>
    </row>
    <row r="366" ht="18" customHeight="1" s="235">
      <c r="A366" s="113" t="n">
        <v>2016</v>
      </c>
      <c r="B366" s="113" t="inlineStr">
        <is>
          <t>西部12省区市及新疆生产建设兵团在役30万千瓦及以上煤电机组超低排放改造</t>
        </is>
      </c>
      <c r="C366" s="113" t="inlineStr">
        <is>
          <t>完成</t>
        </is>
      </c>
      <c r="D366" s="113" t="n"/>
      <c r="E366" s="113" t="n"/>
      <c r="F366" s="114" t="inlineStr">
        <is>
          <t>2020</t>
        </is>
      </c>
      <c r="G366" s="113" t="inlineStr">
        <is>
          <t>重申目标</t>
        </is>
      </c>
      <c r="H366" s="113" t="inlineStr">
        <is>
          <t>涉煤</t>
        </is>
      </c>
      <c r="I366" s="113" t="inlineStr">
        <is>
          <t>地区</t>
        </is>
      </c>
      <c r="J366" s="113" t="inlineStr">
        <is>
          <t>到2020年，完成西部12省区市及新疆生产建设兵团在役30万千瓦及以上煤电机组超低排放改造。</t>
        </is>
      </c>
      <c r="K366" s="113" t="inlineStr">
        <is>
          <t>FYP1603.pdf</t>
        </is>
      </c>
      <c r="L366" s="113" t="inlineStr">
        <is>
          <t>能源|电力</t>
        </is>
      </c>
      <c r="M366" s="113" t="inlineStr">
        <is>
          <t>煤电</t>
        </is>
      </c>
    </row>
    <row r="367" ht="18" customHeight="1" s="235">
      <c r="A367" s="113" t="n">
        <v>2021</v>
      </c>
      <c r="B367" s="113" t="inlineStr">
        <is>
          <t>西部清洁能源基地装机容量</t>
        </is>
      </c>
      <c r="C367" s="113" t="inlineStr">
        <is>
          <t>提高</t>
        </is>
      </c>
      <c r="D367" s="113" t="inlineStr">
        <is>
          <t>3.5亿吨标准煤以上</t>
        </is>
      </c>
      <c r="E367" s="113" t="n"/>
      <c r="F367" s="114" t="inlineStr">
        <is>
          <t>十四五</t>
        </is>
      </c>
      <c r="G367" s="113" t="inlineStr">
        <is>
          <t>新目标</t>
        </is>
      </c>
      <c r="H367" s="113" t="inlineStr">
        <is>
          <t>可再生能源</t>
        </is>
      </c>
      <c r="I367" s="113" t="inlineStr">
        <is>
          <t>全社会经济</t>
        </is>
      </c>
      <c r="J367" s="113" t="inlineStr">
        <is>
          <t>“十四五”期间，西部清洁能源基地年综合生产能力增加3.5亿吨标准煤以上。</t>
        </is>
      </c>
      <c r="K367" s="113" t="inlineStr">
        <is>
          <t>FYP2105.pdf</t>
        </is>
      </c>
      <c r="L367" s="113" t="inlineStr">
        <is>
          <t>能源|电力</t>
        </is>
      </c>
      <c r="M367" s="113" t="inlineStr">
        <is>
          <t>电力供应</t>
        </is>
      </c>
    </row>
    <row r="368" ht="18" customHeight="1" s="235">
      <c r="A368" s="113" t="n">
        <v>2024</v>
      </c>
      <c r="B368" s="113" t="inlineStr">
        <is>
          <t>规模以上工业单位增加值能源消耗</t>
        </is>
      </c>
      <c r="C368" s="113" t="inlineStr">
        <is>
          <t>降低</t>
        </is>
      </c>
      <c r="D368" s="113" t="inlineStr">
        <is>
          <t>3.5%左右</t>
        </is>
      </c>
      <c r="E368" s="113" t="n">
        <v>2023</v>
      </c>
      <c r="F368" s="114" t="n">
        <v>2024</v>
      </c>
      <c r="G368" s="113" t="inlineStr">
        <is>
          <t>新目标</t>
        </is>
      </c>
      <c r="H368" s="113" t="inlineStr">
        <is>
          <t>能源效率</t>
        </is>
      </c>
      <c r="I368" s="113" t="inlineStr">
        <is>
          <t>全社会经济</t>
        </is>
      </c>
      <c r="J368" s="113" t="inlineStr">
        <is>
          <t>规模以上工业单位增加值能源消耗降低3.5%左右，非化石能源消费占比达到18.9%左右。</t>
        </is>
      </c>
      <c r="K368" s="113" t="inlineStr">
        <is>
          <t>AP2405.htm</t>
        </is>
      </c>
      <c r="L368" s="113" t="inlineStr">
        <is>
          <t>能源|电力</t>
        </is>
      </c>
      <c r="M368" s="113" t="inlineStr">
        <is>
          <t>能源消费</t>
        </is>
      </c>
    </row>
    <row r="369" ht="18" customHeight="1" s="235">
      <c r="A369" s="113" t="n">
        <v>2013</v>
      </c>
      <c r="B369" s="113" t="inlineStr">
        <is>
          <t>规模化养殖场沼气集中供气工程数量</t>
        </is>
      </c>
      <c r="C369" s="113" t="inlineStr">
        <is>
          <t>达到</t>
        </is>
      </c>
      <c r="D369" s="113" t="inlineStr">
        <is>
          <t>3000个</t>
        </is>
      </c>
      <c r="E369" s="113" t="n"/>
      <c r="F369" s="114" t="inlineStr">
        <is>
          <t>2015</t>
        </is>
      </c>
      <c r="G369" s="113" t="inlineStr">
        <is>
          <t>新目标</t>
        </is>
      </c>
      <c r="H369" s="113" t="inlineStr">
        <is>
          <t>可再生能源</t>
        </is>
      </c>
      <c r="I369" s="113" t="inlineStr">
        <is>
          <t>行业</t>
        </is>
      </c>
      <c r="J369" s="113" t="inlineStr">
        <is>
          <t>到2015年，建成3000个规模化养殖场沼气集中供气工程</t>
        </is>
      </c>
      <c r="K369" s="113" t="inlineStr">
        <is>
          <t>FYP1302.htm</t>
        </is>
      </c>
      <c r="L369" s="113" t="inlineStr">
        <is>
          <t>能源|电力</t>
        </is>
      </c>
      <c r="M369" s="113" t="inlineStr">
        <is>
          <t>电力供应</t>
        </is>
      </c>
    </row>
    <row r="370" ht="18" customHeight="1" s="235">
      <c r="A370" s="113" t="n">
        <v>2013</v>
      </c>
      <c r="B370" s="113" t="inlineStr">
        <is>
          <t>跨省区输电容量</t>
        </is>
      </c>
      <c r="C370" s="113" t="inlineStr">
        <is>
          <t>达到</t>
        </is>
      </c>
      <c r="D370" s="113" t="inlineStr">
        <is>
          <t>2亿千瓦</t>
        </is>
      </c>
      <c r="E370" s="113" t="n"/>
      <c r="F370" s="114" t="inlineStr">
        <is>
          <t>2015</t>
        </is>
      </c>
      <c r="G370" s="113" t="inlineStr">
        <is>
          <t>新目标</t>
        </is>
      </c>
      <c r="H370" s="113" t="inlineStr">
        <is>
          <t>可再生能源</t>
        </is>
      </c>
      <c r="I370" s="113" t="inlineStr">
        <is>
          <t>全社会经济</t>
        </is>
      </c>
      <c r="J370" s="113" t="inlineStr">
        <is>
          <t>到2015年，跨省区输电容量达到2亿千瓦。</t>
        </is>
      </c>
      <c r="K370" s="113" t="inlineStr">
        <is>
          <t>FYP1302.htm</t>
        </is>
      </c>
      <c r="L370" s="113" t="inlineStr">
        <is>
          <t>能源|电力</t>
        </is>
      </c>
      <c r="M370" s="113" t="inlineStr">
        <is>
          <t>电力传输/能源运输</t>
        </is>
      </c>
    </row>
    <row r="371" ht="18" customHeight="1" s="235">
      <c r="A371" s="113" t="n">
        <v>2016</v>
      </c>
      <c r="B371" s="113" t="inlineStr">
        <is>
          <t>跨省区输电能力</t>
        </is>
      </c>
      <c r="C371" s="113" t="inlineStr">
        <is>
          <t>提高</t>
        </is>
      </c>
      <c r="D371" s="113" t="inlineStr">
        <is>
          <t>1.3亿千瓦</t>
        </is>
      </c>
      <c r="E371" s="113" t="n"/>
      <c r="F371" s="114" t="inlineStr">
        <is>
          <t>十三五</t>
        </is>
      </c>
      <c r="G371" s="113" t="inlineStr">
        <is>
          <t>新目标</t>
        </is>
      </c>
      <c r="H371" s="113" t="inlineStr">
        <is>
          <t>可再生能源</t>
        </is>
      </c>
      <c r="I371" s="113" t="inlineStr">
        <is>
          <t>全社会经济</t>
        </is>
      </c>
      <c r="J371" s="113" t="inlineStr">
        <is>
          <t>“十三五”期间新增跨省区输电能力1.3亿千瓦左右。</t>
        </is>
      </c>
      <c r="K371" s="113" t="inlineStr">
        <is>
          <t>FYP1603.pdf</t>
        </is>
      </c>
      <c r="L371" s="113" t="inlineStr">
        <is>
          <t>能源|电力</t>
        </is>
      </c>
      <c r="M371" s="113" t="inlineStr">
        <is>
          <t>电力传输/能源运输</t>
        </is>
      </c>
    </row>
    <row r="372" ht="18" customHeight="1" s="235">
      <c r="A372" s="113" t="n">
        <v>2021</v>
      </c>
      <c r="B372" s="113" t="inlineStr">
        <is>
          <t>跨省跨区直流输电通道平均利用小时数</t>
        </is>
      </c>
      <c r="C372" s="113" t="inlineStr">
        <is>
          <t>达到</t>
        </is>
      </c>
      <c r="D372" s="113" t="inlineStr">
        <is>
          <t>4500小时</t>
        </is>
      </c>
      <c r="E372" s="113" t="n"/>
      <c r="F372" s="114" t="inlineStr">
        <is>
          <t>十四五</t>
        </is>
      </c>
      <c r="G372" s="113" t="inlineStr">
        <is>
          <t>新目标</t>
        </is>
      </c>
      <c r="H372" s="113" t="inlineStr">
        <is>
          <t>可再生能源</t>
        </is>
      </c>
      <c r="I372" s="113" t="inlineStr">
        <is>
          <t>不明确</t>
        </is>
      </c>
      <c r="J372" s="113" t="inlineStr">
        <is>
          <t>“十四五”期间，跨省跨区直流输电通道平均利用小时数力争达到4500小时以上。</t>
        </is>
      </c>
      <c r="K372" s="113" t="inlineStr">
        <is>
          <t>FYP2105.pdf</t>
        </is>
      </c>
      <c r="L372" s="113" t="inlineStr">
        <is>
          <t>能源|电力</t>
        </is>
      </c>
      <c r="M372" s="113" t="inlineStr">
        <is>
          <t>电力传输/能源运输</t>
        </is>
      </c>
    </row>
    <row r="373" ht="18" customHeight="1" s="235">
      <c r="A373" s="113" t="n">
        <v>2021</v>
      </c>
      <c r="B373" s="113" t="inlineStr">
        <is>
          <t>跨省跨区输电能力</t>
        </is>
      </c>
      <c r="C373" s="113" t="inlineStr">
        <is>
          <t>提高</t>
        </is>
      </c>
      <c r="D373" s="113" t="inlineStr">
        <is>
          <t>6000万千瓦</t>
        </is>
      </c>
      <c r="E373" s="113" t="n"/>
      <c r="F373" s="114" t="inlineStr">
        <is>
          <t>十四五</t>
        </is>
      </c>
      <c r="G373" s="113" t="inlineStr">
        <is>
          <t>新目标</t>
        </is>
      </c>
      <c r="H373" s="113" t="inlineStr">
        <is>
          <t>可再生能源</t>
        </is>
      </c>
      <c r="I373" s="113" t="inlineStr">
        <is>
          <t>全社会经济</t>
        </is>
      </c>
      <c r="J373" s="113" t="inlineStr">
        <is>
          <t>“十四五”期间，新增开工建设跨省跨区输电通道6000万千瓦以上</t>
        </is>
      </c>
      <c r="K373" s="113" t="inlineStr">
        <is>
          <t>FYP2105.pdf</t>
        </is>
      </c>
      <c r="L373" s="113" t="inlineStr">
        <is>
          <t>能源|电力</t>
        </is>
      </c>
      <c r="M373" s="113" t="inlineStr">
        <is>
          <t>电力传输/能源运输</t>
        </is>
      </c>
    </row>
    <row r="374" ht="18" customHeight="1" s="235">
      <c r="A374" s="113" t="n">
        <v>2013</v>
      </c>
      <c r="B374" s="113" t="inlineStr">
        <is>
          <t>通信基站能耗</t>
        </is>
      </c>
      <c r="C374" s="113" t="inlineStr">
        <is>
          <t>降低</t>
        </is>
      </c>
      <c r="D374" s="113" t="inlineStr">
        <is>
          <t>25%</t>
        </is>
      </c>
      <c r="E374" s="113" t="n">
        <v>2010</v>
      </c>
      <c r="F374" s="114" t="inlineStr">
        <is>
          <t>2015</t>
        </is>
      </c>
      <c r="G374" s="113" t="inlineStr">
        <is>
          <t>新目标</t>
        </is>
      </c>
      <c r="H374" s="113" t="inlineStr">
        <is>
          <t>节能</t>
        </is>
      </c>
      <c r="I374" s="113" t="inlineStr">
        <is>
          <t>行业</t>
        </is>
      </c>
      <c r="J374" s="113" t="inlineStr">
        <is>
          <t>到2015年，通信基站能耗比2010年降低25%。</t>
        </is>
      </c>
      <c r="K374" s="113" t="inlineStr">
        <is>
          <t>DP1301.htm</t>
        </is>
      </c>
      <c r="L374" s="113" t="inlineStr">
        <is>
          <t>能源|电力</t>
        </is>
      </c>
      <c r="M374" s="113" t="inlineStr">
        <is>
          <t>能源消费</t>
        </is>
      </c>
    </row>
    <row r="375" ht="18" customHeight="1" s="235">
      <c r="A375" s="113" t="n">
        <v>2014</v>
      </c>
      <c r="B375" s="113" t="inlineStr">
        <is>
          <t>通过电力需求侧管理机制实现的电力尖峰负荷节约量</t>
        </is>
      </c>
      <c r="C375" s="113" t="inlineStr">
        <is>
          <t>节约</t>
        </is>
      </c>
      <c r="D375" s="113" t="inlineStr">
        <is>
          <t>900万千瓦</t>
        </is>
      </c>
      <c r="E375" s="113" t="n"/>
      <c r="F375" s="114" t="inlineStr">
        <is>
          <t>2014-2015</t>
        </is>
      </c>
      <c r="G375" s="113" t="inlineStr">
        <is>
          <t>重申目标</t>
        </is>
      </c>
      <c r="H375" s="113" t="inlineStr">
        <is>
          <t>节能</t>
        </is>
      </c>
      <c r="I375" s="113" t="inlineStr">
        <is>
          <t>不明确</t>
        </is>
      </c>
      <c r="J375" s="113" t="inlineStr">
        <is>
          <t>通过推行电力需求侧管理机制，2014-2015年节约电力900万千瓦。</t>
        </is>
      </c>
      <c r="K375" s="113" t="inlineStr">
        <is>
          <t>AP1404.htm</t>
        </is>
      </c>
      <c r="L375" s="113" t="inlineStr">
        <is>
          <t>能源|电力</t>
        </is>
      </c>
      <c r="M375" s="113" t="inlineStr">
        <is>
          <t>能源消费</t>
        </is>
      </c>
    </row>
    <row r="376" ht="18" customHeight="1" s="235">
      <c r="A376" s="113" t="n">
        <v>2014</v>
      </c>
      <c r="B376" s="113" t="inlineStr">
        <is>
          <t>通过电力需求侧管理机制实现的节电量</t>
        </is>
      </c>
      <c r="C376" s="113" t="inlineStr">
        <is>
          <t>节约</t>
        </is>
      </c>
      <c r="D376" s="113" t="inlineStr">
        <is>
          <t>400亿千瓦时</t>
        </is>
      </c>
      <c r="E376" s="113" t="n"/>
      <c r="F376" s="114" t="inlineStr">
        <is>
          <t>2014-2015</t>
        </is>
      </c>
      <c r="G376" s="113" t="inlineStr">
        <is>
          <t>新目标</t>
        </is>
      </c>
      <c r="H376" s="113" t="inlineStr">
        <is>
          <t>节能</t>
        </is>
      </c>
      <c r="I376" s="113" t="inlineStr">
        <is>
          <t>不明确</t>
        </is>
      </c>
      <c r="J376" s="113" t="inlineStr">
        <is>
          <t>通过推行电力需求侧管理机制，2014-2015年节约电量400亿千瓦时。</t>
        </is>
      </c>
      <c r="K376" s="113" t="inlineStr">
        <is>
          <t>AP1404.htm</t>
        </is>
      </c>
      <c r="L376" s="113" t="inlineStr">
        <is>
          <t>能源|电力</t>
        </is>
      </c>
      <c r="M376" s="113" t="inlineStr">
        <is>
          <t>能源消费</t>
        </is>
      </c>
    </row>
    <row r="377" ht="18" customHeight="1" s="235">
      <c r="A377" s="113" t="n">
        <v>2024</v>
      </c>
      <c r="B377" s="113" t="inlineStr">
        <is>
          <t>配电网承载能力</t>
        </is>
      </c>
      <c r="C377" s="113" t="inlineStr">
        <is>
          <t>具备</t>
        </is>
      </c>
      <c r="D377" s="113" t="inlineStr">
        <is>
          <t>5亿千瓦</t>
        </is>
      </c>
      <c r="E377" s="113" t="n"/>
      <c r="F377" s="114" t="inlineStr">
        <is>
          <t>2025</t>
        </is>
      </c>
      <c r="G377" s="113" t="inlineStr">
        <is>
          <t>新目标</t>
        </is>
      </c>
      <c r="H377" s="113" t="inlineStr">
        <is>
          <t>可再生能源</t>
        </is>
      </c>
      <c r="I377" s="113" t="inlineStr">
        <is>
          <t>行业</t>
        </is>
      </c>
      <c r="J377" s="113" t="inlineStr">
        <is>
          <t>到2025年，配电网网架结构更加坚强清晰，供配电能力合理充裕；配电网承载力和灵活性显著提升，具备5亿千瓦左右分布式新能源、1200万台左右充电桩接入能力；有源配电网与大电网兼容并蓄，配电网数字化转型全面推进，开放共享系统逐步形成，支撑多元创新发展；智慧调控运行体系加快升级，在具备条件地区推广车网协调互动和构网型新能源、构网型储能等新技术。</t>
        </is>
      </c>
      <c r="K377" s="113" t="inlineStr">
        <is>
          <t>GO2402.htm</t>
        </is>
      </c>
      <c r="L377" s="113" t="inlineStr">
        <is>
          <t>能源|电力</t>
        </is>
      </c>
      <c r="M377" s="113" t="inlineStr">
        <is>
          <t>电力传输/能源运输</t>
        </is>
      </c>
    </row>
    <row r="378" ht="18" customHeight="1" s="235">
      <c r="A378" s="113" t="n">
        <v>2023</v>
      </c>
      <c r="B378" s="113" t="inlineStr">
        <is>
          <t>重点区域30万千瓦及以上热电联产电厂供热能力</t>
        </is>
      </c>
      <c r="C378" s="113" t="inlineStr">
        <is>
          <t>充分发挥</t>
        </is>
      </c>
      <c r="D378" s="113" t="inlineStr">
        <is>
          <t>100%</t>
        </is>
      </c>
      <c r="E378" s="113" t="n"/>
      <c r="F378" s="114" t="inlineStr">
        <is>
          <t>2025</t>
        </is>
      </c>
      <c r="G378" s="113" t="inlineStr">
        <is>
          <t>新目标</t>
        </is>
      </c>
      <c r="H378" s="113" t="inlineStr">
        <is>
          <t>涉煤</t>
        </is>
      </c>
      <c r="I378" s="113" t="inlineStr">
        <is>
          <t>地区</t>
        </is>
      </c>
      <c r="J378" s="113" t="inlineStr">
        <is>
          <t>到2025年，重点区域充分发挥30万千瓦及以上热电联产电厂的供热能力</t>
        </is>
      </c>
      <c r="K378" s="113" t="inlineStr">
        <is>
          <t>AP2304.htm</t>
        </is>
      </c>
      <c r="L378" s="113" t="inlineStr">
        <is>
          <t>能源|电力</t>
        </is>
      </c>
      <c r="M378" s="113" t="inlineStr">
        <is>
          <t>煤电</t>
        </is>
      </c>
    </row>
    <row r="379" ht="18" customHeight="1" s="235">
      <c r="A379" s="113" t="n">
        <v>2023</v>
      </c>
      <c r="B379" s="113" t="inlineStr">
        <is>
          <t>重点区域淘汰35蒸吨/小时及以下燃煤锅炉</t>
        </is>
      </c>
      <c r="C379" s="113" t="inlineStr">
        <is>
          <t>淘汰</t>
        </is>
      </c>
      <c r="D379" s="113" t="inlineStr">
        <is>
          <t>基本淘汰</t>
        </is>
      </c>
      <c r="E379" s="113" t="n"/>
      <c r="F379" s="114" t="inlineStr">
        <is>
          <t>2025</t>
        </is>
      </c>
      <c r="G379" s="113" t="inlineStr">
        <is>
          <t>重申目标</t>
        </is>
      </c>
      <c r="H379" s="113" t="inlineStr">
        <is>
          <t>涉煤</t>
        </is>
      </c>
      <c r="I379" s="113" t="inlineStr">
        <is>
          <t>行业</t>
        </is>
      </c>
      <c r="J379" s="113" t="inlineStr">
        <is>
          <t>到2025年，重点区域基本淘汰35蒸吨/小时及以下燃煤锅炉及茶水炉、经营性炉灶、储粮烘干设备、农产品加工等燃煤设施</t>
        </is>
      </c>
      <c r="K379" s="113" t="inlineStr">
        <is>
          <t>AP2304.htm</t>
        </is>
      </c>
      <c r="L379" s="113" t="inlineStr">
        <is>
          <t>能源|电力</t>
        </is>
      </c>
      <c r="M379" s="113" t="inlineStr">
        <is>
          <t>煤电</t>
        </is>
      </c>
    </row>
    <row r="380" ht="18" customHeight="1" s="235">
      <c r="A380" s="113" t="n">
        <v>2023</v>
      </c>
      <c r="B380" s="113" t="inlineStr">
        <is>
          <t>重点区域燃煤锅炉及落后燃煤小热电机组（含自备电厂）供热半径30公里范围内的淘汰或整合</t>
        </is>
      </c>
      <c r="C380" s="113" t="inlineStr">
        <is>
          <t>关停或整合</t>
        </is>
      </c>
      <c r="D380" s="113" t="n"/>
      <c r="E380" s="113" t="n"/>
      <c r="F380" s="114" t="inlineStr">
        <is>
          <t>2025</t>
        </is>
      </c>
      <c r="G380" s="113" t="inlineStr">
        <is>
          <t>新目标</t>
        </is>
      </c>
      <c r="H380" s="113" t="inlineStr">
        <is>
          <t>涉煤</t>
        </is>
      </c>
      <c r="I380" s="113" t="inlineStr">
        <is>
          <t>行业</t>
        </is>
      </c>
      <c r="J380" s="113" t="inlineStr">
        <is>
          <t>到2025年，重点区域对其供热半径30公里范围内的燃煤锅炉和落后燃煤小热电机组（含自备电厂）进行关停或整合。</t>
        </is>
      </c>
      <c r="K380" s="113" t="inlineStr">
        <is>
          <t>AP2304.htm</t>
        </is>
      </c>
      <c r="L380" s="113" t="inlineStr">
        <is>
          <t>能源|电力</t>
        </is>
      </c>
      <c r="M380" s="113" t="inlineStr">
        <is>
          <t>煤电</t>
        </is>
      </c>
    </row>
    <row r="381" ht="18" customHeight="1" s="235">
      <c r="A381" s="113" t="n">
        <v>2026</v>
      </c>
      <c r="B381" s="113" t="inlineStr">
        <is>
          <t>重点行业节能降碳改造节能量</t>
        </is>
      </c>
      <c r="C381" s="113" t="inlineStr">
        <is>
          <t>实现</t>
        </is>
      </c>
      <c r="D381" s="113" t="inlineStr">
        <is>
          <t>1.5亿吨标准煤以上</t>
        </is>
      </c>
      <c r="E381" s="113" t="n"/>
      <c r="F381" s="114" t="inlineStr">
        <is>
          <t>十五五</t>
        </is>
      </c>
      <c r="G381" s="113" t="inlineStr">
        <is>
          <t>新目标</t>
        </is>
      </c>
      <c r="H381" s="113" t="inlineStr">
        <is>
          <t>节能</t>
        </is>
      </c>
      <c r="I381" s="113" t="inlineStr">
        <is>
          <t>行业</t>
        </is>
      </c>
      <c r="J381" s="113" t="inlineStr">
        <is>
          <t>加大火电、钢铁、有色、石化、化工、建材等重点行业领域节能降碳改造力度，推广普及节能低碳技术，实现节能量1.5亿吨标准煤以上。</t>
        </is>
      </c>
      <c r="K381" s="113" t="inlineStr">
        <is>
          <t>HL2601.pdf</t>
        </is>
      </c>
      <c r="L381" s="113" t="inlineStr">
        <is>
          <t>能源|电力</t>
        </is>
      </c>
      <c r="M381" s="113" t="inlineStr">
        <is>
          <t>能源消费</t>
        </is>
      </c>
    </row>
    <row r="382" ht="18" customHeight="1" s="235">
      <c r="A382" s="113" t="n">
        <v>2024</v>
      </c>
      <c r="B382" s="113" t="inlineStr">
        <is>
          <t>重点领域和行业节能降碳改造形成的节能量</t>
        </is>
      </c>
      <c r="C382" s="113" t="inlineStr">
        <is>
          <t>实现</t>
        </is>
      </c>
      <c r="D382" s="113" t="inlineStr">
        <is>
          <t>5000万吨标准煤</t>
        </is>
      </c>
      <c r="E382" s="113" t="n">
        <v>2023</v>
      </c>
      <c r="F382" s="114" t="n">
        <v>2024</v>
      </c>
      <c r="G382" s="113" t="inlineStr">
        <is>
          <t>新目标</t>
        </is>
      </c>
      <c r="H382" s="113" t="inlineStr">
        <is>
          <t>节能</t>
        </is>
      </c>
      <c r="I382" s="113" t="inlineStr">
        <is>
          <t>全社会经济</t>
        </is>
      </c>
      <c r="J382" s="113" t="inlineStr">
        <is>
          <t>重点领域和行业节能降碳改造形成节能量约5000万吨标准煤、减排二氧化碳约1.3亿吨。</t>
        </is>
      </c>
      <c r="K382" s="113" t="inlineStr">
        <is>
          <t>AP2405.htm</t>
        </is>
      </c>
      <c r="L382" s="113" t="inlineStr">
        <is>
          <t>能源|电力</t>
        </is>
      </c>
      <c r="M382" s="113" t="inlineStr">
        <is>
          <t>能源消费</t>
        </is>
      </c>
    </row>
    <row r="383" ht="18" customHeight="1" s="235">
      <c r="A383" s="113" t="n">
        <v>2024</v>
      </c>
      <c r="B383" s="113" t="inlineStr">
        <is>
          <t>重点领域和行业节能降碳改造形成节能量</t>
        </is>
      </c>
      <c r="C383" s="113" t="inlineStr">
        <is>
          <t>实现</t>
        </is>
      </c>
      <c r="D383" s="113" t="inlineStr">
        <is>
          <t>5000万吨标准煤</t>
        </is>
      </c>
      <c r="E383" s="113" t="n">
        <v>2024</v>
      </c>
      <c r="F383" s="114" t="n">
        <v>2025</v>
      </c>
      <c r="G383" s="113" t="inlineStr">
        <is>
          <t>新目标</t>
        </is>
      </c>
      <c r="H383" s="113" t="inlineStr">
        <is>
          <t>节能</t>
        </is>
      </c>
      <c r="I383" s="113" t="inlineStr">
        <is>
          <t>全社会经济</t>
        </is>
      </c>
      <c r="J383" s="113" t="inlineStr">
        <is>
          <t>重点领域和行业节能降碳改造形成节能量约5000万吨标准煤、减排二氧化碳约1.3亿吨。</t>
        </is>
      </c>
      <c r="K383" s="113" t="inlineStr">
        <is>
          <t>AP2405.htm</t>
        </is>
      </c>
      <c r="L383" s="113" t="inlineStr">
        <is>
          <t>能源|电力</t>
        </is>
      </c>
      <c r="M383" s="113" t="inlineStr">
        <is>
          <t>能源消费</t>
        </is>
      </c>
    </row>
    <row r="384" ht="18" customHeight="1" s="235">
      <c r="A384" s="113" t="n">
        <v>2018</v>
      </c>
      <c r="B384" s="113" t="inlineStr">
        <is>
          <t>长三角地区煤炭消费总量</t>
        </is>
      </c>
      <c r="C384" s="113" t="inlineStr">
        <is>
          <t>降低</t>
        </is>
      </c>
      <c r="D384" s="113" t="inlineStr">
        <is>
          <t>5%</t>
        </is>
      </c>
      <c r="E384" s="113" t="n"/>
      <c r="F384" s="114" t="inlineStr">
        <is>
          <t>2020</t>
        </is>
      </c>
      <c r="G384" s="113" t="inlineStr">
        <is>
          <t>重申目标</t>
        </is>
      </c>
      <c r="H384" s="113" t="inlineStr">
        <is>
          <t>涉煤</t>
        </is>
      </c>
      <c r="I384" s="113" t="inlineStr">
        <is>
          <t>地区</t>
        </is>
      </c>
      <c r="J384" s="113" t="inlineStr">
        <is>
          <t>到2020年，长三角地区煤炭消费总量下降5%。</t>
        </is>
      </c>
      <c r="K384" s="113" t="inlineStr">
        <is>
          <t>AP1802.htm</t>
        </is>
      </c>
      <c r="L384" s="113" t="inlineStr">
        <is>
          <t>能源|电力</t>
        </is>
      </c>
      <c r="M384" s="113" t="inlineStr">
        <is>
          <t>煤电</t>
        </is>
      </c>
    </row>
    <row r="385" ht="18" customHeight="1" s="235">
      <c r="A385" s="113" t="n">
        <v>2023</v>
      </c>
      <c r="B385" s="113" t="inlineStr">
        <is>
          <t>长三角地区煤炭消费总量</t>
        </is>
      </c>
      <c r="C385" s="113" t="inlineStr">
        <is>
          <t>降低</t>
        </is>
      </c>
      <c r="D385" s="113" t="inlineStr">
        <is>
          <t>5%</t>
        </is>
      </c>
      <c r="E385" s="113" t="n">
        <v>2020</v>
      </c>
      <c r="F385" s="114" t="inlineStr">
        <is>
          <t>2025</t>
        </is>
      </c>
      <c r="G385" s="113" t="inlineStr">
        <is>
          <t>新目标</t>
        </is>
      </c>
      <c r="H385" s="113" t="inlineStr">
        <is>
          <t>涉煤</t>
        </is>
      </c>
      <c r="I385" s="113" t="inlineStr">
        <is>
          <t>地区</t>
        </is>
      </c>
      <c r="J385" s="113" t="inlineStr">
        <is>
          <t>到2025年，长三角地区煤炭消费量较2020年下降5%左右。</t>
        </is>
      </c>
      <c r="K385" s="113" t="inlineStr">
        <is>
          <t>AP2304.htm</t>
        </is>
      </c>
      <c r="L385" s="113" t="inlineStr">
        <is>
          <t>能源|电力</t>
        </is>
      </c>
      <c r="M385" s="113" t="inlineStr">
        <is>
          <t>煤电</t>
        </is>
      </c>
    </row>
    <row r="386" ht="18" customHeight="1" s="235">
      <c r="A386" s="113" t="n">
        <v>2024</v>
      </c>
      <c r="B386" s="113" t="inlineStr">
        <is>
          <t>非化石能源占一次能源消费比重</t>
        </is>
      </c>
      <c r="C386" s="113" t="inlineStr">
        <is>
          <t>达到</t>
        </is>
      </c>
      <c r="D386" s="113" t="inlineStr">
        <is>
          <t>20%左右</t>
        </is>
      </c>
      <c r="E386" s="113" t="n"/>
      <c r="F386" s="114" t="n">
        <v>2025</v>
      </c>
      <c r="G386" s="113" t="inlineStr">
        <is>
          <t>新目标</t>
        </is>
      </c>
      <c r="H386" s="113" t="inlineStr">
        <is>
          <t>可再生能源</t>
        </is>
      </c>
      <c r="I386" s="113" t="inlineStr">
        <is>
          <t>全社会经济</t>
        </is>
      </c>
      <c r="J386" s="113" t="inlineStr">
        <is>
          <t>到2025年，非化石能源消费占比达到20%左右</t>
        </is>
      </c>
      <c r="K386" s="113" t="inlineStr">
        <is>
          <t>AP2405.htm</t>
        </is>
      </c>
      <c r="L386" s="113" t="inlineStr">
        <is>
          <t>能源|电力</t>
        </is>
      </c>
      <c r="M386" s="113" t="inlineStr">
        <is>
          <t>电力供应</t>
        </is>
      </c>
    </row>
    <row r="387" ht="18" customHeight="1" s="235">
      <c r="A387" s="113" t="n">
        <v>2008</v>
      </c>
      <c r="B387" s="113" t="inlineStr">
        <is>
          <t>非化石能源占一次能源消费比重</t>
        </is>
      </c>
      <c r="C387" s="113" t="inlineStr">
        <is>
          <t>提高至</t>
        </is>
      </c>
      <c r="D387" s="113" t="inlineStr">
        <is>
          <t>10%</t>
        </is>
      </c>
      <c r="E387" s="113" t="n"/>
      <c r="F387" s="114" t="inlineStr">
        <is>
          <t>2010</t>
        </is>
      </c>
      <c r="G387" s="113" t="inlineStr">
        <is>
          <t>重申目标</t>
        </is>
      </c>
      <c r="H387" s="113" t="inlineStr">
        <is>
          <t>可再生能源</t>
        </is>
      </c>
      <c r="I387" s="113" t="inlineStr">
        <is>
          <t>全社会经济</t>
        </is>
      </c>
      <c r="J387" s="113" t="inlineStr">
        <is>
          <t>到2010年，使可再生能源（包括大型水电）在一次能源消费中的比重提高到10%，煤层气抽采量达到100亿立方米。</t>
        </is>
      </c>
      <c r="K387" s="113" t="inlineStr">
        <is>
          <t>HL0801.pdf</t>
        </is>
      </c>
      <c r="L387" s="113" t="inlineStr">
        <is>
          <t>能源|电力</t>
        </is>
      </c>
      <c r="M387" s="113" t="inlineStr">
        <is>
          <t>能源消费</t>
        </is>
      </c>
    </row>
    <row r="388" ht="18" customHeight="1" s="235">
      <c r="A388" s="113" t="n">
        <v>2009</v>
      </c>
      <c r="B388" s="113" t="inlineStr">
        <is>
          <t>非化石能源占一次能源消费比重</t>
        </is>
      </c>
      <c r="C388" s="113" t="inlineStr">
        <is>
          <t>提高至</t>
        </is>
      </c>
      <c r="D388" s="113" t="inlineStr">
        <is>
          <t>15%</t>
        </is>
      </c>
      <c r="E388" s="113" t="n"/>
      <c r="F388" s="114" t="inlineStr">
        <is>
          <t>2020</t>
        </is>
      </c>
      <c r="G388" s="113" t="inlineStr">
        <is>
          <t>重申目标</t>
        </is>
      </c>
      <c r="H388" s="113" t="inlineStr">
        <is>
          <t>可再生能源</t>
        </is>
      </c>
      <c r="I388" s="113" t="inlineStr">
        <is>
          <t>全社会经济</t>
        </is>
      </c>
      <c r="J388" s="113" t="inlineStr">
        <is>
          <t>我们将努力到2020年将非化石燃料在一次能源消费中的比重提高到15%左右。</t>
        </is>
      </c>
      <c r="K388" s="113" t="inlineStr">
        <is>
          <t>HL0901.pdf</t>
        </is>
      </c>
      <c r="L388" s="113" t="inlineStr">
        <is>
          <t>能源|电力</t>
        </is>
      </c>
      <c r="M388" s="113" t="inlineStr">
        <is>
          <t>能源消费</t>
        </is>
      </c>
    </row>
    <row r="389" ht="18" customHeight="1" s="235">
      <c r="A389" s="113" t="n">
        <v>2011</v>
      </c>
      <c r="B389" s="113" t="inlineStr">
        <is>
          <t>非化石能源占一次能源消费比重</t>
        </is>
      </c>
      <c r="C389" s="113" t="inlineStr">
        <is>
          <t>提高至</t>
        </is>
      </c>
      <c r="D389" s="113" t="inlineStr">
        <is>
          <t>11.4%</t>
        </is>
      </c>
      <c r="E389" s="113" t="n"/>
      <c r="F389" s="114" t="inlineStr">
        <is>
          <t>2015</t>
        </is>
      </c>
      <c r="G389" s="113" t="inlineStr">
        <is>
          <t>重申目标</t>
        </is>
      </c>
      <c r="H389" s="113" t="inlineStr">
        <is>
          <t>可再生能源</t>
        </is>
      </c>
      <c r="I389" s="113" t="inlineStr">
        <is>
          <t>全社会经济</t>
        </is>
      </c>
      <c r="J389" s="113" t="inlineStr">
        <is>
          <t>到2015年，非化石能源占一次能源消费比重达到11.4%。</t>
        </is>
      </c>
      <c r="K389" s="113" t="inlineStr">
        <is>
          <t>HL1101.pdf</t>
        </is>
      </c>
      <c r="L389" s="113" t="inlineStr">
        <is>
          <t>能源|电力</t>
        </is>
      </c>
      <c r="M389" s="113" t="inlineStr">
        <is>
          <t>能源消费</t>
        </is>
      </c>
    </row>
    <row r="390" ht="18" customHeight="1" s="235">
      <c r="A390" s="113" t="n">
        <v>2012</v>
      </c>
      <c r="B390" s="113" t="inlineStr">
        <is>
          <t>非化石能源占一次能源消费比重</t>
        </is>
      </c>
      <c r="C390" s="113" t="inlineStr">
        <is>
          <t>占比达到</t>
        </is>
      </c>
      <c r="D390" s="113" t="inlineStr">
        <is>
          <t>15%</t>
        </is>
      </c>
      <c r="E390" s="113" t="n"/>
      <c r="F390" s="114" t="inlineStr">
        <is>
          <t>2020</t>
        </is>
      </c>
      <c r="G390" s="113" t="inlineStr">
        <is>
          <t>重申目标</t>
        </is>
      </c>
      <c r="H390" s="113" t="inlineStr">
        <is>
          <t>可再生能源</t>
        </is>
      </c>
      <c r="I390" s="113" t="inlineStr">
        <is>
          <t>全社会经济</t>
        </is>
      </c>
      <c r="J390" s="113" t="inlineStr">
        <is>
          <t>中国政府宣布，到2020年非化石能源占一次能源消费的比重达到15%左右。</t>
        </is>
      </c>
      <c r="K390" s="113" t="inlineStr">
        <is>
          <t>HL1201.pdf</t>
        </is>
      </c>
      <c r="L390" s="113" t="inlineStr">
        <is>
          <t>能源|电力</t>
        </is>
      </c>
      <c r="M390" s="113" t="inlineStr">
        <is>
          <t>能源消费</t>
        </is>
      </c>
    </row>
    <row r="391" ht="18" customHeight="1" s="235">
      <c r="A391" s="113" t="n">
        <v>2012</v>
      </c>
      <c r="B391" s="113" t="inlineStr">
        <is>
          <t>非化石能源占一次能源消费比重</t>
        </is>
      </c>
      <c r="C391" s="113" t="inlineStr">
        <is>
          <t>占比达到</t>
        </is>
      </c>
      <c r="D391" s="113" t="inlineStr">
        <is>
          <t>11.4%</t>
        </is>
      </c>
      <c r="E391" s="113" t="n"/>
      <c r="F391" s="114" t="inlineStr">
        <is>
          <t>十二五</t>
        </is>
      </c>
      <c r="G391" s="113" t="inlineStr">
        <is>
          <t>重申目标</t>
        </is>
      </c>
      <c r="H391" s="113" t="inlineStr">
        <is>
          <t>可再生能源</t>
        </is>
      </c>
      <c r="I391" s="113" t="inlineStr">
        <is>
          <t>全社会经济</t>
        </is>
      </c>
      <c r="J391" s="113" t="inlineStr">
        <is>
          <t>“十二五”规划设定了非化石能源占一次能源消费比重达到11.4%的目标。</t>
        </is>
      </c>
      <c r="K391" s="113" t="inlineStr">
        <is>
          <t>HL1201.pdf</t>
        </is>
      </c>
      <c r="L391" s="113" t="inlineStr">
        <is>
          <t>能源|电力</t>
        </is>
      </c>
      <c r="M391" s="113" t="inlineStr">
        <is>
          <t>能源消费</t>
        </is>
      </c>
    </row>
    <row r="392" ht="18" customHeight="1" s="235">
      <c r="A392" s="113" t="n">
        <v>2012</v>
      </c>
      <c r="B392" s="113" t="inlineStr">
        <is>
          <t>非化石能源占一次能源消费比重</t>
        </is>
      </c>
      <c r="C392" s="113" t="inlineStr">
        <is>
          <t>占比达到</t>
        </is>
      </c>
      <c r="D392" s="113" t="inlineStr">
        <is>
          <t>10%</t>
        </is>
      </c>
      <c r="E392" s="113" t="n"/>
      <c r="F392" s="114" t="inlineStr">
        <is>
          <t>2010</t>
        </is>
      </c>
      <c r="G392" s="113" t="inlineStr">
        <is>
          <t>重申目标</t>
        </is>
      </c>
      <c r="H392" s="113" t="inlineStr">
        <is>
          <t>可再生能源</t>
        </is>
      </c>
      <c r="I392" s="113" t="inlineStr">
        <is>
          <t>全社会经济</t>
        </is>
      </c>
      <c r="J392" s="113" t="inlineStr">
        <is>
          <t>《可再生能源发展“十一五”规划》提出的主要发展指标包括，到2010年可再生能源消费量占能源消费总量的比例达到10%。</t>
        </is>
      </c>
      <c r="K392" s="113" t="inlineStr">
        <is>
          <t>HL1201.pdf</t>
        </is>
      </c>
      <c r="L392" s="113" t="inlineStr">
        <is>
          <t>能源|电力</t>
        </is>
      </c>
      <c r="M392" s="113" t="inlineStr">
        <is>
          <t>能源消费</t>
        </is>
      </c>
    </row>
    <row r="393" ht="18" customHeight="1" s="235">
      <c r="A393" s="113" t="n">
        <v>2013</v>
      </c>
      <c r="B393" s="113" t="inlineStr">
        <is>
          <t>非化石能源占一次能源消费比重</t>
        </is>
      </c>
      <c r="C393" s="113" t="inlineStr">
        <is>
          <t>提高至</t>
        </is>
      </c>
      <c r="D393" s="113" t="inlineStr">
        <is>
          <t>11.4%</t>
        </is>
      </c>
      <c r="E393" s="113" t="n"/>
      <c r="F393" s="114" t="inlineStr">
        <is>
          <t>2015</t>
        </is>
      </c>
      <c r="G393" s="113" t="inlineStr">
        <is>
          <t>重申目标</t>
        </is>
      </c>
      <c r="H393" s="113" t="inlineStr">
        <is>
          <t>可再生能源</t>
        </is>
      </c>
      <c r="I393" s="113" t="inlineStr">
        <is>
          <t>全社会经济</t>
        </is>
      </c>
      <c r="J393" s="113" t="inlineStr">
        <is>
          <t>到2015年，非化石能源消费比重提高到11.4%。</t>
        </is>
      </c>
      <c r="K393" s="113" t="inlineStr">
        <is>
          <t>FYP1302.htm</t>
        </is>
      </c>
      <c r="L393" s="113" t="inlineStr">
        <is>
          <t>能源|电力</t>
        </is>
      </c>
      <c r="M393" s="113" t="inlineStr">
        <is>
          <t>能源消费</t>
        </is>
      </c>
    </row>
    <row r="394" ht="18" customHeight="1" s="235">
      <c r="A394" s="113" t="n">
        <v>2015</v>
      </c>
      <c r="B394" s="113" t="inlineStr">
        <is>
          <t>非化石能源占一次能源消费比重</t>
        </is>
      </c>
      <c r="C394" s="113" t="inlineStr">
        <is>
          <t>达到</t>
        </is>
      </c>
      <c r="D394" s="113" t="inlineStr">
        <is>
          <t>15%</t>
        </is>
      </c>
      <c r="E394" s="113" t="n"/>
      <c r="F394" s="114" t="inlineStr">
        <is>
          <t>2020</t>
        </is>
      </c>
      <c r="G394" s="113" t="inlineStr">
        <is>
          <t>重申目标</t>
        </is>
      </c>
      <c r="H394" s="113" t="inlineStr">
        <is>
          <t>可再生能源</t>
        </is>
      </c>
      <c r="I394" s="113" t="inlineStr">
        <is>
          <t>全社会经济</t>
        </is>
      </c>
      <c r="J394" s="113" t="inlineStr">
        <is>
          <t>到2020年，非化石能源占一次能源消费比重达到15%左右。</t>
        </is>
      </c>
      <c r="K394" s="113" t="inlineStr">
        <is>
          <t>HL1503.htm</t>
        </is>
      </c>
      <c r="L394" s="113" t="inlineStr">
        <is>
          <t>能源|电力</t>
        </is>
      </c>
      <c r="M394" s="113" t="inlineStr">
        <is>
          <t>能源消费</t>
        </is>
      </c>
    </row>
    <row r="395" ht="18" customHeight="1" s="235">
      <c r="A395" s="113" t="n">
        <v>2016</v>
      </c>
      <c r="B395" s="113" t="inlineStr">
        <is>
          <t>非化石能源占一次能源消费比重</t>
        </is>
      </c>
      <c r="C395" s="113" t="inlineStr">
        <is>
          <t>达到</t>
        </is>
      </c>
      <c r="D395" s="113" t="inlineStr">
        <is>
          <t>15%</t>
        </is>
      </c>
      <c r="E395" s="113" t="n"/>
      <c r="F395" s="114" t="inlineStr">
        <is>
          <t>2020</t>
        </is>
      </c>
      <c r="G395" s="113" t="inlineStr">
        <is>
          <t>重申目标</t>
        </is>
      </c>
      <c r="H395" s="113" t="inlineStr">
        <is>
          <t>可再生能源</t>
        </is>
      </c>
      <c r="I395" s="113" t="inlineStr">
        <is>
          <t>全社会经济</t>
        </is>
      </c>
      <c r="J395" s="113" t="inlineStr">
        <is>
          <t>到2020年，非化石能源占能源消费总量比重达到15%。</t>
        </is>
      </c>
      <c r="K395" s="113" t="inlineStr">
        <is>
          <t>FYP1601.htm</t>
        </is>
      </c>
      <c r="L395" s="113" t="inlineStr">
        <is>
          <t>能源|电力</t>
        </is>
      </c>
      <c r="M395" s="113" t="inlineStr">
        <is>
          <t>能源消费</t>
        </is>
      </c>
    </row>
    <row r="396" ht="18" customHeight="1" s="235">
      <c r="A396" s="113" t="n">
        <v>2016</v>
      </c>
      <c r="B396" s="113" t="inlineStr">
        <is>
          <t>非化石能源占一次能源消费比重</t>
        </is>
      </c>
      <c r="C396" s="113" t="inlineStr">
        <is>
          <t>达到</t>
        </is>
      </c>
      <c r="D396" s="113" t="inlineStr">
        <is>
          <t>15%</t>
        </is>
      </c>
      <c r="E396" s="113" t="n"/>
      <c r="F396" s="114" t="inlineStr">
        <is>
          <t>2020</t>
        </is>
      </c>
      <c r="G396" s="113" t="inlineStr">
        <is>
          <t>重申目标</t>
        </is>
      </c>
      <c r="H396" s="113" t="inlineStr">
        <is>
          <t>可再生能源</t>
        </is>
      </c>
      <c r="I396" s="113" t="inlineStr">
        <is>
          <t>全社会经济</t>
        </is>
      </c>
      <c r="J396" s="113" t="inlineStr">
        <is>
          <t>到2020年，非化石能源比重达到15%。</t>
        </is>
      </c>
      <c r="K396" s="113" t="inlineStr">
        <is>
          <t>FYP1615.htm</t>
        </is>
      </c>
      <c r="L396" s="113" t="inlineStr">
        <is>
          <t>能源|电力</t>
        </is>
      </c>
      <c r="M396" s="113" t="inlineStr">
        <is>
          <t>能源消费</t>
        </is>
      </c>
    </row>
    <row r="397" ht="18" customHeight="1" s="235">
      <c r="A397" s="113" t="n">
        <v>2016</v>
      </c>
      <c r="B397" s="113" t="inlineStr">
        <is>
          <t>非化石能源占一次能源消费比重</t>
        </is>
      </c>
      <c r="C397" s="113" t="inlineStr">
        <is>
          <t>提高至</t>
        </is>
      </c>
      <c r="D397" s="113" t="inlineStr">
        <is>
          <t>20%左右</t>
        </is>
      </c>
      <c r="E397" s="113" t="n"/>
      <c r="F397" s="114" t="inlineStr">
        <is>
          <t>2030</t>
        </is>
      </c>
      <c r="G397" s="113" t="inlineStr">
        <is>
          <t>重申目标</t>
        </is>
      </c>
      <c r="H397" s="113" t="inlineStr">
        <is>
          <t>可再生能源</t>
        </is>
      </c>
      <c r="I397" s="113" t="inlineStr">
        <is>
          <t>全社会经济</t>
        </is>
      </c>
      <c r="J397" s="113" t="inlineStr">
        <is>
          <t>目标包括：到2030年，非化石能源占一次能源消费比重达到20%左右。</t>
        </is>
      </c>
      <c r="K397" s="113" t="inlineStr">
        <is>
          <t>HL1601.pdf</t>
        </is>
      </c>
      <c r="L397" s="113" t="inlineStr">
        <is>
          <t>能源|电力</t>
        </is>
      </c>
      <c r="M397" s="113" t="inlineStr">
        <is>
          <t>能源消费</t>
        </is>
      </c>
    </row>
    <row r="398" ht="18" customHeight="1" s="235">
      <c r="A398" s="113" t="n">
        <v>2017</v>
      </c>
      <c r="B398" s="113" t="inlineStr">
        <is>
          <t>非化石能源占一次能源消费比重</t>
        </is>
      </c>
      <c r="C398" s="113" t="inlineStr">
        <is>
          <t>达到</t>
        </is>
      </c>
      <c r="D398" s="113" t="inlineStr">
        <is>
          <t>15%</t>
        </is>
      </c>
      <c r="E398" s="113" t="n"/>
      <c r="F398" s="114" t="inlineStr">
        <is>
          <t>十二五</t>
        </is>
      </c>
      <c r="G398" s="113" t="inlineStr">
        <is>
          <t>重申目标</t>
        </is>
      </c>
      <c r="H398" s="113" t="inlineStr">
        <is>
          <t>可再生能源</t>
        </is>
      </c>
      <c r="I398" s="113" t="inlineStr">
        <is>
          <t>全社会经济</t>
        </is>
      </c>
      <c r="J398" s="113" t="inlineStr">
        <is>
          <t>根据中国政府提出的国家适当减缓行动，例如“十二五”期间非化石能源占一次能源消费比重达到15%左右。</t>
        </is>
      </c>
      <c r="K398" s="113" t="inlineStr">
        <is>
          <t>HL1701.pdf</t>
        </is>
      </c>
      <c r="L398" s="113" t="inlineStr">
        <is>
          <t>能源|电力</t>
        </is>
      </c>
      <c r="M398" s="113" t="inlineStr">
        <is>
          <t>能源消费</t>
        </is>
      </c>
    </row>
    <row r="399" ht="18" customHeight="1" s="235">
      <c r="A399" s="113" t="n">
        <v>2019</v>
      </c>
      <c r="B399" s="113" t="inlineStr">
        <is>
          <t>非化石能源占一次能源消费比重</t>
        </is>
      </c>
      <c r="C399" s="113" t="inlineStr">
        <is>
          <t>达到</t>
        </is>
      </c>
      <c r="D399" s="113" t="inlineStr">
        <is>
          <t>15%以上</t>
        </is>
      </c>
      <c r="E399" s="113" t="n"/>
      <c r="F399" s="114" t="inlineStr">
        <is>
          <t>2020</t>
        </is>
      </c>
      <c r="G399" s="113" t="inlineStr">
        <is>
          <t>重申目标</t>
        </is>
      </c>
      <c r="H399" s="113" t="inlineStr">
        <is>
          <t>可再生能源</t>
        </is>
      </c>
      <c r="I399" s="113" t="inlineStr">
        <is>
          <t>全社会经济</t>
        </is>
      </c>
      <c r="J399" s="113" t="inlineStr">
        <is>
          <t>中国力争到2020年将非化石能源消费占能源消费总量的比重提高至15%以上</t>
        </is>
      </c>
      <c r="K399" s="113" t="inlineStr">
        <is>
          <t>HL1902.pdf</t>
        </is>
      </c>
      <c r="L399" s="113" t="inlineStr">
        <is>
          <t>能源|电力</t>
        </is>
      </c>
      <c r="M399" s="113" t="inlineStr">
        <is>
          <t>能源消费</t>
        </is>
      </c>
    </row>
    <row r="400" ht="18" customHeight="1" s="235">
      <c r="A400" s="113" t="n">
        <v>2019</v>
      </c>
      <c r="B400" s="113" t="inlineStr">
        <is>
          <t>非化石能源占一次能源消费比重</t>
        </is>
      </c>
      <c r="C400" s="113" t="inlineStr">
        <is>
          <t>提高至</t>
        </is>
      </c>
      <c r="D400" s="113" t="inlineStr">
        <is>
          <t>15%</t>
        </is>
      </c>
      <c r="E400" s="113" t="n"/>
      <c r="F400" s="114" t="inlineStr">
        <is>
          <t>2020</t>
        </is>
      </c>
      <c r="G400" s="113" t="inlineStr">
        <is>
          <t>重申目标</t>
        </is>
      </c>
      <c r="H400" s="113" t="inlineStr">
        <is>
          <t>可再生能源</t>
        </is>
      </c>
      <c r="I400" s="113" t="inlineStr">
        <is>
          <t>全社会经济</t>
        </is>
      </c>
      <c r="J400" s="113" t="inlineStr">
        <is>
          <t>“十三五”时期是中国实现到2020年非化石能源消费占能源消费总量比重提升至百分之十五目标的关键时期。</t>
        </is>
      </c>
      <c r="K400" s="113" t="inlineStr">
        <is>
          <t>HL1902.pdf</t>
        </is>
      </c>
      <c r="L400" s="113" t="inlineStr">
        <is>
          <t>能源|电力</t>
        </is>
      </c>
      <c r="M400" s="113" t="inlineStr">
        <is>
          <t>能源消费</t>
        </is>
      </c>
    </row>
    <row r="401" ht="18" customHeight="1" s="235">
      <c r="A401" s="113" t="n">
        <v>2019</v>
      </c>
      <c r="B401" s="113" t="inlineStr">
        <is>
          <t>非化石能源占一次能源消费比重</t>
        </is>
      </c>
      <c r="C401" s="113" t="inlineStr">
        <is>
          <t>达到</t>
        </is>
      </c>
      <c r="D401" s="113" t="inlineStr">
        <is>
          <t>15%</t>
        </is>
      </c>
      <c r="E401" s="113" t="n"/>
      <c r="F401" s="114" t="n">
        <v>2020</v>
      </c>
      <c r="G401" s="113" t="inlineStr">
        <is>
          <t>重申目标</t>
        </is>
      </c>
      <c r="H401" s="113" t="inlineStr">
        <is>
          <t>可再生能源</t>
        </is>
      </c>
      <c r="I401" s="113" t="inlineStr">
        <is>
          <t>全社会经济</t>
        </is>
      </c>
      <c r="J401" s="113" t="inlineStr">
        <is>
          <t>到2030年，中国将大力发展新能源和可再生能源，力争到2020年将非化石能源占一次能源消费比重提高至百分之十五，并在此基础上持续优化能源消费结构。</t>
        </is>
      </c>
      <c r="K401" s="113" t="inlineStr">
        <is>
          <t>HL1902.pdf</t>
        </is>
      </c>
      <c r="L401" s="113" t="inlineStr">
        <is>
          <t>能源|电力</t>
        </is>
      </c>
      <c r="M401" s="113" t="inlineStr">
        <is>
          <t>能源消费</t>
        </is>
      </c>
    </row>
    <row r="402" ht="18" customHeight="1" s="235">
      <c r="A402" s="113" t="n">
        <v>2019</v>
      </c>
      <c r="B402" s="113" t="inlineStr">
        <is>
          <t>非化石能源占一次能源消费比重</t>
        </is>
      </c>
      <c r="C402" s="113" t="inlineStr">
        <is>
          <t>提高至</t>
        </is>
      </c>
      <c r="D402" s="113" t="inlineStr">
        <is>
          <t>约15%</t>
        </is>
      </c>
      <c r="E402" s="113" t="n"/>
      <c r="F402" s="114" t="inlineStr">
        <is>
          <t>2020</t>
        </is>
      </c>
      <c r="G402" s="113" t="inlineStr">
        <is>
          <t>重申目标</t>
        </is>
      </c>
      <c r="H402" s="113" t="inlineStr">
        <is>
          <t>可再生能源</t>
        </is>
      </c>
      <c r="I402" s="113" t="inlineStr">
        <is>
          <t>全社会经济</t>
        </is>
      </c>
      <c r="J402" s="113" t="inlineStr">
        <is>
          <t>到2020年，非化石能源占一次能源消费比重提高到15%左右。</t>
        </is>
      </c>
      <c r="K402" s="113" t="inlineStr">
        <is>
          <t>HL1902.pdf</t>
        </is>
      </c>
      <c r="L402" s="113" t="inlineStr">
        <is>
          <t>能源|电力</t>
        </is>
      </c>
      <c r="M402" s="113" t="inlineStr">
        <is>
          <t>能源消费</t>
        </is>
      </c>
    </row>
    <row r="403" ht="18" customHeight="1" s="235">
      <c r="A403" s="113" t="n">
        <v>2019</v>
      </c>
      <c r="B403" s="113" t="inlineStr">
        <is>
          <t>非化石能源占一次能源消费比重</t>
        </is>
      </c>
      <c r="C403" s="113" t="inlineStr">
        <is>
          <t>提高至</t>
        </is>
      </c>
      <c r="D403" s="113" t="inlineStr">
        <is>
          <t>20%</t>
        </is>
      </c>
      <c r="E403" s="113" t="n"/>
      <c r="F403" s="114" t="inlineStr">
        <is>
          <t>2030</t>
        </is>
      </c>
      <c r="G403" s="113" t="inlineStr">
        <is>
          <t>重申目标</t>
        </is>
      </c>
      <c r="H403" s="113" t="inlineStr">
        <is>
          <t>可再生能源</t>
        </is>
      </c>
      <c r="I403" s="113" t="inlineStr">
        <is>
          <t>全社会经济</t>
        </is>
      </c>
      <c r="J403" s="113" t="inlineStr">
        <is>
          <t>到2030年，非化石能源占一次能源消费比重将提高到20%左右</t>
        </is>
      </c>
      <c r="K403" s="113" t="inlineStr">
        <is>
          <t>HL1902.pdf</t>
        </is>
      </c>
      <c r="L403" s="113" t="inlineStr">
        <is>
          <t>能源|电力</t>
        </is>
      </c>
      <c r="M403" s="113" t="inlineStr">
        <is>
          <t>能源消费</t>
        </is>
      </c>
    </row>
    <row r="404" ht="18" customHeight="1" s="235">
      <c r="A404" s="113" t="n">
        <v>2019</v>
      </c>
      <c r="B404" s="113" t="inlineStr">
        <is>
          <t>非化石能源占一次能源消费比重</t>
        </is>
      </c>
      <c r="C404" s="113" t="inlineStr">
        <is>
          <t>达到</t>
        </is>
      </c>
      <c r="D404" s="113" t="inlineStr">
        <is>
          <t>15%</t>
        </is>
      </c>
      <c r="E404" s="113" t="n"/>
      <c r="F404" s="114" t="inlineStr">
        <is>
          <t>2020</t>
        </is>
      </c>
      <c r="G404" s="113" t="inlineStr">
        <is>
          <t>重申目标</t>
        </is>
      </c>
      <c r="H404" s="113" t="inlineStr">
        <is>
          <t>可再生能源</t>
        </is>
      </c>
      <c r="I404" s="113" t="inlineStr">
        <is>
          <t>全社会经济</t>
        </is>
      </c>
      <c r="J404" s="113" t="inlineStr">
        <is>
          <t>到2020年，非化石能源占一次能源消费比重达到15%左右</t>
        </is>
      </c>
      <c r="K404" s="113" t="inlineStr">
        <is>
          <t>HL1902.pdf</t>
        </is>
      </c>
      <c r="L404" s="113" t="inlineStr">
        <is>
          <t>能源|电力</t>
        </is>
      </c>
      <c r="M404" s="113" t="inlineStr">
        <is>
          <t>能源消费</t>
        </is>
      </c>
    </row>
    <row r="405" ht="18" customHeight="1" s="235">
      <c r="A405" s="113" t="n">
        <v>2021</v>
      </c>
      <c r="B405" s="113" t="inlineStr">
        <is>
          <t>非化石能源占一次能源消费比重</t>
        </is>
      </c>
      <c r="C405" s="113" t="inlineStr">
        <is>
          <t>达到</t>
        </is>
      </c>
      <c r="D405" s="113" t="inlineStr">
        <is>
          <t>80%以上</t>
        </is>
      </c>
      <c r="E405" s="113" t="n"/>
      <c r="F405" s="114" t="inlineStr">
        <is>
          <t>2060</t>
        </is>
      </c>
      <c r="G405" s="113" t="inlineStr">
        <is>
          <t>重申目标</t>
        </is>
      </c>
      <c r="H405" s="113" t="inlineStr">
        <is>
          <t>可再生能源</t>
        </is>
      </c>
      <c r="I405" s="113" t="inlineStr">
        <is>
          <t>全社会经济</t>
        </is>
      </c>
      <c r="J405" s="113" t="inlineStr">
        <is>
          <t>到2060年，构建清洁、安全、高效、低碳的能源体系，中国将成为全球能源利用效率最高的国家之一，非化石能源占能源消费比重达到80%以上。</t>
        </is>
      </c>
      <c r="K405" s="113" t="inlineStr">
        <is>
          <t>HL2302.pdf</t>
        </is>
      </c>
      <c r="L405" s="113" t="inlineStr">
        <is>
          <t>能源|电力</t>
        </is>
      </c>
      <c r="M405" s="113" t="inlineStr">
        <is>
          <t>能源消费</t>
        </is>
      </c>
    </row>
    <row r="406" ht="18" customHeight="1" s="235">
      <c r="A406" s="113" t="n">
        <v>2021</v>
      </c>
      <c r="B406" s="113" t="inlineStr">
        <is>
          <t>非化石能源占一次能源消费比重</t>
        </is>
      </c>
      <c r="C406" s="113" t="inlineStr">
        <is>
          <t>达到</t>
        </is>
      </c>
      <c r="D406" s="113" t="inlineStr">
        <is>
          <t>25%</t>
        </is>
      </c>
      <c r="E406" s="113" t="n"/>
      <c r="F406" s="114" t="inlineStr">
        <is>
          <t>2030</t>
        </is>
      </c>
      <c r="G406" s="113" t="inlineStr">
        <is>
          <t>重申目标</t>
        </is>
      </c>
      <c r="H406" s="113" t="inlineStr">
        <is>
          <t>可再生能源</t>
        </is>
      </c>
      <c r="I406" s="113" t="inlineStr">
        <is>
          <t>全社会经济</t>
        </is>
      </c>
      <c r="J406" s="113" t="inlineStr">
        <is>
          <t>到2030年，非化石能源消费比重达到25%左右。</t>
        </is>
      </c>
      <c r="K406" s="113" t="inlineStr">
        <is>
          <t>HL2101.htm</t>
        </is>
      </c>
      <c r="L406" s="113" t="inlineStr">
        <is>
          <t>能源|电力</t>
        </is>
      </c>
      <c r="M406" s="113" t="inlineStr">
        <is>
          <t>能源消费</t>
        </is>
      </c>
    </row>
    <row r="407" ht="18" customHeight="1" s="235">
      <c r="A407" s="113" t="n">
        <v>2021</v>
      </c>
      <c r="B407" s="113" t="inlineStr">
        <is>
          <t>非化石能源占一次能源消费比重</t>
        </is>
      </c>
      <c r="C407" s="113" t="inlineStr">
        <is>
          <t>达到</t>
        </is>
      </c>
      <c r="D407" s="113" t="inlineStr">
        <is>
          <t>约25%</t>
        </is>
      </c>
      <c r="E407" s="113" t="n"/>
      <c r="F407" s="114" t="inlineStr">
        <is>
          <t>2030</t>
        </is>
      </c>
      <c r="G407" s="113" t="inlineStr">
        <is>
          <t>重申目标</t>
        </is>
      </c>
      <c r="H407" s="113" t="inlineStr">
        <is>
          <t>可再生能源</t>
        </is>
      </c>
      <c r="I407" s="113" t="inlineStr">
        <is>
          <t>全社会经济</t>
        </is>
      </c>
      <c r="J407" s="113" t="inlineStr">
        <is>
          <t>到2030年，非化石能源占能源消费比重达到约25%，风电、太阳能发电总装机容量达到12亿千瓦以上。</t>
        </is>
      </c>
      <c r="K407" s="113" t="inlineStr">
        <is>
          <t>HL2104.pdf</t>
        </is>
      </c>
      <c r="L407" s="113" t="inlineStr">
        <is>
          <t>能源|电力</t>
        </is>
      </c>
      <c r="M407" s="113" t="inlineStr">
        <is>
          <t>能源消费</t>
        </is>
      </c>
    </row>
    <row r="408" ht="18" customHeight="1" s="235">
      <c r="A408" s="113" t="n">
        <v>2021</v>
      </c>
      <c r="B408" s="113" t="inlineStr">
        <is>
          <t>非化石能源占一次能源消费比重</t>
        </is>
      </c>
      <c r="C408" s="113" t="inlineStr">
        <is>
          <t>达到</t>
        </is>
      </c>
      <c r="D408" s="113" t="inlineStr">
        <is>
          <t>20%</t>
        </is>
      </c>
      <c r="E408" s="113" t="n"/>
      <c r="F408" s="114" t="inlineStr">
        <is>
          <t>2025</t>
        </is>
      </c>
      <c r="G408" s="113" t="inlineStr">
        <is>
          <t>重申目标</t>
        </is>
      </c>
      <c r="H408" s="113" t="inlineStr">
        <is>
          <t>可再生能源</t>
        </is>
      </c>
      <c r="I408" s="113" t="inlineStr">
        <is>
          <t>全社会经济</t>
        </is>
      </c>
      <c r="J408" s="113" t="inlineStr">
        <is>
          <t>到2025年，非化石能源占能源消费总量比重达到20%左右。</t>
        </is>
      </c>
      <c r="K408" s="113" t="inlineStr">
        <is>
          <t>FYP2107.htm</t>
        </is>
      </c>
      <c r="L408" s="113" t="inlineStr">
        <is>
          <t>能源|电力</t>
        </is>
      </c>
      <c r="M408" s="113" t="inlineStr">
        <is>
          <t>能源消费</t>
        </is>
      </c>
    </row>
    <row r="409" ht="18" customHeight="1" s="235">
      <c r="A409" s="113" t="n">
        <v>2021</v>
      </c>
      <c r="B409" s="113" t="inlineStr">
        <is>
          <t>非化石能源占一次能源消费比重</t>
        </is>
      </c>
      <c r="C409" s="113" t="inlineStr">
        <is>
          <t>达到</t>
        </is>
      </c>
      <c r="D409" s="113" t="inlineStr">
        <is>
          <t>25%</t>
        </is>
      </c>
      <c r="E409" s="113" t="n"/>
      <c r="F409" s="114" t="inlineStr">
        <is>
          <t>2030</t>
        </is>
      </c>
      <c r="G409" s="113" t="inlineStr">
        <is>
          <t>重申目标</t>
        </is>
      </c>
      <c r="H409" s="113" t="inlineStr">
        <is>
          <t>可再生能源</t>
        </is>
      </c>
      <c r="I409" s="113" t="inlineStr">
        <is>
          <t>全社会经济</t>
        </is>
      </c>
      <c r="J409" s="113" t="inlineStr">
        <is>
          <t>中国更新后的国家自主贡献目标如下：到2030年，将非化石能源占一次能源消费比重提高到25%左右</t>
        </is>
      </c>
      <c r="K409" s="113" t="inlineStr">
        <is>
          <t>HL2105.pdf</t>
        </is>
      </c>
      <c r="L409" s="113" t="inlineStr">
        <is>
          <t>能源|电力</t>
        </is>
      </c>
      <c r="M409" s="113" t="inlineStr">
        <is>
          <t>能源消费</t>
        </is>
      </c>
    </row>
    <row r="410" ht="18" customHeight="1" s="235">
      <c r="A410" s="113" t="n">
        <v>2021</v>
      </c>
      <c r="B410" s="113" t="inlineStr">
        <is>
          <t>非化石能源占一次能源消费比重</t>
        </is>
      </c>
      <c r="C410" s="113" t="inlineStr">
        <is>
          <t>达到</t>
        </is>
      </c>
      <c r="D410" s="113" t="inlineStr">
        <is>
          <t>25%左右</t>
        </is>
      </c>
      <c r="E410" s="113" t="n"/>
      <c r="F410" s="114" t="inlineStr">
        <is>
          <t>2030</t>
        </is>
      </c>
      <c r="G410" s="113" t="inlineStr">
        <is>
          <t>重申目标</t>
        </is>
      </c>
      <c r="H410" s="113" t="inlineStr">
        <is>
          <t>可再生能源</t>
        </is>
      </c>
      <c r="I410" s="113" t="inlineStr">
        <is>
          <t>全社会经济</t>
        </is>
      </c>
      <c r="J410" s="113" t="inlineStr">
        <is>
          <t>中国力争到2030年，将非化石能源占一次能源消费比重提升至25%左右。</t>
        </is>
      </c>
      <c r="K410" s="113" t="inlineStr">
        <is>
          <t>HL2107.htm</t>
        </is>
      </c>
      <c r="L410" s="113" t="inlineStr">
        <is>
          <t>能源|电力</t>
        </is>
      </c>
      <c r="M410" s="113" t="inlineStr">
        <is>
          <t>能源消费</t>
        </is>
      </c>
    </row>
    <row r="411" ht="18" customHeight="1" s="235">
      <c r="A411" s="113" t="n">
        <v>2021</v>
      </c>
      <c r="B411" s="113" t="inlineStr">
        <is>
          <t>非化石能源占一次能源消费比重</t>
        </is>
      </c>
      <c r="C411" s="113" t="inlineStr">
        <is>
          <t>达到</t>
        </is>
      </c>
      <c r="D411" s="113" t="inlineStr">
        <is>
          <t>20%</t>
        </is>
      </c>
      <c r="E411" s="113" t="n"/>
      <c r="F411" s="114" t="inlineStr">
        <is>
          <t>2025</t>
        </is>
      </c>
      <c r="G411" s="113" t="inlineStr">
        <is>
          <t>重申目标</t>
        </is>
      </c>
      <c r="H411" s="113" t="inlineStr">
        <is>
          <t>可再生能源</t>
        </is>
      </c>
      <c r="I411" s="113" t="inlineStr">
        <is>
          <t>全社会经济</t>
        </is>
      </c>
      <c r="J411" s="113" t="inlineStr">
        <is>
          <t>到2025年，非化石能源消费比重达到20%左右</t>
        </is>
      </c>
      <c r="K411" s="113" t="inlineStr">
        <is>
          <t>HL2102.pdf</t>
        </is>
      </c>
      <c r="L411" s="113" t="inlineStr">
        <is>
          <t>能源|电力</t>
        </is>
      </c>
      <c r="M411" s="113" t="inlineStr">
        <is>
          <t>能源消费</t>
        </is>
      </c>
    </row>
    <row r="412" ht="18" customHeight="1" s="235">
      <c r="A412" s="113" t="n">
        <v>2023</v>
      </c>
      <c r="B412" s="113" t="inlineStr">
        <is>
          <t>非化石能源占一次能源消费比重</t>
        </is>
      </c>
      <c r="C412" s="113" t="inlineStr">
        <is>
          <t>达到</t>
        </is>
      </c>
      <c r="D412" s="113" t="inlineStr">
        <is>
          <t>20%</t>
        </is>
      </c>
      <c r="E412" s="113" t="n"/>
      <c r="F412" s="114" t="inlineStr">
        <is>
          <t>2025</t>
        </is>
      </c>
      <c r="G412" s="113" t="inlineStr">
        <is>
          <t>重申目标</t>
        </is>
      </c>
      <c r="H412" s="113" t="inlineStr">
        <is>
          <t>可再生能源</t>
        </is>
      </c>
      <c r="I412" s="113" t="inlineStr">
        <is>
          <t>全社会经济</t>
        </is>
      </c>
      <c r="J412" s="113" t="inlineStr">
        <is>
          <t>到2025年，非化石能源消费比重达20%左右</t>
        </is>
      </c>
      <c r="K412" s="113" t="inlineStr">
        <is>
          <t>AP2304.htm</t>
        </is>
      </c>
      <c r="L412" s="113" t="inlineStr">
        <is>
          <t>能源|电力</t>
        </is>
      </c>
      <c r="M412" s="113" t="inlineStr">
        <is>
          <t>能源消费</t>
        </is>
      </c>
    </row>
    <row r="413" ht="18" customHeight="1" s="235">
      <c r="A413" s="113" t="n">
        <v>2023</v>
      </c>
      <c r="B413" s="113" t="inlineStr">
        <is>
          <t>非化石能源占一次能源消费比重</t>
        </is>
      </c>
      <c r="C413" s="113" t="inlineStr">
        <is>
          <t>达到</t>
        </is>
      </c>
      <c r="D413" s="113" t="inlineStr">
        <is>
          <t>15%</t>
        </is>
      </c>
      <c r="E413" s="113" t="n"/>
      <c r="F413" s="114" t="inlineStr">
        <is>
          <t>2020</t>
        </is>
      </c>
      <c r="G413" s="113" t="inlineStr">
        <is>
          <t>重申目标</t>
        </is>
      </c>
      <c r="H413" s="113" t="inlineStr">
        <is>
          <t>可再生能源</t>
        </is>
      </c>
      <c r="I413" s="113" t="inlineStr">
        <is>
          <t>全社会经济</t>
        </is>
      </c>
      <c r="J413" s="113" t="inlineStr">
        <is>
          <t>到2020年，非化石能源占比将达到15%</t>
        </is>
      </c>
      <c r="K413" s="113" t="inlineStr">
        <is>
          <t>HL2302.pdf</t>
        </is>
      </c>
      <c r="L413" s="113" t="inlineStr">
        <is>
          <t>能源|电力</t>
        </is>
      </c>
      <c r="M413" s="113" t="inlineStr">
        <is>
          <t>能源消费</t>
        </is>
      </c>
    </row>
    <row r="414" ht="18" customHeight="1" s="235">
      <c r="A414" s="113" t="n">
        <v>2023</v>
      </c>
      <c r="B414" s="113" t="inlineStr">
        <is>
          <t>非化石能源占一次能源消费比重</t>
        </is>
      </c>
      <c r="C414" s="113" t="inlineStr">
        <is>
          <t>提高至</t>
        </is>
      </c>
      <c r="D414" s="113" t="inlineStr">
        <is>
          <t>约25%</t>
        </is>
      </c>
      <c r="E414" s="113" t="n"/>
      <c r="F414" s="114" t="inlineStr">
        <is>
          <t>2030</t>
        </is>
      </c>
      <c r="G414" s="113" t="inlineStr">
        <is>
          <t>重申目标</t>
        </is>
      </c>
      <c r="H414" s="113" t="inlineStr">
        <is>
          <t>可再生能源</t>
        </is>
      </c>
      <c r="I414" s="113" t="inlineStr">
        <is>
          <t>全社会经济</t>
        </is>
      </c>
      <c r="J414" s="113" t="inlineStr">
        <is>
          <t>到2030年，中国非化石能源消费比重将提高至约百分之二十五</t>
        </is>
      </c>
      <c r="K414" s="113" t="inlineStr">
        <is>
          <t>HL2302.pdf</t>
        </is>
      </c>
      <c r="L414" s="113" t="inlineStr">
        <is>
          <t>能源|电力</t>
        </is>
      </c>
      <c r="M414" s="113" t="inlineStr">
        <is>
          <t>能源消费</t>
        </is>
      </c>
      <c r="N414" s="116" t="n"/>
      <c r="O414" s="116" t="n"/>
      <c r="P414" s="116" t="n"/>
      <c r="Q414" s="116" t="n"/>
    </row>
    <row r="415" ht="18" customHeight="1" s="235">
      <c r="A415" s="113" t="n">
        <v>2024</v>
      </c>
      <c r="B415" s="113" t="inlineStr">
        <is>
          <t>非化石能源占一次能源消费比重</t>
        </is>
      </c>
      <c r="C415" s="113" t="inlineStr">
        <is>
          <t>达到</t>
        </is>
      </c>
      <c r="D415" s="113" t="inlineStr">
        <is>
          <t>25%</t>
        </is>
      </c>
      <c r="E415" s="113" t="n"/>
      <c r="F415" s="114" t="inlineStr">
        <is>
          <t>2030</t>
        </is>
      </c>
      <c r="G415" s="113" t="inlineStr">
        <is>
          <t>重申目标</t>
        </is>
      </c>
      <c r="H415" s="113" t="inlineStr">
        <is>
          <t>可再生能源</t>
        </is>
      </c>
      <c r="I415" s="113" t="inlineStr">
        <is>
          <t>全社会经济</t>
        </is>
      </c>
      <c r="J415" s="113" t="inlineStr">
        <is>
          <t>到2030年，该计划目标为非化石能源约占能源消费总量的25%左右。</t>
        </is>
      </c>
      <c r="K415" s="113" t="inlineStr">
        <is>
          <t>HL2404.pdf</t>
        </is>
      </c>
      <c r="L415" s="113" t="inlineStr">
        <is>
          <t>能源|电力</t>
        </is>
      </c>
      <c r="M415" s="113" t="inlineStr">
        <is>
          <t>能源消费</t>
        </is>
      </c>
    </row>
    <row r="416" ht="18" customHeight="1" s="235">
      <c r="A416" s="113" t="n">
        <v>2024</v>
      </c>
      <c r="B416" s="113" t="inlineStr">
        <is>
          <t>非化石能源占一次能源消费比重</t>
        </is>
      </c>
      <c r="C416" s="113" t="inlineStr">
        <is>
          <t>达到</t>
        </is>
      </c>
      <c r="D416" s="113" t="inlineStr">
        <is>
          <t>25%</t>
        </is>
      </c>
      <c r="E416" s="113" t="n"/>
      <c r="F416" s="114" t="inlineStr">
        <is>
          <t>2025</t>
        </is>
      </c>
      <c r="G416" s="113" t="inlineStr">
        <is>
          <t>重申目标</t>
        </is>
      </c>
      <c r="H416" s="113" t="inlineStr">
        <is>
          <t>可再生能源</t>
        </is>
      </c>
      <c r="I416" s="113" t="inlineStr">
        <is>
          <t>全社会经济</t>
        </is>
      </c>
      <c r="J416" s="113" t="inlineStr">
        <is>
          <t>到2025年底，可再生能源使用比例达到25%以上。</t>
        </is>
      </c>
      <c r="K416" s="113" t="inlineStr">
        <is>
          <t>AP2405.htm</t>
        </is>
      </c>
      <c r="L416" s="113" t="inlineStr">
        <is>
          <t>能源|电力</t>
        </is>
      </c>
      <c r="M416" s="113" t="inlineStr">
        <is>
          <t>能源消费</t>
        </is>
      </c>
    </row>
    <row r="417" ht="18" customHeight="1" s="235">
      <c r="A417" s="113" t="n">
        <v>2024</v>
      </c>
      <c r="B417" s="113" t="inlineStr">
        <is>
          <t>非化石能源占一次能源消费比重</t>
        </is>
      </c>
      <c r="C417" s="113" t="inlineStr">
        <is>
          <t>提高至</t>
        </is>
      </c>
      <c r="D417" s="113" t="inlineStr">
        <is>
          <t>约25%</t>
        </is>
      </c>
      <c r="E417" s="113" t="n"/>
      <c r="F417" s="114" t="inlineStr">
        <is>
          <t>2030</t>
        </is>
      </c>
      <c r="G417" s="113" t="inlineStr">
        <is>
          <t>重申目标</t>
        </is>
      </c>
      <c r="H417" s="113" t="inlineStr">
        <is>
          <t>可再生能源</t>
        </is>
      </c>
      <c r="I417" s="113" t="inlineStr">
        <is>
          <t>全社会经济</t>
        </is>
      </c>
      <c r="J417" s="113" t="inlineStr">
        <is>
          <t>到2030年，非化石能源消费比重提高到25%左右。</t>
        </is>
      </c>
      <c r="K417" s="113" t="inlineStr">
        <is>
          <t>O2407.htm</t>
        </is>
      </c>
      <c r="L417" s="113" t="inlineStr">
        <is>
          <t>能源|电力</t>
        </is>
      </c>
      <c r="M417" s="113" t="inlineStr">
        <is>
          <t>能源消费</t>
        </is>
      </c>
    </row>
    <row r="418" ht="18" customHeight="1" s="235">
      <c r="A418" s="113" t="n">
        <v>2007</v>
      </c>
      <c r="B418" s="113" t="inlineStr">
        <is>
          <t>非化石能源占一次能源消费比重</t>
        </is>
      </c>
      <c r="C418" s="113" t="inlineStr">
        <is>
          <t>提高至</t>
        </is>
      </c>
      <c r="D418" s="113" t="inlineStr">
        <is>
          <t>10%</t>
        </is>
      </c>
      <c r="E418" s="113" t="n"/>
      <c r="F418" s="114" t="inlineStr">
        <is>
          <t>2010</t>
        </is>
      </c>
      <c r="G418" s="113" t="inlineStr">
        <is>
          <t>新目标</t>
        </is>
      </c>
      <c r="H418" s="113" t="inlineStr">
        <is>
          <t>可再生能源</t>
        </is>
      </c>
      <c r="I418" s="113" t="inlineStr">
        <is>
          <t>全社会经济</t>
        </is>
      </c>
      <c r="J418" s="113" t="inlineStr">
        <is>
          <t>已发布《可再生能源中长期发展规划》，提出到2010年可再生能源消费量占能源消费总量的比重达到10%，到2020年达到15%的目标。</t>
        </is>
      </c>
      <c r="K418" s="113" t="inlineStr">
        <is>
          <t>PF0701.htm</t>
        </is>
      </c>
      <c r="L418" s="113" t="inlineStr">
        <is>
          <t>能源|电力</t>
        </is>
      </c>
      <c r="M418" s="113" t="inlineStr">
        <is>
          <t>能源消费</t>
        </is>
      </c>
    </row>
    <row r="419" ht="18" customHeight="1" s="235">
      <c r="A419" s="113" t="n">
        <v>2007</v>
      </c>
      <c r="B419" s="113" t="inlineStr">
        <is>
          <t>非化石能源占一次能源消费比重</t>
        </is>
      </c>
      <c r="C419" s="113" t="inlineStr">
        <is>
          <t>提高至</t>
        </is>
      </c>
      <c r="D419" s="113" t="inlineStr">
        <is>
          <t>15%</t>
        </is>
      </c>
      <c r="E419" s="113" t="n"/>
      <c r="F419" s="114" t="n">
        <v>2020</v>
      </c>
      <c r="G419" s="113" t="inlineStr">
        <is>
          <t>新目标</t>
        </is>
      </c>
      <c r="H419" s="113" t="inlineStr">
        <is>
          <t>可再生能源</t>
        </is>
      </c>
      <c r="I419" s="113" t="inlineStr">
        <is>
          <t>全社会经济</t>
        </is>
      </c>
      <c r="J419" s="113" t="inlineStr">
        <is>
          <t>已发布《可再生能源中长期发展规划》，提出到2010年使可再生能源消费量达到能源消费总量的10%，到2020年达到15%的目标。</t>
        </is>
      </c>
      <c r="K419" s="113" t="inlineStr">
        <is>
          <t>PF0701.htm</t>
        </is>
      </c>
      <c r="L419" s="113" t="inlineStr">
        <is>
          <t>能源|电力</t>
        </is>
      </c>
      <c r="M419" s="113" t="inlineStr">
        <is>
          <t>能源消费</t>
        </is>
      </c>
    </row>
    <row r="420" ht="18" customHeight="1" s="235">
      <c r="A420" s="113" t="n">
        <v>2011</v>
      </c>
      <c r="B420" s="113" t="inlineStr">
        <is>
          <t>非化石能源占一次能源消费比重</t>
        </is>
      </c>
      <c r="C420" s="113" t="inlineStr">
        <is>
          <t>占比达到</t>
        </is>
      </c>
      <c r="D420" s="113" t="inlineStr">
        <is>
          <t>11.4%</t>
        </is>
      </c>
      <c r="E420" s="113" t="n"/>
      <c r="F420" s="114" t="inlineStr">
        <is>
          <t>2015</t>
        </is>
      </c>
      <c r="G420" s="113" t="inlineStr">
        <is>
          <t>新目标</t>
        </is>
      </c>
      <c r="H420" s="113" t="inlineStr">
        <is>
          <t>可再生能源</t>
        </is>
      </c>
      <c r="I420" s="113" t="inlineStr">
        <is>
          <t>全社会经济</t>
        </is>
      </c>
      <c r="J420" s="113" t="inlineStr">
        <is>
          <t>国家“十二五”规划纲要提出，到2015年，非化石能源占一次能源消费比重达到11.4%。</t>
        </is>
      </c>
      <c r="K420" s="113" t="inlineStr">
        <is>
          <t>FYP1102.htm</t>
        </is>
      </c>
      <c r="L420" s="113" t="inlineStr">
        <is>
          <t>能源|电力</t>
        </is>
      </c>
      <c r="M420" s="113" t="inlineStr">
        <is>
          <t>能源消费</t>
        </is>
      </c>
    </row>
    <row r="421" ht="18" customHeight="1" s="235">
      <c r="A421" s="113" t="n">
        <v>2013</v>
      </c>
      <c r="B421" s="113" t="inlineStr">
        <is>
          <t>非化石能源占一次能源消费比重</t>
        </is>
      </c>
      <c r="C421" s="113" t="inlineStr">
        <is>
          <t>提高至</t>
        </is>
      </c>
      <c r="D421" s="113" t="inlineStr">
        <is>
          <t>13%</t>
        </is>
      </c>
      <c r="E421" s="113" t="n"/>
      <c r="F421" s="114" t="inlineStr">
        <is>
          <t>2017</t>
        </is>
      </c>
      <c r="G421" s="113" t="inlineStr">
        <is>
          <t>新目标</t>
        </is>
      </c>
      <c r="H421" s="113" t="inlineStr">
        <is>
          <t>可再生能源</t>
        </is>
      </c>
      <c r="I421" s="113" t="inlineStr">
        <is>
          <t>全社会经济</t>
        </is>
      </c>
      <c r="J421" s="113" t="inlineStr">
        <is>
          <t>到2017年，非化石能源消费比重提高到13%。</t>
        </is>
      </c>
      <c r="K421" s="113" t="inlineStr">
        <is>
          <t>AP1302.htm</t>
        </is>
      </c>
      <c r="L421" s="113" t="inlineStr">
        <is>
          <t>能源|电力</t>
        </is>
      </c>
      <c r="M421" s="113" t="inlineStr">
        <is>
          <t>能源消费</t>
        </is>
      </c>
    </row>
    <row r="422" ht="18" customHeight="1" s="235">
      <c r="A422" s="113" t="n">
        <v>2014</v>
      </c>
      <c r="B422" s="113" t="inlineStr">
        <is>
          <t>非化石能源占一次能源消费比重</t>
        </is>
      </c>
      <c r="C422" s="113" t="inlineStr">
        <is>
          <t>达到</t>
        </is>
      </c>
      <c r="D422" s="113" t="inlineStr">
        <is>
          <t>15%</t>
        </is>
      </c>
      <c r="E422" s="113" t="n"/>
      <c r="F422" s="114" t="inlineStr">
        <is>
          <t>2020</t>
        </is>
      </c>
      <c r="G422" s="113" t="inlineStr">
        <is>
          <t>新目标</t>
        </is>
      </c>
      <c r="H422" s="113" t="inlineStr">
        <is>
          <t>可再生能源</t>
        </is>
      </c>
      <c r="I422" s="113" t="inlineStr">
        <is>
          <t>全社会经济</t>
        </is>
      </c>
      <c r="J422" s="113" t="inlineStr">
        <is>
          <t>到2020年，非化石能源占一次能源消费比重达到15%。</t>
        </is>
      </c>
      <c r="K422" s="113" t="inlineStr">
        <is>
          <t>AP1401.htm</t>
        </is>
      </c>
      <c r="L422" s="113" t="inlineStr">
        <is>
          <t>能源|电力</t>
        </is>
      </c>
      <c r="M422" s="113" t="inlineStr">
        <is>
          <t>能源消费</t>
        </is>
      </c>
    </row>
    <row r="423" ht="18" customHeight="1" s="235">
      <c r="A423" s="113" t="n">
        <v>2016</v>
      </c>
      <c r="B423" s="113" t="inlineStr">
        <is>
          <t>非化石能源占一次能源消费比重</t>
        </is>
      </c>
      <c r="C423" s="113" t="inlineStr">
        <is>
          <t>提高至</t>
        </is>
      </c>
      <c r="D423" s="113" t="inlineStr">
        <is>
          <t>20%左右</t>
        </is>
      </c>
      <c r="E423" s="113" t="n"/>
      <c r="F423" s="114" t="inlineStr">
        <is>
          <t>2030</t>
        </is>
      </c>
      <c r="G423" s="113" t="inlineStr">
        <is>
          <t>新目标</t>
        </is>
      </c>
      <c r="H423" s="113" t="inlineStr">
        <is>
          <t>可再生能源</t>
        </is>
      </c>
      <c r="I423" s="113" t="inlineStr">
        <is>
          <t>全社会经济</t>
        </is>
      </c>
      <c r="J423" s="113" t="inlineStr">
        <is>
          <t>中国向联合国提交的《强化应对气候变化行动——中国国家自主贡献》确定了到2030年左右二氧化碳排放达到峰值并争取尽早达峰的目标，并提出到2030年非化石能源占一次能源消费比重提高到20%左右。</t>
        </is>
      </c>
      <c r="K423" s="113" t="inlineStr">
        <is>
          <t>FYP1617.pdf</t>
        </is>
      </c>
      <c r="L423" s="113" t="inlineStr">
        <is>
          <t>能源|电力</t>
        </is>
      </c>
      <c r="M423" s="113" t="inlineStr">
        <is>
          <t>能源消费</t>
        </is>
      </c>
    </row>
    <row r="424" ht="18" customHeight="1" s="235">
      <c r="A424" s="113" t="n">
        <v>2021</v>
      </c>
      <c r="B424" s="113" t="inlineStr">
        <is>
          <t>非化石能源占一次能源消费比重</t>
        </is>
      </c>
      <c r="C424" s="113" t="inlineStr">
        <is>
          <t>达到</t>
        </is>
      </c>
      <c r="D424" s="113" t="inlineStr">
        <is>
          <t>25%左右</t>
        </is>
      </c>
      <c r="E424" s="113" t="n"/>
      <c r="F424" s="114" t="inlineStr">
        <is>
          <t>2030</t>
        </is>
      </c>
      <c r="G424" s="113" t="inlineStr">
        <is>
          <t>强化或放宽目标（积极气候影响）</t>
        </is>
      </c>
      <c r="H424" s="113" t="inlineStr">
        <is>
          <t>可再生能源</t>
        </is>
      </c>
      <c r="I424" s="113" t="inlineStr">
        <is>
          <t>全社会经济</t>
        </is>
      </c>
      <c r="J424" s="113" t="inlineStr">
        <is>
          <t>到2030年，非化石能源消费比重达到25%左右</t>
        </is>
      </c>
      <c r="K424" s="113" t="inlineStr">
        <is>
          <t>HL2102.pdf</t>
        </is>
      </c>
      <c r="L424" s="113" t="inlineStr">
        <is>
          <t>能源|电力</t>
        </is>
      </c>
      <c r="M424" s="113" t="inlineStr">
        <is>
          <t>能源消费</t>
        </is>
      </c>
    </row>
    <row r="425" ht="18" customHeight="1" s="235">
      <c r="A425" s="113" t="n">
        <v>2021</v>
      </c>
      <c r="B425" s="113" t="inlineStr">
        <is>
          <t>非化石能源占一次能源消费比重</t>
        </is>
      </c>
      <c r="C425" s="113" t="inlineStr">
        <is>
          <t>达到</t>
        </is>
      </c>
      <c r="D425" s="113" t="inlineStr">
        <is>
          <t>80%以上</t>
        </is>
      </c>
      <c r="E425" s="113" t="n"/>
      <c r="F425" s="114" t="inlineStr">
        <is>
          <t>2060</t>
        </is>
      </c>
      <c r="G425" s="113" t="inlineStr">
        <is>
          <t>新目标</t>
        </is>
      </c>
      <c r="H425" s="113" t="inlineStr">
        <is>
          <t>可再生能源</t>
        </is>
      </c>
      <c r="I425" s="113" t="inlineStr">
        <is>
          <t>全社会经济</t>
        </is>
      </c>
      <c r="J425" s="113" t="inlineStr">
        <is>
          <t>到2060年，中国将全面建成清洁低碳、安全高效的能源体系，能源利用效率达到国际先进水平，非化石能源占一次能源消费比重达到80%以上。</t>
        </is>
      </c>
      <c r="K425" s="113" t="inlineStr">
        <is>
          <t>HL2104.pdf</t>
        </is>
      </c>
      <c r="L425" s="113" t="inlineStr">
        <is>
          <t>能源|电力</t>
        </is>
      </c>
      <c r="M425" s="113" t="inlineStr">
        <is>
          <t>能源消费</t>
        </is>
      </c>
    </row>
    <row r="426" ht="18" customHeight="1" s="235">
      <c r="A426" s="113" t="n">
        <v>2024</v>
      </c>
      <c r="B426" s="113" t="inlineStr">
        <is>
          <t>非化石能源占一次能源消费比重</t>
        </is>
      </c>
      <c r="C426" s="113" t="inlineStr">
        <is>
          <t>达到</t>
        </is>
      </c>
      <c r="D426" s="113" t="inlineStr">
        <is>
          <t>18.9%</t>
        </is>
      </c>
      <c r="E426" s="113" t="n"/>
      <c r="F426" s="114" t="n">
        <v>2024</v>
      </c>
      <c r="G426" s="113" t="inlineStr">
        <is>
          <t>强化或放宽目标（积极气候影响）</t>
        </is>
      </c>
      <c r="H426" s="113" t="inlineStr">
        <is>
          <t>可再生能源</t>
        </is>
      </c>
      <c r="I426" s="113" t="inlineStr">
        <is>
          <t>全社会经济</t>
        </is>
      </c>
      <c r="J426" s="113" t="inlineStr">
        <is>
          <t>2024年，单位国内生产总值能源消耗和二氧化碳排放分别降低2.5%左右、3.9%左右，规模以上工业单位增加值能源消耗降低3.5%左右，非化石能源消费占比达到18.9%左右。</t>
        </is>
      </c>
      <c r="K426" s="113" t="inlineStr">
        <is>
          <t>AP2405.htm</t>
        </is>
      </c>
      <c r="L426" s="113" t="inlineStr">
        <is>
          <t>能源|电力</t>
        </is>
      </c>
      <c r="M426" s="113" t="inlineStr">
        <is>
          <t>能源消费</t>
        </is>
      </c>
    </row>
    <row r="427" ht="18" customHeight="1" s="235">
      <c r="A427" s="113" t="n">
        <v>2023</v>
      </c>
      <c r="B427" s="113" t="inlineStr">
        <is>
          <t>非化石能源占一次能源消费比重</t>
        </is>
      </c>
      <c r="C427" s="113" t="inlineStr">
        <is>
          <t>提高至</t>
        </is>
      </c>
      <c r="D427" s="113" t="inlineStr">
        <is>
          <t>18.3%</t>
        </is>
      </c>
      <c r="E427" s="113" t="n"/>
      <c r="F427" s="114" t="n">
        <v>2023</v>
      </c>
      <c r="G427" s="113" t="inlineStr">
        <is>
          <t>新目标</t>
        </is>
      </c>
      <c r="H427" s="113" t="inlineStr">
        <is>
          <t>可再生能源</t>
        </is>
      </c>
      <c r="I427" s="113" t="inlineStr">
        <is>
          <t>全社会经济</t>
        </is>
      </c>
      <c r="J427" s="113" t="inlineStr">
        <is>
          <t>非化石能源占能源消费总量比重提高到18.3%左右</t>
        </is>
      </c>
      <c r="K427" s="113" t="inlineStr">
        <is>
          <t>GO2308.htm</t>
        </is>
      </c>
      <c r="L427" s="113" t="inlineStr">
        <is>
          <t>能源|电力</t>
        </is>
      </c>
      <c r="M427" s="113" t="inlineStr">
        <is>
          <t>能源消费</t>
        </is>
      </c>
    </row>
    <row r="428" ht="18" customHeight="1" s="235">
      <c r="A428" s="113" t="n">
        <v>2025</v>
      </c>
      <c r="B428" s="113" t="inlineStr">
        <is>
          <t>非化石能源占一次能源消费比重</t>
        </is>
      </c>
      <c r="C428" s="113" t="inlineStr">
        <is>
          <t>提高至</t>
        </is>
      </c>
      <c r="D428" s="113" t="inlineStr">
        <is>
          <t>超过30%</t>
        </is>
      </c>
      <c r="E428" s="113" t="n"/>
      <c r="F428" s="114" t="n">
        <v>2035</v>
      </c>
      <c r="G428" s="113" t="inlineStr">
        <is>
          <t>新目标</t>
        </is>
      </c>
      <c r="H428" s="113" t="inlineStr">
        <is>
          <t>可再生能源</t>
        </is>
      </c>
      <c r="I428" s="113" t="inlineStr">
        <is>
          <t>全社会经济</t>
        </is>
      </c>
      <c r="J428" s="113" t="inlineStr">
        <is>
          <t>到2035年，中国将非化石能源占能源消费总量的比重提高至30%以上。</t>
        </is>
      </c>
      <c r="K428" s="113" t="inlineStr">
        <is>
          <t>PA2501.htm</t>
        </is>
      </c>
      <c r="L428" s="113" t="inlineStr">
        <is>
          <t>能源|电力</t>
        </is>
      </c>
      <c r="M428" s="113" t="inlineStr">
        <is>
          <t>能源消费</t>
        </is>
      </c>
    </row>
    <row r="429" ht="18" customHeight="1" s="235">
      <c r="A429" s="113" t="n">
        <v>2026</v>
      </c>
      <c r="B429" s="113" t="inlineStr">
        <is>
          <t>非化石能源占一次能源消费比重</t>
        </is>
      </c>
      <c r="C429" s="113" t="inlineStr">
        <is>
          <t>达到</t>
        </is>
      </c>
      <c r="D429" s="115" t="inlineStr">
        <is>
          <t>25%</t>
        </is>
      </c>
      <c r="E429" s="113" t="n"/>
      <c r="F429" s="114" t="n">
        <v>2030</v>
      </c>
      <c r="G429" s="113" t="inlineStr">
        <is>
          <t>新目标</t>
        </is>
      </c>
      <c r="H429" s="113" t="inlineStr">
        <is>
          <t>可再生能源</t>
        </is>
      </c>
      <c r="I429" s="113" t="inlineStr">
        <is>
          <t>全社会经济</t>
        </is>
      </c>
      <c r="J429" s="113" t="inlineStr">
        <is>
          <t>到2030年，非化石能源占能源消费总量的比重达到25%。</t>
        </is>
      </c>
      <c r="K429" s="113" t="inlineStr">
        <is>
          <t>HL2601.pdf</t>
        </is>
      </c>
      <c r="L429" s="113" t="inlineStr">
        <is>
          <t>能源|电力</t>
        </is>
      </c>
      <c r="M429" s="113" t="inlineStr">
        <is>
          <t>能源消费</t>
        </is>
      </c>
    </row>
    <row r="430" ht="18" customHeight="1" s="235">
      <c r="A430" s="113" t="n">
        <v>2012</v>
      </c>
      <c r="B430" s="113" t="inlineStr">
        <is>
          <t>非化石能源占一次能源消费比重</t>
        </is>
      </c>
      <c r="C430" s="113" t="inlineStr">
        <is>
          <t>提高至</t>
        </is>
      </c>
      <c r="D430" s="113" t="inlineStr">
        <is>
          <t>4.5%</t>
        </is>
      </c>
      <c r="E430" s="113" t="n"/>
      <c r="F430" s="114" t="inlineStr">
        <is>
          <t>2015</t>
        </is>
      </c>
      <c r="G430" s="113" t="inlineStr">
        <is>
          <t>新目标</t>
        </is>
      </c>
      <c r="H430" s="113" t="inlineStr">
        <is>
          <t>可再生能源</t>
        </is>
      </c>
      <c r="I430" s="113" t="inlineStr">
        <is>
          <t>行业</t>
        </is>
      </c>
      <c r="J430" s="113" t="inlineStr">
        <is>
          <t>到2015年，新能源占能源消费总量的比例提高到4.5%，减少二氧化碳年排放量4亿吨以上。</t>
        </is>
      </c>
      <c r="K430" s="113" t="inlineStr">
        <is>
          <t>FYP1203.htm</t>
        </is>
      </c>
      <c r="L430" s="113" t="inlineStr">
        <is>
          <t>能源|电力</t>
        </is>
      </c>
      <c r="M430" s="113" t="inlineStr">
        <is>
          <t>能源消费</t>
        </is>
      </c>
    </row>
    <row r="431" ht="18" customHeight="1" s="235">
      <c r="A431" s="113" t="n">
        <v>2012</v>
      </c>
      <c r="B431" s="113" t="inlineStr">
        <is>
          <t>非化石能源占一次能源消费的比重</t>
        </is>
      </c>
      <c r="C431" s="113" t="inlineStr">
        <is>
          <t>占比达到</t>
        </is>
      </c>
      <c r="D431" s="113" t="inlineStr">
        <is>
          <t>11.4%</t>
        </is>
      </c>
      <c r="E431" s="113" t="n"/>
      <c r="F431" s="114" t="inlineStr">
        <is>
          <t>十二五</t>
        </is>
      </c>
      <c r="G431" s="113" t="inlineStr">
        <is>
          <t>重申目标</t>
        </is>
      </c>
      <c r="H431" s="113" t="inlineStr">
        <is>
          <t>可再生能源</t>
        </is>
      </c>
      <c r="I431" s="113" t="inlineStr">
        <is>
          <t>全社会经济</t>
        </is>
      </c>
      <c r="J431" s="113" t="inlineStr">
        <is>
          <t>《中华人民共和国国民经济和社会发展第十二个五年规划纲要》首次将非化石能源占一次能源消费比重达到11.4%设定为约束性指标。</t>
        </is>
      </c>
      <c r="K431" s="113" t="inlineStr">
        <is>
          <t>HL1201.pdf</t>
        </is>
      </c>
      <c r="L431" s="113" t="inlineStr">
        <is>
          <t>能源|电力</t>
        </is>
      </c>
      <c r="M431" s="113" t="inlineStr">
        <is>
          <t>能源消费</t>
        </is>
      </c>
    </row>
    <row r="432" ht="18" customHeight="1" s="235">
      <c r="A432" s="113" t="n">
        <v>2014</v>
      </c>
      <c r="B432" s="113" t="inlineStr">
        <is>
          <t>非化石能源占一次能源消费量的比重</t>
        </is>
      </c>
      <c r="C432" s="113" t="inlineStr">
        <is>
          <t>提高至</t>
        </is>
      </c>
      <c r="D432" s="113" t="inlineStr">
        <is>
          <t>11.4%</t>
        </is>
      </c>
      <c r="E432" s="113" t="n"/>
      <c r="F432" s="114" t="inlineStr">
        <is>
          <t>2015</t>
        </is>
      </c>
      <c r="G432" s="113" t="inlineStr">
        <is>
          <t>重申目标</t>
        </is>
      </c>
      <c r="H432" s="113" t="inlineStr">
        <is>
          <t>可再生能源</t>
        </is>
      </c>
      <c r="I432" s="113" t="inlineStr">
        <is>
          <t>全社会经济</t>
        </is>
      </c>
      <c r="J432" s="113" t="inlineStr">
        <is>
          <t>大力发展非化石能源，到2015年非化石能源占一次能源消费量的比重提高到11.4%。</t>
        </is>
      </c>
      <c r="K432" s="113" t="inlineStr">
        <is>
          <t>AP1404.htm</t>
        </is>
      </c>
      <c r="L432" s="113" t="inlineStr">
        <is>
          <t>能源|电力</t>
        </is>
      </c>
      <c r="M432" s="113" t="inlineStr">
        <is>
          <t>能源消费</t>
        </is>
      </c>
    </row>
    <row r="433" ht="18" customHeight="1" s="235">
      <c r="A433" s="113" t="n">
        <v>2026</v>
      </c>
      <c r="B433" s="113" t="inlineStr">
        <is>
          <t>非化石能源发展利用</t>
        </is>
      </c>
      <c r="C433" s="113" t="inlineStr">
        <is>
          <t>倍增</t>
        </is>
      </c>
      <c r="D433" s="113" t="n"/>
      <c r="E433" s="113" t="n">
        <v>2025</v>
      </c>
      <c r="F433" s="114" t="n">
        <v>2035</v>
      </c>
      <c r="G433" s="113" t="inlineStr">
        <is>
          <t>新目标</t>
        </is>
      </c>
      <c r="H433" s="113" t="inlineStr">
        <is>
          <t>可再生能源</t>
        </is>
      </c>
      <c r="I433" s="113" t="inlineStr">
        <is>
          <t>行业</t>
        </is>
      </c>
      <c r="J433" s="113" t="inlineStr">
        <is>
          <t>实施非化石能源十年倍增行动。</t>
        </is>
      </c>
      <c r="K433" s="113" t="inlineStr">
        <is>
          <t>HL2601.pdf</t>
        </is>
      </c>
      <c r="L433" s="113" t="inlineStr">
        <is>
          <t>能源|电力</t>
        </is>
      </c>
      <c r="M433" s="113" t="inlineStr">
        <is>
          <t>电力供应</t>
        </is>
      </c>
    </row>
    <row r="434" ht="18" customHeight="1" s="235">
      <c r="A434" s="113" t="n">
        <v>2023</v>
      </c>
      <c r="B434" s="113" t="inlineStr">
        <is>
          <t>非化石能源发电装机占比</t>
        </is>
      </c>
      <c r="C434" s="113" t="inlineStr">
        <is>
          <t>提高至</t>
        </is>
      </c>
      <c r="D434" s="113" t="inlineStr">
        <is>
          <t>51.9%</t>
        </is>
      </c>
      <c r="E434" s="113" t="n"/>
      <c r="F434" s="114" t="n">
        <v>2023</v>
      </c>
      <c r="G434" s="113" t="inlineStr">
        <is>
          <t>新目标</t>
        </is>
      </c>
      <c r="H434" s="113" t="inlineStr">
        <is>
          <t>可再生能源</t>
        </is>
      </c>
      <c r="I434" s="113" t="inlineStr">
        <is>
          <t>全社会经济</t>
        </is>
      </c>
      <c r="J434" s="113" t="inlineStr">
        <is>
          <t>非化石能源发电装机占比提高到51.9%左右</t>
        </is>
      </c>
      <c r="K434" s="113" t="inlineStr">
        <is>
          <t>GO2308.htm</t>
        </is>
      </c>
      <c r="L434" s="113" t="inlineStr">
        <is>
          <t>能源|电力</t>
        </is>
      </c>
      <c r="M434" s="113" t="inlineStr">
        <is>
          <t>电力供应</t>
        </is>
      </c>
    </row>
    <row r="435" ht="18" customHeight="1" s="235">
      <c r="A435" s="113" t="n">
        <v>2013</v>
      </c>
      <c r="B435" s="113" t="inlineStr">
        <is>
          <t>非化石能源发电装机比重</t>
        </is>
      </c>
      <c r="C435" s="113" t="inlineStr">
        <is>
          <t>占比达到</t>
        </is>
      </c>
      <c r="D435" s="113" t="inlineStr">
        <is>
          <t>30%</t>
        </is>
      </c>
      <c r="E435" s="113" t="n"/>
      <c r="F435" s="114" t="inlineStr">
        <is>
          <t>2015</t>
        </is>
      </c>
      <c r="G435" s="113" t="inlineStr">
        <is>
          <t>新目标</t>
        </is>
      </c>
      <c r="H435" s="113" t="inlineStr">
        <is>
          <t>可再生能源</t>
        </is>
      </c>
      <c r="I435" s="113" t="inlineStr">
        <is>
          <t>全社会经济</t>
        </is>
      </c>
      <c r="J435" s="113" t="inlineStr">
        <is>
          <t>到2015年，非化石能源发电装机比重达到30%。</t>
        </is>
      </c>
      <c r="K435" s="113" t="inlineStr">
        <is>
          <t>FYP1302.htm</t>
        </is>
      </c>
      <c r="L435" s="113" t="inlineStr">
        <is>
          <t>能源|电力</t>
        </is>
      </c>
      <c r="M435" s="113" t="inlineStr">
        <is>
          <t>电力供应</t>
        </is>
      </c>
    </row>
    <row r="436" ht="18" customHeight="1" s="235">
      <c r="A436" s="113" t="n">
        <v>2024</v>
      </c>
      <c r="B436" s="113" t="inlineStr">
        <is>
          <t>非化石能源发电量占比</t>
        </is>
      </c>
      <c r="C436" s="113" t="inlineStr">
        <is>
          <t>达到</t>
        </is>
      </c>
      <c r="D436" s="113" t="inlineStr">
        <is>
          <t>39%左右</t>
        </is>
      </c>
      <c r="E436" s="113" t="n"/>
      <c r="F436" s="114" t="inlineStr">
        <is>
          <t>2025</t>
        </is>
      </c>
      <c r="G436" s="113" t="inlineStr">
        <is>
          <t>强化或放宽目标（积极气候影响）</t>
        </is>
      </c>
      <c r="H436" s="113" t="inlineStr">
        <is>
          <t>可再生能源</t>
        </is>
      </c>
      <c r="I436" s="113" t="inlineStr">
        <is>
          <t>全社会经济</t>
        </is>
      </c>
      <c r="J436" s="113" t="inlineStr">
        <is>
          <t>到2025年底，全国非化石能源发电量占比达到39%左右。</t>
        </is>
      </c>
      <c r="K436" s="113" t="inlineStr">
        <is>
          <t>AP2405.htm</t>
        </is>
      </c>
      <c r="L436" s="113" t="inlineStr">
        <is>
          <t>能源|电力</t>
        </is>
      </c>
      <c r="M436" s="113" t="inlineStr">
        <is>
          <t>电力供应</t>
        </is>
      </c>
    </row>
    <row r="437" ht="18" customHeight="1" s="235">
      <c r="A437" s="113" t="n">
        <v>2007</v>
      </c>
      <c r="B437" s="113" t="inlineStr">
        <is>
          <t>非化石能源在一次能源发电中的比重（含大型水电）</t>
        </is>
      </c>
      <c r="C437" s="113" t="inlineStr">
        <is>
          <t>提高</t>
        </is>
      </c>
      <c r="D437" s="113" t="inlineStr">
        <is>
          <t>10%</t>
        </is>
      </c>
      <c r="E437" s="113" t="n">
        <v>2005</v>
      </c>
      <c r="F437" s="114" t="inlineStr">
        <is>
          <t>2010</t>
        </is>
      </c>
      <c r="G437" s="113" t="inlineStr">
        <is>
          <t>新目标</t>
        </is>
      </c>
      <c r="H437" s="113" t="inlineStr">
        <is>
          <t>可再生能源</t>
        </is>
      </c>
      <c r="I437" s="113" t="inlineStr">
        <is>
          <t>全社会经济</t>
        </is>
      </c>
      <c r="J437" s="113" t="inlineStr">
        <is>
          <t>到2010年，将可再生能源（含大型水电）在一次能源供应中的比重提高到10%，煤层气抽采量达到100亿立方米。</t>
        </is>
      </c>
      <c r="K437" s="113" t="inlineStr">
        <is>
          <t>HL0701.pdf</t>
        </is>
      </c>
      <c r="L437" s="113" t="inlineStr">
        <is>
          <t>能源|电力</t>
        </is>
      </c>
      <c r="M437" s="113" t="inlineStr">
        <is>
          <t>电力供应</t>
        </is>
      </c>
    </row>
    <row r="438" ht="18" customHeight="1" s="235">
      <c r="A438" s="113" t="n">
        <v>2021</v>
      </c>
      <c r="B438" s="113" t="inlineStr">
        <is>
          <t>非化石能源在一次能源消费增量中的占比</t>
        </is>
      </c>
      <c r="C438" s="113" t="inlineStr">
        <is>
          <t>占比达到</t>
        </is>
      </c>
      <c r="D438" s="113" t="inlineStr">
        <is>
          <t>50%</t>
        </is>
      </c>
      <c r="E438" s="113" t="n"/>
      <c r="F438" s="114" t="inlineStr">
        <is>
          <t>十四五</t>
        </is>
      </c>
      <c r="G438" s="113" t="inlineStr">
        <is>
          <t>新目标</t>
        </is>
      </c>
      <c r="H438" s="113" t="inlineStr">
        <is>
          <t>可再生能源</t>
        </is>
      </c>
      <c r="I438" s="113" t="inlineStr">
        <is>
          <t>全社会经济</t>
        </is>
      </c>
      <c r="J438" s="113" t="inlineStr">
        <is>
          <t>“十四五”期间，可再生能源在一次能源消费增量中占比超过50%。</t>
        </is>
      </c>
      <c r="K438" s="113" t="inlineStr">
        <is>
          <t>FYP2106.pdf</t>
        </is>
      </c>
      <c r="L438" s="113" t="inlineStr">
        <is>
          <t>能源|电力</t>
        </is>
      </c>
      <c r="M438" s="113" t="inlineStr">
        <is>
          <t>能源消费</t>
        </is>
      </c>
    </row>
    <row r="439" ht="18" customHeight="1" s="235">
      <c r="A439" s="113" t="n">
        <v>2021</v>
      </c>
      <c r="B439" s="113" t="inlineStr">
        <is>
          <t>非化石能源消费增量占比</t>
        </is>
      </c>
      <c r="C439" s="113" t="inlineStr">
        <is>
          <t>达到</t>
        </is>
      </c>
      <c r="D439" s="113" t="inlineStr">
        <is>
          <t>超过50%</t>
        </is>
      </c>
      <c r="E439" s="113" t="n"/>
      <c r="F439" s="114" t="inlineStr">
        <is>
          <t>十四五</t>
        </is>
      </c>
      <c r="G439" s="113" t="inlineStr">
        <is>
          <t>重申目标</t>
        </is>
      </c>
      <c r="H439" s="113" t="inlineStr">
        <is>
          <t>可再生能源</t>
        </is>
      </c>
      <c r="I439" s="113" t="inlineStr">
        <is>
          <t>全社会经济</t>
        </is>
      </c>
      <c r="J439" s="113" t="inlineStr">
        <is>
          <t>“十四五”期间，可再生能源在一次能源消费增量中占比超过50%。</t>
        </is>
      </c>
      <c r="K439" s="113" t="inlineStr">
        <is>
          <t>FYP2106.pdf</t>
        </is>
      </c>
      <c r="L439" s="113" t="inlineStr">
        <is>
          <t>能源|电力</t>
        </is>
      </c>
      <c r="M439" s="113" t="inlineStr">
        <is>
          <t>能源消费</t>
        </is>
      </c>
    </row>
    <row r="440" ht="18" customHeight="1" s="235">
      <c r="A440" s="113" t="n">
        <v>2021</v>
      </c>
      <c r="B440" s="113" t="inlineStr">
        <is>
          <t>非化石能源消费比重</t>
        </is>
      </c>
      <c r="C440" s="113" t="inlineStr">
        <is>
          <t>达到</t>
        </is>
      </c>
      <c r="D440" s="113" t="inlineStr">
        <is>
          <t>80%以上</t>
        </is>
      </c>
      <c r="E440" s="113" t="n"/>
      <c r="F440" s="114" t="inlineStr">
        <is>
          <t>2060</t>
        </is>
      </c>
      <c r="G440" s="113" t="inlineStr">
        <is>
          <t>重申目标</t>
        </is>
      </c>
      <c r="H440" s="113" t="inlineStr">
        <is>
          <t>可再生能源</t>
        </is>
      </c>
      <c r="I440" s="113" t="inlineStr">
        <is>
          <t>全社会经济</t>
        </is>
      </c>
      <c r="J440" s="113" t="inlineStr">
        <is>
          <t>到2060年，非化石能源消费比重达到80%以上。</t>
        </is>
      </c>
      <c r="K440" s="113" t="inlineStr">
        <is>
          <t>HL2101.htm</t>
        </is>
      </c>
      <c r="L440" s="113" t="inlineStr">
        <is>
          <t>能源|电力</t>
        </is>
      </c>
      <c r="M440" s="113" t="inlineStr">
        <is>
          <t>能源消费</t>
        </is>
      </c>
    </row>
    <row r="441" ht="18" customHeight="1" s="235">
      <c r="A441" s="113" t="n">
        <v>2013</v>
      </c>
      <c r="B441" s="113" t="inlineStr">
        <is>
          <t>非化石能源生产能力</t>
        </is>
      </c>
      <c r="C441" s="113" t="inlineStr">
        <is>
          <t>提高至</t>
        </is>
      </c>
      <c r="D441" s="113" t="inlineStr">
        <is>
          <t>4.7亿吨标准煤</t>
        </is>
      </c>
      <c r="E441" s="113" t="n"/>
      <c r="F441" s="114" t="inlineStr">
        <is>
          <t>2015</t>
        </is>
      </c>
      <c r="G441" s="113" t="inlineStr">
        <is>
          <t>新目标</t>
        </is>
      </c>
      <c r="H441" s="113" t="inlineStr">
        <is>
          <t>可再生能源</t>
        </is>
      </c>
      <c r="I441" s="113" t="inlineStr">
        <is>
          <t>全社会经济</t>
        </is>
      </c>
      <c r="J441" s="113" t="inlineStr">
        <is>
          <t>到2015年，非化石能源生产能力达到4.7亿吨标准煤。</t>
        </is>
      </c>
      <c r="K441" s="113" t="inlineStr">
        <is>
          <t>FYP1302.htm</t>
        </is>
      </c>
      <c r="L441" s="113" t="inlineStr">
        <is>
          <t>能源|电力</t>
        </is>
      </c>
      <c r="M441" s="113" t="inlineStr">
        <is>
          <t>电力供应</t>
        </is>
      </c>
    </row>
    <row r="442" ht="18" customHeight="1" s="235">
      <c r="A442" s="113" t="n">
        <v>2024</v>
      </c>
      <c r="B442" s="113" t="inlineStr">
        <is>
          <t>非水电可再生能源电力消纳责任权重</t>
        </is>
      </c>
      <c r="C442" s="113" t="inlineStr">
        <is>
          <t>达到</t>
        </is>
      </c>
      <c r="D442" s="113" t="inlineStr">
        <is>
          <t>18%左右</t>
        </is>
      </c>
      <c r="E442" s="113" t="n"/>
      <c r="F442" s="114" t="inlineStr">
        <is>
          <t>2024</t>
        </is>
      </c>
      <c r="G442" s="113" t="inlineStr">
        <is>
          <t>新目标</t>
        </is>
      </c>
      <c r="H442" s="113" t="inlineStr">
        <is>
          <t>可再生能源</t>
        </is>
      </c>
      <c r="I442" s="113" t="inlineStr">
        <is>
          <t>全社会经济</t>
        </is>
      </c>
      <c r="J442" s="113" t="inlineStr">
        <is>
          <t>2024年，全国非水电可再生能源电力消纳责任权重将达到18%左右。</t>
        </is>
      </c>
      <c r="K442" s="113" t="inlineStr">
        <is>
          <t>HL2401.pdf</t>
        </is>
      </c>
      <c r="L442" s="113" t="inlineStr">
        <is>
          <t>能源|电力</t>
        </is>
      </c>
      <c r="M442" s="113" t="inlineStr">
        <is>
          <t>能源消费</t>
        </is>
      </c>
    </row>
    <row r="443" ht="18" customHeight="1" s="235">
      <c r="A443" s="113" t="n">
        <v>2013</v>
      </c>
      <c r="B443" s="113" t="inlineStr">
        <is>
          <t>页岩气产量</t>
        </is>
      </c>
      <c r="C443" s="113" t="inlineStr">
        <is>
          <t>达到</t>
        </is>
      </c>
      <c r="D443" s="113" t="inlineStr">
        <is>
          <t>65亿立方米</t>
        </is>
      </c>
      <c r="E443" s="113" t="n"/>
      <c r="F443" s="114" t="inlineStr">
        <is>
          <t>2015</t>
        </is>
      </c>
      <c r="G443" s="113" t="inlineStr">
        <is>
          <t>新目标</t>
        </is>
      </c>
      <c r="H443" s="113" t="inlineStr">
        <is>
          <t>过渡能源</t>
        </is>
      </c>
      <c r="I443" s="113" t="inlineStr">
        <is>
          <t>行业</t>
        </is>
      </c>
      <c r="J443" s="113" t="inlineStr">
        <is>
          <t>到2015年，页岩气商品量达到65亿立方米。</t>
        </is>
      </c>
      <c r="K443" s="113" t="inlineStr">
        <is>
          <t>FYP1302.htm</t>
        </is>
      </c>
      <c r="L443" s="113" t="inlineStr">
        <is>
          <t>能源|电力</t>
        </is>
      </c>
      <c r="M443" s="113" t="inlineStr">
        <is>
          <t>电力供应</t>
        </is>
      </c>
    </row>
    <row r="444" ht="18" customHeight="1" s="235">
      <c r="A444" s="113" t="n">
        <v>2012</v>
      </c>
      <c r="B444" s="113" t="inlineStr">
        <is>
          <t>页岩气产量</t>
        </is>
      </c>
      <c r="C444" s="113" t="inlineStr">
        <is>
          <t>达到</t>
        </is>
      </c>
      <c r="D444" s="113" t="inlineStr">
        <is>
          <t>65亿立方米</t>
        </is>
      </c>
      <c r="E444" s="113" t="n"/>
      <c r="F444" s="114" t="inlineStr">
        <is>
          <t>2015</t>
        </is>
      </c>
      <c r="G444" s="113" t="inlineStr">
        <is>
          <t>重申目标</t>
        </is>
      </c>
      <c r="H444" s="113" t="inlineStr">
        <is>
          <t>过渡能源</t>
        </is>
      </c>
      <c r="I444" s="113" t="inlineStr">
        <is>
          <t>行业</t>
        </is>
      </c>
      <c r="J444" s="113" t="inlineStr">
        <is>
          <t>政府推动非常规能源勘探，制定《页岩气发展规划（2011-2015年）》，明确到2015年完成全国页岩气资源调查与评价，并设定产量目标为65亿立方米。</t>
        </is>
      </c>
      <c r="K444" s="113" t="inlineStr">
        <is>
          <t>HL1202.pdf</t>
        </is>
      </c>
      <c r="L444" s="113" t="inlineStr">
        <is>
          <t>能源|电力</t>
        </is>
      </c>
      <c r="M444" s="113" t="inlineStr">
        <is>
          <t>电力供应</t>
        </is>
      </c>
    </row>
    <row r="445" ht="18" customHeight="1" s="235">
      <c r="A445" s="113" t="n">
        <v>2012</v>
      </c>
      <c r="B445" s="113" t="inlineStr">
        <is>
          <t>页岩气产量</t>
        </is>
      </c>
      <c r="C445" s="113" t="inlineStr">
        <is>
          <t>实现</t>
        </is>
      </c>
      <c r="D445" s="113" t="inlineStr">
        <is>
          <t>65亿立方米</t>
        </is>
      </c>
      <c r="E445" s="113" t="n"/>
      <c r="F445" s="114" t="inlineStr">
        <is>
          <t>2015</t>
        </is>
      </c>
      <c r="G445" s="113" t="inlineStr">
        <is>
          <t>重申目标</t>
        </is>
      </c>
      <c r="H445" s="113" t="inlineStr">
        <is>
          <t>过渡能源</t>
        </is>
      </c>
      <c r="I445" s="113" t="inlineStr">
        <is>
          <t>行业</t>
        </is>
      </c>
      <c r="J445" s="113" t="inlineStr">
        <is>
          <t>加快攻克页岩气勘探开发核心技术，建立页岩气勘探开发新机制，落实产业鼓励政策，完善配套基础设施，实现到2015年全国产量达到65亿立方米的总体目标，为页岩气未来的快速发展奠定坚实的基础。</t>
        </is>
      </c>
      <c r="K445" s="113" t="inlineStr">
        <is>
          <t>WP1201.htm</t>
        </is>
      </c>
      <c r="L445" s="113" t="inlineStr">
        <is>
          <t>能源|电力</t>
        </is>
      </c>
      <c r="M445" s="113" t="inlineStr">
        <is>
          <t>电力供应</t>
        </is>
      </c>
    </row>
    <row r="446" ht="18" customHeight="1" s="235">
      <c r="A446" s="113" t="n">
        <v>2014</v>
      </c>
      <c r="B446" s="113" t="inlineStr">
        <is>
          <t>页岩气产量</t>
        </is>
      </c>
      <c r="C446" s="113" t="inlineStr">
        <is>
          <t>超过</t>
        </is>
      </c>
      <c r="D446" s="113" t="inlineStr">
        <is>
          <t>300亿立方米</t>
        </is>
      </c>
      <c r="E446" s="113" t="n"/>
      <c r="F446" s="114" t="inlineStr">
        <is>
          <t>2020</t>
        </is>
      </c>
      <c r="G446" s="113" t="inlineStr">
        <is>
          <t>新目标</t>
        </is>
      </c>
      <c r="H446" s="113" t="inlineStr">
        <is>
          <t>过渡能源</t>
        </is>
      </c>
      <c r="I446" s="113" t="inlineStr">
        <is>
          <t>行业</t>
        </is>
      </c>
      <c r="J446" s="113" t="inlineStr">
        <is>
          <t>到2020年，页岩气产量力争超过300亿立方米。</t>
        </is>
      </c>
      <c r="K446" s="113" t="inlineStr">
        <is>
          <t>AP1401.htm</t>
        </is>
      </c>
      <c r="L446" s="113" t="inlineStr">
        <is>
          <t>能源|电力</t>
        </is>
      </c>
      <c r="M446" s="113" t="inlineStr">
        <is>
          <t>电力供应</t>
        </is>
      </c>
    </row>
    <row r="447" ht="18" customHeight="1" s="235">
      <c r="A447" s="113" t="n">
        <v>2016</v>
      </c>
      <c r="B447" s="113" t="inlineStr">
        <is>
          <t>页岩气产量</t>
        </is>
      </c>
      <c r="C447" s="113" t="inlineStr">
        <is>
          <t>达到</t>
        </is>
      </c>
      <c r="D447" s="113" t="inlineStr">
        <is>
          <t>800-1000亿立方米</t>
        </is>
      </c>
      <c r="E447" s="113" t="n"/>
      <c r="F447" s="114" t="inlineStr">
        <is>
          <t>2030</t>
        </is>
      </c>
      <c r="G447" s="113" t="inlineStr">
        <is>
          <t>新目标</t>
        </is>
      </c>
      <c r="H447" s="113" t="inlineStr">
        <is>
          <t>过渡能源</t>
        </is>
      </c>
      <c r="I447" s="113" t="inlineStr">
        <is>
          <t>行业</t>
        </is>
      </c>
      <c r="J447" s="113" t="inlineStr">
        <is>
          <t>到2030年，页岩气产量达到800-1000亿立方米。</t>
        </is>
      </c>
      <c r="K447" s="113" t="inlineStr">
        <is>
          <t>FYP1614.htm</t>
        </is>
      </c>
      <c r="L447" s="113" t="inlineStr">
        <is>
          <t>能源|电力</t>
        </is>
      </c>
      <c r="M447" s="113" t="inlineStr">
        <is>
          <t>电力供应</t>
        </is>
      </c>
    </row>
    <row r="448" ht="18" customHeight="1" s="235">
      <c r="A448" s="113" t="n">
        <v>2013</v>
      </c>
      <c r="B448" s="113" t="inlineStr">
        <is>
          <t>页岩气新增探明地质储量</t>
        </is>
      </c>
      <c r="C448" s="113" t="inlineStr">
        <is>
          <t>提高</t>
        </is>
      </c>
      <c r="D448" s="113" t="inlineStr">
        <is>
          <t>6000亿立方米</t>
        </is>
      </c>
      <c r="E448" s="113" t="n">
        <v>2010</v>
      </c>
      <c r="F448" s="114" t="inlineStr">
        <is>
          <t>2015</t>
        </is>
      </c>
      <c r="G448" s="113" t="inlineStr">
        <is>
          <t>新目标</t>
        </is>
      </c>
      <c r="H448" s="113" t="inlineStr">
        <is>
          <t>过渡能源</t>
        </is>
      </c>
      <c r="I448" s="113" t="inlineStr">
        <is>
          <t>行业</t>
        </is>
      </c>
      <c r="J448" s="113" t="inlineStr">
        <is>
          <t>到2015年，页岩气探明地质储量增加6000亿立方米。</t>
        </is>
      </c>
      <c r="K448" s="113" t="inlineStr">
        <is>
          <t>FYP1302.htm</t>
        </is>
      </c>
      <c r="L448" s="113" t="inlineStr">
        <is>
          <t>能源|电力</t>
        </is>
      </c>
      <c r="M448" s="113" t="inlineStr">
        <is>
          <t>化石燃料储量</t>
        </is>
      </c>
    </row>
    <row r="449" ht="18" customHeight="1" s="235">
      <c r="A449" s="113" t="n">
        <v>2016</v>
      </c>
      <c r="B449" s="113" t="inlineStr">
        <is>
          <t>页岩气累计探明地质储量</t>
        </is>
      </c>
      <c r="C449" s="113" t="inlineStr">
        <is>
          <t>超过</t>
        </is>
      </c>
      <c r="D449" s="113" t="inlineStr">
        <is>
          <t>1.5万亿立方米</t>
        </is>
      </c>
      <c r="E449" s="113" t="n"/>
      <c r="F449" s="114" t="inlineStr">
        <is>
          <t>2020</t>
        </is>
      </c>
      <c r="G449" s="113" t="inlineStr">
        <is>
          <t>新目标</t>
        </is>
      </c>
      <c r="H449" s="113" t="inlineStr">
        <is>
          <t>过渡能源</t>
        </is>
      </c>
      <c r="I449" s="113" t="inlineStr">
        <is>
          <t>全社会经济</t>
        </is>
      </c>
      <c r="J449" s="113" t="inlineStr">
        <is>
          <t>到2020年，页岩气累计探明地质储量超过1.5万亿立方米。</t>
        </is>
      </c>
      <c r="K449" s="113" t="inlineStr">
        <is>
          <t>FYP1625.pdf</t>
        </is>
      </c>
      <c r="L449" s="113" t="inlineStr">
        <is>
          <t>能源|电力</t>
        </is>
      </c>
      <c r="M449" s="113" t="inlineStr">
        <is>
          <t>化石燃料储量</t>
        </is>
      </c>
    </row>
    <row r="450" ht="18" customHeight="1" s="235">
      <c r="A450" s="113" t="n">
        <v>2014</v>
      </c>
      <c r="B450" s="113" t="inlineStr">
        <is>
          <t>风力发电装机容量</t>
        </is>
      </c>
      <c r="C450" s="113" t="inlineStr">
        <is>
          <t>达到</t>
        </is>
      </c>
      <c r="D450" s="113" t="inlineStr">
        <is>
          <t>2亿千瓦</t>
        </is>
      </c>
      <c r="E450" s="113" t="n"/>
      <c r="F450" s="114" t="inlineStr">
        <is>
          <t>2020</t>
        </is>
      </c>
      <c r="G450" s="113" t="inlineStr">
        <is>
          <t>新目标</t>
        </is>
      </c>
      <c r="H450" s="113" t="inlineStr">
        <is>
          <t>可再生能源</t>
        </is>
      </c>
      <c r="I450" s="113" t="inlineStr">
        <is>
          <t>全社会经济</t>
        </is>
      </c>
      <c r="J450" s="113" t="inlineStr">
        <is>
          <t>到2020年，风电装机达到2亿千瓦，风电与煤电上网电价相当。</t>
        </is>
      </c>
      <c r="K450" s="113" t="inlineStr">
        <is>
          <t>AP1401.htm</t>
        </is>
      </c>
      <c r="L450" s="113" t="inlineStr">
        <is>
          <t>能源|电力</t>
        </is>
      </c>
      <c r="M450" s="113" t="inlineStr">
        <is>
          <t>电力供应</t>
        </is>
      </c>
    </row>
    <row r="451" ht="18" customHeight="1" s="235">
      <c r="A451" s="113" t="n">
        <v>2019</v>
      </c>
      <c r="B451" s="113" t="inlineStr">
        <is>
          <t>风力发电装机容量</t>
        </is>
      </c>
      <c r="C451" s="113" t="inlineStr">
        <is>
          <t>提高至</t>
        </is>
      </c>
      <c r="D451" s="113" t="inlineStr">
        <is>
          <t>超过2.1亿千瓦</t>
        </is>
      </c>
      <c r="E451" s="113" t="n"/>
      <c r="F451" s="114" t="inlineStr">
        <is>
          <t>2020</t>
        </is>
      </c>
      <c r="G451" s="113" t="inlineStr">
        <is>
          <t>重申目标</t>
        </is>
      </c>
      <c r="H451" s="113" t="inlineStr">
        <is>
          <t>可再生能源</t>
        </is>
      </c>
      <c r="I451" s="113" t="inlineStr">
        <is>
          <t>全社会经济</t>
        </is>
      </c>
      <c r="J451" s="113" t="inlineStr">
        <is>
          <t>到2020年，将风力发电装机容量提高至超过2.1亿千瓦</t>
        </is>
      </c>
      <c r="K451" s="113" t="inlineStr">
        <is>
          <t>HL1902.pdf</t>
        </is>
      </c>
      <c r="L451" s="113" t="inlineStr">
        <is>
          <t>能源|电力</t>
        </is>
      </c>
      <c r="M451" s="113" t="inlineStr">
        <is>
          <t>电力供应</t>
        </is>
      </c>
    </row>
    <row r="452" ht="18" customHeight="1" s="235">
      <c r="A452" s="113" t="n">
        <v>2017</v>
      </c>
      <c r="B452" s="113" t="inlineStr">
        <is>
          <t>风力发电装机容量</t>
        </is>
      </c>
      <c r="C452" s="113" t="inlineStr">
        <is>
          <t>达到</t>
        </is>
      </c>
      <c r="D452" s="113" t="inlineStr">
        <is>
          <t>2亿千瓦</t>
        </is>
      </c>
      <c r="E452" s="113" t="n"/>
      <c r="F452" s="114" t="inlineStr">
        <is>
          <t>2020</t>
        </is>
      </c>
      <c r="G452" s="113" t="inlineStr">
        <is>
          <t>重申目标</t>
        </is>
      </c>
      <c r="H452" s="113" t="inlineStr">
        <is>
          <t>可再生能源</t>
        </is>
      </c>
      <c r="I452" s="113" t="inlineStr">
        <is>
          <t>全社会经济</t>
        </is>
      </c>
      <c r="J452" s="113" t="inlineStr">
        <is>
          <t>到2020年，风电装机达到2亿千瓦，2015年风电占总发电量比重为3.2%。</t>
        </is>
      </c>
      <c r="K452" s="113" t="inlineStr">
        <is>
          <t>HL1701.pdf</t>
        </is>
      </c>
      <c r="L452" s="113" t="inlineStr">
        <is>
          <t>能源|电力</t>
        </is>
      </c>
      <c r="M452" s="113" t="inlineStr">
        <is>
          <t>电力供应</t>
        </is>
      </c>
    </row>
    <row r="453" ht="18" customHeight="1" s="235">
      <c r="A453" s="113" t="n">
        <v>2013</v>
      </c>
      <c r="B453" s="113" t="inlineStr">
        <is>
          <t>风力发电装机容量</t>
        </is>
      </c>
      <c r="C453" s="113" t="inlineStr">
        <is>
          <t>达到</t>
        </is>
      </c>
      <c r="D453" s="113" t="inlineStr">
        <is>
          <t>7900万千瓦</t>
        </is>
      </c>
      <c r="E453" s="113" t="n"/>
      <c r="F453" s="114" t="inlineStr">
        <is>
          <t>2015</t>
        </is>
      </c>
      <c r="G453" s="113" t="inlineStr">
        <is>
          <t>重申目标</t>
        </is>
      </c>
      <c r="H453" s="113" t="inlineStr">
        <is>
          <t>可再生能源</t>
        </is>
      </c>
      <c r="I453" s="113" t="inlineStr">
        <is>
          <t>全社会经济</t>
        </is>
      </c>
      <c r="J453" s="113" t="inlineStr">
        <is>
          <t>到2015年，大型风电基地规模达到7900万千瓦。</t>
        </is>
      </c>
      <c r="K453" s="113" t="inlineStr">
        <is>
          <t>FYP1302.htm</t>
        </is>
      </c>
      <c r="L453" s="113" t="inlineStr">
        <is>
          <t>能源|电力</t>
        </is>
      </c>
      <c r="M453" s="113" t="inlineStr">
        <is>
          <t>电力供应</t>
        </is>
      </c>
    </row>
    <row r="454" ht="18" customHeight="1" s="235">
      <c r="A454" s="113" t="n">
        <v>2016</v>
      </c>
      <c r="B454" s="113" t="inlineStr">
        <is>
          <t>风力发电装机规模</t>
        </is>
      </c>
      <c r="C454" s="113" t="inlineStr">
        <is>
          <t>达到</t>
        </is>
      </c>
      <c r="D454" s="113" t="inlineStr">
        <is>
          <t>2.1亿千瓦</t>
        </is>
      </c>
      <c r="E454" s="113" t="n"/>
      <c r="F454" s="114" t="inlineStr">
        <is>
          <t>2020</t>
        </is>
      </c>
      <c r="G454" s="113" t="inlineStr">
        <is>
          <t>强化或放宽目标（积极气候影响）</t>
        </is>
      </c>
      <c r="H454" s="113" t="inlineStr">
        <is>
          <t>可再生能源</t>
        </is>
      </c>
      <c r="I454" s="113" t="inlineStr">
        <is>
          <t>全社会经济</t>
        </is>
      </c>
      <c r="J454" s="113" t="inlineStr">
        <is>
          <t>到2020年，风电装机规模达到2.1亿千瓦以上，实现风电与煤电上网电价基本相当，风电装备技术创新能力达到国际先进水平。</t>
        </is>
      </c>
      <c r="K454" s="113" t="inlineStr">
        <is>
          <t>FYP1613.htm</t>
        </is>
      </c>
      <c r="L454" s="113" t="inlineStr">
        <is>
          <t>能源|电力</t>
        </is>
      </c>
      <c r="M454" s="113" t="inlineStr">
        <is>
          <t>电力供应</t>
        </is>
      </c>
    </row>
    <row r="455" ht="18" customHeight="1" s="235">
      <c r="A455" s="113" t="n">
        <v>2021</v>
      </c>
      <c r="B455" s="113" t="inlineStr">
        <is>
          <t>风电、太阳能发电总装机容量</t>
        </is>
      </c>
      <c r="C455" s="113" t="inlineStr">
        <is>
          <t>达到</t>
        </is>
      </c>
      <c r="D455" s="113" t="inlineStr">
        <is>
          <t>超过12亿千瓦</t>
        </is>
      </c>
      <c r="E455" s="113" t="n"/>
      <c r="F455" s="114" t="inlineStr">
        <is>
          <t>2030</t>
        </is>
      </c>
      <c r="G455" s="113" t="inlineStr">
        <is>
          <t>重申目标</t>
        </is>
      </c>
      <c r="H455" s="113" t="inlineStr">
        <is>
          <t>可再生能源</t>
        </is>
      </c>
      <c r="I455" s="113" t="inlineStr">
        <is>
          <t>全社会经济</t>
        </is>
      </c>
      <c r="J455" s="113" t="inlineStr">
        <is>
          <t>到2030年，中国风电、太阳能发电总装机容量将达到12亿千瓦以上。</t>
        </is>
      </c>
      <c r="K455" s="113" t="inlineStr">
        <is>
          <t>HL2107.htm</t>
        </is>
      </c>
      <c r="L455" s="113" t="inlineStr">
        <is>
          <t>能源|电力</t>
        </is>
      </c>
      <c r="M455" s="113" t="inlineStr">
        <is>
          <t>电力供应</t>
        </is>
      </c>
    </row>
    <row r="456" ht="18" customHeight="1" s="235">
      <c r="A456" s="113" t="n">
        <v>2021</v>
      </c>
      <c r="B456" s="113" t="inlineStr">
        <is>
          <t>风电、太阳能发电总装机容量</t>
        </is>
      </c>
      <c r="C456" s="113" t="inlineStr">
        <is>
          <t>超过</t>
        </is>
      </c>
      <c r="D456" s="113" t="inlineStr">
        <is>
          <t>12亿千瓦以上</t>
        </is>
      </c>
      <c r="E456" s="113" t="n"/>
      <c r="F456" s="114" t="inlineStr">
        <is>
          <t>2030</t>
        </is>
      </c>
      <c r="G456" s="113" t="inlineStr">
        <is>
          <t>重申目标</t>
        </is>
      </c>
      <c r="H456" s="113" t="inlineStr">
        <is>
          <t>可再生能源</t>
        </is>
      </c>
      <c r="I456" s="113" t="inlineStr">
        <is>
          <t>全社会经济</t>
        </is>
      </c>
      <c r="J456" s="113" t="inlineStr">
        <is>
          <t>到2030年，风电、太阳能发电总装机容量达到12亿千瓦以上。</t>
        </is>
      </c>
      <c r="K456" s="113" t="inlineStr">
        <is>
          <t>HL2101.htm</t>
        </is>
      </c>
      <c r="L456" s="113" t="inlineStr">
        <is>
          <t>能源|电力</t>
        </is>
      </c>
      <c r="M456" s="113" t="inlineStr">
        <is>
          <t>电力供应</t>
        </is>
      </c>
    </row>
    <row r="457" ht="18" customHeight="1" s="235">
      <c r="A457" s="113" t="n">
        <v>2023</v>
      </c>
      <c r="B457" s="113" t="inlineStr">
        <is>
          <t>风电和光伏发电量占全社会用电量的比重</t>
        </is>
      </c>
      <c r="C457" s="113" t="inlineStr">
        <is>
          <t>提高至</t>
        </is>
      </c>
      <c r="D457" s="113" t="inlineStr">
        <is>
          <t>15.3%</t>
        </is>
      </c>
      <c r="E457" s="113" t="n"/>
      <c r="F457" s="114" t="n">
        <v>2023</v>
      </c>
      <c r="G457" s="113" t="inlineStr">
        <is>
          <t>新目标</t>
        </is>
      </c>
      <c r="H457" s="113" t="inlineStr">
        <is>
          <t>可再生能源</t>
        </is>
      </c>
      <c r="I457" s="113" t="inlineStr">
        <is>
          <t>全社会经济</t>
        </is>
      </c>
      <c r="J457" s="113" t="inlineStr">
        <is>
          <t>风电、光伏发电量占全社会用电量的比重达到15.3%</t>
        </is>
      </c>
      <c r="K457" s="113" t="inlineStr">
        <is>
          <t>GO2308.htm</t>
        </is>
      </c>
      <c r="L457" s="113" t="inlineStr">
        <is>
          <t>能源|电力</t>
        </is>
      </c>
      <c r="M457" s="113" t="inlineStr">
        <is>
          <t>能源消费</t>
        </is>
      </c>
    </row>
    <row r="458" ht="18" customHeight="1" s="235">
      <c r="A458" s="113" t="n">
        <v>2021</v>
      </c>
      <c r="B458" s="113" t="inlineStr">
        <is>
          <t>风电和太阳能发电总装机容量</t>
        </is>
      </c>
      <c r="C458" s="113" t="inlineStr">
        <is>
          <t>达到</t>
        </is>
      </c>
      <c r="D458" s="113" t="inlineStr">
        <is>
          <t>1200吉瓦</t>
        </is>
      </c>
      <c r="E458" s="113" t="n"/>
      <c r="F458" s="114" t="inlineStr">
        <is>
          <t>2030</t>
        </is>
      </c>
      <c r="G458" s="113" t="inlineStr">
        <is>
          <t>新目标</t>
        </is>
      </c>
      <c r="H458" s="113" t="inlineStr">
        <is>
          <t>可再生能源</t>
        </is>
      </c>
      <c r="I458" s="113" t="inlineStr">
        <is>
          <t>全社会经济</t>
        </is>
      </c>
      <c r="J458" s="113" t="inlineStr">
        <is>
          <t>到2030年，风电、太阳能发电总装机容量达到12亿千瓦以上。</t>
        </is>
      </c>
      <c r="K458" s="113" t="inlineStr">
        <is>
          <t>HL2102.pdf</t>
        </is>
      </c>
      <c r="L458" s="113" t="inlineStr">
        <is>
          <t>能源|电力</t>
        </is>
      </c>
      <c r="M458" s="113" t="inlineStr">
        <is>
          <t>电力供应</t>
        </is>
      </c>
    </row>
    <row r="459" ht="18" customHeight="1" s="235">
      <c r="A459" s="113" t="n">
        <v>2023</v>
      </c>
      <c r="B459" s="113" t="inlineStr">
        <is>
          <t>风电和太阳能发电装机容量</t>
        </is>
      </c>
      <c r="C459" s="113" t="inlineStr">
        <is>
          <t>提高至</t>
        </is>
      </c>
      <c r="D459" s="113" t="inlineStr">
        <is>
          <t>超过12亿千瓦</t>
        </is>
      </c>
      <c r="E459" s="113" t="n"/>
      <c r="F459" s="114" t="inlineStr">
        <is>
          <t>2030</t>
        </is>
      </c>
      <c r="G459" s="113" t="inlineStr">
        <is>
          <t>重申目标</t>
        </is>
      </c>
      <c r="H459" s="113" t="inlineStr">
        <is>
          <t>可再生能源</t>
        </is>
      </c>
      <c r="I459" s="113" t="inlineStr">
        <is>
          <t>全社会经济</t>
        </is>
      </c>
      <c r="J459" s="113" t="inlineStr">
        <is>
          <t>到2030年，中国风电、太阳能发电总装机容量将达到12亿千瓦以上。</t>
        </is>
      </c>
      <c r="K459" s="113" t="inlineStr">
        <is>
          <t>HL2302.pdf</t>
        </is>
      </c>
      <c r="L459" s="113" t="inlineStr">
        <is>
          <t>能源|电力</t>
        </is>
      </c>
      <c r="M459" s="113" t="inlineStr">
        <is>
          <t>电力供应</t>
        </is>
      </c>
    </row>
    <row r="460" ht="18" customHeight="1" s="235">
      <c r="A460" s="113" t="n">
        <v>2025</v>
      </c>
      <c r="B460" s="113" t="inlineStr">
        <is>
          <t>风电和太阳能发电装机容量</t>
        </is>
      </c>
      <c r="C460" s="113" t="inlineStr">
        <is>
          <t>达到</t>
        </is>
      </c>
      <c r="D460" s="113" t="inlineStr">
        <is>
          <t>3600吉瓦</t>
        </is>
      </c>
      <c r="E460" s="113" t="n"/>
      <c r="F460" s="114" t="n">
        <v>2035</v>
      </c>
      <c r="G460" s="113" t="inlineStr">
        <is>
          <t>新目标</t>
        </is>
      </c>
      <c r="H460" s="113" t="inlineStr">
        <is>
          <t>可再生能源</t>
        </is>
      </c>
      <c r="I460" s="113" t="inlineStr">
        <is>
          <t>全社会经济</t>
        </is>
      </c>
      <c r="J460" s="113" t="inlineStr">
        <is>
          <t>到2035年，中国将风电和太阳能发电总装机容量扩大至2020年水平的六倍以上，力争达到3600吉瓦</t>
        </is>
      </c>
      <c r="K460" s="113" t="inlineStr">
        <is>
          <t>PA2501.htm</t>
        </is>
      </c>
      <c r="L460" s="113" t="inlineStr">
        <is>
          <t>能源|电力</t>
        </is>
      </c>
      <c r="M460" s="113" t="inlineStr">
        <is>
          <t>电力供应</t>
        </is>
      </c>
    </row>
    <row r="461" ht="18" customHeight="1" s="235">
      <c r="A461" s="113" t="n">
        <v>2021</v>
      </c>
      <c r="B461" s="113" t="inlineStr">
        <is>
          <t>风电和太阳能发电装机容量</t>
        </is>
      </c>
      <c r="C461" s="113" t="inlineStr">
        <is>
          <t>达到</t>
        </is>
      </c>
      <c r="D461" s="113" t="inlineStr">
        <is>
          <t>12亿千瓦</t>
        </is>
      </c>
      <c r="E461" s="113" t="n"/>
      <c r="F461" s="114" t="inlineStr">
        <is>
          <t>2030</t>
        </is>
      </c>
      <c r="G461" s="113" t="inlineStr">
        <is>
          <t>重申目标</t>
        </is>
      </c>
      <c r="H461" s="113" t="inlineStr">
        <is>
          <t>可再生能源</t>
        </is>
      </c>
      <c r="I461" s="113" t="inlineStr">
        <is>
          <t>全社会经济</t>
        </is>
      </c>
      <c r="J461" s="113" t="inlineStr">
        <is>
          <t>中国更新后的国家自主贡献目标如下：到2030年，风电和太阳能发电总装机容量达到12亿千瓦以上。</t>
        </is>
      </c>
      <c r="K461" s="113" t="inlineStr">
        <is>
          <t>HL2105.pdf</t>
        </is>
      </c>
      <c r="L461" s="113" t="inlineStr">
        <is>
          <t>能源|电力</t>
        </is>
      </c>
      <c r="M461" s="113" t="inlineStr">
        <is>
          <t>电力供应</t>
        </is>
      </c>
    </row>
    <row r="462" ht="18" customHeight="1" s="235">
      <c r="A462" s="113" t="n">
        <v>2024</v>
      </c>
      <c r="B462" s="113" t="inlineStr">
        <is>
          <t>风电和太阳能发电装机容量</t>
        </is>
      </c>
      <c r="C462" s="113" t="inlineStr">
        <is>
          <t>达到</t>
        </is>
      </c>
      <c r="D462" s="113" t="inlineStr">
        <is>
          <t>12亿千瓦</t>
        </is>
      </c>
      <c r="E462" s="113" t="n"/>
      <c r="F462" s="114" t="inlineStr">
        <is>
          <t>2030</t>
        </is>
      </c>
      <c r="G462" s="113" t="inlineStr">
        <is>
          <t>重申目标</t>
        </is>
      </c>
      <c r="H462" s="113" t="inlineStr">
        <is>
          <t>可再生能源</t>
        </is>
      </c>
      <c r="I462" s="113" t="inlineStr">
        <is>
          <t>全社会经济</t>
        </is>
      </c>
      <c r="J462" s="113" t="inlineStr">
        <is>
          <t>“到2030年，风电、太阳能发电总装机容量达到12亿千瓦以上”的目标，是指到2030年，风电和太阳能发电装机总容量达到至少1200吉瓦。</t>
        </is>
      </c>
      <c r="K462" s="113" t="inlineStr">
        <is>
          <t>HL2401.pdf</t>
        </is>
      </c>
      <c r="L462" s="113" t="inlineStr">
        <is>
          <t>能源|电力</t>
        </is>
      </c>
      <c r="M462" s="113" t="inlineStr">
        <is>
          <t>电力供应</t>
        </is>
      </c>
    </row>
    <row r="463" ht="18" customHeight="1" s="235">
      <c r="A463" s="113" t="n">
        <v>2016</v>
      </c>
      <c r="B463" s="113" t="inlineStr">
        <is>
          <t>风电和太阳能发电装机容量</t>
        </is>
      </c>
      <c r="C463" s="113" t="inlineStr">
        <is>
          <t>达到</t>
        </is>
      </c>
      <c r="D463" s="113" t="inlineStr">
        <is>
          <t>超过12亿千瓦</t>
        </is>
      </c>
      <c r="E463" s="113" t="n"/>
      <c r="F463" s="114" t="inlineStr">
        <is>
          <t>2030</t>
        </is>
      </c>
      <c r="G463" s="113" t="inlineStr">
        <is>
          <t>重申目标</t>
        </is>
      </c>
      <c r="H463" s="113" t="inlineStr">
        <is>
          <t>可再生能源</t>
        </is>
      </c>
      <c r="I463" s="113" t="inlineStr">
        <is>
          <t>全社会经济</t>
        </is>
      </c>
      <c r="J463" s="113" t="inlineStr">
        <is>
          <t>到2030年，风电和太阳能发电总装机容量达到12亿千瓦以上。</t>
        </is>
      </c>
      <c r="K463" s="113" t="inlineStr">
        <is>
          <t>HL1601.pdf</t>
        </is>
      </c>
      <c r="L463" s="113" t="inlineStr">
        <is>
          <t>能源|电力</t>
        </is>
      </c>
      <c r="M463" s="113" t="inlineStr">
        <is>
          <t>电力供应</t>
        </is>
      </c>
    </row>
    <row r="464" ht="18" customHeight="1" s="235">
      <c r="A464" s="113" t="n">
        <v>2021</v>
      </c>
      <c r="B464" s="113" t="inlineStr">
        <is>
          <t>风电和太阳能发电装机容量</t>
        </is>
      </c>
      <c r="C464" s="113" t="inlineStr">
        <is>
          <t>达到</t>
        </is>
      </c>
      <c r="D464" s="113" t="inlineStr">
        <is>
          <t>超过12亿千瓦</t>
        </is>
      </c>
      <c r="E464" s="113" t="n"/>
      <c r="F464" s="114" t="inlineStr">
        <is>
          <t>2030</t>
        </is>
      </c>
      <c r="G464" s="113" t="inlineStr">
        <is>
          <t>重申目标</t>
        </is>
      </c>
      <c r="H464" s="113" t="inlineStr">
        <is>
          <t>可再生能源</t>
        </is>
      </c>
      <c r="I464" s="113" t="inlineStr">
        <is>
          <t>全社会经济</t>
        </is>
      </c>
      <c r="J464" s="113" t="inlineStr">
        <is>
          <t>到2030年，非化石能源占能源消费比重达到25%左右，风电、太阳能发电总装机容量达到12亿千瓦以上。</t>
        </is>
      </c>
      <c r="K464" s="113" t="inlineStr">
        <is>
          <t>HL2104.pdf</t>
        </is>
      </c>
      <c r="L464" s="113" t="inlineStr">
        <is>
          <t>能源|电力</t>
        </is>
      </c>
      <c r="M464" s="113" t="inlineStr">
        <is>
          <t>电力供应</t>
        </is>
      </c>
    </row>
    <row r="465" ht="18" customHeight="1" s="235">
      <c r="A465" s="113" t="n">
        <v>2022</v>
      </c>
      <c r="B465" s="113" t="inlineStr">
        <is>
          <t>风电和太阳能发电装机规模</t>
        </is>
      </c>
      <c r="C465" s="113" t="inlineStr">
        <is>
          <t>实现</t>
        </is>
      </c>
      <c r="D465" s="113" t="inlineStr">
        <is>
          <t>12亿千瓦以上</t>
        </is>
      </c>
      <c r="E465" s="113" t="n"/>
      <c r="F465" s="114" t="inlineStr">
        <is>
          <t>2030</t>
        </is>
      </c>
      <c r="G465" s="113" t="inlineStr">
        <is>
          <t>重申目标</t>
        </is>
      </c>
      <c r="H465" s="113" t="inlineStr">
        <is>
          <t>可再生能源</t>
        </is>
      </c>
      <c r="I465" s="113" t="inlineStr">
        <is>
          <t>全社会经济</t>
        </is>
      </c>
      <c r="J465" s="113" t="inlineStr">
        <is>
          <t>要实现到2030年风电、太阳能发电总装机容量达到12亿千瓦以上的目标</t>
        </is>
      </c>
      <c r="K465" s="113" t="inlineStr">
        <is>
          <t>IP2208.htm</t>
        </is>
      </c>
      <c r="L465" s="113" t="inlineStr">
        <is>
          <t>能源|电力</t>
        </is>
      </c>
      <c r="M465" s="113" t="inlineStr">
        <is>
          <t>电力供应</t>
        </is>
      </c>
    </row>
    <row r="466" ht="18" customHeight="1" s="235">
      <c r="A466" s="113" t="n">
        <v>2016</v>
      </c>
      <c r="B466" s="113" t="inlineStr">
        <is>
          <t>风电装机容量</t>
        </is>
      </c>
      <c r="C466" s="113" t="inlineStr">
        <is>
          <t>投产</t>
        </is>
      </c>
      <c r="D466" s="113" t="inlineStr">
        <is>
          <t>7900万千瓦</t>
        </is>
      </c>
      <c r="E466" s="113" t="n"/>
      <c r="F466" s="114" t="inlineStr">
        <is>
          <t>十三五</t>
        </is>
      </c>
      <c r="G466" s="113" t="inlineStr">
        <is>
          <t>新目标</t>
        </is>
      </c>
      <c r="H466" s="113" t="inlineStr">
        <is>
          <t>可再生能源</t>
        </is>
      </c>
      <c r="I466" s="113" t="inlineStr">
        <is>
          <t>全社会经济</t>
        </is>
      </c>
      <c r="J466" s="113" t="inlineStr">
        <is>
          <t>“十三五”期间，风电新增投产0.79亿千瓦以上。</t>
        </is>
      </c>
      <c r="K466" s="113" t="inlineStr">
        <is>
          <t>FYP1607.pdf</t>
        </is>
      </c>
      <c r="L466" s="113" t="inlineStr">
        <is>
          <t>能源|电力</t>
        </is>
      </c>
      <c r="M466" s="113" t="inlineStr">
        <is>
          <t>电力供应</t>
        </is>
      </c>
    </row>
    <row r="467" ht="18" customHeight="1" s="235">
      <c r="A467" s="113" t="n">
        <v>2012</v>
      </c>
      <c r="B467" s="113" t="inlineStr">
        <is>
          <t>风电装机容量</t>
        </is>
      </c>
      <c r="C467" s="113" t="inlineStr">
        <is>
          <t>超过</t>
        </is>
      </c>
      <c r="D467" s="113" t="inlineStr">
        <is>
          <t>1亿千瓦</t>
        </is>
      </c>
      <c r="E467" s="113" t="n"/>
      <c r="F467" s="114" t="inlineStr">
        <is>
          <t>2015</t>
        </is>
      </c>
      <c r="G467" s="113" t="inlineStr">
        <is>
          <t>重申目标</t>
        </is>
      </c>
      <c r="H467" s="113" t="inlineStr">
        <is>
          <t>可再生能源</t>
        </is>
      </c>
      <c r="I467" s="113" t="inlineStr">
        <is>
          <t>全社会经济</t>
        </is>
      </c>
      <c r="J467" s="113" t="inlineStr">
        <is>
          <t>到2015年，中国风电装机将突破1亿千瓦，其中海上风电装机达到500万千瓦。</t>
        </is>
      </c>
      <c r="K467" s="113" t="inlineStr">
        <is>
          <t>WP1201.htm</t>
        </is>
      </c>
      <c r="L467" s="113" t="inlineStr">
        <is>
          <t>能源|电力</t>
        </is>
      </c>
      <c r="M467" s="113" t="inlineStr">
        <is>
          <t>电力供应</t>
        </is>
      </c>
    </row>
    <row r="468" ht="18" customHeight="1" s="235">
      <c r="A468" s="113" t="n">
        <v>2013</v>
      </c>
      <c r="B468" s="113" t="inlineStr">
        <is>
          <t>风电装机规模</t>
        </is>
      </c>
      <c r="C468" s="113" t="inlineStr">
        <is>
          <t>提高至</t>
        </is>
      </c>
      <c r="D468" s="113" t="inlineStr">
        <is>
          <t>1亿千瓦</t>
        </is>
      </c>
      <c r="E468" s="113" t="n"/>
      <c r="F468" s="114" t="inlineStr">
        <is>
          <t>2015</t>
        </is>
      </c>
      <c r="G468" s="113" t="inlineStr">
        <is>
          <t>新目标</t>
        </is>
      </c>
      <c r="H468" s="113" t="inlineStr">
        <is>
          <t>可再生能源</t>
        </is>
      </c>
      <c r="I468" s="113" t="inlineStr">
        <is>
          <t>全社会经济</t>
        </is>
      </c>
      <c r="J468" s="113" t="inlineStr">
        <is>
          <t>到2015年，风能发电装机规模达到1亿千瓦。</t>
        </is>
      </c>
      <c r="K468" s="113" t="inlineStr">
        <is>
          <t>FYP1302.htm</t>
        </is>
      </c>
      <c r="L468" s="113" t="inlineStr">
        <is>
          <t>能源|电力</t>
        </is>
      </c>
      <c r="M468" s="113" t="inlineStr">
        <is>
          <t>电力供应</t>
        </is>
      </c>
    </row>
    <row r="469" ht="18" customHeight="1" s="235">
      <c r="A469" s="117" t="n">
        <v>2016</v>
      </c>
      <c r="B469" s="117" t="inlineStr">
        <is>
          <t>高效配电变压器在网运行比例</t>
        </is>
      </c>
      <c r="C469" s="117" t="inlineStr">
        <is>
          <t>提高</t>
        </is>
      </c>
      <c r="D469" s="117" t="inlineStr">
        <is>
          <t>20个百分点</t>
        </is>
      </c>
      <c r="E469" s="117" t="n">
        <v>2016</v>
      </c>
      <c r="F469" s="118" t="inlineStr">
        <is>
          <t>2020</t>
        </is>
      </c>
      <c r="G469" s="117" t="inlineStr">
        <is>
          <t>新目标</t>
        </is>
      </c>
      <c r="H469" s="117" t="inlineStr">
        <is>
          <t>能源效率</t>
        </is>
      </c>
      <c r="I469" s="117" t="inlineStr">
        <is>
          <t>不明确</t>
        </is>
      </c>
      <c r="J469" s="117" t="inlineStr">
        <is>
          <t>到2020年，高效配电变压器在网运行比例提高20个百分点。</t>
        </is>
      </c>
      <c r="K469" s="117" t="inlineStr">
        <is>
          <t>DP1601.htm</t>
        </is>
      </c>
      <c r="L469" s="117" t="inlineStr">
        <is>
          <t>能源|电力</t>
        </is>
      </c>
      <c r="M469" s="117" t="inlineStr">
        <is>
          <t>电力传输/能源运输</t>
        </is>
      </c>
    </row>
    <row r="470" ht="18" customHeight="1" s="235">
      <c r="A470" s="0" t="n">
        <v>2026</v>
      </c>
      <c r="B470" s="0" t="inlineStr">
        <is>
          <t>能源综合生产能力</t>
        </is>
      </c>
      <c r="C470" s="0" t="inlineStr">
        <is>
          <t>达到</t>
        </is>
      </c>
      <c r="D470" s="0" t="inlineStr">
        <is>
          <t>58亿吨标准煤</t>
        </is>
      </c>
      <c r="F470" s="0" t="n">
        <v>2030</v>
      </c>
      <c r="G470" s="0" t="inlineStr">
        <is>
          <t>新目标</t>
        </is>
      </c>
      <c r="H470" s="0" t="inlineStr">
        <is>
          <t>生产导向</t>
        </is>
      </c>
      <c r="I470" s="0" t="inlineStr">
        <is>
          <t>全社会经济</t>
        </is>
      </c>
      <c r="J470" s="0" t="inlineStr">
        <is>
          <t>能源综合生产能力达到 58 亿吨标准煤，电力系统互补互济和安全韧性水平全面提升，能源进口多元可控；</t>
        </is>
      </c>
      <c r="K470" s="0" t="inlineStr">
        <is>
          <t>FYP2602.htm</t>
        </is>
      </c>
      <c r="L470" s="0" t="inlineStr">
        <is>
          <t>能源|电力</t>
        </is>
      </c>
      <c r="M470" s="0" t="inlineStr">
        <is>
          <t>能源消费</t>
        </is>
      </c>
    </row>
    <row r="471" ht="18" customHeight="1" s="235">
      <c r="A471" s="0" t="n">
        <v>2026</v>
      </c>
      <c r="B471" s="0" t="inlineStr">
        <is>
          <t>非化石能源消费比重</t>
        </is>
      </c>
      <c r="C471" s="0" t="inlineStr">
        <is>
          <t>达到</t>
        </is>
      </c>
      <c r="D471" s="0" t="inlineStr">
        <is>
          <t>25%</t>
        </is>
      </c>
      <c r="F471" s="0" t="n">
        <v>2030</v>
      </c>
      <c r="G471" s="0" t="inlineStr">
        <is>
          <t>新目标</t>
        </is>
      </c>
      <c r="H471" s="0" t="inlineStr">
        <is>
          <t>可再生能源</t>
        </is>
      </c>
      <c r="I471" s="0" t="inlineStr">
        <is>
          <t>全社会经济</t>
        </is>
      </c>
      <c r="J471" s="0" t="inlineStr">
        <is>
          <t>煤炭和石油消费达峰，非化石能源消费比重达到 25%，风电和太阳能发电装机比重超过50%、成为电力装机主体，非化石能源发电量比重达到 50%、成为电量主体；</t>
        </is>
      </c>
      <c r="K471" s="0" t="inlineStr">
        <is>
          <t>FYP2602.htm</t>
        </is>
      </c>
      <c r="L471" s="0" t="inlineStr">
        <is>
          <t>能源|电力</t>
        </is>
      </c>
      <c r="M471" s="0" t="inlineStr">
        <is>
          <t>能源消费</t>
        </is>
      </c>
    </row>
    <row r="472" ht="18" customHeight="1" s="235">
      <c r="A472" s="0" t="n">
        <v>2026</v>
      </c>
      <c r="B472" s="0" t="inlineStr">
        <is>
          <t>风电和太阳能发电装机占比</t>
        </is>
      </c>
      <c r="C472" s="0" t="inlineStr">
        <is>
          <t>超过</t>
        </is>
      </c>
      <c r="D472" s="0" t="inlineStr">
        <is>
          <t>50%</t>
        </is>
      </c>
      <c r="F472" s="0" t="n">
        <v>2030</v>
      </c>
      <c r="G472" s="0" t="inlineStr">
        <is>
          <t>新目标</t>
        </is>
      </c>
      <c r="H472" s="0" t="inlineStr">
        <is>
          <t>可再生能源</t>
        </is>
      </c>
      <c r="I472" s="0" t="inlineStr">
        <is>
          <t>全社会经济</t>
        </is>
      </c>
      <c r="J472" s="0" t="inlineStr">
        <is>
          <t>……风电和太阳能发电装机比重超过50%、成为电力装机主体，非化石能源发电量比重达到 50%、成为电量主体；</t>
        </is>
      </c>
      <c r="K472" s="0" t="inlineStr">
        <is>
          <t>FYP2602.htm</t>
        </is>
      </c>
      <c r="L472" s="0" t="inlineStr">
        <is>
          <t>能源|电力</t>
        </is>
      </c>
      <c r="M472" s="0" t="inlineStr">
        <is>
          <t>电力供应</t>
        </is>
      </c>
    </row>
    <row r="473" ht="18" customHeight="1" s="235">
      <c r="A473" s="0" t="n">
        <v>2026</v>
      </c>
      <c r="B473" s="0" t="inlineStr">
        <is>
          <t>非化石能源发电量占比</t>
        </is>
      </c>
      <c r="C473" s="0" t="inlineStr">
        <is>
          <t>达到</t>
        </is>
      </c>
      <c r="D473" s="0" t="inlineStr">
        <is>
          <t>50%</t>
        </is>
      </c>
      <c r="F473" s="0" t="n">
        <v>2030</v>
      </c>
      <c r="G473" s="0" t="inlineStr">
        <is>
          <t>新目标</t>
        </is>
      </c>
      <c r="H473" s="0" t="inlineStr">
        <is>
          <t>可再生能源</t>
        </is>
      </c>
      <c r="I473" s="0" t="inlineStr">
        <is>
          <t>全社会经济</t>
        </is>
      </c>
      <c r="J473" s="0" t="inlineStr">
        <is>
          <t>……非化石能源发电量比重达到 50%、成为电量主体；</t>
        </is>
      </c>
      <c r="K473" s="0" t="inlineStr">
        <is>
          <t>FYP2602.htm</t>
        </is>
      </c>
      <c r="L473" s="0" t="inlineStr">
        <is>
          <t>能源|电力</t>
        </is>
      </c>
      <c r="M473" s="0" t="inlineStr">
        <is>
          <t>电力供应</t>
        </is>
      </c>
    </row>
    <row r="474" ht="18" customHeight="1" s="235">
      <c r="A474" s="0" t="n">
        <v>2026</v>
      </c>
      <c r="B474" s="0" t="inlineStr">
        <is>
          <t>新能源发电量占比</t>
        </is>
      </c>
      <c r="C474" s="0" t="inlineStr">
        <is>
          <t>达到</t>
        </is>
      </c>
      <c r="D474" s="0" t="inlineStr">
        <is>
          <t>30%</t>
        </is>
      </c>
      <c r="F474" s="0" t="n">
        <v>2030</v>
      </c>
      <c r="G474" s="0" t="inlineStr">
        <is>
          <t>新目标</t>
        </is>
      </c>
      <c r="H474" s="0" t="inlineStr">
        <is>
          <t>可再生能源</t>
        </is>
      </c>
      <c r="I474" s="0" t="inlineStr">
        <is>
          <t>全社会经济</t>
        </is>
      </c>
      <c r="J474" s="0" t="inlineStr">
        <is>
          <t>建立完善新能源消纳综合评价指标体系，2030年新能源发电量占比达到30%。</t>
        </is>
      </c>
      <c r="K474" s="0" t="inlineStr">
        <is>
          <t>FYP2602.htm</t>
        </is>
      </c>
      <c r="L474" s="0" t="inlineStr">
        <is>
          <t>能源|电力</t>
        </is>
      </c>
      <c r="M474" s="0" t="inlineStr">
        <is>
          <t>电力供应</t>
        </is>
      </c>
    </row>
    <row r="475">
      <c r="A475" s="0" t="n">
        <v>2026</v>
      </c>
      <c r="B475" s="0" t="inlineStr">
        <is>
          <t>常规水电装机容量</t>
        </is>
      </c>
      <c r="C475" s="0" t="inlineStr">
        <is>
          <t>达到</t>
        </is>
      </c>
      <c r="D475" s="0" t="inlineStr">
        <is>
          <t>4.1亿千瓦左右</t>
        </is>
      </c>
      <c r="F475" s="0" t="n">
        <v>2030</v>
      </c>
      <c r="G475" s="0" t="inlineStr">
        <is>
          <t>新目标</t>
        </is>
      </c>
      <c r="H475" s="0" t="inlineStr">
        <is>
          <t>可再生能源</t>
        </is>
      </c>
      <c r="I475" s="0" t="inlineStr">
        <is>
          <t>全社会经济</t>
        </is>
      </c>
      <c r="J475" s="0" t="inlineStr">
        <is>
          <t>2030年常规水电装机达到4.1亿千瓦左右。</t>
        </is>
      </c>
      <c r="K475" s="0" t="inlineStr">
        <is>
          <t>FYP2602.htm</t>
        </is>
      </c>
      <c r="L475" s="0" t="inlineStr">
        <is>
          <t>能源|电力</t>
        </is>
      </c>
      <c r="M475" s="0" t="inlineStr">
        <is>
          <t>电力供应</t>
        </is>
      </c>
    </row>
    <row r="476">
      <c r="A476" s="0" t="n">
        <v>2026</v>
      </c>
      <c r="B476" s="0" t="inlineStr">
        <is>
          <t>核电运行装机容量</t>
        </is>
      </c>
      <c r="C476" s="0" t="inlineStr">
        <is>
          <t>达到</t>
        </is>
      </c>
      <c r="D476" s="0" t="inlineStr">
        <is>
          <t>1.1亿千瓦左右</t>
        </is>
      </c>
      <c r="F476" s="0" t="n">
        <v>2030</v>
      </c>
      <c r="G476" s="0" t="inlineStr">
        <is>
          <t>重申目标</t>
        </is>
      </c>
      <c r="H476" s="0" t="inlineStr">
        <is>
          <t>过渡能源</t>
        </is>
      </c>
      <c r="I476" s="0" t="inlineStr">
        <is>
          <t>全社会经济</t>
        </is>
      </c>
      <c r="J476" s="0" t="inlineStr">
        <is>
          <t>2030年在运核电装机达到1.1亿千瓦左右。</t>
        </is>
      </c>
      <c r="K476" s="0" t="inlineStr">
        <is>
          <t>FYP2602.htm</t>
        </is>
      </c>
      <c r="L476" s="0" t="inlineStr">
        <is>
          <t>能源|电力</t>
        </is>
      </c>
      <c r="M476" s="0" t="inlineStr">
        <is>
          <t>电力供应</t>
        </is>
      </c>
    </row>
    <row r="477">
      <c r="A477" s="0" t="n">
        <v>2026</v>
      </c>
      <c r="B477" s="0" t="inlineStr">
        <is>
          <t>新增省间电力互济规模</t>
        </is>
      </c>
      <c r="C477" s="0" t="inlineStr">
        <is>
          <t>提升</t>
        </is>
      </c>
      <c r="D477" s="0" t="inlineStr">
        <is>
          <t>4000万千瓦左右</t>
        </is>
      </c>
      <c r="F477" s="0" t="inlineStr">
        <is>
          <t>十五五</t>
        </is>
      </c>
      <c r="G477" s="0" t="inlineStr">
        <is>
          <t>新目标</t>
        </is>
      </c>
      <c r="H477" s="0" t="inlineStr">
        <is>
          <t>可再生能源</t>
        </is>
      </c>
      <c r="I477" s="0" t="inlineStr">
        <is>
          <t>全社会经济</t>
        </is>
      </c>
      <c r="J477" s="0" t="inlineStr">
        <is>
          <t>加强华中—南方、华中—华东、华北—华东、华中—西北等地区间电网互济，提升互补互济能力4000万千瓦左右。</t>
        </is>
      </c>
      <c r="K477" s="0" t="inlineStr">
        <is>
          <t>FYP2602.htm</t>
        </is>
      </c>
      <c r="L477" s="0" t="inlineStr">
        <is>
          <t>能源|电力</t>
        </is>
      </c>
      <c r="M477" s="0" t="inlineStr">
        <is>
          <t>电力传输/能源运输</t>
        </is>
      </c>
    </row>
    <row r="478">
      <c r="A478" s="0" t="n">
        <v>2026</v>
      </c>
      <c r="B478" s="0" t="inlineStr">
        <is>
          <t>配电网分布式新能源接入承载能力</t>
        </is>
      </c>
      <c r="C478" s="0" t="inlineStr">
        <is>
          <t>达到</t>
        </is>
      </c>
      <c r="D478" s="0" t="inlineStr">
        <is>
          <t>9亿千瓦</t>
        </is>
      </c>
      <c r="F478" s="0" t="n">
        <v>2030</v>
      </c>
      <c r="G478" s="0" t="inlineStr">
        <is>
          <t>新目标</t>
        </is>
      </c>
      <c r="H478" s="0" t="inlineStr">
        <is>
          <t>可再生能源</t>
        </is>
      </c>
      <c r="I478" s="0" t="inlineStr">
        <is>
          <t>全社会经济</t>
        </is>
      </c>
      <c r="J478" s="0" t="inlineStr">
        <is>
          <t>推动配电网向源网荷储资源高效配置平台转变，2030年力争具备承载9亿千瓦分布式新能源接入能力。</t>
        </is>
      </c>
      <c r="K478" s="0" t="inlineStr">
        <is>
          <t>FYP2602.htm</t>
        </is>
      </c>
      <c r="L478" s="0" t="inlineStr">
        <is>
          <t>能源|电力</t>
        </is>
      </c>
      <c r="M478" s="0" t="inlineStr">
        <is>
          <t>电力传输/能源运输</t>
        </is>
      </c>
    </row>
    <row r="479">
      <c r="A479" s="0" t="n">
        <v>2026</v>
      </c>
      <c r="B479" s="0" t="inlineStr">
        <is>
          <t>抽水蓄能装机容量</t>
        </is>
      </c>
      <c r="C479" s="0" t="inlineStr">
        <is>
          <t>达到</t>
        </is>
      </c>
      <c r="D479" s="0" t="inlineStr">
        <is>
          <t>1.6亿千瓦左右</t>
        </is>
      </c>
      <c r="F479" s="0" t="n">
        <v>2030</v>
      </c>
      <c r="G479" s="0" t="inlineStr">
        <is>
          <t>新目标</t>
        </is>
      </c>
      <c r="H479" s="0" t="inlineStr">
        <is>
          <t>可再生能源</t>
        </is>
      </c>
      <c r="I479" s="0" t="inlineStr">
        <is>
          <t>全社会经济</t>
        </is>
      </c>
      <c r="J479" s="0" t="inlineStr">
        <is>
          <t>2030年抽水蓄能装机达到1.6亿千瓦左右，新型储能装机达到3亿千瓦。</t>
        </is>
      </c>
      <c r="K479" s="0" t="inlineStr">
        <is>
          <t>FYP2602.htm</t>
        </is>
      </c>
      <c r="L479" s="0" t="inlineStr">
        <is>
          <t>能源|电力</t>
        </is>
      </c>
      <c r="M479" s="0" t="inlineStr">
        <is>
          <t>电力供应</t>
        </is>
      </c>
    </row>
    <row r="480">
      <c r="A480" s="0" t="n">
        <v>2026</v>
      </c>
      <c r="B480" s="0" t="inlineStr">
        <is>
          <t>新型储能装机容量</t>
        </is>
      </c>
      <c r="C480" s="0" t="inlineStr">
        <is>
          <t>达到</t>
        </is>
      </c>
      <c r="D480" s="0" t="inlineStr">
        <is>
          <t>3亿千瓦</t>
        </is>
      </c>
      <c r="F480" s="0" t="n">
        <v>2030</v>
      </c>
      <c r="G480" s="0" t="inlineStr">
        <is>
          <t>新目标</t>
        </is>
      </c>
      <c r="H480" s="0" t="inlineStr">
        <is>
          <t>可再生能源</t>
        </is>
      </c>
      <c r="I480" s="0" t="inlineStr">
        <is>
          <t>全社会经济</t>
        </is>
      </c>
      <c r="J480" s="0" t="inlineStr">
        <is>
          <t>2030年抽水蓄能装机达到1.6亿千瓦左右，新型储能装机达到3亿千瓦。</t>
        </is>
      </c>
      <c r="K480" s="0" t="inlineStr">
        <is>
          <t>FYP2602.htm</t>
        </is>
      </c>
      <c r="L480" s="0" t="inlineStr">
        <is>
          <t>能源|电力</t>
        </is>
      </c>
      <c r="M480" s="0" t="inlineStr">
        <is>
          <t>电力供应</t>
        </is>
      </c>
    </row>
    <row r="481">
      <c r="A481" s="0" t="n">
        <v>2026</v>
      </c>
      <c r="B481" s="0" t="inlineStr">
        <is>
          <t>车网互动聚合可调充电规模</t>
        </is>
      </c>
      <c r="C481" s="0" t="inlineStr">
        <is>
          <t>达到</t>
        </is>
      </c>
      <c r="D481" s="0" t="inlineStr">
        <is>
          <t>5000万千瓦左右</t>
        </is>
      </c>
      <c r="F481" s="0" t="n">
        <v>2030</v>
      </c>
      <c r="G481" s="0" t="inlineStr">
        <is>
          <t>新目标</t>
        </is>
      </c>
      <c r="H481" s="0" t="inlineStr">
        <is>
          <t>可再生能源</t>
        </is>
      </c>
      <c r="I481" s="0" t="inlineStr">
        <is>
          <t>全社会经济</t>
        </is>
      </c>
      <c r="J481" s="0" t="inlineStr">
        <is>
          <t>……2030年车网互动聚合可调充电规模达到5000万千瓦左右。</t>
        </is>
      </c>
      <c r="K481" s="0" t="inlineStr">
        <is>
          <t>FYP2602.htm</t>
        </is>
      </c>
      <c r="L481" s="0" t="inlineStr">
        <is>
          <t>能源|电力</t>
        </is>
      </c>
      <c r="M481" s="0" t="inlineStr">
        <is>
          <t>电力供应</t>
        </is>
      </c>
    </row>
    <row r="482">
      <c r="A482" s="0" t="n">
        <v>2026</v>
      </c>
      <c r="B482" s="0" t="inlineStr">
        <is>
          <t>全国虚拟电厂调节能力</t>
        </is>
      </c>
      <c r="C482" s="0" t="inlineStr">
        <is>
          <t>达到</t>
        </is>
      </c>
      <c r="D482" s="0" t="inlineStr">
        <is>
          <t>5000万千瓦以上</t>
        </is>
      </c>
      <c r="F482" s="0" t="n">
        <v>2030</v>
      </c>
      <c r="G482" s="0" t="inlineStr">
        <is>
          <t>重申目标</t>
        </is>
      </c>
      <c r="H482" s="0" t="inlineStr">
        <is>
          <t>可再生能源</t>
        </is>
      </c>
      <c r="I482" s="0" t="inlineStr">
        <is>
          <t>全社会经济</t>
        </is>
      </c>
      <c r="J482" s="0" t="inlineStr">
        <is>
          <t>加快推进虚拟电厂规模化发展，2030年虚拟电厂调节能力达到5000万千瓦以上。</t>
        </is>
      </c>
      <c r="K482" s="0" t="inlineStr">
        <is>
          <t>FYP2602.htm</t>
        </is>
      </c>
      <c r="L482" s="0" t="inlineStr">
        <is>
          <t>能源|电力</t>
        </is>
      </c>
      <c r="M482" s="0" t="inlineStr">
        <is>
          <t>电力供应</t>
        </is>
      </c>
    </row>
    <row r="483">
      <c r="A483" s="0" t="n">
        <v>2026</v>
      </c>
      <c r="B483" s="0" t="inlineStr">
        <is>
          <t>光热发电装机规模</t>
        </is>
      </c>
      <c r="C483" s="0" t="inlineStr">
        <is>
          <t>力争达到</t>
        </is>
      </c>
      <c r="D483" s="0" t="inlineStr">
        <is>
          <t>1500万千瓦</t>
        </is>
      </c>
      <c r="F483" s="0" t="n">
        <v>2030</v>
      </c>
      <c r="G483" s="0" t="inlineStr">
        <is>
          <t>新目标</t>
        </is>
      </c>
      <c r="H483" s="0" t="inlineStr">
        <is>
          <t>可再生能源</t>
        </is>
      </c>
      <c r="I483" s="0" t="inlineStr">
        <is>
          <t>全社会经济</t>
        </is>
      </c>
      <c r="J483" s="0" t="inlineStr">
        <is>
          <t>……到2030 年，光热发电累计装机力争达到1500 万千瓦。</t>
        </is>
      </c>
      <c r="K483" s="0" t="inlineStr">
        <is>
          <t>FYP2602.htm</t>
        </is>
      </c>
      <c r="L483" s="0" t="inlineStr">
        <is>
          <t>能源|电力</t>
        </is>
      </c>
      <c r="M483" s="0" t="inlineStr">
        <is>
          <t>电力供应</t>
        </is>
      </c>
    </row>
    <row r="484">
      <c r="A484" s="0" t="n">
        <v>2026</v>
      </c>
      <c r="B484" s="0" t="inlineStr">
        <is>
          <t>原油年产量</t>
        </is>
      </c>
      <c r="C484" s="0" t="inlineStr">
        <is>
          <t>稳定在</t>
        </is>
      </c>
      <c r="D484" s="0" t="inlineStr">
        <is>
          <t>2亿吨水平</t>
        </is>
      </c>
      <c r="F484" s="0" t="n">
        <v>2030</v>
      </c>
      <c r="G484" s="0" t="inlineStr">
        <is>
          <t>新目标</t>
        </is>
      </c>
      <c r="H484" s="0" t="inlineStr">
        <is>
          <t>过渡能源</t>
        </is>
      </c>
      <c r="I484" s="0" t="inlineStr">
        <is>
          <t>全社会经济</t>
        </is>
      </c>
      <c r="J484" s="0" t="inlineStr">
        <is>
          <t>实现原油年产量稳定在2亿吨水平，天然气产量稳步增长。</t>
        </is>
      </c>
      <c r="K484" s="0" t="inlineStr">
        <is>
          <t>FYP2602.htm</t>
        </is>
      </c>
      <c r="L484" s="0" t="inlineStr">
        <is>
          <t>能源|电力</t>
        </is>
      </c>
      <c r="M484" s="0" t="inlineStr">
        <is>
          <t>能源消费</t>
        </is>
      </c>
    </row>
    <row r="485">
      <c r="A485" s="0" t="n">
        <v>2026</v>
      </c>
      <c r="B485" s="0" t="inlineStr">
        <is>
          <t>天然气管网一次管输能力</t>
        </is>
      </c>
      <c r="C485" s="0" t="inlineStr">
        <is>
          <t>达到</t>
        </is>
      </c>
      <c r="D485" s="0" t="inlineStr">
        <is>
          <t>5000亿立方米/年</t>
        </is>
      </c>
      <c r="F485" s="0" t="n">
        <v>2030</v>
      </c>
      <c r="G485" s="0" t="inlineStr">
        <is>
          <t>新目标</t>
        </is>
      </c>
      <c r="H485" s="0" t="inlineStr">
        <is>
          <t>过渡能源</t>
        </is>
      </c>
      <c r="I485" s="0" t="inlineStr">
        <is>
          <t>全社会经济</t>
        </is>
      </c>
      <c r="J485" s="0" t="inlineStr">
        <is>
          <t>建设，2030年天然气管网一次管输能力达到5000亿立方米/年。</t>
        </is>
      </c>
      <c r="K485" s="0" t="inlineStr">
        <is>
          <t>FYP2602.htm</t>
        </is>
      </c>
      <c r="L485" s="0" t="inlineStr">
        <is>
          <t>能源|电力</t>
        </is>
      </c>
      <c r="M485" s="0" t="inlineStr">
        <is>
          <t>能源消费</t>
        </is>
      </c>
    </row>
    <row r="486">
      <c r="A486" s="0" t="n">
        <v>2026</v>
      </c>
      <c r="B486" s="0" t="inlineStr">
        <is>
          <t>五大煤炭供应保障基地产量占全国比重</t>
        </is>
      </c>
      <c r="C486" s="0" t="inlineStr">
        <is>
          <t>达到</t>
        </is>
      </c>
      <c r="D486" s="0" t="inlineStr">
        <is>
          <t>80%以上</t>
        </is>
      </c>
      <c r="F486" s="0" t="n">
        <v>2030</v>
      </c>
      <c r="G486" s="0" t="inlineStr">
        <is>
          <t>新目标</t>
        </is>
      </c>
      <c r="H486" s="0" t="inlineStr">
        <is>
          <t>涉煤</t>
        </is>
      </c>
      <c r="I486" s="0" t="inlineStr">
        <is>
          <t>全社会经济</t>
        </is>
      </c>
      <c r="J486" s="0" t="inlineStr">
        <is>
          <t>持续加强煤炭资源勘探和战略接续，……重点建设五大煤炭供应保障基地，2030 年产量占全国比重达到 80%以上。</t>
        </is>
      </c>
      <c r="K486" s="0" t="inlineStr">
        <is>
          <t>FYP2602.htm</t>
        </is>
      </c>
      <c r="L486" s="0" t="inlineStr">
        <is>
          <t>能源|电力</t>
        </is>
      </c>
      <c r="M486" s="0" t="inlineStr">
        <is>
          <t>其他</t>
        </is>
      </c>
    </row>
    <row r="487">
      <c r="A487" s="0" t="n">
        <v>2026</v>
      </c>
      <c r="B487" s="0" t="inlineStr">
        <is>
          <t>煤炭产能储备</t>
        </is>
      </c>
      <c r="C487" s="0" t="inlineStr">
        <is>
          <t>形成</t>
        </is>
      </c>
      <c r="D487" s="0" t="inlineStr">
        <is>
          <t>1亿吨/年以上</t>
        </is>
      </c>
      <c r="F487" s="0" t="n">
        <v>2030</v>
      </c>
      <c r="G487" s="0" t="inlineStr">
        <is>
          <t>新目标</t>
        </is>
      </c>
      <c r="H487" s="0" t="inlineStr">
        <is>
          <t>涉煤</t>
        </is>
      </c>
      <c r="I487" s="0" t="inlineStr">
        <is>
          <t>全社会经济</t>
        </is>
      </c>
      <c r="J487" s="0" t="inlineStr">
        <is>
          <t>完善煤炭产能储备政策，扩大产能储备规模，2030 年形成 1 亿吨/年以上的产能储备。</t>
        </is>
      </c>
      <c r="K487" s="0" t="inlineStr">
        <is>
          <t>FYP2602.htm</t>
        </is>
      </c>
      <c r="L487" s="0" t="inlineStr">
        <is>
          <t>能源|电力</t>
        </is>
      </c>
      <c r="M487" s="0" t="inlineStr">
        <is>
          <t>其他</t>
        </is>
      </c>
    </row>
    <row r="488">
      <c r="A488" s="0" t="n">
        <v>2026</v>
      </c>
      <c r="B488" s="0" t="inlineStr">
        <is>
          <t>居民人均生活用电量</t>
        </is>
      </c>
      <c r="C488" s="0" t="inlineStr">
        <is>
          <t>达到</t>
        </is>
      </c>
      <c r="D488" s="0" t="inlineStr">
        <is>
          <t>1500千瓦时</t>
        </is>
      </c>
      <c r="F488" s="0" t="n">
        <v>2030</v>
      </c>
      <c r="G488" s="0" t="inlineStr">
        <is>
          <t>新目标</t>
        </is>
      </c>
      <c r="H488" s="0" t="inlineStr">
        <is>
          <t>电气化</t>
        </is>
      </c>
      <c r="I488" s="0" t="inlineStr">
        <is>
          <t>全社会经济</t>
        </is>
      </c>
      <c r="J488" s="0" t="inlineStr">
        <is>
          <t>提高民生用能电气化水平，2030 年人均年生活用电量达到 1500 千瓦时。</t>
        </is>
      </c>
      <c r="K488" s="0" t="inlineStr">
        <is>
          <t>FYP2602.htm</t>
        </is>
      </c>
      <c r="L488" s="0" t="inlineStr">
        <is>
          <t>能源|电力</t>
        </is>
      </c>
      <c r="M488" s="0" t="inlineStr">
        <is>
          <t>能源消费</t>
        </is>
      </c>
    </row>
    <row r="489">
      <c r="A489" s="0" t="n">
        <v>2026</v>
      </c>
      <c r="B489" s="0" t="inlineStr">
        <is>
          <t>充电基础设施总量</t>
        </is>
      </c>
      <c r="C489" s="0" t="inlineStr">
        <is>
          <t>达到</t>
        </is>
      </c>
      <c r="D489" s="0" t="inlineStr">
        <is>
          <t>4000万个</t>
        </is>
      </c>
      <c r="F489" s="0" t="n">
        <v>2030</v>
      </c>
      <c r="G489" s="0" t="inlineStr">
        <is>
          <t>强化或放宽目标（积极气候影响）</t>
        </is>
      </c>
      <c r="H489" s="0" t="inlineStr">
        <is>
          <t>绿色交通</t>
        </is>
      </c>
      <c r="I489" s="0" t="inlineStr">
        <is>
          <t>全社会经济</t>
        </is>
      </c>
      <c r="J489" s="0" t="inlineStr">
        <is>
          <t>完善快慢互补、智能开放的充电基础设施，2030年充电基础设施达到 4000 万个、实现倍增发展。</t>
        </is>
      </c>
      <c r="K489" s="0" t="inlineStr">
        <is>
          <t>FYP2602.htm</t>
        </is>
      </c>
      <c r="L489" s="0" t="inlineStr">
        <is>
          <t>能源|电力</t>
        </is>
      </c>
      <c r="M489" s="0" t="inlineStr">
        <is>
          <t>电力供应</t>
        </is>
      </c>
    </row>
    <row r="490">
      <c r="A490" s="0" t="n">
        <v>2026</v>
      </c>
      <c r="B490" s="0" t="inlineStr">
        <is>
          <t>可再生能源制氢规模</t>
        </is>
      </c>
      <c r="C490" s="0" t="inlineStr">
        <is>
          <t>达到</t>
        </is>
      </c>
      <c r="D490" s="0" t="inlineStr">
        <is>
          <t>200万吨</t>
        </is>
      </c>
      <c r="F490" s="0" t="n">
        <v>2030</v>
      </c>
      <c r="G490" s="0" t="inlineStr">
        <is>
          <t>新目标</t>
        </is>
      </c>
      <c r="H490" s="0" t="inlineStr">
        <is>
          <t>可再生能源</t>
        </is>
      </c>
      <c r="I490" s="0" t="inlineStr">
        <is>
          <t>全社会经济</t>
        </is>
      </c>
      <c r="J490" s="0" t="inlineStr">
        <is>
          <t>因地制宜发展绿电直连制氢、可再生能源离网制氢等模式，2030年可再生能源制氢规模达到 200 万吨。</t>
        </is>
      </c>
      <c r="K490" s="0" t="inlineStr">
        <is>
          <t>FYP2602.htm</t>
        </is>
      </c>
      <c r="L490" s="0" t="inlineStr">
        <is>
          <t>能源|电力</t>
        </is>
      </c>
      <c r="M490" s="0" t="inlineStr">
        <is>
          <t>能源消费</t>
        </is>
      </c>
    </row>
    <row r="491">
      <c r="A491" s="0" t="n">
        <v>2026</v>
      </c>
      <c r="B491" s="0" t="inlineStr">
        <is>
          <t>全国油气管网总里程</t>
        </is>
      </c>
      <c r="C491" s="0" t="inlineStr">
        <is>
          <t>新增</t>
        </is>
      </c>
      <c r="D491" s="0" t="inlineStr">
        <is>
          <t>2万公里</t>
        </is>
      </c>
      <c r="F491" s="0" t="inlineStr">
        <is>
          <t>十五五</t>
        </is>
      </c>
      <c r="G491" s="0" t="inlineStr">
        <is>
          <t>新目标</t>
        </is>
      </c>
      <c r="H491" s="0" t="inlineStr">
        <is>
          <t>过渡能源</t>
        </is>
      </c>
      <c r="I491" s="0" t="inlineStr">
        <is>
          <t>全社会经济</t>
        </is>
      </c>
      <c r="J491" s="0" t="inlineStr">
        <is>
          <t>油气“全国一张网”基础设施布局更加完善，……全国油气管网总里程新增2万公里。</t>
        </is>
      </c>
      <c r="K491" s="0" t="inlineStr">
        <is>
          <t>FYP2602.htm</t>
        </is>
      </c>
      <c r="L491" s="0" t="inlineStr">
        <is>
          <t>能源|电力</t>
        </is>
      </c>
      <c r="M491" s="0" t="inlineStr">
        <is>
          <t>其他</t>
        </is>
      </c>
    </row>
    <row r="492">
      <c r="A492" s="0" t="n">
        <v>2026</v>
      </c>
      <c r="B492" s="0" t="inlineStr">
        <is>
          <t>新增西电东送能力</t>
        </is>
      </c>
      <c r="C492" s="0" t="inlineStr">
        <is>
          <t>达到</t>
        </is>
      </c>
      <c r="D492" s="0" t="inlineStr">
        <is>
          <t>8000万千瓦以上</t>
        </is>
      </c>
      <c r="F492" s="0" t="inlineStr">
        <is>
          <t>十五五</t>
        </is>
      </c>
      <c r="G492" s="0" t="inlineStr">
        <is>
          <t>新目标</t>
        </is>
      </c>
      <c r="H492" s="0" t="inlineStr">
        <is>
          <t>可再生能源</t>
        </is>
      </c>
      <c r="I492" s="0" t="inlineStr">
        <is>
          <t>全社会经济</t>
        </is>
      </c>
      <c r="J492" s="0" t="inlineStr">
        <is>
          <t>电力流向形成由“三北”风电光伏基地、西南水风光一体化基地向负荷中心地区送电的总体格局，新增西电东送能力8000 万千瓦以上。</t>
        </is>
      </c>
      <c r="K492" s="0" t="inlineStr">
        <is>
          <t>FYP2602.htm</t>
        </is>
      </c>
      <c r="L492" s="0" t="inlineStr">
        <is>
          <t>能源|电力</t>
        </is>
      </c>
      <c r="M492" s="0" t="inlineStr">
        <is>
          <t>电力传输/能源运输</t>
        </is>
      </c>
    </row>
    <row r="493">
      <c r="A493" s="0" t="n">
        <v>2026</v>
      </c>
      <c r="B493" s="0" t="inlineStr">
        <is>
          <t>煤电行业达到能效标杆水平的产能比例</t>
        </is>
      </c>
      <c r="C493" s="0" t="inlineStr">
        <is>
          <t>提高</t>
        </is>
      </c>
      <c r="D493" s="0" t="inlineStr">
        <is>
          <t>力争提高15个百分点</t>
        </is>
      </c>
      <c r="F493" s="0" t="n">
        <v>2028</v>
      </c>
      <c r="G493" s="0" t="inlineStr">
        <is>
          <t>新目标</t>
        </is>
      </c>
      <c r="H493" s="0" t="inlineStr">
        <is>
          <t>涉煤</t>
        </is>
      </c>
      <c r="I493" s="0" t="inlineStr">
        <is>
          <t>行业</t>
        </is>
      </c>
      <c r="J493" s="0" t="inlineStr">
        <is>
          <t>……煤电行业力争提高 15 个百分点，能效基准水平以下产能基本清零，累计形成节能量 1 亿吨标准煤以上、减排二氧化碳 2 亿吨以上。</t>
        </is>
      </c>
      <c r="K493" s="0" t="inlineStr">
        <is>
          <t>AP2607.htm</t>
        </is>
      </c>
      <c r="L493" s="0" t="inlineStr">
        <is>
          <t>能源|电力</t>
        </is>
      </c>
      <c r="M493" s="0" t="inlineStr">
        <is>
          <t>煤电</t>
        </is>
      </c>
    </row>
    <row r="494">
      <c r="A494" s="0" t="n">
        <v>2026</v>
      </c>
      <c r="B494" s="0" t="inlineStr">
        <is>
          <t>重点行业节能降碳改造节能量</t>
        </is>
      </c>
      <c r="C494" s="0" t="inlineStr">
        <is>
          <t>形成</t>
        </is>
      </c>
      <c r="D494" s="0" t="inlineStr">
        <is>
          <t>1亿吨标准煤以上</t>
        </is>
      </c>
      <c r="F494" s="0" t="n">
        <v>2028</v>
      </c>
      <c r="G494" s="0" t="inlineStr">
        <is>
          <t>新目标</t>
        </is>
      </c>
      <c r="H494" s="0" t="inlineStr">
        <is>
          <t>节能</t>
        </is>
      </c>
      <c r="I494" s="0" t="inlineStr">
        <is>
          <t>全社会经济</t>
        </is>
      </c>
      <c r="J494" s="0" t="inlineStr">
        <is>
          <t>……累计形成节能量 1 亿吨标准煤以上、减排二氧化碳 2 亿吨以上。</t>
        </is>
      </c>
      <c r="K494" s="0" t="inlineStr">
        <is>
          <t>AP2607.htm</t>
        </is>
      </c>
      <c r="L494" s="0" t="inlineStr">
        <is>
          <t>能源|电力</t>
        </is>
      </c>
      <c r="M494" s="0" t="inlineStr">
        <is>
          <t>能源消费</t>
        </is>
      </c>
    </row>
    <row r="495">
      <c r="A495" s="0" t="n">
        <v>2026</v>
      </c>
      <c r="B495" s="0" t="inlineStr">
        <is>
          <t>改造后机组供电煤耗降低幅度</t>
        </is>
      </c>
      <c r="C495" s="0" t="inlineStr">
        <is>
          <t>降低</t>
        </is>
      </c>
      <c r="D495" s="0" t="inlineStr">
        <is>
          <t>5克标准煤/千瓦时以上</t>
        </is>
      </c>
      <c r="F495" s="0" t="n">
        <v>2028</v>
      </c>
      <c r="G495" s="0" t="inlineStr">
        <is>
          <t>新目标</t>
        </is>
      </c>
      <c r="H495" s="0" t="inlineStr">
        <is>
          <t>涉煤</t>
        </is>
      </c>
      <c r="I495" s="0" t="inlineStr">
        <is>
          <t>企事业单位</t>
        </is>
      </c>
      <c r="J495" s="0" t="inlineStr">
        <is>
          <t>推动 30 万千瓦以上现役煤电机组节能降碳改造，……改造后机组供电煤耗降低 5 克标准煤/千瓦时以上。</t>
        </is>
      </c>
      <c r="K495" s="0" t="inlineStr">
        <is>
          <t>AP2607.htm</t>
        </is>
      </c>
      <c r="L495" s="0" t="inlineStr">
        <is>
          <t>能源|电力</t>
        </is>
      </c>
      <c r="M495" s="0" t="inlineStr">
        <is>
          <t>煤电</t>
        </is>
      </c>
    </row>
    <row r="496">
      <c r="A496" s="0" t="n">
        <v>2026</v>
      </c>
      <c r="B496" s="0" t="inlineStr">
        <is>
          <t>热电联产机组最小发电出力</t>
        </is>
      </c>
      <c r="C496" s="0" t="inlineStr">
        <is>
          <t>达到</t>
        </is>
      </c>
      <c r="D496" s="0" t="inlineStr">
        <is>
          <t>40%以下</t>
        </is>
      </c>
      <c r="F496" s="0" t="n">
        <v>2028</v>
      </c>
      <c r="G496" s="0" t="inlineStr">
        <is>
          <t>新目标</t>
        </is>
      </c>
      <c r="H496" s="0" t="inlineStr">
        <is>
          <t>涉煤</t>
        </is>
      </c>
      <c r="I496" s="0" t="inlineStr">
        <is>
          <t>企事业单位</t>
        </is>
      </c>
      <c r="J496" s="0" t="inlineStr">
        <is>
          <t>推动冬季集中供暖地区热电联产机组因地制宜实施热电解耦改造，改造后机组调峰深度力争达到 40%以下。</t>
        </is>
      </c>
      <c r="K496" s="0" t="inlineStr">
        <is>
          <t>AP2607.htm</t>
        </is>
      </c>
      <c r="L496" s="0" t="inlineStr">
        <is>
          <t>能源|电力</t>
        </is>
      </c>
      <c r="M496" s="0" t="inlineStr">
        <is>
          <t>煤电</t>
        </is>
      </c>
    </row>
    <row r="497">
      <c r="A497" s="0" t="n">
        <v>2026</v>
      </c>
      <c r="B497" s="0" t="inlineStr">
        <is>
          <t>村镇微能网试点项目可再生能源消费最低比重</t>
        </is>
      </c>
      <c r="C497" s="0" t="inlineStr">
        <is>
          <t>达到</t>
        </is>
      </c>
      <c r="D497" s="0" t="inlineStr">
        <is>
          <t>不低于50%</t>
        </is>
      </c>
      <c r="F497" s="0" t="n">
        <v>2028</v>
      </c>
      <c r="G497" s="0" t="inlineStr">
        <is>
          <t>新目标</t>
        </is>
      </c>
      <c r="H497" s="0" t="inlineStr">
        <is>
          <t>可再生能源</t>
        </is>
      </c>
      <c r="I497" s="0" t="inlineStr">
        <is>
          <t>城市与地区</t>
        </is>
      </c>
      <c r="J497" s="0" t="inlineStr">
        <is>
          <t>电力部分纳入公共电网统一管理，试点项目建成后可再生能源消费最低比重不应低于50%，新能源年自发自用电量占总可用发电量比例不低于40%。</t>
        </is>
      </c>
      <c r="K497" s="0" t="inlineStr">
        <is>
          <t>N2604.htm</t>
        </is>
      </c>
      <c r="L497" s="0" t="inlineStr">
        <is>
          <t>能源|电力</t>
        </is>
      </c>
      <c r="M497" s="0" t="inlineStr">
        <is>
          <t>电力供应</t>
        </is>
      </c>
    </row>
    <row r="498">
      <c r="A498" s="0" t="n">
        <v>2026</v>
      </c>
      <c r="B498" s="0" t="inlineStr">
        <is>
          <t>村镇微能网试点项目新能源年自发自用电量占总可用发电量比例</t>
        </is>
      </c>
      <c r="C498" s="0" t="inlineStr">
        <is>
          <t>达到</t>
        </is>
      </c>
      <c r="D498" s="0" t="inlineStr">
        <is>
          <t>不低于40%（综合微能网不低于60%）</t>
        </is>
      </c>
      <c r="F498" s="0" t="n">
        <v>2028</v>
      </c>
      <c r="G498" s="0" t="inlineStr">
        <is>
          <t>新目标</t>
        </is>
      </c>
      <c r="H498" s="0" t="inlineStr">
        <is>
          <t>可再生能源</t>
        </is>
      </c>
      <c r="I498" s="0" t="inlineStr">
        <is>
          <t>城市与地区</t>
        </is>
      </c>
      <c r="J498" s="0" t="inlineStr">
        <is>
          <t>……新能源年自发自用电量占总可用发电量比例不低于40%。／试点项目建成后原则上可再生能源最低消费比重不应低于50%，新能源年自发自用电量占总可用发电量比例不低于60%。</t>
        </is>
      </c>
      <c r="K498" s="0" t="inlineStr">
        <is>
          <t>N2604.htm</t>
        </is>
      </c>
      <c r="L498" s="0" t="inlineStr">
        <is>
          <t>能源|电力</t>
        </is>
      </c>
      <c r="M498" s="0" t="inlineStr">
        <is>
          <t>电力供应</t>
        </is>
      </c>
    </row>
    <row r="499">
      <c r="A499" s="0" t="n">
        <v>2026</v>
      </c>
      <c r="B499" s="0" t="inlineStr">
        <is>
          <t>可再生能源消费总量</t>
        </is>
      </c>
      <c r="C499" s="0" t="inlineStr">
        <is>
          <t>达到</t>
        </is>
      </c>
      <c r="D499" s="0" t="inlineStr">
        <is>
          <t>18亿吨标准煤左右</t>
        </is>
      </c>
      <c r="F499" s="0" t="n">
        <v>2030</v>
      </c>
      <c r="G499" s="0" t="inlineStr">
        <is>
          <t>新目标</t>
        </is>
      </c>
      <c r="H499" s="0" t="inlineStr">
        <is>
          <t>可再生能源</t>
        </is>
      </c>
      <c r="I499" s="0" t="inlineStr">
        <is>
          <t>全社会经济</t>
        </is>
      </c>
      <c r="J499" s="0" t="inlineStr">
        <is>
          <t>2030 年，可再生能源消费总量达到 18 亿吨标准煤左右。</t>
        </is>
      </c>
      <c r="K499" s="0" t="inlineStr">
        <is>
          <t>FYP2607.pdf</t>
        </is>
      </c>
      <c r="L499" s="0" t="inlineStr">
        <is>
          <t>能源|电力</t>
        </is>
      </c>
      <c r="M499" s="0" t="inlineStr">
        <is>
          <t>能源消费</t>
        </is>
      </c>
    </row>
    <row r="500">
      <c r="A500" s="0" t="n">
        <v>2026</v>
      </c>
      <c r="B500" s="0" t="inlineStr">
        <is>
          <t>可再生能源发电总装机</t>
        </is>
      </c>
      <c r="C500" s="0" t="inlineStr">
        <is>
          <t>达到</t>
        </is>
      </c>
      <c r="D500" s="0" t="inlineStr">
        <is>
          <t>35亿千瓦左右</t>
        </is>
      </c>
      <c r="F500" s="0" t="n">
        <v>2030</v>
      </c>
      <c r="G500" s="0" t="inlineStr">
        <is>
          <t>新目标</t>
        </is>
      </c>
      <c r="H500" s="0" t="inlineStr">
        <is>
          <t>可再生能源</t>
        </is>
      </c>
      <c r="I500" s="0" t="inlineStr">
        <is>
          <t>全社会经济</t>
        </is>
      </c>
      <c r="J500" s="0" t="inlineStr">
        <is>
          <t>2030 年，可再生能源发电总装机达到 35 亿千瓦左右，年发电量达到 6 万亿千瓦时左右；</t>
        </is>
      </c>
      <c r="K500" s="0" t="inlineStr">
        <is>
          <t>FYP2607.pdf</t>
        </is>
      </c>
      <c r="L500" s="0" t="inlineStr">
        <is>
          <t>能源|电力</t>
        </is>
      </c>
      <c r="M500" s="0" t="inlineStr">
        <is>
          <t>电力供应</t>
        </is>
      </c>
    </row>
    <row r="501">
      <c r="A501" s="0" t="n">
        <v>2026</v>
      </c>
      <c r="B501" s="0" t="inlineStr">
        <is>
          <t>可再生能源年发电量</t>
        </is>
      </c>
      <c r="C501" s="0" t="inlineStr">
        <is>
          <t>达到</t>
        </is>
      </c>
      <c r="D501" s="0" t="inlineStr">
        <is>
          <t>6万亿千瓦时左右</t>
        </is>
      </c>
      <c r="F501" s="0" t="n">
        <v>2030</v>
      </c>
      <c r="G501" s="0" t="inlineStr">
        <is>
          <t>新目标</t>
        </is>
      </c>
      <c r="H501" s="0" t="inlineStr">
        <is>
          <t>可再生能源</t>
        </is>
      </c>
      <c r="I501" s="0" t="inlineStr">
        <is>
          <t>全社会经济</t>
        </is>
      </c>
      <c r="J501" s="0" t="inlineStr">
        <is>
          <t>2030 年，可再生能源发电总装机达到 35 亿千瓦左右，年发电量达到 6 万亿千瓦时左右；</t>
        </is>
      </c>
      <c r="K501" s="0" t="inlineStr">
        <is>
          <t>FYP2607.pdf</t>
        </is>
      </c>
      <c r="L501" s="0" t="inlineStr">
        <is>
          <t>能源|电力</t>
        </is>
      </c>
      <c r="M501" s="0" t="inlineStr">
        <is>
          <t>电力供应</t>
        </is>
      </c>
    </row>
    <row r="502">
      <c r="A502" s="0" t="n">
        <v>2026</v>
      </c>
      <c r="B502" s="0" t="inlineStr">
        <is>
          <t>风电和太阳能发电总装机容量</t>
        </is>
      </c>
      <c r="C502" s="0" t="inlineStr">
        <is>
          <t>达到</t>
        </is>
      </c>
      <c r="D502" s="0" t="inlineStr">
        <is>
          <t>28亿千瓦以上</t>
        </is>
      </c>
      <c r="F502" s="0" t="n">
        <v>2030</v>
      </c>
      <c r="G502" s="0" t="inlineStr">
        <is>
          <t>强化或放宽目标（积极气候影响）</t>
        </is>
      </c>
      <c r="H502" s="0" t="inlineStr">
        <is>
          <t>可再生能源</t>
        </is>
      </c>
      <c r="I502" s="0" t="inlineStr">
        <is>
          <t>全社会经济</t>
        </is>
      </c>
      <c r="J502" s="0" t="inlineStr">
        <is>
          <t>风电和太阳能发电总装机达到 28 亿千瓦以上、装机占比超过 50%，年发电量 4 万亿千瓦时以上，发电量占比达到 30%。</t>
        </is>
      </c>
      <c r="K502" s="0" t="inlineStr">
        <is>
          <t>FYP2607.pdf</t>
        </is>
      </c>
      <c r="L502" s="0" t="inlineStr">
        <is>
          <t>能源|电力</t>
        </is>
      </c>
      <c r="M502" s="0" t="inlineStr">
        <is>
          <t>电力供应</t>
        </is>
      </c>
    </row>
    <row r="503">
      <c r="A503" s="0" t="n">
        <v>2026</v>
      </c>
      <c r="B503" s="0" t="inlineStr">
        <is>
          <t>风电和太阳能发电装机占比</t>
        </is>
      </c>
      <c r="C503" s="0" t="inlineStr">
        <is>
          <t>超过</t>
        </is>
      </c>
      <c r="D503" s="0" t="inlineStr">
        <is>
          <t>50%</t>
        </is>
      </c>
      <c r="F503" s="0" t="n">
        <v>2030</v>
      </c>
      <c r="G503" s="0" t="inlineStr">
        <is>
          <t>重申目标</t>
        </is>
      </c>
      <c r="H503" s="0" t="inlineStr">
        <is>
          <t>可再生能源</t>
        </is>
      </c>
      <c r="I503" s="0" t="inlineStr">
        <is>
          <t>全社会经济</t>
        </is>
      </c>
      <c r="J503" s="0" t="inlineStr">
        <is>
          <t>风电和太阳能发电总装机达到 28 亿千瓦以上、装机占比超过 50%，……</t>
        </is>
      </c>
      <c r="K503" s="0" t="inlineStr">
        <is>
          <t>FYP2607.pdf</t>
        </is>
      </c>
      <c r="L503" s="0" t="inlineStr">
        <is>
          <t>能源|电力</t>
        </is>
      </c>
      <c r="M503" s="0" t="inlineStr">
        <is>
          <t>电力供应</t>
        </is>
      </c>
    </row>
    <row r="504">
      <c r="A504" s="0" t="n">
        <v>2026</v>
      </c>
      <c r="B504" s="0" t="inlineStr">
        <is>
          <t>风电和太阳能年发电量</t>
        </is>
      </c>
      <c r="C504" s="0" t="inlineStr">
        <is>
          <t>达到</t>
        </is>
      </c>
      <c r="D504" s="0" t="inlineStr">
        <is>
          <t>4万亿千瓦时以上</t>
        </is>
      </c>
      <c r="F504" s="0" t="n">
        <v>2030</v>
      </c>
      <c r="G504" s="0" t="inlineStr">
        <is>
          <t>新目标</t>
        </is>
      </c>
      <c r="H504" s="0" t="inlineStr">
        <is>
          <t>可再生能源</t>
        </is>
      </c>
      <c r="I504" s="0" t="inlineStr">
        <is>
          <t>全社会经济</t>
        </is>
      </c>
      <c r="J504" s="0" t="inlineStr">
        <is>
          <t>……年发电量 4 万亿千瓦时以上，发电量占比达到 30%。</t>
        </is>
      </c>
      <c r="K504" s="0" t="inlineStr">
        <is>
          <t>FYP2607.pdf</t>
        </is>
      </c>
      <c r="L504" s="0" t="inlineStr">
        <is>
          <t>能源|电力</t>
        </is>
      </c>
      <c r="M504" s="0" t="inlineStr">
        <is>
          <t>电力供应</t>
        </is>
      </c>
    </row>
    <row r="505">
      <c r="A505" s="0" t="n">
        <v>2026</v>
      </c>
      <c r="B505" s="0" t="inlineStr">
        <is>
          <t>新能源发电量占比</t>
        </is>
      </c>
      <c r="C505" s="0" t="inlineStr">
        <is>
          <t>达到</t>
        </is>
      </c>
      <c r="D505" s="0" t="inlineStr">
        <is>
          <t>30%</t>
        </is>
      </c>
      <c r="F505" s="0" t="n">
        <v>2030</v>
      </c>
      <c r="G505" s="0" t="inlineStr">
        <is>
          <t>重申目标</t>
        </is>
      </c>
      <c r="H505" s="0" t="inlineStr">
        <is>
          <t>可再生能源</t>
        </is>
      </c>
      <c r="I505" s="0" t="inlineStr">
        <is>
          <t>全社会经济</t>
        </is>
      </c>
      <c r="J505" s="0" t="inlineStr">
        <is>
          <t>……年发电量 4 万亿千瓦时以上，发电量占比达到 30%。</t>
        </is>
      </c>
      <c r="K505" s="0" t="inlineStr">
        <is>
          <t>FYP2607.pdf</t>
        </is>
      </c>
      <c r="L505" s="0" t="inlineStr">
        <is>
          <t>能源|电力</t>
        </is>
      </c>
      <c r="M505" s="0" t="inlineStr">
        <is>
          <t>电力供应</t>
        </is>
      </c>
    </row>
    <row r="506">
      <c r="A506" s="0" t="n">
        <v>2026</v>
      </c>
      <c r="B506" s="0" t="inlineStr">
        <is>
          <t>可再生能源非电利用</t>
        </is>
      </c>
      <c r="C506" s="0" t="inlineStr">
        <is>
          <t>增长</t>
        </is>
      </c>
      <c r="D506" s="0" t="inlineStr">
        <is>
          <t>较2025年增长1.5倍（折合约1.5亿吨标准煤）</t>
        </is>
      </c>
      <c r="E506" s="0" t="inlineStr">
        <is>
          <t>2025</t>
        </is>
      </c>
      <c r="F506" s="0" t="n">
        <v>2030</v>
      </c>
      <c r="G506" s="0" t="inlineStr">
        <is>
          <t>新目标</t>
        </is>
      </c>
      <c r="H506" s="0" t="inlineStr">
        <is>
          <t>可再生能源</t>
        </is>
      </c>
      <c r="I506" s="0" t="inlineStr">
        <is>
          <t>全社会经济</t>
        </is>
      </c>
      <c r="J506" s="0" t="inlineStr">
        <is>
          <t>2030 年，可再生能源非电利用总规模较 2025年增长 1.5 倍，折合约 1.5 亿吨标准煤。</t>
        </is>
      </c>
      <c r="K506" s="0" t="inlineStr">
        <is>
          <t>FYP2607.pdf</t>
        </is>
      </c>
      <c r="L506" s="0" t="inlineStr">
        <is>
          <t>能源|电力</t>
        </is>
      </c>
      <c r="M506" s="0" t="inlineStr">
        <is>
          <t>能源消费</t>
        </is>
      </c>
    </row>
    <row r="507">
      <c r="A507" s="0" t="n">
        <v>2026</v>
      </c>
      <c r="B507" s="0" t="inlineStr">
        <is>
          <t>全国风电光伏（含源侧配建储能）平均置信出力</t>
        </is>
      </c>
      <c r="C507" s="0" t="inlineStr">
        <is>
          <t>达到</t>
        </is>
      </c>
      <c r="D507" s="0" t="inlineStr">
        <is>
          <t>8%（风电11%左右，光伏6%左右）</t>
        </is>
      </c>
      <c r="F507" s="0" t="n">
        <v>2030</v>
      </c>
      <c r="G507" s="0" t="inlineStr">
        <is>
          <t>新目标</t>
        </is>
      </c>
      <c r="H507" s="0" t="inlineStr">
        <is>
          <t>可再生能源</t>
        </is>
      </c>
      <c r="I507" s="0" t="inlineStr">
        <is>
          <t>全社会经济</t>
        </is>
      </c>
      <c r="J507" s="0" t="inlineStr">
        <is>
          <t>2030 年，全国风电光伏（含源侧配建储能）平均置信出力达到 8%（风电 11%左右，光伏 6%左右），……</t>
        </is>
      </c>
      <c r="K507" s="0" t="inlineStr">
        <is>
          <t>FYP2607.pdf</t>
        </is>
      </c>
      <c r="L507" s="0" t="inlineStr">
        <is>
          <t>能源|电力</t>
        </is>
      </c>
      <c r="M507" s="0" t="inlineStr">
        <is>
          <t>电力供应</t>
        </is>
      </c>
    </row>
    <row r="508">
      <c r="A508" s="0" t="n">
        <v>2026</v>
      </c>
      <c r="B508" s="0" t="inlineStr">
        <is>
          <t>迎峰度夏度冬晚高峰风电光伏电量占比</t>
        </is>
      </c>
      <c r="C508" s="0" t="inlineStr">
        <is>
          <t>达到</t>
        </is>
      </c>
      <c r="D508" s="0" t="inlineStr">
        <is>
          <t>20%以上</t>
        </is>
      </c>
      <c r="F508" s="0" t="n">
        <v>2030</v>
      </c>
      <c r="G508" s="0" t="inlineStr">
        <is>
          <t>新目标</t>
        </is>
      </c>
      <c r="H508" s="0" t="inlineStr">
        <is>
          <t>可再生能源</t>
        </is>
      </c>
      <c r="I508" s="0" t="inlineStr">
        <is>
          <t>全社会经济</t>
        </is>
      </c>
      <c r="J508" s="0" t="inlineStr">
        <is>
          <t>……迎峰度夏度冬晚高峰风电光伏（含源侧配建储能）电量占比达到 20%以上，提高约 10 个百分点。</t>
        </is>
      </c>
      <c r="K508" s="0" t="inlineStr">
        <is>
          <t>FYP2607.pdf</t>
        </is>
      </c>
      <c r="L508" s="0" t="inlineStr">
        <is>
          <t>能源|电力</t>
        </is>
      </c>
      <c r="M508" s="0" t="inlineStr">
        <is>
          <t>电力供应</t>
        </is>
      </c>
    </row>
    <row r="509">
      <c r="A509" s="0" t="n">
        <v>2026</v>
      </c>
      <c r="B509" s="0" t="inlineStr">
        <is>
          <t>新增可再生能源可靠顶峰发电能力</t>
        </is>
      </c>
      <c r="C509" s="0" t="inlineStr">
        <is>
          <t>达到</t>
        </is>
      </c>
      <c r="D509" s="0" t="inlineStr">
        <is>
          <t>3亿千瓦以上</t>
        </is>
      </c>
      <c r="F509" s="0" t="inlineStr">
        <is>
          <t>十五五</t>
        </is>
      </c>
      <c r="G509" s="0" t="inlineStr">
        <is>
          <t>新目标</t>
        </is>
      </c>
      <c r="H509" s="0" t="inlineStr">
        <is>
          <t>可再生能源</t>
        </is>
      </c>
      <c r="I509" s="0" t="inlineStr">
        <is>
          <t>全社会经济</t>
        </is>
      </c>
      <c r="J509" s="0" t="inlineStr">
        <is>
          <t>“十五五”期间新增可再生能源可靠顶峰发电能力 3 亿千瓦以上。</t>
        </is>
      </c>
      <c r="K509" s="0" t="inlineStr">
        <is>
          <t>FYP2607.pdf</t>
        </is>
      </c>
      <c r="L509" s="0" t="inlineStr">
        <is>
          <t>能源|电力</t>
        </is>
      </c>
      <c r="M509" s="0" t="inlineStr">
        <is>
          <t>电力供应</t>
        </is>
      </c>
    </row>
    <row r="510">
      <c r="A510" s="0" t="n">
        <v>2026</v>
      </c>
      <c r="B510" s="0" t="inlineStr">
        <is>
          <t>“三北”风电光伏基地新增装机</t>
        </is>
      </c>
      <c r="C510" s="0" t="inlineStr">
        <is>
          <t>达到</t>
        </is>
      </c>
      <c r="D510" s="0" t="inlineStr">
        <is>
          <t>3.7亿千瓦以上</t>
        </is>
      </c>
      <c r="F510" s="0" t="inlineStr">
        <is>
          <t>十五五</t>
        </is>
      </c>
      <c r="G510" s="0" t="inlineStr">
        <is>
          <t>新目标</t>
        </is>
      </c>
      <c r="H510" s="0" t="inlineStr">
        <is>
          <t>可再生能源</t>
        </is>
      </c>
      <c r="I510" s="0" t="inlineStr">
        <is>
          <t>城市与地区</t>
        </is>
      </c>
      <c r="J510" s="0" t="inlineStr">
        <is>
          <t>“十五五”期间，“三北”风电光伏基地新增装机 3.7 亿千瓦以上。</t>
        </is>
      </c>
      <c r="K510" s="0" t="inlineStr">
        <is>
          <t>FYP2607.pdf</t>
        </is>
      </c>
      <c r="L510" s="0" t="inlineStr">
        <is>
          <t>能源|电力</t>
        </is>
      </c>
      <c r="M510" s="0" t="inlineStr">
        <is>
          <t>电力供应</t>
        </is>
      </c>
    </row>
    <row r="511">
      <c r="A511" s="0" t="n">
        <v>2026</v>
      </c>
      <c r="B511" s="0" t="inlineStr">
        <is>
          <t>海上风电新增开工规模</t>
        </is>
      </c>
      <c r="C511" s="0" t="inlineStr">
        <is>
          <t>达到</t>
        </is>
      </c>
      <c r="D511" s="0" t="inlineStr">
        <is>
          <t>1亿千瓦左右</t>
        </is>
      </c>
      <c r="F511" s="0" t="inlineStr">
        <is>
          <t>十五五</t>
        </is>
      </c>
      <c r="G511" s="0" t="inlineStr">
        <is>
          <t>新目标</t>
        </is>
      </c>
      <c r="H511" s="0" t="inlineStr">
        <is>
          <t>可再生能源</t>
        </is>
      </c>
      <c r="I511" s="0" t="inlineStr">
        <is>
          <t>全社会经济</t>
        </is>
      </c>
      <c r="J511" s="0" t="inlineStr">
        <is>
          <t>“十五五”期间，全国海上风电新增开工规模 1 亿千瓦左右，2030 年累计装机规模达到 1 亿千瓦以上。</t>
        </is>
      </c>
      <c r="K511" s="0" t="inlineStr">
        <is>
          <t>FYP2607.pdf</t>
        </is>
      </c>
      <c r="L511" s="0" t="inlineStr">
        <is>
          <t>能源|电力</t>
        </is>
      </c>
      <c r="M511" s="0" t="inlineStr">
        <is>
          <t>电力供应</t>
        </is>
      </c>
    </row>
    <row r="512">
      <c r="A512" s="0" t="n">
        <v>2026</v>
      </c>
      <c r="B512" s="0" t="inlineStr">
        <is>
          <t>海上风电累计并网装机规模</t>
        </is>
      </c>
      <c r="C512" s="0" t="inlineStr">
        <is>
          <t>达到</t>
        </is>
      </c>
      <c r="D512" s="0" t="inlineStr">
        <is>
          <t>1亿千瓦以上</t>
        </is>
      </c>
      <c r="F512" s="0" t="n">
        <v>2030</v>
      </c>
      <c r="G512" s="0" t="inlineStr">
        <is>
          <t>重申目标</t>
        </is>
      </c>
      <c r="H512" s="0" t="inlineStr">
        <is>
          <t>可再生能源</t>
        </is>
      </c>
      <c r="I512" s="0" t="inlineStr">
        <is>
          <t>全社会经济</t>
        </is>
      </c>
      <c r="J512" s="0" t="inlineStr">
        <is>
          <t>“十五五”期间，全国海上风电新增开工规模 1 亿千瓦左右，2030 年累计装机规模达到 1 亿千瓦以上。</t>
        </is>
      </c>
      <c r="K512" s="0" t="inlineStr">
        <is>
          <t>FYP2607.pdf</t>
        </is>
      </c>
      <c r="L512" s="0" t="inlineStr">
        <is>
          <t>能源|电力</t>
        </is>
      </c>
      <c r="M512" s="0" t="inlineStr">
        <is>
          <t>电力供应</t>
        </is>
      </c>
    </row>
    <row r="513">
      <c r="A513" s="0" t="n">
        <v>2026</v>
      </c>
      <c r="B513" s="0" t="inlineStr">
        <is>
          <t>常规水电装机容量</t>
        </is>
      </c>
      <c r="C513" s="0" t="inlineStr">
        <is>
          <t>达到</t>
        </is>
      </c>
      <c r="D513" s="0" t="inlineStr">
        <is>
          <t>4.1亿千瓦左右</t>
        </is>
      </c>
      <c r="F513" s="0" t="n">
        <v>2030</v>
      </c>
      <c r="G513" s="0" t="inlineStr">
        <is>
          <t>重申目标</t>
        </is>
      </c>
      <c r="H513" s="0" t="inlineStr">
        <is>
          <t>可再生能源</t>
        </is>
      </c>
      <c r="I513" s="0" t="inlineStr">
        <is>
          <t>全社会经济</t>
        </is>
      </c>
      <c r="J513" s="0" t="inlineStr">
        <is>
          <t>……到 2030 年，全国常规水电装机规模达到 4.1 亿千瓦左右。</t>
        </is>
      </c>
      <c r="K513" s="0" t="inlineStr">
        <is>
          <t>FYP2607.pdf</t>
        </is>
      </c>
      <c r="L513" s="0" t="inlineStr">
        <is>
          <t>能源|电力</t>
        </is>
      </c>
      <c r="M513" s="0" t="inlineStr">
        <is>
          <t>电力供应</t>
        </is>
      </c>
    </row>
    <row r="514">
      <c r="A514" s="0" t="n">
        <v>2026</v>
      </c>
      <c r="B514" s="0" t="inlineStr">
        <is>
          <t>分布式新能源新增装机</t>
        </is>
      </c>
      <c r="C514" s="0" t="inlineStr">
        <is>
          <t>达到</t>
        </is>
      </c>
      <c r="D514" s="0" t="inlineStr">
        <is>
          <t>3亿千瓦以上</t>
        </is>
      </c>
      <c r="F514" s="0" t="inlineStr">
        <is>
          <t>十五五</t>
        </is>
      </c>
      <c r="G514" s="0" t="inlineStr">
        <is>
          <t>新目标</t>
        </is>
      </c>
      <c r="H514" s="0" t="inlineStr">
        <is>
          <t>可再生能源</t>
        </is>
      </c>
      <c r="I514" s="0" t="inlineStr">
        <is>
          <t>全社会经济</t>
        </is>
      </c>
      <c r="J514" s="0" t="inlineStr">
        <is>
          <t>“十五五”期间，全国分布式新能源新增装机 3 亿千瓦以上。</t>
        </is>
      </c>
      <c r="K514" s="0" t="inlineStr">
        <is>
          <t>FYP2607.pdf</t>
        </is>
      </c>
      <c r="L514" s="0" t="inlineStr">
        <is>
          <t>能源|电力</t>
        </is>
      </c>
      <c r="M514" s="0" t="inlineStr">
        <is>
          <t>电力供应</t>
        </is>
      </c>
    </row>
    <row r="515">
      <c r="A515" s="0" t="n">
        <v>2026</v>
      </c>
      <c r="B515" s="0" t="inlineStr">
        <is>
          <t>光热发电装机规模</t>
        </is>
      </c>
      <c r="C515" s="0" t="inlineStr">
        <is>
          <t>力争达到</t>
        </is>
      </c>
      <c r="D515" s="0" t="inlineStr">
        <is>
          <t>1500万千瓦</t>
        </is>
      </c>
      <c r="F515" s="0" t="n">
        <v>2030</v>
      </c>
      <c r="G515" s="0" t="inlineStr">
        <is>
          <t>重申目标</t>
        </is>
      </c>
      <c r="H515" s="0" t="inlineStr">
        <is>
          <t>可再生能源</t>
        </is>
      </c>
      <c r="I515" s="0" t="inlineStr">
        <is>
          <t>全社会经济</t>
        </is>
      </c>
      <c r="J515" s="0" t="inlineStr">
        <is>
          <t>到 2030 年，全国光热发电装机规模力争达到 1500 万千瓦。</t>
        </is>
      </c>
      <c r="K515" s="0" t="inlineStr">
        <is>
          <t>FYP2607.pdf</t>
        </is>
      </c>
      <c r="L515" s="0" t="inlineStr">
        <is>
          <t>能源|电力</t>
        </is>
      </c>
      <c r="M515" s="0" t="inlineStr">
        <is>
          <t>电力供应</t>
        </is>
      </c>
    </row>
    <row r="516">
      <c r="A516" s="0" t="n">
        <v>2026</v>
      </c>
      <c r="B516" s="0" t="inlineStr">
        <is>
          <t>海洋能装机规模</t>
        </is>
      </c>
      <c r="C516" s="0" t="inlineStr">
        <is>
          <t>力争达到</t>
        </is>
      </c>
      <c r="D516" s="0" t="inlineStr">
        <is>
          <t>40万千瓦</t>
        </is>
      </c>
      <c r="F516" s="0" t="n">
        <v>2030</v>
      </c>
      <c r="G516" s="0" t="inlineStr">
        <is>
          <t>重申目标</t>
        </is>
      </c>
      <c r="H516" s="0" t="inlineStr">
        <is>
          <t>可再生能源</t>
        </is>
      </c>
      <c r="I516" s="0" t="inlineStr">
        <is>
          <t>全社会经济</t>
        </is>
      </c>
      <c r="J516" s="0" t="inlineStr">
        <is>
          <t>到 2030年，全国海洋能装机规模力争达到 40 万千瓦。</t>
        </is>
      </c>
      <c r="K516" s="0" t="inlineStr">
        <is>
          <t>FYP2607.pdf</t>
        </is>
      </c>
      <c r="L516" s="0" t="inlineStr">
        <is>
          <t>能源|电力</t>
        </is>
      </c>
      <c r="M516" s="0" t="inlineStr">
        <is>
          <t>电力供应</t>
        </is>
      </c>
    </row>
    <row r="517">
      <c r="A517" s="0" t="n">
        <v>2026</v>
      </c>
      <c r="B517" s="0" t="inlineStr">
        <is>
          <t>新建集中式风光电站置信出力</t>
        </is>
      </c>
      <c r="C517" s="0" t="inlineStr">
        <is>
          <t>达到</t>
        </is>
      </c>
      <c r="D517" s="0" t="inlineStr">
        <is>
          <t>不低于10%</t>
        </is>
      </c>
      <c r="F517" s="0" t="n">
        <v>2030</v>
      </c>
      <c r="G517" s="0" t="inlineStr">
        <is>
          <t>新目标</t>
        </is>
      </c>
      <c r="H517" s="0" t="inlineStr">
        <is>
          <t>可再生能源</t>
        </is>
      </c>
      <c r="I517" s="0" t="inlineStr">
        <is>
          <t>企事业单位</t>
        </is>
      </c>
      <c r="J517" s="0" t="inlineStr">
        <is>
          <t>到 2030 年，新建集中式风光电站置信出力原则上应不低于 10%，鼓励具备条件的项目超过 20%。</t>
        </is>
      </c>
      <c r="K517" s="0" t="inlineStr">
        <is>
          <t>FYP2607.pdf</t>
        </is>
      </c>
      <c r="L517" s="0" t="inlineStr">
        <is>
          <t>能源|电力</t>
        </is>
      </c>
      <c r="M517" s="0" t="inlineStr">
        <is>
          <t>电力供应</t>
        </is>
      </c>
    </row>
    <row r="518">
      <c r="A518" s="0" t="n">
        <v>2026</v>
      </c>
      <c r="B518" s="0" t="inlineStr">
        <is>
          <t>抽水蓄能装机容量</t>
        </is>
      </c>
      <c r="C518" s="0" t="inlineStr">
        <is>
          <t>达到</t>
        </is>
      </c>
      <c r="D518" s="0" t="inlineStr">
        <is>
          <t>1.6亿千瓦左右</t>
        </is>
      </c>
      <c r="F518" s="0" t="n">
        <v>2030</v>
      </c>
      <c r="G518" s="0" t="inlineStr">
        <is>
          <t>重申目标</t>
        </is>
      </c>
      <c r="H518" s="0" t="inlineStr">
        <is>
          <t>可再生能源</t>
        </is>
      </c>
      <c r="I518" s="0" t="inlineStr">
        <is>
          <t>全社会经济</t>
        </is>
      </c>
      <c r="J518" s="0" t="inlineStr">
        <is>
          <t>到 2030 年，全国抽水蓄能电站装机规模达到 1.6 亿千瓦左右。</t>
        </is>
      </c>
      <c r="K518" s="0" t="inlineStr">
        <is>
          <t>FYP2607.pdf</t>
        </is>
      </c>
      <c r="L518" s="0" t="inlineStr">
        <is>
          <t>能源|电力</t>
        </is>
      </c>
      <c r="M518" s="0" t="inlineStr">
        <is>
          <t>电力供应</t>
        </is>
      </c>
    </row>
    <row r="519">
      <c r="A519" s="0" t="n">
        <v>2026</v>
      </c>
      <c r="B519" s="0" t="inlineStr">
        <is>
          <t>抽水蓄能新增投产装机</t>
        </is>
      </c>
      <c r="C519" s="0" t="inlineStr">
        <is>
          <t>达到</t>
        </is>
      </c>
      <c r="D519" s="0" t="inlineStr">
        <is>
          <t>1亿千瓦左右</t>
        </is>
      </c>
      <c r="F519" s="0" t="inlineStr">
        <is>
          <t>十五五</t>
        </is>
      </c>
      <c r="G519" s="0" t="inlineStr">
        <is>
          <t>重申目标</t>
        </is>
      </c>
      <c r="H519" s="0" t="inlineStr">
        <is>
          <t>可再生能源</t>
        </is>
      </c>
      <c r="I519" s="0" t="inlineStr">
        <is>
          <t>全社会经济</t>
        </is>
      </c>
      <c r="J519" s="0" t="inlineStr">
        <is>
          <t>……力争“十五五”期间新增投产1亿千瓦左右。</t>
        </is>
      </c>
      <c r="K519" s="0" t="inlineStr">
        <is>
          <t>FYP2607.pdf</t>
        </is>
      </c>
      <c r="L519" s="0" t="inlineStr">
        <is>
          <t>能源|电力</t>
        </is>
      </c>
      <c r="M519" s="0" t="inlineStr">
        <is>
          <t>电力供应</t>
        </is>
      </c>
    </row>
    <row r="520">
      <c r="A520" s="0" t="n">
        <v>2026</v>
      </c>
      <c r="B520" s="0" t="inlineStr">
        <is>
          <t>非化石能源消费比重</t>
        </is>
      </c>
      <c r="C520" s="0" t="inlineStr">
        <is>
          <t>提高</t>
        </is>
      </c>
      <c r="D520" s="0" t="inlineStr">
        <is>
          <t>年均提升约1个百分点</t>
        </is>
      </c>
      <c r="F520" s="0" t="n">
        <v>2028</v>
      </c>
      <c r="G520" s="0" t="inlineStr">
        <is>
          <t>新目标</t>
        </is>
      </c>
      <c r="H520" s="0" t="inlineStr">
        <is>
          <t>可再生能源</t>
        </is>
      </c>
      <c r="I520" s="0" t="inlineStr">
        <is>
          <t>全社会经济</t>
        </is>
      </c>
      <c r="J520" s="0" t="inlineStr">
        <is>
          <t>到2028年，非化石能源消费比重年均提升约1个百分点；</t>
        </is>
      </c>
      <c r="K520" s="0" t="inlineStr">
        <is>
          <t>AP2608.htm</t>
        </is>
      </c>
      <c r="L520" s="0" t="inlineStr">
        <is>
          <t>能源|电力</t>
        </is>
      </c>
      <c r="M520" s="0" t="inlineStr">
        <is>
          <t>能源消费</t>
        </is>
      </c>
    </row>
    <row r="521">
      <c r="A521" s="0" t="n">
        <v>2026</v>
      </c>
      <c r="B521" s="0" t="inlineStr">
        <is>
          <t>煤电行业达到能效标杆水平的产能比例</t>
        </is>
      </c>
      <c r="C521" s="0" t="inlineStr">
        <is>
          <t>提高</t>
        </is>
      </c>
      <c r="D521" s="0" t="inlineStr">
        <is>
          <t>力争提高15个百分点</t>
        </is>
      </c>
      <c r="F521" s="0" t="n">
        <v>2028</v>
      </c>
      <c r="G521" s="0" t="inlineStr">
        <is>
          <t>重申目标</t>
        </is>
      </c>
      <c r="H521" s="0" t="inlineStr">
        <is>
          <t>涉煤</t>
        </is>
      </c>
      <c r="I521" s="0" t="inlineStr">
        <is>
          <t>行业</t>
        </is>
      </c>
      <c r="J521" s="0" t="inlineStr">
        <is>
          <t>合理控制煤电机组供电煤耗，达到现行能效标杆水平的煤电产能比例力争提高15个百分点；</t>
        </is>
      </c>
      <c r="K521" s="0" t="inlineStr">
        <is>
          <t>AP2608.htm</t>
        </is>
      </c>
      <c r="L521" s="0" t="inlineStr">
        <is>
          <t>能源|电力</t>
        </is>
      </c>
      <c r="M521" s="0" t="inlineStr">
        <is>
          <t>煤电</t>
        </is>
      </c>
    </row>
    <row r="522">
      <c r="A522" s="0" t="n">
        <v>2026</v>
      </c>
      <c r="B522" s="0" t="inlineStr">
        <is>
          <t>非化石能源消费比重</t>
        </is>
      </c>
      <c r="C522" s="0" t="inlineStr">
        <is>
          <t>达到</t>
        </is>
      </c>
      <c r="D522" s="0" t="inlineStr">
        <is>
          <t>25%</t>
        </is>
      </c>
      <c r="F522" s="0" t="n">
        <v>2030</v>
      </c>
      <c r="G522" s="0" t="inlineStr">
        <is>
          <t>重申目标</t>
        </is>
      </c>
      <c r="H522" s="0" t="inlineStr">
        <is>
          <t>可再生能源</t>
        </is>
      </c>
      <c r="I522" s="0" t="inlineStr">
        <is>
          <t>全社会经济</t>
        </is>
      </c>
      <c r="J522" s="0" t="inlineStr">
        <is>
          <t>到2030年，我国单位国内生产总值二氧化碳排放比2025年降低17%，非化石能源消费占比达到25%，……</t>
        </is>
      </c>
      <c r="K522" s="0" t="inlineStr">
        <is>
          <t>HL2604.htm</t>
        </is>
      </c>
      <c r="L522" s="0" t="inlineStr">
        <is>
          <t>能源|电力</t>
        </is>
      </c>
      <c r="M522" s="0" t="inlineStr">
        <is>
          <t>能源消费</t>
        </is>
      </c>
    </row>
    <row r="523">
      <c r="A523" s="0" t="n">
        <v>2026</v>
      </c>
      <c r="B523" s="0" t="inlineStr">
        <is>
          <t>风电和太阳能发电总装机容量</t>
        </is>
      </c>
      <c r="C523" s="0" t="inlineStr">
        <is>
          <t>达到</t>
        </is>
      </c>
      <c r="D523" s="0" t="inlineStr">
        <is>
          <t>28亿千瓦以上</t>
        </is>
      </c>
      <c r="F523" s="0" t="n">
        <v>2030</v>
      </c>
      <c r="G523" s="0" t="inlineStr">
        <is>
          <t>强化或放宽目标（积极气候影响）</t>
        </is>
      </c>
      <c r="H523" s="0" t="inlineStr">
        <is>
          <t>可再生能源</t>
        </is>
      </c>
      <c r="I523" s="0" t="inlineStr">
        <is>
          <t>全社会经济</t>
        </is>
      </c>
      <c r="J523" s="0" t="inlineStr">
        <is>
          <t>到2030年，风电和太阳能发电总装机容量达到28亿千瓦以上，常规水电装机容量达到4.1亿千瓦左右，核电运行装机容量达到1.1亿千瓦左右。</t>
        </is>
      </c>
      <c r="K523" s="0" t="inlineStr">
        <is>
          <t>HL2604.htm</t>
        </is>
      </c>
      <c r="L523" s="0" t="inlineStr">
        <is>
          <t>能源|电力</t>
        </is>
      </c>
      <c r="M523" s="0" t="inlineStr">
        <is>
          <t>电力供应</t>
        </is>
      </c>
    </row>
    <row r="524">
      <c r="A524" s="0" t="n">
        <v>2026</v>
      </c>
      <c r="B524" s="0" t="inlineStr">
        <is>
          <t>常规水电装机容量</t>
        </is>
      </c>
      <c r="C524" s="0" t="inlineStr">
        <is>
          <t>达到</t>
        </is>
      </c>
      <c r="D524" s="0" t="inlineStr">
        <is>
          <t>4.1亿千瓦左右</t>
        </is>
      </c>
      <c r="F524" s="0" t="n">
        <v>2030</v>
      </c>
      <c r="G524" s="0" t="inlineStr">
        <is>
          <t>重申目标</t>
        </is>
      </c>
      <c r="H524" s="0" t="inlineStr">
        <is>
          <t>可再生能源</t>
        </is>
      </c>
      <c r="I524" s="0" t="inlineStr">
        <is>
          <t>全社会经济</t>
        </is>
      </c>
      <c r="J524" s="0" t="inlineStr">
        <is>
          <t>到2030年，风电和太阳能发电总装机容量达到28亿千瓦以上，常规水电装机容量达到4.1亿千瓦左右，核电运行装机容量达到1.1亿千瓦左右。</t>
        </is>
      </c>
      <c r="K524" s="0" t="inlineStr">
        <is>
          <t>HL2604.htm</t>
        </is>
      </c>
      <c r="L524" s="0" t="inlineStr">
        <is>
          <t>能源|电力</t>
        </is>
      </c>
      <c r="M524" s="0" t="inlineStr">
        <is>
          <t>电力供应</t>
        </is>
      </c>
    </row>
    <row r="525">
      <c r="A525" s="0" t="n">
        <v>2026</v>
      </c>
      <c r="B525" s="0" t="inlineStr">
        <is>
          <t>核电运行装机容量</t>
        </is>
      </c>
      <c r="C525" s="0" t="inlineStr">
        <is>
          <t>达到</t>
        </is>
      </c>
      <c r="D525" s="0" t="inlineStr">
        <is>
          <t>1.1亿千瓦左右</t>
        </is>
      </c>
      <c r="F525" s="0" t="n">
        <v>2030</v>
      </c>
      <c r="G525" s="0" t="inlineStr">
        <is>
          <t>重申目标</t>
        </is>
      </c>
      <c r="H525" s="0" t="inlineStr">
        <is>
          <t>过渡能源</t>
        </is>
      </c>
      <c r="I525" s="0" t="inlineStr">
        <is>
          <t>全社会经济</t>
        </is>
      </c>
      <c r="J525" s="0" t="inlineStr">
        <is>
          <t>到2030年，……核电运行装机容量达到1.1亿千瓦左右。</t>
        </is>
      </c>
      <c r="K525" s="0" t="inlineStr">
        <is>
          <t>HL2604.htm</t>
        </is>
      </c>
      <c r="L525" s="0" t="inlineStr">
        <is>
          <t>能源|电力</t>
        </is>
      </c>
      <c r="M525" s="0" t="inlineStr">
        <is>
          <t>电力供应</t>
        </is>
      </c>
    </row>
    <row r="526">
      <c r="A526" s="0" t="n">
        <v>2026</v>
      </c>
      <c r="B526" s="0" t="inlineStr">
        <is>
          <t>新增西电东送能力</t>
        </is>
      </c>
      <c r="C526" s="0" t="inlineStr">
        <is>
          <t>达到</t>
        </is>
      </c>
      <c r="D526" s="0" t="inlineStr">
        <is>
          <t>8000万千瓦以上</t>
        </is>
      </c>
      <c r="F526" s="0" t="inlineStr">
        <is>
          <t>十五五</t>
        </is>
      </c>
      <c r="G526" s="0" t="inlineStr">
        <is>
          <t>重申目标</t>
        </is>
      </c>
      <c r="H526" s="0" t="inlineStr">
        <is>
          <t>可再生能源</t>
        </is>
      </c>
      <c r="I526" s="0" t="inlineStr">
        <is>
          <t>全社会经济</t>
        </is>
      </c>
      <c r="J526" s="0" t="inlineStr">
        <is>
          <t>提升跨省跨区输电和互补互济能力，加快特高压外送通道建设，新增西电东送能力8000万千瓦以上，大力推进省间电力互济工程建设。</t>
        </is>
      </c>
      <c r="K526" s="0" t="inlineStr">
        <is>
          <t>HL2604.htm</t>
        </is>
      </c>
      <c r="L526" s="0" t="inlineStr">
        <is>
          <t>能源|电力</t>
        </is>
      </c>
      <c r="M526" s="0" t="inlineStr">
        <is>
          <t>电力传输/能源运输</t>
        </is>
      </c>
    </row>
    <row r="527">
      <c r="A527" s="0" t="n">
        <v>2026</v>
      </c>
      <c r="B527" s="0" t="inlineStr">
        <is>
          <t>抽水蓄能装机容量</t>
        </is>
      </c>
      <c r="C527" s="0" t="inlineStr">
        <is>
          <t>达到</t>
        </is>
      </c>
      <c r="D527" s="0" t="inlineStr">
        <is>
          <t>1.6亿千瓦左右</t>
        </is>
      </c>
      <c r="F527" s="0" t="n">
        <v>2030</v>
      </c>
      <c r="G527" s="0" t="inlineStr">
        <is>
          <t>重申目标</t>
        </is>
      </c>
      <c r="H527" s="0" t="inlineStr">
        <is>
          <t>可再生能源</t>
        </is>
      </c>
      <c r="I527" s="0" t="inlineStr">
        <is>
          <t>全社会经济</t>
        </is>
      </c>
      <c r="J527" s="0" t="inlineStr">
        <is>
          <t>到2030年，抽水蓄能装机容量达到1.6亿千瓦左右，新型储能装机容量力争达到3亿千瓦，……</t>
        </is>
      </c>
      <c r="K527" s="0" t="inlineStr">
        <is>
          <t>HL2604.htm</t>
        </is>
      </c>
      <c r="L527" s="0" t="inlineStr">
        <is>
          <t>能源|电力</t>
        </is>
      </c>
      <c r="M527" s="0" t="inlineStr">
        <is>
          <t>电力供应</t>
        </is>
      </c>
    </row>
    <row r="528">
      <c r="A528" s="0" t="n">
        <v>2026</v>
      </c>
      <c r="B528" s="0" t="inlineStr">
        <is>
          <t>新型储能装机容量</t>
        </is>
      </c>
      <c r="C528" s="0" t="inlineStr">
        <is>
          <t>力争达到</t>
        </is>
      </c>
      <c r="D528" s="0" t="inlineStr">
        <is>
          <t>3亿千瓦</t>
        </is>
      </c>
      <c r="F528" s="0" t="n">
        <v>2030</v>
      </c>
      <c r="G528" s="0" t="inlineStr">
        <is>
          <t>重申目标</t>
        </is>
      </c>
      <c r="H528" s="0" t="inlineStr">
        <is>
          <t>可再生能源</t>
        </is>
      </c>
      <c r="I528" s="0" t="inlineStr">
        <is>
          <t>全社会经济</t>
        </is>
      </c>
      <c r="J528" s="0" t="inlineStr">
        <is>
          <t>到2030年，抽水蓄能装机容量达到1.6亿千瓦左右，新型储能装机容量力争达到3亿千瓦，……</t>
        </is>
      </c>
      <c r="K528" s="0" t="inlineStr">
        <is>
          <t>HL2604.htm</t>
        </is>
      </c>
      <c r="L528" s="0" t="inlineStr">
        <is>
          <t>能源|电力</t>
        </is>
      </c>
      <c r="M528" s="0" t="inlineStr">
        <is>
          <t>电力供应</t>
        </is>
      </c>
    </row>
    <row r="529">
      <c r="A529" s="0" t="n">
        <v>2026</v>
      </c>
      <c r="B529" s="0" t="inlineStr">
        <is>
          <t>全国虚拟电厂调节能力</t>
        </is>
      </c>
      <c r="C529" s="0" t="inlineStr">
        <is>
          <t>达到</t>
        </is>
      </c>
      <c r="D529" s="0" t="inlineStr">
        <is>
          <t>5000万千瓦以上</t>
        </is>
      </c>
      <c r="F529" s="0" t="n">
        <v>2030</v>
      </c>
      <c r="G529" s="0" t="inlineStr">
        <is>
          <t>重申目标</t>
        </is>
      </c>
      <c r="H529" s="0" t="inlineStr">
        <is>
          <t>可再生能源</t>
        </is>
      </c>
      <c r="I529" s="0" t="inlineStr">
        <is>
          <t>全社会经济</t>
        </is>
      </c>
      <c r="J529" s="0" t="inlineStr">
        <is>
          <t>……全国虚拟电厂最大调节能力达到5000万千瓦以上，电力需求响应能力达到最大用电负荷的5%以上。</t>
        </is>
      </c>
      <c r="K529" s="0" t="inlineStr">
        <is>
          <t>HL2604.htm</t>
        </is>
      </c>
      <c r="L529" s="0" t="inlineStr">
        <is>
          <t>能源|电力</t>
        </is>
      </c>
      <c r="M529" s="0" t="inlineStr">
        <is>
          <t>电力供应</t>
        </is>
      </c>
    </row>
    <row r="530">
      <c r="A530" s="0" t="n">
        <v>2026</v>
      </c>
      <c r="B530" s="0" t="inlineStr">
        <is>
          <t>需求响应能力占最大用电负荷比例</t>
        </is>
      </c>
      <c r="C530" s="0" t="inlineStr">
        <is>
          <t>达到</t>
        </is>
      </c>
      <c r="D530" s="0" t="inlineStr">
        <is>
          <t>5%以上</t>
        </is>
      </c>
      <c r="F530" s="0" t="n">
        <v>2030</v>
      </c>
      <c r="G530" s="0" t="inlineStr">
        <is>
          <t>新目标</t>
        </is>
      </c>
      <c r="H530" s="0" t="inlineStr">
        <is>
          <t>可再生能源</t>
        </is>
      </c>
      <c r="I530" s="0" t="inlineStr">
        <is>
          <t>全社会经济</t>
        </is>
      </c>
      <c r="J530" s="0" t="inlineStr">
        <is>
          <t>……电力需求响应能力达到最大用电负荷的5%以上。</t>
        </is>
      </c>
      <c r="K530" s="0" t="inlineStr">
        <is>
          <t>HL2604.htm</t>
        </is>
      </c>
      <c r="L530" s="0" t="inlineStr">
        <is>
          <t>能源|电力</t>
        </is>
      </c>
      <c r="M530" s="0" t="inlineStr">
        <is>
          <t>电力供应</t>
        </is>
      </c>
    </row>
    <row r="531">
      <c r="A531" s="0" t="n">
        <v>2026</v>
      </c>
      <c r="B531" s="0" t="inlineStr">
        <is>
          <t>单位国内生产总值能耗</t>
        </is>
      </c>
      <c r="C531" s="0" t="inlineStr">
        <is>
          <t>降低</t>
        </is>
      </c>
      <c r="D531" s="0" t="inlineStr">
        <is>
          <t>10%左右</t>
        </is>
      </c>
      <c r="F531" s="0" t="inlineStr">
        <is>
          <t>十五五</t>
        </is>
      </c>
      <c r="G531" s="0" t="inlineStr">
        <is>
          <t>新目标</t>
        </is>
      </c>
      <c r="H531" s="0" t="inlineStr">
        <is>
          <t>能源效率</t>
        </is>
      </c>
      <c r="I531" s="0" t="inlineStr">
        <is>
          <t>全社会经济</t>
        </is>
      </c>
      <c r="J531" s="0" t="inlineStr">
        <is>
          <t>……单位国内生产总值能耗降低10%左右，通过重点行业节能降碳改造实现节能量1.5亿吨标准煤以上。</t>
        </is>
      </c>
      <c r="K531" s="0" t="inlineStr">
        <is>
          <t>HL2604.htm</t>
        </is>
      </c>
      <c r="L531" s="0" t="inlineStr">
        <is>
          <t>能源|电力</t>
        </is>
      </c>
      <c r="M531" s="0" t="inlineStr">
        <is>
          <t>能源消费</t>
        </is>
      </c>
    </row>
    <row r="532">
      <c r="A532" s="0" t="n">
        <v>2026</v>
      </c>
      <c r="B532" s="0" t="inlineStr">
        <is>
          <t>重点行业节能降碳改造节能量</t>
        </is>
      </c>
      <c r="C532" s="0" t="inlineStr">
        <is>
          <t>实现</t>
        </is>
      </c>
      <c r="D532" s="0" t="inlineStr">
        <is>
          <t>1.5亿吨标准煤以上</t>
        </is>
      </c>
      <c r="F532" s="0" t="inlineStr">
        <is>
          <t>十五五</t>
        </is>
      </c>
      <c r="G532" s="0" t="inlineStr">
        <is>
          <t>重申目标</t>
        </is>
      </c>
      <c r="H532" s="0" t="inlineStr">
        <is>
          <t>节能</t>
        </is>
      </c>
      <c r="I532" s="0" t="inlineStr">
        <is>
          <t>全社会经济</t>
        </is>
      </c>
      <c r="J532" s="0" t="inlineStr">
        <is>
          <t>……通过重点行业节能降碳改造实现节能量1.5亿吨标准煤以上。</t>
        </is>
      </c>
      <c r="K532" s="0" t="inlineStr">
        <is>
          <t>HL2604.htm</t>
        </is>
      </c>
      <c r="L532" s="0" t="inlineStr">
        <is>
          <t>能源|电力</t>
        </is>
      </c>
      <c r="M532" s="0" t="inlineStr">
        <is>
          <t>能源消费</t>
        </is>
      </c>
    </row>
    <row r="533">
      <c r="A533" s="0" t="n">
        <v>2026</v>
      </c>
      <c r="B533" s="0" t="inlineStr">
        <is>
          <t>大型现代化煤矿产能比重</t>
        </is>
      </c>
      <c r="C533" s="0" t="inlineStr">
        <is>
          <t>提高至</t>
        </is>
      </c>
      <c r="D533" s="0" t="inlineStr">
        <is>
          <t>87%</t>
        </is>
      </c>
      <c r="F533" s="0" t="n">
        <v>2030</v>
      </c>
      <c r="G533" s="0" t="inlineStr">
        <is>
          <t>新目标</t>
        </is>
      </c>
      <c r="H533" s="0" t="inlineStr">
        <is>
          <t>涉煤</t>
        </is>
      </c>
      <c r="I533" s="0" t="inlineStr">
        <is>
          <t>行业</t>
        </is>
      </c>
      <c r="J533" s="0" t="inlineStr">
        <is>
          <t>……全国大型现代化煤矿产能比重提升至 87%；</t>
        </is>
      </c>
      <c r="K533" s="0" t="inlineStr">
        <is>
          <t>FYP2611.pdf</t>
        </is>
      </c>
      <c r="L533" s="0" t="inlineStr">
        <is>
          <t>能源|电力</t>
        </is>
      </c>
      <c r="M533" s="0" t="inlineStr">
        <is>
          <t>其他</t>
        </is>
      </c>
    </row>
    <row r="534">
      <c r="A534" s="0" t="n">
        <v>2026</v>
      </c>
      <c r="B534" s="0" t="inlineStr">
        <is>
          <t>智能化煤矿产能比例</t>
        </is>
      </c>
      <c r="C534" s="0" t="inlineStr">
        <is>
          <t>提高至</t>
        </is>
      </c>
      <c r="D534" s="0" t="inlineStr">
        <is>
          <t>75%</t>
        </is>
      </c>
      <c r="F534" s="0" t="n">
        <v>2030</v>
      </c>
      <c r="G534" s="0" t="inlineStr">
        <is>
          <t>新目标</t>
        </is>
      </c>
      <c r="H534" s="0" t="inlineStr">
        <is>
          <t>涉煤</t>
        </is>
      </c>
      <c r="I534" s="0" t="inlineStr">
        <is>
          <t>行业</t>
        </is>
      </c>
      <c r="J534" s="0" t="inlineStr">
        <is>
          <t>……智能化煤矿产能比例提升至 75%；</t>
        </is>
      </c>
      <c r="K534" s="0" t="inlineStr">
        <is>
          <t>FYP2611.pdf</t>
        </is>
      </c>
      <c r="L534" s="0" t="inlineStr">
        <is>
          <t>能源|电力</t>
        </is>
      </c>
      <c r="M534" s="0" t="inlineStr">
        <is>
          <t>其他</t>
        </is>
      </c>
    </row>
    <row r="535">
      <c r="A535" s="0" t="n">
        <v>2026</v>
      </c>
      <c r="B535" s="0" t="inlineStr">
        <is>
          <t>五大煤炭供应保障基地产量占全国比重</t>
        </is>
      </c>
      <c r="C535" s="0" t="inlineStr">
        <is>
          <t>超过</t>
        </is>
      </c>
      <c r="D535" s="0" t="inlineStr">
        <is>
          <t>80%</t>
        </is>
      </c>
      <c r="F535" s="0" t="n">
        <v>2030</v>
      </c>
      <c r="G535" s="0" t="inlineStr">
        <is>
          <t>重申目标</t>
        </is>
      </c>
      <c r="H535" s="0" t="inlineStr">
        <is>
          <t>涉煤</t>
        </is>
      </c>
      <c r="I535" s="0" t="inlineStr">
        <is>
          <t>全社会经济</t>
        </is>
      </c>
      <c r="J535" s="0" t="inlineStr">
        <is>
          <t>……2030 年，五大煤炭供应保障基地产量占全国比重超 80%。</t>
        </is>
      </c>
      <c r="K535" s="0" t="inlineStr">
        <is>
          <t>FYP2611.pdf</t>
        </is>
      </c>
      <c r="L535" s="0" t="inlineStr">
        <is>
          <t>能源|电力</t>
        </is>
      </c>
      <c r="M535" s="0" t="inlineStr">
        <is>
          <t>其他</t>
        </is>
      </c>
    </row>
    <row r="536">
      <c r="A536" s="0" t="n">
        <v>2026</v>
      </c>
      <c r="B536" s="0" t="inlineStr">
        <is>
          <t>煤炭产能储备</t>
        </is>
      </c>
      <c r="C536" s="0" t="inlineStr">
        <is>
          <t>建成</t>
        </is>
      </c>
      <c r="D536" s="0" t="inlineStr">
        <is>
          <t>1亿吨/年以上</t>
        </is>
      </c>
      <c r="F536" s="0" t="n">
        <v>2030</v>
      </c>
      <c r="G536" s="0" t="inlineStr">
        <is>
          <t>重申目标</t>
        </is>
      </c>
      <c r="H536" s="0" t="inlineStr">
        <is>
          <t>涉煤</t>
        </is>
      </c>
      <c r="I536" s="0" t="inlineStr">
        <is>
          <t>全社会经济</t>
        </is>
      </c>
      <c r="J536" s="0" t="inlineStr">
        <is>
          <t>……到 2030 年建成煤炭产能储备 1 亿吨/年以上。</t>
        </is>
      </c>
      <c r="K536" s="0" t="inlineStr">
        <is>
          <t>FYP2611.pdf</t>
        </is>
      </c>
      <c r="L536" s="0" t="inlineStr">
        <is>
          <t>能源|电力</t>
        </is>
      </c>
      <c r="M536" s="0" t="inlineStr">
        <is>
          <t>其他</t>
        </is>
      </c>
    </row>
    <row r="537">
      <c r="A537" s="0" t="n">
        <v>2026</v>
      </c>
      <c r="B537" s="0" t="inlineStr">
        <is>
          <t>非化石能源发电量占比</t>
        </is>
      </c>
      <c r="C537" s="0" t="inlineStr">
        <is>
          <t>达到</t>
        </is>
      </c>
      <c r="D537" s="0" t="inlineStr">
        <is>
          <t>50%</t>
        </is>
      </c>
      <c r="F537" s="0" t="n">
        <v>2030</v>
      </c>
      <c r="G537" s="0" t="inlineStr">
        <is>
          <t>重申目标</t>
        </is>
      </c>
      <c r="H537" s="0" t="inlineStr">
        <is>
          <t>可再生能源</t>
        </is>
      </c>
      <c r="I537" s="0" t="inlineStr">
        <is>
          <t>全社会经济</t>
        </is>
      </c>
      <c r="J537" s="0" t="inlineStr">
        <is>
          <t>到 2030 年，新型电力系统初步建成：绿色低碳的电力供给格局基本形成，非化石能源发电量占比达到 50%；</t>
        </is>
      </c>
      <c r="K537" s="0" t="inlineStr">
        <is>
          <t>FYP2612.pdf</t>
        </is>
      </c>
      <c r="L537" s="0" t="inlineStr">
        <is>
          <t>能源|电力</t>
        </is>
      </c>
      <c r="M537" s="0" t="inlineStr">
        <is>
          <t>电力供应</t>
        </is>
      </c>
    </row>
    <row r="538">
      <c r="A538" s="0" t="n">
        <v>2026</v>
      </c>
      <c r="B538" s="0" t="inlineStr">
        <is>
          <t>新能源高水平消纳规模</t>
        </is>
      </c>
      <c r="C538" s="0" t="inlineStr">
        <is>
          <t>实现</t>
        </is>
      </c>
      <c r="D538" s="0" t="inlineStr">
        <is>
          <t>28亿千瓦以上</t>
        </is>
      </c>
      <c r="F538" s="0" t="n">
        <v>2030</v>
      </c>
      <c r="G538" s="0" t="inlineStr">
        <is>
          <t>新目标</t>
        </is>
      </c>
      <c r="H538" s="0" t="inlineStr">
        <is>
          <t>可再生能源</t>
        </is>
      </c>
      <c r="I538" s="0" t="inlineStr">
        <is>
          <t>全社会经济</t>
        </is>
      </c>
      <c r="J538" s="0" t="inlineStr">
        <is>
          <t>……实现 28 亿千瓦以上新能源高水平消纳，建成可支撑超过 1.1 亿辆电动汽车出行的充电基础设施网络；</t>
        </is>
      </c>
      <c r="K538" s="0" t="inlineStr">
        <is>
          <t>FYP2612.pdf</t>
        </is>
      </c>
      <c r="L538" s="0" t="inlineStr">
        <is>
          <t>能源|电力</t>
        </is>
      </c>
      <c r="M538" s="0" t="inlineStr">
        <is>
          <t>电力供应</t>
        </is>
      </c>
    </row>
    <row r="539">
      <c r="A539" s="0" t="n">
        <v>2026</v>
      </c>
      <c r="B539" s="0" t="inlineStr">
        <is>
          <t>充电基础设施网络支撑电动汽车规模</t>
        </is>
      </c>
      <c r="C539" s="0" t="inlineStr">
        <is>
          <t>建成</t>
        </is>
      </c>
      <c r="D539" s="0" t="inlineStr">
        <is>
          <t>超过1.1亿辆</t>
        </is>
      </c>
      <c r="F539" s="0" t="n">
        <v>2030</v>
      </c>
      <c r="G539" s="0" t="inlineStr">
        <is>
          <t>新目标</t>
        </is>
      </c>
      <c r="H539" s="0" t="inlineStr">
        <is>
          <t>绿色交通</t>
        </is>
      </c>
      <c r="I539" s="0" t="inlineStr">
        <is>
          <t>全社会经济</t>
        </is>
      </c>
      <c r="J539" s="0" t="inlineStr">
        <is>
          <t>……建成可支撑超过 1.1 亿辆电动汽车出行的充电基础设施网络；</t>
        </is>
      </c>
      <c r="K539" s="0" t="inlineStr">
        <is>
          <t>FYP2612.pdf</t>
        </is>
      </c>
      <c r="L539" s="0" t="inlineStr">
        <is>
          <t>能源|电力</t>
        </is>
      </c>
      <c r="M539" s="0" t="inlineStr">
        <is>
          <t>电力供应</t>
        </is>
      </c>
    </row>
    <row r="540">
      <c r="A540" s="0" t="n">
        <v>2026</v>
      </c>
      <c r="B540" s="0" t="inlineStr">
        <is>
          <t>电能占终端能源消费比重</t>
        </is>
      </c>
      <c r="C540" s="0" t="inlineStr">
        <is>
          <t>达到</t>
        </is>
      </c>
      <c r="D540" s="0" t="inlineStr">
        <is>
          <t>35%</t>
        </is>
      </c>
      <c r="E540" s="0" t="inlineStr">
        <is>
          <t>30%（2025）</t>
        </is>
      </c>
      <c r="F540" s="0" t="n">
        <v>2030</v>
      </c>
      <c r="G540" s="0" t="inlineStr">
        <is>
          <t>强化或放宽目标（积极气候影响）</t>
        </is>
      </c>
      <c r="H540" s="0" t="inlineStr">
        <is>
          <t>电气化</t>
        </is>
      </c>
      <c r="I540" s="0" t="inlineStr">
        <is>
          <t>全社会经济</t>
        </is>
      </c>
      <c r="J540" s="0" t="inlineStr">
        <is>
          <t>到 2030 年，电能占终端能源消费比重达到 35%。</t>
        </is>
      </c>
      <c r="K540" s="0" t="inlineStr">
        <is>
          <t>FYP2612.pdf</t>
        </is>
      </c>
      <c r="L540" s="0" t="inlineStr">
        <is>
          <t>能源|电力</t>
        </is>
      </c>
      <c r="M540" s="0" t="inlineStr">
        <is>
          <t>能源消费</t>
        </is>
      </c>
    </row>
    <row r="541">
      <c r="A541" s="0" t="n">
        <v>2026</v>
      </c>
      <c r="B541" s="0" t="inlineStr">
        <is>
          <t>非化石能源发电装机占比</t>
        </is>
      </c>
      <c r="C541" s="0" t="inlineStr">
        <is>
          <t>达到</t>
        </is>
      </c>
      <c r="D541" s="0" t="inlineStr">
        <is>
          <t>65%</t>
        </is>
      </c>
      <c r="E541" s="0" t="inlineStr">
        <is>
          <t>61.7%（2025）</t>
        </is>
      </c>
      <c r="F541" s="0" t="n">
        <v>2030</v>
      </c>
      <c r="G541" s="0" t="inlineStr">
        <is>
          <t>新目标</t>
        </is>
      </c>
      <c r="H541" s="0" t="inlineStr">
        <is>
          <t>可再生能源</t>
        </is>
      </c>
      <c r="I541" s="0" t="inlineStr">
        <is>
          <t>全社会经济</t>
        </is>
      </c>
      <c r="J541" s="0" t="inlineStr">
        <is>
          <t>指标表：非化石能源发电装机占比 2025年61.7%，2030年65%，预期性</t>
        </is>
      </c>
      <c r="K541" s="0" t="inlineStr">
        <is>
          <t>FYP2612.pdf</t>
        </is>
      </c>
      <c r="L541" s="0" t="inlineStr">
        <is>
          <t>能源|电力</t>
        </is>
      </c>
      <c r="M541" s="0" t="inlineStr">
        <is>
          <t>电力供应</t>
        </is>
      </c>
    </row>
    <row r="542">
      <c r="A542" s="0" t="n">
        <v>2026</v>
      </c>
      <c r="B542" s="0" t="inlineStr">
        <is>
          <t>需求响应能力占最大用电负荷比例</t>
        </is>
      </c>
      <c r="C542" s="0" t="inlineStr">
        <is>
          <t>超过</t>
        </is>
      </c>
      <c r="D542" s="0" t="inlineStr">
        <is>
          <t>5%</t>
        </is>
      </c>
      <c r="E542" s="0" t="inlineStr">
        <is>
          <t>&gt;3%（2025）</t>
        </is>
      </c>
      <c r="F542" s="0" t="n">
        <v>2030</v>
      </c>
      <c r="G542" s="0" t="inlineStr">
        <is>
          <t>重申目标</t>
        </is>
      </c>
      <c r="H542" s="0" t="inlineStr">
        <is>
          <t>可再生能源</t>
        </is>
      </c>
      <c r="I542" s="0" t="inlineStr">
        <is>
          <t>全社会经济</t>
        </is>
      </c>
      <c r="J542" s="0" t="inlineStr">
        <is>
          <t>指标表：需求侧削峰能力占最大负荷比重 2025年&gt;3%，2030年&gt;5%，预期性</t>
        </is>
      </c>
      <c r="K542" s="0" t="inlineStr">
        <is>
          <t>FYP2612.pdf</t>
        </is>
      </c>
      <c r="L542" s="0" t="inlineStr">
        <is>
          <t>能源|电力</t>
        </is>
      </c>
      <c r="M542" s="0" t="inlineStr">
        <is>
          <t>电力供应</t>
        </is>
      </c>
    </row>
    <row r="543">
      <c r="A543" s="0" t="n">
        <v>2026</v>
      </c>
      <c r="B543" s="0" t="inlineStr">
        <is>
          <t>全国新能源利用率</t>
        </is>
      </c>
      <c r="C543" s="0" t="inlineStr">
        <is>
          <t>保持</t>
        </is>
      </c>
      <c r="D543" s="0" t="inlineStr">
        <is>
          <t>90%左右</t>
        </is>
      </c>
      <c r="F543" s="0" t="n">
        <v>2030</v>
      </c>
      <c r="G543" s="0" t="inlineStr">
        <is>
          <t>新目标</t>
        </is>
      </c>
      <c r="H543" s="0" t="inlineStr">
        <is>
          <t>可再生能源</t>
        </is>
      </c>
      <c r="I543" s="0" t="inlineStr">
        <is>
          <t>全社会经济</t>
        </is>
      </c>
      <c r="J543" s="0" t="inlineStr">
        <is>
          <t>优化新能源开发布局，全国新能源利用率保持在 90%左右，支撑非化石能源消费比重目标。</t>
        </is>
      </c>
      <c r="K543" s="0" t="inlineStr">
        <is>
          <t>FYP2612.pdf</t>
        </is>
      </c>
      <c r="L543" s="0" t="inlineStr">
        <is>
          <t>能源|电力</t>
        </is>
      </c>
      <c r="M543" s="0" t="inlineStr">
        <is>
          <t>电力供应</t>
        </is>
      </c>
    </row>
    <row r="544">
      <c r="A544" s="0" t="n">
        <v>2026</v>
      </c>
      <c r="B544" s="0" t="inlineStr">
        <is>
          <t>常规水电装机容量</t>
        </is>
      </c>
      <c r="C544" s="0" t="inlineStr">
        <is>
          <t>达到</t>
        </is>
      </c>
      <c r="D544" s="0" t="inlineStr">
        <is>
          <t>4.1亿千瓦左右</t>
        </is>
      </c>
      <c r="F544" s="0" t="n">
        <v>2030</v>
      </c>
      <c r="G544" s="0" t="inlineStr">
        <is>
          <t>重申目标</t>
        </is>
      </c>
      <c r="H544" s="0" t="inlineStr">
        <is>
          <t>可再生能源</t>
        </is>
      </c>
      <c r="I544" s="0" t="inlineStr">
        <is>
          <t>全社会经济</t>
        </is>
      </c>
      <c r="J544" s="0" t="inlineStr">
        <is>
          <t>到 2030 年，常规水电装机达到 4.1 亿千瓦左右。</t>
        </is>
      </c>
      <c r="K544" s="0" t="inlineStr">
        <is>
          <t>FYP2612.pdf</t>
        </is>
      </c>
      <c r="L544" s="0" t="inlineStr">
        <is>
          <t>能源|电力</t>
        </is>
      </c>
      <c r="M544" s="0" t="inlineStr">
        <is>
          <t>电力供应</t>
        </is>
      </c>
    </row>
    <row r="545">
      <c r="A545" s="0" t="n">
        <v>2026</v>
      </c>
      <c r="B545" s="0" t="inlineStr">
        <is>
          <t>生物质、光热、地热能、海洋能等发电装机</t>
        </is>
      </c>
      <c r="C545" s="0" t="inlineStr">
        <is>
          <t>达到</t>
        </is>
      </c>
      <c r="D545" s="0" t="inlineStr">
        <is>
          <t>6500万千瓦左右</t>
        </is>
      </c>
      <c r="F545" s="0" t="n">
        <v>2030</v>
      </c>
      <c r="G545" s="0" t="inlineStr">
        <is>
          <t>新目标</t>
        </is>
      </c>
      <c r="H545" s="0" t="inlineStr">
        <is>
          <t>可再生能源</t>
        </is>
      </c>
      <c r="I545" s="0" t="inlineStr">
        <is>
          <t>全社会经济</t>
        </is>
      </c>
      <c r="J545" s="0" t="inlineStr">
        <is>
          <t>到 2030 年，生物质、光热、地热能、海洋能等发电装机达到 6500 万千瓦左右。</t>
        </is>
      </c>
      <c r="K545" s="0" t="inlineStr">
        <is>
          <t>FYP2612.pdf</t>
        </is>
      </c>
      <c r="L545" s="0" t="inlineStr">
        <is>
          <t>能源|电力</t>
        </is>
      </c>
      <c r="M545" s="0" t="inlineStr">
        <is>
          <t>电力供应</t>
        </is>
      </c>
    </row>
    <row r="546">
      <c r="A546" s="0" t="n">
        <v>2026</v>
      </c>
      <c r="B546" s="0" t="inlineStr">
        <is>
          <t>低负荷运行工况煤耗增幅</t>
        </is>
      </c>
      <c r="C546" s="0" t="inlineStr">
        <is>
          <t>控制在…以内</t>
        </is>
      </c>
      <c r="D546" s="0" t="inlineStr">
        <is>
          <t>25%</t>
        </is>
      </c>
      <c r="F546" s="0" t="n">
        <v>2030</v>
      </c>
      <c r="G546" s="0" t="inlineStr">
        <is>
          <t>新目标</t>
        </is>
      </c>
      <c r="H546" s="0" t="inlineStr">
        <is>
          <t>涉煤</t>
        </is>
      </c>
      <c r="I546" s="0" t="inlineStr">
        <is>
          <t>企事业单位</t>
        </is>
      </c>
      <c r="J546" s="0" t="inlineStr">
        <is>
          <t>（五）积极推动煤电节能降碳：推动现役煤电机组实施宽负荷高效改造，低负荷运行工况的煤耗增幅控制在 25%以内。</t>
        </is>
      </c>
      <c r="K546" s="0" t="inlineStr">
        <is>
          <t>FYP2612.pdf</t>
        </is>
      </c>
      <c r="L546" s="0" t="inlineStr">
        <is>
          <t>能源|电力</t>
        </is>
      </c>
      <c r="M546" s="0" t="inlineStr">
        <is>
          <t>煤电</t>
        </is>
      </c>
    </row>
    <row r="547">
      <c r="A547" s="0" t="n">
        <v>2026</v>
      </c>
      <c r="B547" s="0" t="inlineStr">
        <is>
          <t>西电东送能力</t>
        </is>
      </c>
      <c r="C547" s="0" t="inlineStr">
        <is>
          <t>超过</t>
        </is>
      </c>
      <c r="D547" s="0" t="inlineStr">
        <is>
          <t>4.2亿千瓦</t>
        </is>
      </c>
      <c r="F547" s="0" t="n">
        <v>2030</v>
      </c>
      <c r="G547" s="0" t="inlineStr">
        <is>
          <t>重申目标</t>
        </is>
      </c>
      <c r="H547" s="0" t="inlineStr">
        <is>
          <t>可再生能源</t>
        </is>
      </c>
      <c r="I547" s="0" t="inlineStr">
        <is>
          <t>全社会经济</t>
        </is>
      </c>
      <c r="J547" s="0" t="inlineStr">
        <is>
          <t>到 2030 年，西电东送规模超过 4.2 亿千瓦。</t>
        </is>
      </c>
      <c r="K547" s="0" t="inlineStr">
        <is>
          <t>FYP2612.pdf</t>
        </is>
      </c>
      <c r="L547" s="0" t="inlineStr">
        <is>
          <t>能源|电力</t>
        </is>
      </c>
      <c r="M547" s="0" t="inlineStr">
        <is>
          <t>电力传输/能源运输</t>
        </is>
      </c>
    </row>
    <row r="548">
      <c r="A548" s="0" t="n">
        <v>2026</v>
      </c>
      <c r="B548" s="0" t="inlineStr">
        <is>
          <t>配电网分布式新能源接入承载能力</t>
        </is>
      </c>
      <c r="C548" s="0" t="inlineStr">
        <is>
          <t>达到</t>
        </is>
      </c>
      <c r="D548" s="0" t="inlineStr">
        <is>
          <t>9亿千瓦</t>
        </is>
      </c>
      <c r="F548" s="0" t="n">
        <v>2030</v>
      </c>
      <c r="G548" s="0" t="inlineStr">
        <is>
          <t>重申目标</t>
        </is>
      </c>
      <c r="H548" s="0" t="inlineStr">
        <is>
          <t>可再生能源</t>
        </is>
      </c>
      <c r="I548" s="0" t="inlineStr">
        <is>
          <t>全社会经济</t>
        </is>
      </c>
      <c r="J548" s="0" t="inlineStr">
        <is>
          <t>增强配电网综合承载能力，提升配电网调节能力，支撑 9 亿千瓦分布式新能源接入及安全稳定运行。</t>
        </is>
      </c>
      <c r="K548" s="0" t="inlineStr">
        <is>
          <t>FYP2612.pdf</t>
        </is>
      </c>
      <c r="L548" s="0" t="inlineStr">
        <is>
          <t>能源|电力</t>
        </is>
      </c>
      <c r="M548" s="0" t="inlineStr">
        <is>
          <t>电力传输/能源运输</t>
        </is>
      </c>
    </row>
    <row r="549">
      <c r="A549" s="0" t="n">
        <v>2026</v>
      </c>
      <c r="B549" s="0" t="inlineStr">
        <is>
          <t>充电基础设施总量</t>
        </is>
      </c>
      <c r="C549" s="0" t="inlineStr">
        <is>
          <t>超过</t>
        </is>
      </c>
      <c r="D549" s="0" t="inlineStr">
        <is>
          <t>4000万个</t>
        </is>
      </c>
      <c r="F549" s="0" t="n">
        <v>2030</v>
      </c>
      <c r="G549" s="0" t="inlineStr">
        <is>
          <t>重申目标</t>
        </is>
      </c>
      <c r="H549" s="0" t="inlineStr">
        <is>
          <t>绿色交通</t>
        </is>
      </c>
      <c r="I549" s="0" t="inlineStr">
        <is>
          <t>全社会经济</t>
        </is>
      </c>
      <c r="J549" s="0" t="inlineStr">
        <is>
          <t>到 2030 年，充电基础设施总量超过 4000 万个，大功率充电设施约 30 万个，形成支撑超过 1.1 亿辆电动汽车的充电服务能力。</t>
        </is>
      </c>
      <c r="K549" s="0" t="inlineStr">
        <is>
          <t>FYP2612.pdf</t>
        </is>
      </c>
      <c r="L549" s="0" t="inlineStr">
        <is>
          <t>能源|电力</t>
        </is>
      </c>
      <c r="M549" s="0" t="inlineStr">
        <is>
          <t>电力供应</t>
        </is>
      </c>
    </row>
    <row r="550">
      <c r="A550" s="0" t="n">
        <v>2026</v>
      </c>
      <c r="B550" s="0" t="inlineStr">
        <is>
          <t>大功率充电设施数量</t>
        </is>
      </c>
      <c r="C550" s="0" t="inlineStr">
        <is>
          <t>达到</t>
        </is>
      </c>
      <c r="D550" s="0" t="inlineStr">
        <is>
          <t>约30万个</t>
        </is>
      </c>
      <c r="F550" s="0" t="n">
        <v>2030</v>
      </c>
      <c r="G550" s="0" t="inlineStr">
        <is>
          <t>新目标</t>
        </is>
      </c>
      <c r="H550" s="0" t="inlineStr">
        <is>
          <t>绿色交通</t>
        </is>
      </c>
      <c r="I550" s="0" t="inlineStr">
        <is>
          <t>企事业单位</t>
        </is>
      </c>
      <c r="J550" s="0" t="inlineStr">
        <is>
          <t>到 2030 年，充电基础设施总量超过 4000 万个，大功率充电设施约 30 万个，……</t>
        </is>
      </c>
      <c r="K550" s="0" t="inlineStr">
        <is>
          <t>FYP2612.pdf</t>
        </is>
      </c>
      <c r="L550" s="0" t="inlineStr">
        <is>
          <t>能源|电力</t>
        </is>
      </c>
      <c r="M550" s="0" t="inlineStr">
        <is>
          <t>电力供应</t>
        </is>
      </c>
    </row>
    <row r="551">
      <c r="A551" s="0" t="n">
        <v>2026</v>
      </c>
      <c r="B551" s="0" t="inlineStr">
        <is>
          <t>全国需求侧削峰能力</t>
        </is>
      </c>
      <c r="C551" s="0" t="inlineStr">
        <is>
          <t>超过</t>
        </is>
      </c>
      <c r="D551" s="0" t="inlineStr">
        <is>
          <t>1亿千瓦</t>
        </is>
      </c>
      <c r="F551" s="0" t="n">
        <v>2030</v>
      </c>
      <c r="G551" s="0" t="inlineStr">
        <is>
          <t>新目标</t>
        </is>
      </c>
      <c r="H551" s="0" t="inlineStr">
        <is>
          <t>可再生能源</t>
        </is>
      </c>
      <c r="I551" s="0" t="inlineStr">
        <is>
          <t>全社会经济</t>
        </is>
      </c>
      <c r="J551" s="0" t="inlineStr">
        <is>
          <t>到 2030 年，全国需求侧削峰能力超过 1亿千瓦。</t>
        </is>
      </c>
      <c r="K551" s="0" t="inlineStr">
        <is>
          <t>FYP2612.pdf</t>
        </is>
      </c>
      <c r="L551" s="0" t="inlineStr">
        <is>
          <t>能源|电力</t>
        </is>
      </c>
      <c r="M551" s="0" t="inlineStr">
        <is>
          <t>电力供应</t>
        </is>
      </c>
    </row>
    <row r="552">
      <c r="A552" s="0" t="n">
        <v>2026</v>
      </c>
      <c r="B552" s="0" t="inlineStr">
        <is>
          <t>全国虚拟电厂调节能力</t>
        </is>
      </c>
      <c r="C552" s="0" t="inlineStr">
        <is>
          <t>超过</t>
        </is>
      </c>
      <c r="D552" s="0" t="inlineStr">
        <is>
          <t>5000万千瓦</t>
        </is>
      </c>
      <c r="F552" s="0" t="n">
        <v>2030</v>
      </c>
      <c r="G552" s="0" t="inlineStr">
        <is>
          <t>重申目标</t>
        </is>
      </c>
      <c r="H552" s="0" t="inlineStr">
        <is>
          <t>可再生能源</t>
        </is>
      </c>
      <c r="I552" s="0" t="inlineStr">
        <is>
          <t>全社会经济</t>
        </is>
      </c>
      <c r="J552" s="0" t="inlineStr">
        <is>
          <t>到 2030 年，虚拟电厂最大调节能力超过 5000 万千瓦。</t>
        </is>
      </c>
      <c r="K552" s="0" t="inlineStr">
        <is>
          <t>FYP2612.pdf</t>
        </is>
      </c>
      <c r="L552" s="0" t="inlineStr">
        <is>
          <t>能源|电力</t>
        </is>
      </c>
      <c r="M552" s="0" t="inlineStr">
        <is>
          <t>电力供应</t>
        </is>
      </c>
    </row>
    <row r="553">
      <c r="A553" s="0" t="n">
        <v>2026</v>
      </c>
      <c r="B553" s="0" t="inlineStr">
        <is>
          <t>抽水蓄能装机容量</t>
        </is>
      </c>
      <c r="C553" s="0" t="inlineStr">
        <is>
          <t>达到</t>
        </is>
      </c>
      <c r="D553" s="0" t="inlineStr">
        <is>
          <t>1.6亿千瓦左右</t>
        </is>
      </c>
      <c r="F553" s="0" t="n">
        <v>2030</v>
      </c>
      <c r="G553" s="0" t="inlineStr">
        <is>
          <t>重申目标</t>
        </is>
      </c>
      <c r="H553" s="0" t="inlineStr">
        <is>
          <t>可再生能源</t>
        </is>
      </c>
      <c r="I553" s="0" t="inlineStr">
        <is>
          <t>全社会经济</t>
        </is>
      </c>
      <c r="J553" s="0" t="inlineStr">
        <is>
          <t>到 2030 年，全国抽水蓄能电站装机规模达到 1.6 亿千瓦左右。</t>
        </is>
      </c>
      <c r="K553" s="0" t="inlineStr">
        <is>
          <t>FYP2612.pdf</t>
        </is>
      </c>
      <c r="L553" s="0" t="inlineStr">
        <is>
          <t>能源|电力</t>
        </is>
      </c>
      <c r="M553" s="0" t="inlineStr">
        <is>
          <t>电力供应</t>
        </is>
      </c>
    </row>
    <row r="554">
      <c r="A554" s="0" t="n">
        <v>2026</v>
      </c>
      <c r="B554" s="0" t="inlineStr">
        <is>
          <t>“十五五”时期新增新型储能</t>
        </is>
      </c>
      <c r="C554" s="0" t="inlineStr">
        <is>
          <t>达到</t>
        </is>
      </c>
      <c r="D554" s="0" t="inlineStr">
        <is>
          <t>约1.6亿千瓦</t>
        </is>
      </c>
      <c r="F554" s="0" t="inlineStr">
        <is>
          <t>十五五</t>
        </is>
      </c>
      <c r="G554" s="0" t="inlineStr">
        <is>
          <t>新目标</t>
        </is>
      </c>
      <c r="H554" s="0" t="inlineStr">
        <is>
          <t>可再生能源</t>
        </is>
      </c>
      <c r="I554" s="0" t="inlineStr">
        <is>
          <t>全社会经济</t>
        </is>
      </c>
      <c r="J554" s="0" t="inlineStr">
        <is>
          <t>“十五五”时期新增新型储能约 1.6 亿千瓦，到 2030年，全国新型储能规模达到 3 亿千瓦。</t>
        </is>
      </c>
      <c r="K554" s="0" t="inlineStr">
        <is>
          <t>FYP2612.pdf</t>
        </is>
      </c>
      <c r="L554" s="0" t="inlineStr">
        <is>
          <t>能源|电力</t>
        </is>
      </c>
      <c r="M554" s="0" t="inlineStr">
        <is>
          <t>电力供应</t>
        </is>
      </c>
    </row>
    <row r="555">
      <c r="A555" s="0" t="n">
        <v>2026</v>
      </c>
      <c r="B555" s="0" t="inlineStr">
        <is>
          <t>新型储能装机容量</t>
        </is>
      </c>
      <c r="C555" s="0" t="inlineStr">
        <is>
          <t>达到</t>
        </is>
      </c>
      <c r="D555" s="0" t="inlineStr">
        <is>
          <t>3亿千瓦</t>
        </is>
      </c>
      <c r="F555" s="0" t="n">
        <v>2030</v>
      </c>
      <c r="G555" s="0" t="inlineStr">
        <is>
          <t>重申目标</t>
        </is>
      </c>
      <c r="H555" s="0" t="inlineStr">
        <is>
          <t>可再生能源</t>
        </is>
      </c>
      <c r="I555" s="0" t="inlineStr">
        <is>
          <t>全社会经济</t>
        </is>
      </c>
      <c r="J555" s="0" t="inlineStr">
        <is>
          <t>“十五五”时期新增新型储能约 1.6 亿千瓦，到 2030年，全国新型储能规模达到 3 亿千瓦。</t>
        </is>
      </c>
      <c r="K555" s="0" t="inlineStr">
        <is>
          <t>FYP2612.pdf</t>
        </is>
      </c>
      <c r="L555" s="0" t="inlineStr">
        <is>
          <t>能源|电力</t>
        </is>
      </c>
      <c r="M555" s="0" t="inlineStr">
        <is>
          <t>电力供应</t>
        </is>
      </c>
    </row>
    <row r="556">
      <c r="A556" s="0" t="n">
        <v>2026</v>
      </c>
      <c r="B556" s="0" t="inlineStr">
        <is>
          <t>热电联产机组最小发电出力</t>
        </is>
      </c>
      <c r="C556" s="0" t="inlineStr">
        <is>
          <t>达到</t>
        </is>
      </c>
      <c r="D556" s="0" t="inlineStr">
        <is>
          <t>40%以下</t>
        </is>
      </c>
      <c r="F556" s="0" t="n">
        <v>2030</v>
      </c>
      <c r="G556" s="0" t="inlineStr">
        <is>
          <t>重申目标</t>
        </is>
      </c>
      <c r="H556" s="0" t="inlineStr">
        <is>
          <t>涉煤</t>
        </is>
      </c>
      <c r="I556" s="0" t="inlineStr">
        <is>
          <t>企事业单位</t>
        </is>
      </c>
      <c r="J556" s="0" t="inlineStr">
        <is>
          <t>到 2030 年，现役机组灵活性改造应改尽改，热电联产机组最小发电出力达到 40%以下，……</t>
        </is>
      </c>
      <c r="K556" s="0" t="inlineStr">
        <is>
          <t>FYP2612.pdf</t>
        </is>
      </c>
      <c r="L556" s="0" t="inlineStr">
        <is>
          <t>能源|电力</t>
        </is>
      </c>
      <c r="M556" s="0" t="inlineStr">
        <is>
          <t>煤电</t>
        </is>
      </c>
    </row>
    <row r="557">
      <c r="A557" s="0" t="n">
        <v>2026</v>
      </c>
      <c r="B557" s="0" t="inlineStr">
        <is>
          <t>车网互动聚合可调充电规模</t>
        </is>
      </c>
      <c r="C557" s="0" t="inlineStr">
        <is>
          <t>力争达到</t>
        </is>
      </c>
      <c r="D557" s="0" t="inlineStr">
        <is>
          <t>5000万千瓦</t>
        </is>
      </c>
      <c r="F557" s="0" t="n">
        <v>2030</v>
      </c>
      <c r="G557" s="0" t="inlineStr">
        <is>
          <t>重申目标</t>
        </is>
      </c>
      <c r="H557" s="0" t="inlineStr">
        <is>
          <t>可再生能源</t>
        </is>
      </c>
      <c r="I557" s="0" t="inlineStr">
        <is>
          <t>全社会经济</t>
        </is>
      </c>
      <c r="J557" s="0" t="inlineStr">
        <is>
          <t>到 2030 年，智能有序充电和双向充放电实现规模化应用，车网互动聚合可调充电规模力争达到 5000 万千瓦。</t>
        </is>
      </c>
      <c r="K557" s="0" t="inlineStr">
        <is>
          <t>FYP2612.pdf</t>
        </is>
      </c>
      <c r="L557" s="0" t="inlineStr">
        <is>
          <t>能源|电力</t>
        </is>
      </c>
      <c r="M557" s="0" t="inlineStr">
        <is>
          <t>电力供应</t>
        </is>
      </c>
    </row>
    <row r="558">
      <c r="A558" s="0" t="n">
        <v>2026</v>
      </c>
      <c r="B558" s="0" t="inlineStr">
        <is>
          <t>全国非化石电源电力支撑水平</t>
        </is>
      </c>
      <c r="C558" s="0" t="inlineStr">
        <is>
          <t>达到</t>
        </is>
      </c>
      <c r="D558" s="0" t="inlineStr">
        <is>
          <t>40%左右</t>
        </is>
      </c>
      <c r="F558" s="0" t="n">
        <v>2030</v>
      </c>
      <c r="G558" s="0" t="inlineStr">
        <is>
          <t>新目标</t>
        </is>
      </c>
      <c r="H558" s="0" t="inlineStr">
        <is>
          <t>可再生能源</t>
        </is>
      </c>
      <c r="I558" s="0" t="inlineStr">
        <is>
          <t>全社会经济</t>
        </is>
      </c>
      <c r="J558" s="0" t="inlineStr">
        <is>
          <t>到 2030 年，全国非化石电源电力支撑水平达到 40%左右。</t>
        </is>
      </c>
      <c r="K558" s="0" t="inlineStr">
        <is>
          <t>FYP2612.pdf</t>
        </is>
      </c>
      <c r="L558" s="0" t="inlineStr">
        <is>
          <t>能源|电力</t>
        </is>
      </c>
      <c r="M558" s="0" t="inlineStr">
        <is>
          <t>电力供应</t>
        </is>
      </c>
    </row>
    <row r="559">
      <c r="A559" s="0" t="n">
        <v>2026</v>
      </c>
      <c r="B559" s="0" t="inlineStr">
        <is>
          <t>新增省间电力互济规模</t>
        </is>
      </c>
      <c r="C559" s="0" t="inlineStr">
        <is>
          <t>达到</t>
        </is>
      </c>
      <c r="D559" s="0" t="inlineStr">
        <is>
          <t>约4000万千瓦</t>
        </is>
      </c>
      <c r="F559" s="0" t="inlineStr">
        <is>
          <t>十五五</t>
        </is>
      </c>
      <c r="G559" s="0" t="inlineStr">
        <is>
          <t>重申目标</t>
        </is>
      </c>
      <c r="H559" s="0" t="inlineStr">
        <is>
          <t>可再生能源</t>
        </is>
      </c>
      <c r="I559" s="0" t="inlineStr">
        <is>
          <t>全社会经济</t>
        </is>
      </c>
      <c r="J559" s="0" t="inlineStr">
        <is>
          <t>“十五五”时期新增省间电力互济规模约 4000 万千瓦。</t>
        </is>
      </c>
      <c r="K559" s="0" t="inlineStr">
        <is>
          <t>FYP2612.pdf</t>
        </is>
      </c>
      <c r="L559" s="0" t="inlineStr">
        <is>
          <t>能源|电力</t>
        </is>
      </c>
      <c r="M559" s="0" t="inlineStr">
        <is>
          <t>电力传输/能源运输</t>
        </is>
      </c>
    </row>
    <row r="560">
      <c r="A560" s="0" t="n">
        <v>2026</v>
      </c>
      <c r="B560" s="0" t="inlineStr">
        <is>
          <t>新增可承担顶峰保供作用的电网侧独立新型储能</t>
        </is>
      </c>
      <c r="C560" s="0" t="inlineStr">
        <is>
          <t>达到</t>
        </is>
      </c>
      <c r="D560" s="0" t="inlineStr">
        <is>
          <t>约8000万千瓦</t>
        </is>
      </c>
      <c r="F560" s="0" t="inlineStr">
        <is>
          <t>十五五</t>
        </is>
      </c>
      <c r="G560" s="0" t="inlineStr">
        <is>
          <t>新目标</t>
        </is>
      </c>
      <c r="H560" s="0" t="inlineStr">
        <is>
          <t>可再生能源</t>
        </is>
      </c>
      <c r="I560" s="0" t="inlineStr">
        <is>
          <t>全社会经济</t>
        </is>
      </c>
      <c r="J560" s="0" t="inlineStr">
        <is>
          <t>“十五五”时期，全国新增可承担顶峰保供作用的电网侧独立新型储能约 8000 万千瓦，等效顶峰时长力争达到 4 小时。</t>
        </is>
      </c>
      <c r="K560" s="0" t="inlineStr">
        <is>
          <t>FYP2612.pdf</t>
        </is>
      </c>
      <c r="L560" s="0" t="inlineStr">
        <is>
          <t>能源|电力</t>
        </is>
      </c>
      <c r="M560" s="0" t="inlineStr">
        <is>
          <t>电力供应</t>
        </is>
      </c>
    </row>
    <row r="561">
      <c r="A561" s="0" t="n">
        <v>2026</v>
      </c>
      <c r="B561" s="0" t="inlineStr">
        <is>
          <t>电网侧独立新型储能等效顶峰时长</t>
        </is>
      </c>
      <c r="C561" s="0" t="inlineStr">
        <is>
          <t>力争达到</t>
        </is>
      </c>
      <c r="D561" s="0" t="inlineStr">
        <is>
          <t>4小时</t>
        </is>
      </c>
      <c r="F561" s="0" t="inlineStr">
        <is>
          <t>十五五</t>
        </is>
      </c>
      <c r="G561" s="0" t="inlineStr">
        <is>
          <t>新目标</t>
        </is>
      </c>
      <c r="H561" s="0" t="inlineStr">
        <is>
          <t>可再生能源</t>
        </is>
      </c>
      <c r="I561" s="0" t="inlineStr">
        <is>
          <t>企事业单位</t>
        </is>
      </c>
      <c r="J561" s="0" t="inlineStr">
        <is>
          <t>“十五五”时期，全国新增可承担顶峰保供作用的电网侧独立新型储能约 8000 万千瓦，等效顶峰时长力争达到 4 小时。</t>
        </is>
      </c>
      <c r="K561" s="0" t="inlineStr">
        <is>
          <t>FYP2612.pdf</t>
        </is>
      </c>
      <c r="L561" s="0" t="inlineStr">
        <is>
          <t>能源|电力</t>
        </is>
      </c>
      <c r="M561" s="0" t="inlineStr">
        <is>
          <t>电力供应</t>
        </is>
      </c>
    </row>
    <row r="562">
      <c r="A562" s="0" t="n">
        <v>2026</v>
      </c>
      <c r="B562" s="0" t="inlineStr">
        <is>
          <t>可承担顶峰保供作用的电网侧独立新型储能</t>
        </is>
      </c>
      <c r="C562" s="0" t="inlineStr">
        <is>
          <t>达到</t>
        </is>
      </c>
      <c r="D562" s="0" t="inlineStr">
        <is>
          <t>1.4亿千瓦</t>
        </is>
      </c>
      <c r="F562" s="0" t="n">
        <v>2030</v>
      </c>
      <c r="G562" s="0" t="inlineStr">
        <is>
          <t>新目标</t>
        </is>
      </c>
      <c r="H562" s="0" t="inlineStr">
        <is>
          <t>可再生能源</t>
        </is>
      </c>
      <c r="I562" s="0" t="inlineStr">
        <is>
          <t>全社会经济</t>
        </is>
      </c>
      <c r="J562" s="0" t="inlineStr">
        <is>
          <t>到 2030 年，可承担顶峰保供作用的电网侧独立新型储能达到 1.4 亿千瓦。</t>
        </is>
      </c>
      <c r="K562" s="0" t="inlineStr">
        <is>
          <t>FYP2612.pdf</t>
        </is>
      </c>
      <c r="L562" s="0" t="inlineStr">
        <is>
          <t>能源|电力</t>
        </is>
      </c>
      <c r="M562" s="0" t="inlineStr">
        <is>
          <t>电力供应</t>
        </is>
      </c>
    </row>
    <row r="563">
      <c r="A563" s="0" t="n">
        <v>2026</v>
      </c>
      <c r="B563" s="0" t="inlineStr">
        <is>
          <t>60万千瓦等级及以上清洁高效煤电机组占比</t>
        </is>
      </c>
      <c r="C563" s="0" t="inlineStr">
        <is>
          <t>提高</t>
        </is>
      </c>
      <c r="D563" s="0" t="inlineStr">
        <is>
          <t>10个百分点以上</t>
        </is>
      </c>
      <c r="F563" s="0" t="n">
        <v>2030</v>
      </c>
      <c r="G563" s="0" t="inlineStr">
        <is>
          <t>新目标</t>
        </is>
      </c>
      <c r="H563" s="0" t="inlineStr">
        <is>
          <t>涉煤</t>
        </is>
      </c>
      <c r="I563" s="0" t="inlineStr">
        <is>
          <t>行业</t>
        </is>
      </c>
      <c r="J563" s="0" t="inlineStr">
        <is>
          <t>到 2030 年，60 万千瓦等级及以上清洁高效煤电机组占比提高 10 个百分点以上。</t>
        </is>
      </c>
      <c r="K563" s="0" t="inlineStr">
        <is>
          <t>FYP2612.pdf</t>
        </is>
      </c>
      <c r="L563" s="0" t="inlineStr">
        <is>
          <t>能源|电力</t>
        </is>
      </c>
      <c r="M563" s="0" t="inlineStr">
        <is>
          <t>煤电</t>
        </is>
      </c>
    </row>
    <row r="564">
      <c r="A564" s="0" t="n">
        <v>2026</v>
      </c>
      <c r="B564" s="0" t="inlineStr">
        <is>
          <t>算力设施等重点领域可再生能源电力消费水平</t>
        </is>
      </c>
      <c r="C564" s="0" t="inlineStr">
        <is>
          <t>达到</t>
        </is>
      </c>
      <c r="D564" s="0" t="inlineStr">
        <is>
          <t>所在省份可再生能源电力消纳责任权重水平</t>
        </is>
      </c>
      <c r="F564" s="0" t="n">
        <v>2030</v>
      </c>
      <c r="G564" s="0" t="inlineStr">
        <is>
          <t>新目标</t>
        </is>
      </c>
      <c r="H564" s="0" t="inlineStr">
        <is>
          <t>可再生能源</t>
        </is>
      </c>
      <c r="I564" s="0" t="inlineStr">
        <is>
          <t>行业</t>
        </is>
      </c>
      <c r="J564" s="0" t="inlineStr">
        <is>
          <t>主要目标是：到2030年，人工智能低成本、高效率优势更加彰显，深度赋能绿色低碳技术创新和产业发展，算力设施、5G基站等新兴领域用能效率大幅提升，推动算力设施等重点领域可再生能源电力消费水平达到所在省份可再生能源电力消纳责任权重水平，农业、制造业、贸易、消费、城市运行等重点领域数字化绿色化深入推进，数智技术赋能生态环境治理能力持续提升，双化协同发展模式有力支撑经济社会发展全面绿色转型和高质量发展。</t>
        </is>
      </c>
      <c r="K564" s="0" t="inlineStr">
        <is>
          <t>IP2604.htm</t>
        </is>
      </c>
      <c r="L564" s="0" t="inlineStr">
        <is>
          <t>能源|电力</t>
        </is>
      </c>
      <c r="M564" s="0" t="inlineStr">
        <is>
          <t>能源消费</t>
        </is>
      </c>
    </row>
  </sheetData>
  <pageMargins left="0.7" right="0.7" top="0.75" bottom="0.75" header="0.3" footer="0.3"/>
  <pageSetup orientation="portrait" paperSize="9"/>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L176"/>
  <sheetViews>
    <sheetView zoomScale="75" workbookViewId="0">
      <pane ySplit="1" topLeftCell="A2" activePane="bottomLeft" state="frozen"/>
      <selection activeCell="B84" sqref="B84"/>
      <selection pane="bottomLeft" activeCell="A3" sqref="A3:XFD3"/>
    </sheetView>
  </sheetViews>
  <sheetFormatPr baseColWidth="8" defaultColWidth="14" defaultRowHeight="13"/>
  <cols>
    <col width="10.8984375" customWidth="1" style="235" min="1" max="1"/>
    <col width="110" customWidth="1" style="235" min="2" max="2"/>
    <col width="12" customWidth="1" style="235" min="3" max="3"/>
    <col width="23" customWidth="1" style="235" min="4" max="4"/>
    <col width="11" customWidth="1" style="235" min="5" max="5"/>
    <col width="23.8984375" customWidth="1" style="112"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0" customWidth="1" style="235" min="16"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row>
    <row r="2" ht="18" customHeight="1" s="235">
      <c r="A2" s="119" t="n">
        <v>2013</v>
      </c>
      <c r="B2" s="119" t="inlineStr">
        <is>
          <t>铝锭综合交流电耗</t>
        </is>
      </c>
      <c r="C2" s="119" t="inlineStr">
        <is>
          <t>降低至</t>
        </is>
      </c>
      <c r="D2" s="119" t="inlineStr">
        <is>
          <t>13,300千瓦时/吨</t>
        </is>
      </c>
      <c r="E2" s="119" t="n"/>
      <c r="F2" s="120" t="inlineStr">
        <is>
          <t>2015</t>
        </is>
      </c>
      <c r="G2" s="119" t="inlineStr">
        <is>
          <t>新目标</t>
        </is>
      </c>
      <c r="H2" s="119" t="inlineStr">
        <is>
          <t>能源效率</t>
        </is>
      </c>
      <c r="I2" s="119" t="inlineStr">
        <is>
          <t>行业</t>
        </is>
      </c>
      <c r="J2" s="119" t="inlineStr">
        <is>
          <t>到2015年，铝锭综合交流电耗降至13,300千瓦时/吨。</t>
        </is>
      </c>
      <c r="K2" s="119" t="inlineStr">
        <is>
          <t>DP1301.htm</t>
        </is>
      </c>
      <c r="L2" s="119" t="inlineStr">
        <is>
          <t>工业</t>
        </is>
      </c>
    </row>
    <row r="3" ht="18" customHeight="1" s="235">
      <c r="A3" s="119" t="n">
        <v>2012</v>
      </c>
      <c r="B3" s="119" t="inlineStr">
        <is>
          <t>工业锅炉平均运行效率</t>
        </is>
      </c>
      <c r="C3" s="119" t="inlineStr">
        <is>
          <t>提高</t>
        </is>
      </c>
      <c r="D3" s="119" t="inlineStr">
        <is>
          <t>5个百分点</t>
        </is>
      </c>
      <c r="E3" s="119" t="n">
        <v>2010</v>
      </c>
      <c r="F3" s="120" t="inlineStr">
        <is>
          <t>2015</t>
        </is>
      </c>
      <c r="G3" s="119" t="inlineStr">
        <is>
          <t>新目标</t>
        </is>
      </c>
      <c r="H3" s="119" t="inlineStr">
        <is>
          <t>能源效率</t>
        </is>
      </c>
      <c r="I3" s="119" t="inlineStr">
        <is>
          <t>行业</t>
        </is>
      </c>
      <c r="J3" s="119" t="inlineStr">
        <is>
          <t>到2015年，工业锅炉平均运行效率比2010年提高5个百分点。</t>
        </is>
      </c>
      <c r="K3" s="119" t="inlineStr">
        <is>
          <t>FYP1201.htm</t>
        </is>
      </c>
      <c r="L3" s="119" t="inlineStr">
        <is>
          <t>工业</t>
        </is>
      </c>
    </row>
    <row r="4" ht="18" customHeight="1" s="235">
      <c r="A4" s="119" t="n">
        <v>2024</v>
      </c>
      <c r="B4" s="119" t="inlineStr">
        <is>
          <t>工业锅炉平均运行热效率</t>
        </is>
      </c>
      <c r="C4" s="119" t="inlineStr">
        <is>
          <t>提高</t>
        </is>
      </c>
      <c r="D4" s="119" t="inlineStr">
        <is>
          <t>5个百分点</t>
        </is>
      </c>
      <c r="E4" s="119" t="n">
        <v>2021</v>
      </c>
      <c r="F4" s="120" t="n">
        <v>2025</v>
      </c>
      <c r="G4" s="119" t="inlineStr">
        <is>
          <t>新目标</t>
        </is>
      </c>
      <c r="H4" s="119" t="inlineStr">
        <is>
          <t>能源效率</t>
        </is>
      </c>
      <c r="I4" s="119" t="inlineStr">
        <is>
          <t>行业</t>
        </is>
      </c>
      <c r="J4" s="119" t="inlineStr">
        <is>
          <t>与2021年相比，2025年工业锅炉平均运行热效率提高5个百分点以上</t>
        </is>
      </c>
      <c r="K4" s="119" t="inlineStr">
        <is>
          <t>AP2405.htm</t>
        </is>
      </c>
      <c r="L4" s="119" t="inlineStr">
        <is>
          <t>工业</t>
        </is>
      </c>
    </row>
    <row r="5" ht="18" customHeight="1" s="235">
      <c r="A5" s="119" t="n">
        <v>2012</v>
      </c>
      <c r="B5" s="119" t="inlineStr">
        <is>
          <t>工业窑炉平均运行效率</t>
        </is>
      </c>
      <c r="C5" s="119" t="inlineStr">
        <is>
          <t>提高</t>
        </is>
      </c>
      <c r="D5" s="119" t="inlineStr">
        <is>
          <t>2个百分点</t>
        </is>
      </c>
      <c r="E5" s="119" t="n">
        <v>2010</v>
      </c>
      <c r="F5" s="120" t="inlineStr">
        <is>
          <t>2015</t>
        </is>
      </c>
      <c r="G5" s="119" t="inlineStr">
        <is>
          <t>新目标</t>
        </is>
      </c>
      <c r="H5" s="119" t="inlineStr">
        <is>
          <t>能源效率</t>
        </is>
      </c>
      <c r="I5" s="119" t="inlineStr">
        <is>
          <t>行业</t>
        </is>
      </c>
      <c r="J5" s="119" t="inlineStr">
        <is>
          <t>到2015年，工业窑炉平均运行效率比2010年提高2个百分点。</t>
        </is>
      </c>
      <c r="K5" s="119" t="inlineStr">
        <is>
          <t>FYP1201.htm</t>
        </is>
      </c>
      <c r="L5" s="119" t="inlineStr">
        <is>
          <t>工业</t>
        </is>
      </c>
    </row>
    <row r="6" ht="18" customHeight="1" s="235">
      <c r="A6" s="119" t="n">
        <v>2013</v>
      </c>
      <c r="B6" s="119" t="inlineStr">
        <is>
          <t>纸浆、纸及纸板生产平均取水量</t>
        </is>
      </c>
      <c r="C6" s="119" t="inlineStr">
        <is>
          <t>降低至</t>
        </is>
      </c>
      <c r="D6" s="119" t="inlineStr">
        <is>
          <t>70立方米/吨</t>
        </is>
      </c>
      <c r="E6" s="119" t="n"/>
      <c r="F6" s="120" t="inlineStr">
        <is>
          <t>2015</t>
        </is>
      </c>
      <c r="G6" s="119" t="inlineStr">
        <is>
          <t>新目标</t>
        </is>
      </c>
      <c r="H6" s="119" t="inlineStr">
        <is>
          <t>资源效率</t>
        </is>
      </c>
      <c r="I6" s="119" t="inlineStr">
        <is>
          <t>行业</t>
        </is>
      </c>
      <c r="J6" s="119" t="inlineStr">
        <is>
          <t>到2015年，纸浆、纸及纸板生产平均取水量降到70立方米/吨。</t>
        </is>
      </c>
      <c r="K6" s="119" t="inlineStr">
        <is>
          <t>DP1301.htm</t>
        </is>
      </c>
      <c r="L6" s="119" t="inlineStr">
        <is>
          <t>工业</t>
        </is>
      </c>
    </row>
    <row r="7" ht="18" customHeight="1" s="235">
      <c r="A7" s="0" t="n">
        <v>2026</v>
      </c>
      <c r="B7" s="0" t="inlineStr">
        <is>
          <t>规模以上工业单位增加值二氧化碳排放</t>
        </is>
      </c>
      <c r="C7" s="0" t="inlineStr">
        <is>
          <t>降低</t>
        </is>
      </c>
      <c r="D7" s="0" t="inlineStr">
        <is>
          <t>17%以上</t>
        </is>
      </c>
      <c r="F7" s="0" t="inlineStr">
        <is>
          <t>十五五</t>
        </is>
      </c>
      <c r="G7" s="0" t="inlineStr">
        <is>
          <t>重申目标</t>
        </is>
      </c>
      <c r="H7" s="0" t="inlineStr">
        <is>
          <t>碳强度</t>
        </is>
      </c>
      <c r="I7" s="0" t="inlineStr">
        <is>
          <t>行业</t>
        </is>
      </c>
      <c r="J7" s="0" t="inlineStr">
        <is>
          <t>“十五五”期间，规模以上工业单位增加值二氧化碳排放降低17%以上，规模以上工业单位增加值能耗降低10%以上，……</t>
        </is>
      </c>
      <c r="K7" s="0" t="inlineStr">
        <is>
          <t>HL2604.htm</t>
        </is>
      </c>
      <c r="L7" s="0" t="inlineStr">
        <is>
          <t>工业</t>
        </is>
      </c>
    </row>
    <row r="8" ht="18" customHeight="1" s="235">
      <c r="A8" s="0" t="n">
        <v>2026</v>
      </c>
      <c r="B8" s="0" t="inlineStr">
        <is>
          <t>规模以上工业单位增加值二氧化碳排放</t>
        </is>
      </c>
      <c r="C8" s="0" t="inlineStr">
        <is>
          <t>降低</t>
        </is>
      </c>
      <c r="D8" s="0" t="inlineStr">
        <is>
          <t>17%以上（5年累计）</t>
        </is>
      </c>
      <c r="F8" s="0" t="n">
        <v>2030</v>
      </c>
      <c r="G8" s="0" t="inlineStr">
        <is>
          <t>新目标</t>
        </is>
      </c>
      <c r="H8" s="0" t="inlineStr">
        <is>
          <t>碳强度</t>
        </is>
      </c>
      <c r="I8" s="0" t="inlineStr">
        <is>
          <t>行业</t>
        </is>
      </c>
      <c r="J8" s="0" t="inlineStr">
        <is>
          <t>专栏1：规模以上工业单位增加值二氧化碳排放降低（%）＞17（5年累计）</t>
        </is>
      </c>
      <c r="K8" s="0" t="inlineStr">
        <is>
          <t>FYP2605.htm</t>
        </is>
      </c>
      <c r="L8" s="0" t="inlineStr">
        <is>
          <t>工业</t>
        </is>
      </c>
    </row>
    <row r="9" ht="18" customHeight="1" s="235">
      <c r="A9" s="119" t="n">
        <v>2024</v>
      </c>
      <c r="B9" s="119" t="inlineStr">
        <is>
          <t>水泥熟料产能清洁生产改造</t>
        </is>
      </c>
      <c r="C9" s="119" t="inlineStr">
        <is>
          <t>完成</t>
        </is>
      </c>
      <c r="D9" s="119" t="inlineStr">
        <is>
          <t>8.5亿吨</t>
        </is>
      </c>
      <c r="E9" s="119" t="n"/>
      <c r="F9" s="120" t="inlineStr">
        <is>
          <t>2025</t>
        </is>
      </c>
      <c r="G9" s="119" t="inlineStr">
        <is>
          <t>新目标</t>
        </is>
      </c>
      <c r="H9" s="119" t="inlineStr">
        <is>
          <t>工业转型</t>
        </is>
      </c>
      <c r="I9" s="119" t="inlineStr">
        <is>
          <t>行业</t>
        </is>
      </c>
      <c r="J9" s="119" t="inlineStr">
        <is>
          <t>到2025年，完成8.5亿吨水泥熟料产能清洁生产改造。</t>
        </is>
      </c>
      <c r="K9" s="119" t="inlineStr">
        <is>
          <t>O2406.pdf</t>
        </is>
      </c>
      <c r="L9" s="119" t="inlineStr">
        <is>
          <t>工业</t>
        </is>
      </c>
    </row>
    <row r="10" ht="18" customHeight="1" s="235">
      <c r="A10" s="119" t="n">
        <v>2021</v>
      </c>
      <c r="B10" s="119" t="inlineStr">
        <is>
          <t>焦化产能清洁生产改造</t>
        </is>
      </c>
      <c r="C10" s="119" t="inlineStr">
        <is>
          <t>完成</t>
        </is>
      </c>
      <c r="D10" s="119" t="inlineStr">
        <is>
          <t>4.6亿吨</t>
        </is>
      </c>
      <c r="E10" s="119" t="n"/>
      <c r="F10" s="120" t="inlineStr">
        <is>
          <t>2025</t>
        </is>
      </c>
      <c r="G10" s="119" t="inlineStr">
        <is>
          <t>新目标</t>
        </is>
      </c>
      <c r="H10" s="119" t="inlineStr">
        <is>
          <t>工业转型</t>
        </is>
      </c>
      <c r="I10" s="119" t="inlineStr">
        <is>
          <t>行业</t>
        </is>
      </c>
      <c r="J10" s="119" t="inlineStr">
        <is>
          <t>到2025年，完成4.6亿吨焦化产能清洁生产改造</t>
        </is>
      </c>
      <c r="K10" s="119" t="inlineStr">
        <is>
          <t>FYP2101.pdf</t>
        </is>
      </c>
      <c r="L10" s="119" t="inlineStr">
        <is>
          <t>工业</t>
        </is>
      </c>
    </row>
    <row r="11" ht="18" customHeight="1" s="235">
      <c r="A11" s="119" t="n">
        <v>2021</v>
      </c>
      <c r="B11" s="119" t="inlineStr">
        <is>
          <t>有色金属窑炉清洁生产改造</t>
        </is>
      </c>
      <c r="C11" s="119" t="inlineStr">
        <is>
          <t>完成</t>
        </is>
      </c>
      <c r="D11" s="119" t="inlineStr">
        <is>
          <t>4000台</t>
        </is>
      </c>
      <c r="E11" s="119" t="n"/>
      <c r="F11" s="120" t="inlineStr">
        <is>
          <t>2025</t>
        </is>
      </c>
      <c r="G11" s="119" t="inlineStr">
        <is>
          <t>新目标</t>
        </is>
      </c>
      <c r="H11" s="119" t="inlineStr">
        <is>
          <t>工业转型</t>
        </is>
      </c>
      <c r="I11" s="119" t="inlineStr">
        <is>
          <t>行业</t>
        </is>
      </c>
      <c r="J11" s="119" t="inlineStr">
        <is>
          <t>到2025年，完成4000台左右有色金属窑炉清洁生产改造。</t>
        </is>
      </c>
      <c r="K11" s="119" t="inlineStr">
        <is>
          <t>FYP2101.pdf</t>
        </is>
      </c>
      <c r="L11" s="119" t="inlineStr">
        <is>
          <t>工业</t>
        </is>
      </c>
    </row>
    <row r="12" ht="18" customHeight="1" s="235">
      <c r="A12" s="119" t="n">
        <v>2010</v>
      </c>
      <c r="B12" s="119" t="inlineStr">
        <is>
          <t>吨水泥综合能耗</t>
        </is>
      </c>
      <c r="C12" s="119" t="inlineStr">
        <is>
          <t>降低</t>
        </is>
      </c>
      <c r="D12" s="119" t="inlineStr">
        <is>
          <t>低于93千克标准煤/吨</t>
        </is>
      </c>
      <c r="E12" s="119" t="n"/>
      <c r="F12" s="120" t="inlineStr">
        <is>
          <t>十二五</t>
        </is>
      </c>
      <c r="G12" s="119" t="inlineStr">
        <is>
          <t>新目标</t>
        </is>
      </c>
      <c r="H12" s="119" t="inlineStr">
        <is>
          <t>能源效率</t>
        </is>
      </c>
      <c r="I12" s="119" t="inlineStr">
        <is>
          <t>行业</t>
        </is>
      </c>
      <c r="J12" s="119" t="inlineStr">
        <is>
          <t>到“十二五”末，全国水泥生产平均可比熟料综合能耗小于114千克标准煤/吨，水泥综合能耗小于93千克标准煤/吨。</t>
        </is>
      </c>
      <c r="K12" s="119" t="inlineStr">
        <is>
          <t>GO1001.pdf</t>
        </is>
      </c>
      <c r="L12" s="119" t="inlineStr">
        <is>
          <t>工业</t>
        </is>
      </c>
    </row>
    <row r="13" ht="18" customHeight="1" s="235">
      <c r="A13" s="119" t="n">
        <v>2013</v>
      </c>
      <c r="B13" s="119" t="inlineStr">
        <is>
          <t>水泥熟料综合能耗</t>
        </is>
      </c>
      <c r="C13" s="119" t="inlineStr">
        <is>
          <t>降低至</t>
        </is>
      </c>
      <c r="D13" s="119" t="inlineStr">
        <is>
          <t>112千克标准煤/吨</t>
        </is>
      </c>
      <c r="E13" s="119" t="n"/>
      <c r="F13" s="120" t="inlineStr">
        <is>
          <t>2015</t>
        </is>
      </c>
      <c r="G13" s="119" t="inlineStr">
        <is>
          <t>新目标</t>
        </is>
      </c>
      <c r="H13" s="119" t="inlineStr">
        <is>
          <t>能源效率</t>
        </is>
      </c>
      <c r="I13" s="119" t="inlineStr">
        <is>
          <t>行业</t>
        </is>
      </c>
      <c r="J13" s="119" t="inlineStr">
        <is>
          <t>到2015年，水泥熟料综合能耗降到112千克标准煤/吨</t>
        </is>
      </c>
      <c r="K13" s="119" t="inlineStr">
        <is>
          <t>DP1301.htm</t>
        </is>
      </c>
      <c r="L13" s="119" t="inlineStr">
        <is>
          <t>工业</t>
        </is>
      </c>
    </row>
    <row r="14" ht="18" customHeight="1" s="235">
      <c r="A14" s="119" t="n">
        <v>2024</v>
      </c>
      <c r="B14" s="119" t="inlineStr">
        <is>
          <t>水泥熟料单位产品综合能耗</t>
        </is>
      </c>
      <c r="C14" s="119" t="inlineStr">
        <is>
          <t>降低</t>
        </is>
      </c>
      <c r="D14" s="119" t="inlineStr">
        <is>
          <t>3.7%</t>
        </is>
      </c>
      <c r="E14" s="119" t="n">
        <v>2020</v>
      </c>
      <c r="F14" s="120" t="n">
        <v>2025</v>
      </c>
      <c r="G14" s="119" t="inlineStr">
        <is>
          <t>强化或放宽目标（积极气候影响）</t>
        </is>
      </c>
      <c r="H14" s="119" t="inlineStr">
        <is>
          <t>能源效率</t>
        </is>
      </c>
      <c r="I14" s="119" t="inlineStr">
        <is>
          <t>行业</t>
        </is>
      </c>
      <c r="J14" s="119" t="inlineStr">
        <is>
          <t>水泥熟料单位产品综合能耗比2020年降低3.7%</t>
        </is>
      </c>
      <c r="K14" s="119" t="inlineStr">
        <is>
          <t>AP2412.pdf</t>
        </is>
      </c>
      <c r="L14" s="119" t="inlineStr">
        <is>
          <t>工业</t>
        </is>
      </c>
    </row>
    <row r="15" ht="18" customHeight="1" s="235">
      <c r="A15" s="119" t="n">
        <v>2024</v>
      </c>
      <c r="B15" s="119" t="inlineStr">
        <is>
          <t>每吨水泥熟料综合能耗</t>
        </is>
      </c>
      <c r="C15" s="119" t="inlineStr">
        <is>
          <t>降低</t>
        </is>
      </c>
      <c r="D15" s="119" t="inlineStr">
        <is>
          <t>超过3个百分点</t>
        </is>
      </c>
      <c r="E15" s="119" t="n"/>
      <c r="F15" s="120" t="inlineStr">
        <is>
          <t>十四五</t>
        </is>
      </c>
      <c r="G15" s="119" t="inlineStr">
        <is>
          <t>新目标</t>
        </is>
      </c>
      <c r="H15" s="119" t="inlineStr">
        <is>
          <t>能源效率</t>
        </is>
      </c>
      <c r="I15" s="119" t="inlineStr">
        <is>
          <t>行业</t>
        </is>
      </c>
      <c r="J15" s="119" t="inlineStr">
        <is>
          <t>“十四五”期间，每吨水泥熟料综合能耗将下降超过3个百分点</t>
        </is>
      </c>
      <c r="K15" s="119" t="inlineStr">
        <is>
          <t>HL2401.pdf</t>
        </is>
      </c>
      <c r="L15" s="119" t="inlineStr">
        <is>
          <t>工业</t>
        </is>
      </c>
    </row>
    <row r="16" ht="18" customHeight="1" s="235">
      <c r="A16" s="119" t="n">
        <v>2010</v>
      </c>
      <c r="B16" s="119" t="inlineStr">
        <is>
          <t>吨水泥熟料综合能耗</t>
        </is>
      </c>
      <c r="C16" s="119" t="inlineStr">
        <is>
          <t>降低</t>
        </is>
      </c>
      <c r="D16" s="119" t="inlineStr">
        <is>
          <t>低于114千克标准煤/吨</t>
        </is>
      </c>
      <c r="E16" s="119" t="n"/>
      <c r="F16" s="120" t="inlineStr">
        <is>
          <t>十二五</t>
        </is>
      </c>
      <c r="G16" s="119" t="inlineStr">
        <is>
          <t>强化或放宽目标（消极气候影响）</t>
        </is>
      </c>
      <c r="H16" s="119" t="inlineStr">
        <is>
          <t>能源效率</t>
        </is>
      </c>
      <c r="I16" s="119" t="inlineStr">
        <is>
          <t>行业</t>
        </is>
      </c>
      <c r="J16" s="119" t="inlineStr">
        <is>
          <t>到“十二五”末，全国水泥生产平均可比熟料综合能耗小于114千克标准煤/吨，水泥综合能耗小于93千克标准煤/吨。</t>
        </is>
      </c>
      <c r="K16" s="119" t="inlineStr">
        <is>
          <t>GO1001.pdf</t>
        </is>
      </c>
      <c r="L16" s="119" t="inlineStr">
        <is>
          <t>工业</t>
        </is>
      </c>
    </row>
    <row r="17" ht="18" customHeight="1" s="235">
      <c r="A17" s="119" t="n">
        <v>2022</v>
      </c>
      <c r="B17" s="119" t="inlineStr">
        <is>
          <t>吨钢综合能耗</t>
        </is>
      </c>
      <c r="C17" s="119" t="inlineStr">
        <is>
          <t>降低</t>
        </is>
      </c>
      <c r="D17" s="119" t="inlineStr">
        <is>
          <t>2%以上</t>
        </is>
      </c>
      <c r="E17" s="119" t="n">
        <v>2020</v>
      </c>
      <c r="F17" s="120" t="n">
        <v>2025</v>
      </c>
      <c r="G17" s="119" t="inlineStr">
        <is>
          <t>新目标</t>
        </is>
      </c>
      <c r="H17" s="119" t="inlineStr">
        <is>
          <t>能源效率</t>
        </is>
      </c>
      <c r="I17" s="119" t="inlineStr">
        <is>
          <t>行业</t>
        </is>
      </c>
      <c r="J17" s="119" t="inlineStr">
        <is>
          <t>到2025年，吨钢综合能耗降低2%以上。</t>
        </is>
      </c>
      <c r="K17" s="119" t="inlineStr">
        <is>
          <t>GO2204.htm</t>
        </is>
      </c>
      <c r="L17" s="119" t="inlineStr">
        <is>
          <t>工业</t>
        </is>
      </c>
    </row>
    <row r="18" ht="18" customHeight="1" s="235">
      <c r="A18" s="119" t="n">
        <v>2016</v>
      </c>
      <c r="B18" s="119" t="inlineStr">
        <is>
          <t>吨钢综合能耗</t>
        </is>
      </c>
      <c r="C18" s="119" t="inlineStr">
        <is>
          <t>降低至</t>
        </is>
      </c>
      <c r="D18" s="119" t="inlineStr">
        <is>
          <t>560千克标准煤/吨及以下</t>
        </is>
      </c>
      <c r="E18" s="119" t="n"/>
      <c r="F18" s="120" t="n">
        <v>2020</v>
      </c>
      <c r="G18" s="119" t="inlineStr">
        <is>
          <t>新目标</t>
        </is>
      </c>
      <c r="H18" s="119" t="inlineStr">
        <is>
          <t>能源效率</t>
        </is>
      </c>
      <c r="I18" s="119" t="inlineStr">
        <is>
          <t>行业</t>
        </is>
      </c>
      <c r="J18" s="119" t="inlineStr">
        <is>
          <t>到2020年，吨钢综合能耗由2015年的572千克标准煤降至560千克标准煤及以下。</t>
        </is>
      </c>
      <c r="K18" s="119" t="inlineStr">
        <is>
          <t>FYP1626.pdf</t>
        </is>
      </c>
      <c r="L18" s="119" t="inlineStr">
        <is>
          <t>工业</t>
        </is>
      </c>
    </row>
    <row r="19" ht="18" customHeight="1" s="235">
      <c r="A19" s="119" t="n">
        <v>2022</v>
      </c>
      <c r="B19" s="119" t="inlineStr">
        <is>
          <t>吨钢综合能耗</t>
        </is>
      </c>
      <c r="C19" s="119" t="inlineStr">
        <is>
          <t>降低</t>
        </is>
      </c>
      <c r="D19" s="119" t="inlineStr">
        <is>
          <t>2%以上</t>
        </is>
      </c>
      <c r="E19" s="119" t="n">
        <v>2020</v>
      </c>
      <c r="F19" s="120" t="inlineStr">
        <is>
          <t>2025</t>
        </is>
      </c>
      <c r="G19" s="119" t="inlineStr">
        <is>
          <t>重申目标</t>
        </is>
      </c>
      <c r="H19" s="119" t="inlineStr">
        <is>
          <t>能源效率</t>
        </is>
      </c>
      <c r="I19" s="119" t="inlineStr">
        <is>
          <t>行业</t>
        </is>
      </c>
      <c r="J19" s="119" t="inlineStr">
        <is>
          <t>到2025年，吨钢综合能耗降低2%以上。</t>
        </is>
      </c>
      <c r="K19" s="119" t="inlineStr">
        <is>
          <t>GO2204.htm</t>
        </is>
      </c>
      <c r="L19" s="119" t="inlineStr">
        <is>
          <t>工业</t>
        </is>
      </c>
    </row>
    <row r="20" ht="18" customHeight="1" s="235">
      <c r="A20" s="119" t="n">
        <v>2024</v>
      </c>
      <c r="B20" s="119" t="inlineStr">
        <is>
          <t>吨钢综合能耗</t>
        </is>
      </c>
      <c r="C20" s="119" t="inlineStr">
        <is>
          <t>降低</t>
        </is>
      </c>
      <c r="D20" s="119" t="inlineStr">
        <is>
          <t>2%左右</t>
        </is>
      </c>
      <c r="E20" s="119" t="n">
        <v>2020</v>
      </c>
      <c r="F20" s="120" t="inlineStr">
        <is>
          <t>2025</t>
        </is>
      </c>
      <c r="G20" s="119" t="inlineStr">
        <is>
          <t>强化或放宽目标（消极气候影响）</t>
        </is>
      </c>
      <c r="H20" s="119" t="inlineStr">
        <is>
          <t>能源效率</t>
        </is>
      </c>
      <c r="I20" s="119" t="inlineStr">
        <is>
          <t>行业</t>
        </is>
      </c>
      <c r="J20" s="119" t="inlineStr">
        <is>
          <t>到2025年底，吨钢综合能耗降低2%左右。</t>
        </is>
      </c>
      <c r="K20" s="119" t="inlineStr">
        <is>
          <t>AP2405.htm</t>
        </is>
      </c>
      <c r="L20" s="119" t="inlineStr">
        <is>
          <t>工业</t>
        </is>
      </c>
    </row>
    <row r="21" ht="18" customHeight="1" s="235">
      <c r="A21" s="119" t="n">
        <v>2013</v>
      </c>
      <c r="B21" s="119" t="inlineStr">
        <is>
          <t>吨钢综合能耗</t>
        </is>
      </c>
      <c r="C21" s="119" t="inlineStr">
        <is>
          <t>降低至</t>
        </is>
      </c>
      <c r="D21" s="119" t="inlineStr">
        <is>
          <t>580千克标准煤/吨</t>
        </is>
      </c>
      <c r="E21" s="119" t="n"/>
      <c r="F21" s="120" t="inlineStr">
        <is>
          <t>2015</t>
        </is>
      </c>
      <c r="G21" s="119" t="inlineStr">
        <is>
          <t>新目标</t>
        </is>
      </c>
      <c r="H21" s="119" t="inlineStr">
        <is>
          <t>能源效率</t>
        </is>
      </c>
      <c r="I21" s="119" t="inlineStr">
        <is>
          <t>行业</t>
        </is>
      </c>
      <c r="J21" s="119" t="inlineStr">
        <is>
          <t>到2015年，吨钢综合能耗降到580千克标准煤。</t>
        </is>
      </c>
      <c r="K21" s="119" t="inlineStr">
        <is>
          <t>DP1301.htm</t>
        </is>
      </c>
      <c r="L21" s="119" t="inlineStr">
        <is>
          <t>工业</t>
        </is>
      </c>
    </row>
    <row r="22" ht="18" customHeight="1" s="235">
      <c r="A22" s="119" t="n">
        <v>2016</v>
      </c>
      <c r="B22" s="119" t="inlineStr">
        <is>
          <t>粗钢产能</t>
        </is>
      </c>
      <c r="C22" s="119" t="inlineStr">
        <is>
          <t>降低</t>
        </is>
      </c>
      <c r="D22" s="119" t="inlineStr">
        <is>
          <t>1亿-1.5亿吨</t>
        </is>
      </c>
      <c r="E22" s="119" t="n"/>
      <c r="F22" s="120" t="inlineStr">
        <is>
          <t>2016-2020</t>
        </is>
      </c>
      <c r="G22" s="119" t="inlineStr">
        <is>
          <t>新目标</t>
        </is>
      </c>
      <c r="H22" s="119" t="inlineStr">
        <is>
          <t>生产导向</t>
        </is>
      </c>
      <c r="I22" s="119" t="inlineStr">
        <is>
          <t>行业</t>
        </is>
      </c>
      <c r="J22" s="119" t="inlineStr">
        <is>
          <t>从2016年开始，用5年时间再压减粗钢产能1亿至1.5亿吨。</t>
        </is>
      </c>
      <c r="K22" s="119" t="inlineStr">
        <is>
          <t>O1602.htm</t>
        </is>
      </c>
      <c r="L22" s="119" t="inlineStr">
        <is>
          <t>工业</t>
        </is>
      </c>
    </row>
    <row r="23" ht="18" customHeight="1" s="235">
      <c r="A23" s="119" t="n">
        <v>2016</v>
      </c>
      <c r="B23" s="119" t="inlineStr">
        <is>
          <t>粗钢产能（年）</t>
        </is>
      </c>
      <c r="C23" s="119" t="inlineStr">
        <is>
          <t>降低至</t>
        </is>
      </c>
      <c r="D23" s="119" t="inlineStr">
        <is>
          <t>10亿吨以下</t>
        </is>
      </c>
      <c r="E23" s="119" t="n"/>
      <c r="F23" s="120" t="n">
        <v>2020</v>
      </c>
      <c r="G23" s="119" t="inlineStr">
        <is>
          <t>新目标</t>
        </is>
      </c>
      <c r="H23" s="119" t="inlineStr">
        <is>
          <t>生产导向</t>
        </is>
      </c>
      <c r="I23" s="119" t="inlineStr">
        <is>
          <t>行业</t>
        </is>
      </c>
      <c r="J23" s="119" t="inlineStr">
        <is>
          <t>“十三五”期间，粗钢产能由2015年的11.3亿吨降至2020年的10亿吨以下，净减少1亿至1.5亿吨。</t>
        </is>
      </c>
      <c r="K23" s="119" t="inlineStr">
        <is>
          <t>FYP1626.pdf</t>
        </is>
      </c>
      <c r="L23" s="119" t="inlineStr">
        <is>
          <t>工业</t>
        </is>
      </c>
    </row>
    <row r="24" ht="18" customHeight="1" s="235">
      <c r="A24" s="119" t="n">
        <v>2014</v>
      </c>
      <c r="B24" s="119" t="inlineStr">
        <is>
          <t>脱硫设施</t>
        </is>
      </c>
      <c r="C24" s="119" t="inlineStr">
        <is>
          <t>安装</t>
        </is>
      </c>
      <c r="D24" s="119" t="inlineStr">
        <is>
          <t>4万平方米钢铁烧结机</t>
        </is>
      </c>
      <c r="E24" s="119" t="n"/>
      <c r="F24" s="120" t="inlineStr">
        <is>
          <t>2014-2015</t>
        </is>
      </c>
      <c r="G24" s="119" t="inlineStr">
        <is>
          <t>新目标</t>
        </is>
      </c>
      <c r="H24" s="119" t="inlineStr">
        <is>
          <t>工业转型</t>
        </is>
      </c>
      <c r="I24" s="119" t="inlineStr">
        <is>
          <t>行业</t>
        </is>
      </c>
      <c r="J24" s="119" t="inlineStr">
        <is>
          <t>完成4万平方米钢铁烧结机安装脱硫设施</t>
        </is>
      </c>
      <c r="K24" s="119" t="inlineStr">
        <is>
          <t>AP1404.htm</t>
        </is>
      </c>
      <c r="L24" s="119" t="inlineStr">
        <is>
          <t>工业</t>
        </is>
      </c>
    </row>
    <row r="25" ht="18" customHeight="1" s="235">
      <c r="A25" s="119" t="n">
        <v>2014</v>
      </c>
      <c r="B25" s="119" t="inlineStr">
        <is>
          <t>重点行业单位工业增加值主要水污染物排放量</t>
        </is>
      </c>
      <c r="C25" s="119" t="inlineStr">
        <is>
          <t>降低</t>
        </is>
      </c>
      <c r="D25" s="119" t="inlineStr">
        <is>
          <t>30%以上</t>
        </is>
      </c>
      <c r="E25" s="119" t="n">
        <v>2010</v>
      </c>
      <c r="F25" s="120" t="inlineStr">
        <is>
          <t>2015</t>
        </is>
      </c>
      <c r="G25" s="119" t="inlineStr">
        <is>
          <t>新目标</t>
        </is>
      </c>
      <c r="H25" s="119" t="inlineStr">
        <is>
          <t>污染控制</t>
        </is>
      </c>
      <c r="I25" s="119" t="inlineStr">
        <is>
          <t>行业</t>
        </is>
      </c>
      <c r="J25" s="119" t="inlineStr">
        <is>
          <t>到2015年，重点行业单位工业增加值主要水污染物排放量下降30%以上。</t>
        </is>
      </c>
      <c r="K25" s="119" t="inlineStr">
        <is>
          <t>AP1404.htm</t>
        </is>
      </c>
      <c r="L25" s="119" t="inlineStr">
        <is>
          <t>工业</t>
        </is>
      </c>
    </row>
    <row r="26" ht="18" customHeight="1" s="235">
      <c r="A26" s="119" t="n">
        <v>2004</v>
      </c>
      <c r="B26" s="119" t="inlineStr">
        <is>
          <t>燃煤工业锅炉运行效率</t>
        </is>
      </c>
      <c r="C26" s="119" t="inlineStr">
        <is>
          <t>提高</t>
        </is>
      </c>
      <c r="D26" s="119" t="inlineStr">
        <is>
          <t>5个百分点</t>
        </is>
      </c>
      <c r="E26" s="119" t="n"/>
      <c r="F26" s="120" t="inlineStr">
        <is>
          <t>十一五</t>
        </is>
      </c>
      <c r="G26" s="119" t="inlineStr">
        <is>
          <t>新目标</t>
        </is>
      </c>
      <c r="H26" s="119" t="inlineStr">
        <is>
          <t>能源效率</t>
        </is>
      </c>
      <c r="I26" s="119" t="inlineStr">
        <is>
          <t>行业</t>
        </is>
      </c>
      <c r="J26" s="119" t="inlineStr">
        <is>
          <t>“十一五”期间，通过实施以燃用优质煤、筛选块煤、固硫型煤以及采用循环流化床、粉煤燃烧等先进技术，改造或替代现有中小型燃煤锅炉（窑炉），并建立科学的管理和运行机制，燃煤工业锅炉运行效率提高5个百分点，节煤2500万吨；燃煤窑炉效率提高2个百分点，节煤1000万吨。</t>
        </is>
      </c>
      <c r="K26" s="119" t="inlineStr">
        <is>
          <t>MLT0401.htm</t>
        </is>
      </c>
      <c r="L26" s="119" t="inlineStr">
        <is>
          <t>工业</t>
        </is>
      </c>
    </row>
    <row r="27" ht="18" customHeight="1" s="235">
      <c r="A27" s="119" t="n">
        <v>2004</v>
      </c>
      <c r="B27" s="119" t="inlineStr">
        <is>
          <t>燃煤工业锅炉运行效率</t>
        </is>
      </c>
      <c r="C27" s="119" t="inlineStr">
        <is>
          <t>提高</t>
        </is>
      </c>
      <c r="D27" s="119" t="inlineStr">
        <is>
          <t>5个百分点</t>
        </is>
      </c>
      <c r="E27" s="119" t="n"/>
      <c r="F27" s="120" t="inlineStr">
        <is>
          <t>十一五</t>
        </is>
      </c>
      <c r="G27" s="119" t="inlineStr">
        <is>
          <t>重申目标</t>
        </is>
      </c>
      <c r="H27" s="119" t="inlineStr">
        <is>
          <t>能源效率</t>
        </is>
      </c>
      <c r="I27" s="119" t="inlineStr">
        <is>
          <t>行业</t>
        </is>
      </c>
      <c r="J27" s="119" t="inlineStr">
        <is>
          <t>“十一五”期间，燃煤工业锅炉效率提高5个百分点，节煤2500万吨。</t>
        </is>
      </c>
      <c r="K27" s="119" t="inlineStr">
        <is>
          <t>MLT0401.htm</t>
        </is>
      </c>
      <c r="L27" s="119" t="inlineStr">
        <is>
          <t>工业</t>
        </is>
      </c>
    </row>
    <row r="28" ht="18" customHeight="1" s="235">
      <c r="A28" s="119" t="n">
        <v>2004</v>
      </c>
      <c r="B28" s="119" t="inlineStr">
        <is>
          <t>燃煤工业锅炉效率</t>
        </is>
      </c>
      <c r="C28" s="119" t="inlineStr">
        <is>
          <t>提高</t>
        </is>
      </c>
      <c r="D28" s="119" t="inlineStr">
        <is>
          <t>5个百分点</t>
        </is>
      </c>
      <c r="E28" s="119" t="n"/>
      <c r="F28" s="120" t="inlineStr">
        <is>
          <t>十一五</t>
        </is>
      </c>
      <c r="G28" s="119" t="inlineStr">
        <is>
          <t>重申目标</t>
        </is>
      </c>
      <c r="H28" s="119" t="inlineStr">
        <is>
          <t>能源效率</t>
        </is>
      </c>
      <c r="I28" s="119" t="inlineStr">
        <is>
          <t>行业</t>
        </is>
      </c>
      <c r="J28" s="119" t="inlineStr">
        <is>
          <t>“十一五”期间，通过实施以燃用优质煤、筛选块煤、固硫型煤和采用循环流化床、粉煤燃烧等先进技术改造或替代现有中小燃煤锅炉（窑炉），建立科学的管理和运行机制，燃煤工业锅炉效率提高5个百分点，节煤2500万吨。</t>
        </is>
      </c>
      <c r="K28" s="119" t="inlineStr">
        <is>
          <t>MLT0401.pdf</t>
        </is>
      </c>
      <c r="L28" s="119" t="inlineStr">
        <is>
          <t>工业</t>
        </is>
      </c>
    </row>
    <row r="29" ht="18" customHeight="1" s="235">
      <c r="A29" s="119" t="n">
        <v>2016</v>
      </c>
      <c r="B29" s="119" t="inlineStr">
        <is>
          <t>燃煤工业锅炉运行效率</t>
        </is>
      </c>
      <c r="C29" s="119" t="inlineStr">
        <is>
          <t>提高</t>
        </is>
      </c>
      <c r="D29" s="119" t="inlineStr">
        <is>
          <t>5个百分点</t>
        </is>
      </c>
      <c r="E29" s="119" t="n"/>
      <c r="F29" s="120" t="inlineStr">
        <is>
          <t>十三五</t>
        </is>
      </c>
      <c r="G29" s="119" t="inlineStr">
        <is>
          <t>重申目标</t>
        </is>
      </c>
      <c r="H29" s="119" t="inlineStr">
        <is>
          <t>能源效率</t>
        </is>
      </c>
      <c r="I29" s="119" t="inlineStr">
        <is>
          <t>行业</t>
        </is>
      </c>
      <c r="J29" s="119" t="inlineStr">
        <is>
          <t>“十三五”期间，燃煤工业锅炉实际运行效率提高5个百分点。</t>
        </is>
      </c>
      <c r="K29" s="119" t="inlineStr">
        <is>
          <t>FYP1601.htm</t>
        </is>
      </c>
      <c r="L29" s="119" t="inlineStr">
        <is>
          <t>工业</t>
        </is>
      </c>
    </row>
    <row r="30" ht="18" customHeight="1" s="235">
      <c r="A30" s="119" t="n">
        <v>2012</v>
      </c>
      <c r="B30" s="119" t="inlineStr">
        <is>
          <t>晶体硅电池效率</t>
        </is>
      </c>
      <c r="C30" s="119" t="inlineStr">
        <is>
          <t>超过</t>
        </is>
      </c>
      <c r="D30" s="119" t="inlineStr">
        <is>
          <t>20%</t>
        </is>
      </c>
      <c r="E30" s="119" t="n"/>
      <c r="F30" s="120" t="inlineStr">
        <is>
          <t>十二五</t>
        </is>
      </c>
      <c r="G30" s="119" t="inlineStr">
        <is>
          <t>新目标</t>
        </is>
      </c>
      <c r="H30" s="119" t="inlineStr">
        <is>
          <t>技术创新</t>
        </is>
      </c>
      <c r="I30" s="119" t="inlineStr">
        <is>
          <t>行业</t>
        </is>
      </c>
      <c r="J30" s="119" t="inlineStr">
        <is>
          <t>“十二五”期间，晶硅电池效率实现20%以上。</t>
        </is>
      </c>
      <c r="K30" s="119" t="inlineStr">
        <is>
          <t>FYP1205.pdf</t>
        </is>
      </c>
      <c r="L30" s="119" t="inlineStr">
        <is>
          <t>工业</t>
        </is>
      </c>
    </row>
    <row r="31" ht="18" customHeight="1" s="235">
      <c r="A31" s="119" t="n">
        <v>2004</v>
      </c>
      <c r="B31" s="119" t="inlineStr">
        <is>
          <t>风机、水泵、压缩机系统效率</t>
        </is>
      </c>
      <c r="C31" s="119" t="inlineStr">
        <is>
          <t>提高</t>
        </is>
      </c>
      <c r="D31" s="119" t="inlineStr">
        <is>
          <t>2个百分点</t>
        </is>
      </c>
      <c r="E31" s="119" t="n"/>
      <c r="F31" s="120" t="inlineStr">
        <is>
          <t>十一五</t>
        </is>
      </c>
      <c r="G31" s="119" t="inlineStr">
        <is>
          <t>新目标</t>
        </is>
      </c>
      <c r="H31" s="119" t="inlineStr">
        <is>
          <t>技术创新</t>
        </is>
      </c>
      <c r="I31" s="119" t="inlineStr">
        <is>
          <t>行业</t>
        </is>
      </c>
      <c r="J31" s="119" t="inlineStr">
        <is>
          <t>“十一五”期间重点推广高效节能电动机、稀土永磁电动机；在煤炭、电力、有色、石化等行业实施高效节能风机、水泵、压缩机系统优化改造，推广变频调速、自动化系统控制技术，使运行效率提高2个百分点，年节电200亿千瓦时。</t>
        </is>
      </c>
      <c r="K31" s="119" t="inlineStr">
        <is>
          <t>MLT0401.htm</t>
        </is>
      </c>
      <c r="L31" s="119" t="inlineStr">
        <is>
          <t>工业</t>
        </is>
      </c>
    </row>
    <row r="32" ht="18" customHeight="1" s="235">
      <c r="A32" s="119" t="n">
        <v>2016</v>
      </c>
      <c r="B32" s="119" t="inlineStr">
        <is>
          <t>燃气锅炉效率</t>
        </is>
      </c>
      <c r="C32" s="119" t="inlineStr">
        <is>
          <t>达到</t>
        </is>
      </c>
      <c r="D32" s="119" t="inlineStr">
        <is>
          <t>92%</t>
        </is>
      </c>
      <c r="E32" s="119" t="n"/>
      <c r="F32" s="120" t="inlineStr">
        <is>
          <t>2020</t>
        </is>
      </c>
      <c r="G32" s="119" t="inlineStr">
        <is>
          <t>新目标</t>
        </is>
      </c>
      <c r="H32" s="119" t="inlineStr">
        <is>
          <t>技术创新</t>
        </is>
      </c>
      <c r="I32" s="119" t="inlineStr">
        <is>
          <t>行业</t>
        </is>
      </c>
      <c r="J32" s="119" t="inlineStr">
        <is>
          <t>到2020年，燃气锅炉效率不低于92%。</t>
        </is>
      </c>
      <c r="K32" s="119" t="inlineStr">
        <is>
          <t>FYP1601.htm</t>
        </is>
      </c>
      <c r="L32" s="119" t="inlineStr">
        <is>
          <t>工业</t>
        </is>
      </c>
    </row>
    <row r="33" ht="18" customHeight="1" s="235">
      <c r="A33" s="119" t="n">
        <v>2016</v>
      </c>
      <c r="B33" s="119" t="inlineStr">
        <is>
          <t>工业锅炉（窑炉）、电机（水泵、风机、空压机）系统、变压器等通用设备运行能效</t>
        </is>
      </c>
      <c r="C33" s="119" t="inlineStr">
        <is>
          <t>提高</t>
        </is>
      </c>
      <c r="D33" s="119" t="inlineStr">
        <is>
          <t>5个百分点以上</t>
        </is>
      </c>
      <c r="E33" s="119" t="n">
        <v>2015</v>
      </c>
      <c r="F33" s="120" t="inlineStr">
        <is>
          <t>2020</t>
        </is>
      </c>
      <c r="G33" s="119" t="inlineStr">
        <is>
          <t>新目标</t>
        </is>
      </c>
      <c r="H33" s="119" t="inlineStr">
        <is>
          <t>技术创新</t>
        </is>
      </c>
      <c r="I33" s="119" t="inlineStr">
        <is>
          <t>行业</t>
        </is>
      </c>
      <c r="J33" s="119" t="inlineStr">
        <is>
          <t>到2020年，力争工业锅炉（窑炉）、电机（水泵、风机、空压机）系统、变压器等通用设备运行能效提高5个百分点以上。</t>
        </is>
      </c>
      <c r="K33" s="119" t="inlineStr">
        <is>
          <t>FYP1623.pdf</t>
        </is>
      </c>
      <c r="L33" s="119" t="inlineStr">
        <is>
          <t>工业</t>
        </is>
      </c>
    </row>
    <row r="34" ht="18" customHeight="1" s="235">
      <c r="A34" s="119" t="n">
        <v>2016</v>
      </c>
      <c r="B34" s="119" t="inlineStr">
        <is>
          <t>新生产燃煤锅炉效率</t>
        </is>
      </c>
      <c r="C34" s="119" t="inlineStr">
        <is>
          <t>达到</t>
        </is>
      </c>
      <c r="D34" s="119" t="inlineStr">
        <is>
          <t>不低于80%</t>
        </is>
      </c>
      <c r="E34" s="119" t="n"/>
      <c r="F34" s="120" t="inlineStr">
        <is>
          <t>2020</t>
        </is>
      </c>
      <c r="G34" s="119" t="inlineStr">
        <is>
          <t>新目标</t>
        </is>
      </c>
      <c r="H34" s="119" t="inlineStr">
        <is>
          <t>技术创新</t>
        </is>
      </c>
      <c r="I34" s="119" t="inlineStr">
        <is>
          <t>行业</t>
        </is>
      </c>
      <c r="J34" s="119" t="inlineStr">
        <is>
          <t>到2020年，新生产燃煤锅炉效率不低于80%。</t>
        </is>
      </c>
      <c r="K34" s="119" t="inlineStr">
        <is>
          <t>FYP1601.htm</t>
        </is>
      </c>
      <c r="L34" s="119" t="inlineStr">
        <is>
          <t>工业</t>
        </is>
      </c>
    </row>
    <row r="35" ht="18" customHeight="1" s="235">
      <c r="A35" s="119" t="n">
        <v>2012</v>
      </c>
      <c r="B35" s="119" t="inlineStr">
        <is>
          <t>硅基薄膜电池效率</t>
        </is>
      </c>
      <c r="C35" s="119" t="inlineStr">
        <is>
          <t>超过</t>
        </is>
      </c>
      <c r="D35" s="119" t="inlineStr">
        <is>
          <t>10%</t>
        </is>
      </c>
      <c r="E35" s="119" t="n"/>
      <c r="F35" s="120" t="inlineStr">
        <is>
          <t>十二五</t>
        </is>
      </c>
      <c r="G35" s="119" t="inlineStr">
        <is>
          <t>新目标</t>
        </is>
      </c>
      <c r="H35" s="119" t="inlineStr">
        <is>
          <t>技术创新</t>
        </is>
      </c>
      <c r="I35" s="119" t="inlineStr">
        <is>
          <t>行业</t>
        </is>
      </c>
      <c r="J35" s="119" t="inlineStr">
        <is>
          <t>“十二五”期间，硅基薄膜电池效率超过10%。</t>
        </is>
      </c>
      <c r="K35" s="119" t="inlineStr">
        <is>
          <t>FYP1205.pdf</t>
        </is>
      </c>
      <c r="L35" s="119" t="inlineStr">
        <is>
          <t>工业</t>
        </is>
      </c>
    </row>
    <row r="36" ht="18" customHeight="1" s="235">
      <c r="A36" s="119" t="n">
        <v>2013</v>
      </c>
      <c r="B36" s="119" t="inlineStr">
        <is>
          <t>电石综合能耗</t>
        </is>
      </c>
      <c r="C36" s="119" t="inlineStr">
        <is>
          <t>降低至</t>
        </is>
      </c>
      <c r="D36" s="119" t="inlineStr">
        <is>
          <t>1050千克标准煤/吨</t>
        </is>
      </c>
      <c r="E36" s="119" t="n"/>
      <c r="F36" s="120" t="inlineStr">
        <is>
          <t>2015</t>
        </is>
      </c>
      <c r="G36" s="119" t="inlineStr">
        <is>
          <t>新目标</t>
        </is>
      </c>
      <c r="H36" s="119" t="inlineStr">
        <is>
          <t>能源效率</t>
        </is>
      </c>
      <c r="I36" s="119" t="inlineStr">
        <is>
          <t>行业</t>
        </is>
      </c>
      <c r="J36" s="119" t="inlineStr">
        <is>
          <t>到2015年，电石综合能耗降到1050千克标准煤/吨。</t>
        </is>
      </c>
      <c r="K36" s="119" t="inlineStr">
        <is>
          <t>DP1301.htm</t>
        </is>
      </c>
      <c r="L36" s="119" t="inlineStr">
        <is>
          <t>工业</t>
        </is>
      </c>
    </row>
    <row r="37" ht="18" customHeight="1" s="235">
      <c r="A37" s="119" t="n">
        <v>2013</v>
      </c>
      <c r="B37" s="119" t="inlineStr">
        <is>
          <t>烧碱（离子膜）综合能耗</t>
        </is>
      </c>
      <c r="C37" s="119" t="inlineStr">
        <is>
          <t>降低至</t>
        </is>
      </c>
      <c r="D37" s="119" t="inlineStr">
        <is>
          <t>330千克标准煤/吨</t>
        </is>
      </c>
      <c r="E37" s="119" t="n"/>
      <c r="F37" s="120" t="inlineStr">
        <is>
          <t>2015</t>
        </is>
      </c>
      <c r="G37" s="119" t="inlineStr">
        <is>
          <t>新目标</t>
        </is>
      </c>
      <c r="H37" s="119" t="inlineStr">
        <is>
          <t>能源效率</t>
        </is>
      </c>
      <c r="I37" s="119" t="inlineStr">
        <is>
          <t>行业</t>
        </is>
      </c>
      <c r="J37" s="119" t="inlineStr">
        <is>
          <t>到2015年，烧碱（离子膜）综合能耗降到330千克标准煤/吨。</t>
        </is>
      </c>
      <c r="K37" s="119" t="inlineStr">
        <is>
          <t>DP1301.htm</t>
        </is>
      </c>
      <c r="L37" s="119" t="inlineStr">
        <is>
          <t>工业</t>
        </is>
      </c>
    </row>
    <row r="38" ht="18" customHeight="1" s="235">
      <c r="A38" s="119" t="n">
        <v>2013</v>
      </c>
      <c r="B38" s="119" t="inlineStr">
        <is>
          <t>铜冶炼综合能耗</t>
        </is>
      </c>
      <c r="C38" s="119" t="inlineStr">
        <is>
          <t>降低至</t>
        </is>
      </c>
      <c r="D38" s="119" t="inlineStr">
        <is>
          <t>300千克标准煤/吨</t>
        </is>
      </c>
      <c r="E38" s="119" t="n"/>
      <c r="F38" s="120" t="inlineStr">
        <is>
          <t>2015</t>
        </is>
      </c>
      <c r="G38" s="119" t="inlineStr">
        <is>
          <t>新目标</t>
        </is>
      </c>
      <c r="H38" s="119" t="inlineStr">
        <is>
          <t>能源效率</t>
        </is>
      </c>
      <c r="I38" s="119" t="inlineStr">
        <is>
          <t>行业</t>
        </is>
      </c>
      <c r="J38" s="119" t="inlineStr">
        <is>
          <t>到2015年，铜冶炼综合能耗降到300千克标准煤/吨。</t>
        </is>
      </c>
      <c r="K38" s="119" t="inlineStr">
        <is>
          <t>DP1301.htm</t>
        </is>
      </c>
      <c r="L38" s="119" t="inlineStr">
        <is>
          <t>工业</t>
        </is>
      </c>
    </row>
    <row r="39" ht="18" customHeight="1" s="235">
      <c r="A39" s="119" t="n">
        <v>2013</v>
      </c>
      <c r="B39" s="119" t="inlineStr">
        <is>
          <t>原油加工综合能耗</t>
        </is>
      </c>
      <c r="C39" s="119" t="inlineStr">
        <is>
          <t>降低至</t>
        </is>
      </c>
      <c r="D39" s="119" t="inlineStr">
        <is>
          <t>86千克标准煤/吨</t>
        </is>
      </c>
      <c r="E39" s="119" t="n"/>
      <c r="F39" s="120" t="inlineStr">
        <is>
          <t>2015</t>
        </is>
      </c>
      <c r="G39" s="119" t="inlineStr">
        <is>
          <t>新目标</t>
        </is>
      </c>
      <c r="H39" s="119" t="inlineStr">
        <is>
          <t>能源效率</t>
        </is>
      </c>
      <c r="I39" s="119" t="inlineStr">
        <is>
          <t>行业</t>
        </is>
      </c>
      <c r="J39" s="119" t="inlineStr">
        <is>
          <t>到2015年，原油加工综合能耗降到86千克标准煤/吨。</t>
        </is>
      </c>
      <c r="K39" s="119" t="inlineStr">
        <is>
          <t>DP1301.htm</t>
        </is>
      </c>
      <c r="L39" s="119" t="inlineStr">
        <is>
          <t>工业</t>
        </is>
      </c>
    </row>
    <row r="40" ht="18" customHeight="1" s="235">
      <c r="A40" s="119" t="n">
        <v>2013</v>
      </c>
      <c r="B40" s="119" t="inlineStr">
        <is>
          <t>日用陶瓷综合能耗</t>
        </is>
      </c>
      <c r="C40" s="119" t="inlineStr">
        <is>
          <t>降低至</t>
        </is>
      </c>
      <c r="D40" s="119" t="inlineStr">
        <is>
          <t>1110千克标准煤/吨</t>
        </is>
      </c>
      <c r="E40" s="119" t="n"/>
      <c r="F40" s="120" t="inlineStr">
        <is>
          <t>2015</t>
        </is>
      </c>
      <c r="G40" s="119" t="inlineStr">
        <is>
          <t>新目标</t>
        </is>
      </c>
      <c r="H40" s="119" t="inlineStr">
        <is>
          <t>能源效率</t>
        </is>
      </c>
      <c r="I40" s="119" t="inlineStr">
        <is>
          <t>行业</t>
        </is>
      </c>
      <c r="J40" s="119" t="inlineStr">
        <is>
          <t>到2015年，日用陶瓷综合能耗降到1110千克标准煤/吨。</t>
        </is>
      </c>
      <c r="K40" s="119" t="inlineStr">
        <is>
          <t>DP1301.htm</t>
        </is>
      </c>
      <c r="L40" s="119" t="inlineStr">
        <is>
          <t>工业</t>
        </is>
      </c>
    </row>
    <row r="41" ht="18" customHeight="1" s="235">
      <c r="A41" s="119" t="n">
        <v>2013</v>
      </c>
      <c r="B41" s="119" t="inlineStr">
        <is>
          <t>乙烯综合能耗</t>
        </is>
      </c>
      <c r="C41" s="119" t="inlineStr">
        <is>
          <t>降低至</t>
        </is>
      </c>
      <c r="D41" s="119" t="inlineStr">
        <is>
          <t>857千克标准煤/吨</t>
        </is>
      </c>
      <c r="E41" s="119" t="n"/>
      <c r="F41" s="120" t="inlineStr">
        <is>
          <t>2015</t>
        </is>
      </c>
      <c r="G41" s="119" t="inlineStr">
        <is>
          <t>新目标</t>
        </is>
      </c>
      <c r="H41" s="119" t="inlineStr">
        <is>
          <t>能源效率</t>
        </is>
      </c>
      <c r="I41" s="119" t="inlineStr">
        <is>
          <t>行业</t>
        </is>
      </c>
      <c r="J41" s="119" t="inlineStr">
        <is>
          <t>到2015年，乙烯综合能耗降到857千克标准煤/吨。</t>
        </is>
      </c>
      <c r="K41" s="119" t="inlineStr">
        <is>
          <t>DP1301.htm</t>
        </is>
      </c>
      <c r="L41" s="119" t="inlineStr">
        <is>
          <t>工业</t>
        </is>
      </c>
    </row>
    <row r="42" ht="18" customHeight="1" s="235">
      <c r="A42" s="119" t="n">
        <v>2013</v>
      </c>
      <c r="B42" s="119" t="inlineStr">
        <is>
          <t>平板玻璃综合能耗</t>
        </is>
      </c>
      <c r="C42" s="119" t="inlineStr">
        <is>
          <t>降低至</t>
        </is>
      </c>
      <c r="D42" s="119" t="inlineStr">
        <is>
          <t>15千克标准煤/重量箱</t>
        </is>
      </c>
      <c r="E42" s="119" t="n"/>
      <c r="F42" s="120" t="inlineStr">
        <is>
          <t>2015</t>
        </is>
      </c>
      <c r="G42" s="119" t="inlineStr">
        <is>
          <t>新目标</t>
        </is>
      </c>
      <c r="H42" s="119" t="inlineStr">
        <is>
          <t>能源效率</t>
        </is>
      </c>
      <c r="I42" s="119" t="inlineStr">
        <is>
          <t>行业</t>
        </is>
      </c>
      <c r="J42" s="119" t="inlineStr">
        <is>
          <t>到2015年，平板玻璃综合能耗降到15千克标准煤/重量箱。</t>
        </is>
      </c>
      <c r="K42" s="119" t="inlineStr">
        <is>
          <t>DP1301.htm</t>
        </is>
      </c>
      <c r="L42" s="119" t="inlineStr">
        <is>
          <t>工业</t>
        </is>
      </c>
    </row>
    <row r="43" ht="18" customHeight="1" s="235">
      <c r="A43" s="119" t="n">
        <v>2013</v>
      </c>
      <c r="B43" s="119" t="inlineStr">
        <is>
          <t>纸及纸板综合能耗</t>
        </is>
      </c>
      <c r="C43" s="119" t="inlineStr">
        <is>
          <t>降低至</t>
        </is>
      </c>
      <c r="D43" s="119" t="inlineStr">
        <is>
          <t>530千克标准煤/吨</t>
        </is>
      </c>
      <c r="E43" s="119" t="n"/>
      <c r="F43" s="120" t="inlineStr">
        <is>
          <t>2015</t>
        </is>
      </c>
      <c r="G43" s="119" t="inlineStr">
        <is>
          <t>新目标</t>
        </is>
      </c>
      <c r="H43" s="119" t="inlineStr">
        <is>
          <t>能源效率</t>
        </is>
      </c>
      <c r="I43" s="119" t="inlineStr">
        <is>
          <t>行业</t>
        </is>
      </c>
      <c r="J43" s="119" t="inlineStr">
        <is>
          <t>到2015年，纸及纸板综合能耗降到530千克标准煤/吨。</t>
        </is>
      </c>
      <c r="K43" s="119" t="inlineStr">
        <is>
          <t>DP1301.htm</t>
        </is>
      </c>
      <c r="L43" s="119" t="inlineStr">
        <is>
          <t>工业</t>
        </is>
      </c>
    </row>
    <row r="44" ht="18" customHeight="1" s="235">
      <c r="A44" s="119" t="n">
        <v>2013</v>
      </c>
      <c r="B44" s="119" t="inlineStr">
        <is>
          <t>纸浆综合能耗</t>
        </is>
      </c>
      <c r="C44" s="119" t="inlineStr">
        <is>
          <t>降低至</t>
        </is>
      </c>
      <c r="D44" s="119" t="inlineStr">
        <is>
          <t>370千克标准煤/吨</t>
        </is>
      </c>
      <c r="E44" s="119" t="n"/>
      <c r="F44" s="120" t="inlineStr">
        <is>
          <t>2015</t>
        </is>
      </c>
      <c r="G44" s="119" t="inlineStr">
        <is>
          <t>新目标</t>
        </is>
      </c>
      <c r="H44" s="119" t="inlineStr">
        <is>
          <t>能源效率</t>
        </is>
      </c>
      <c r="I44" s="119" t="inlineStr">
        <is>
          <t>行业</t>
        </is>
      </c>
      <c r="J44" s="119" t="inlineStr">
        <is>
          <t>到2015年，纸浆综合能耗降到370千克标准煤/吨。</t>
        </is>
      </c>
      <c r="K44" s="119" t="inlineStr">
        <is>
          <t>DP1301.htm</t>
        </is>
      </c>
      <c r="L44" s="119" t="inlineStr">
        <is>
          <t>工业</t>
        </is>
      </c>
    </row>
    <row r="45" ht="18" customHeight="1" s="235">
      <c r="A45" s="119" t="n">
        <v>2013</v>
      </c>
      <c r="B45" s="119" t="inlineStr">
        <is>
          <t>合成氨综合能耗</t>
        </is>
      </c>
      <c r="C45" s="119" t="inlineStr">
        <is>
          <t>低于</t>
        </is>
      </c>
      <c r="D45" s="119" t="inlineStr">
        <is>
          <t>1350千克标准煤/吨</t>
        </is>
      </c>
      <c r="E45" s="119" t="n"/>
      <c r="F45" s="120" t="inlineStr">
        <is>
          <t>2015</t>
        </is>
      </c>
      <c r="G45" s="119" t="inlineStr">
        <is>
          <t>新目标</t>
        </is>
      </c>
      <c r="H45" s="119" t="inlineStr">
        <is>
          <t>能源效率</t>
        </is>
      </c>
      <c r="I45" s="119" t="inlineStr">
        <is>
          <t>行业</t>
        </is>
      </c>
      <c r="J45" s="119" t="inlineStr">
        <is>
          <t>到2015年，合成氨综合能耗低于1350千克标准煤/吨。</t>
        </is>
      </c>
      <c r="K45" s="119" t="inlineStr">
        <is>
          <t>DP1301.htm</t>
        </is>
      </c>
      <c r="L45" s="119" t="inlineStr">
        <is>
          <t>工业</t>
        </is>
      </c>
    </row>
    <row r="46" ht="18" customHeight="1" s="235">
      <c r="A46" s="119" t="n">
        <v>2013</v>
      </c>
      <c r="B46" s="119" t="inlineStr">
        <is>
          <t>单位工业增加值能耗</t>
        </is>
      </c>
      <c r="C46" s="119" t="inlineStr">
        <is>
          <t>降低</t>
        </is>
      </c>
      <c r="D46" s="119" t="inlineStr">
        <is>
          <t>21%</t>
        </is>
      </c>
      <c r="E46" s="119" t="n">
        <v>2010</v>
      </c>
      <c r="F46" s="120" t="inlineStr">
        <is>
          <t>2015</t>
        </is>
      </c>
      <c r="G46" s="119" t="inlineStr">
        <is>
          <t>新目标</t>
        </is>
      </c>
      <c r="H46" s="119" t="inlineStr">
        <is>
          <t>能源效率</t>
        </is>
      </c>
      <c r="I46" s="119" t="inlineStr">
        <is>
          <t>行业</t>
        </is>
      </c>
      <c r="J46" s="119" t="inlineStr">
        <is>
          <t>到2015年，单位工业增加值能耗比2010年降低21%。</t>
        </is>
      </c>
      <c r="K46" s="119" t="inlineStr">
        <is>
          <t>DP1301.htm</t>
        </is>
      </c>
      <c r="L46" s="119" t="inlineStr">
        <is>
          <t>工业</t>
        </is>
      </c>
    </row>
    <row r="47" ht="18" customHeight="1" s="235">
      <c r="A47" s="119" t="n">
        <v>2013</v>
      </c>
      <c r="B47" s="119" t="inlineStr">
        <is>
          <t>单位工业增加值能耗</t>
        </is>
      </c>
      <c r="C47" s="119" t="inlineStr">
        <is>
          <t>降低</t>
        </is>
      </c>
      <c r="D47" s="119" t="inlineStr">
        <is>
          <t>20%</t>
        </is>
      </c>
      <c r="E47" s="119" t="n">
        <v>2012</v>
      </c>
      <c r="F47" s="120" t="inlineStr">
        <is>
          <t>2017</t>
        </is>
      </c>
      <c r="G47" s="119" t="inlineStr">
        <is>
          <t>新目标</t>
        </is>
      </c>
      <c r="H47" s="119" t="inlineStr">
        <is>
          <t>能源效率</t>
        </is>
      </c>
      <c r="I47" s="119" t="inlineStr">
        <is>
          <t>行业</t>
        </is>
      </c>
      <c r="J47" s="119" t="inlineStr">
        <is>
          <t>到2017年，单位工业增加值能耗比2012年降低20%左右。</t>
        </is>
      </c>
      <c r="K47" s="119" t="inlineStr">
        <is>
          <t>AP1302.htm</t>
        </is>
      </c>
      <c r="L47" s="119" t="inlineStr">
        <is>
          <t>工业</t>
        </is>
      </c>
    </row>
    <row r="48" ht="18" customHeight="1" s="235">
      <c r="A48" s="119" t="n">
        <v>2013</v>
      </c>
      <c r="B48" s="119" t="inlineStr">
        <is>
          <t>食品工业单位工业增加值能耗</t>
        </is>
      </c>
      <c r="C48" s="119" t="inlineStr">
        <is>
          <t>降低</t>
        </is>
      </c>
      <c r="D48" s="119" t="inlineStr">
        <is>
          <t>16%</t>
        </is>
      </c>
      <c r="E48" s="119" t="n">
        <v>2010</v>
      </c>
      <c r="F48" s="120" t="inlineStr">
        <is>
          <t>2015</t>
        </is>
      </c>
      <c r="G48" s="119" t="inlineStr">
        <is>
          <t>新目标</t>
        </is>
      </c>
      <c r="H48" s="119" t="inlineStr">
        <is>
          <t>能源效率</t>
        </is>
      </c>
      <c r="I48" s="119" t="inlineStr">
        <is>
          <t>行业</t>
        </is>
      </c>
      <c r="J48" s="119" t="inlineStr">
        <is>
          <t>到2015年，食品行业单位工业增加值能耗比2010年降低16%。</t>
        </is>
      </c>
      <c r="K48" s="119" t="inlineStr">
        <is>
          <t>DP1301.htm</t>
        </is>
      </c>
      <c r="L48" s="119" t="inlineStr">
        <is>
          <t>工业</t>
        </is>
      </c>
    </row>
    <row r="49" ht="18" customHeight="1" s="235">
      <c r="A49" s="119" t="n">
        <v>2021</v>
      </c>
      <c r="B49" s="119" t="inlineStr">
        <is>
          <t>国家高新区单位工业增加值综合能耗</t>
        </is>
      </c>
      <c r="C49" s="119" t="inlineStr">
        <is>
          <t>降低至</t>
        </is>
      </c>
      <c r="D49" s="119" t="inlineStr">
        <is>
          <t>低于0.4吨标准煤/万元</t>
        </is>
      </c>
      <c r="E49" s="119" t="n"/>
      <c r="F49" s="120" t="inlineStr">
        <is>
          <t>2025</t>
        </is>
      </c>
      <c r="G49" s="119" t="inlineStr">
        <is>
          <t>新目标</t>
        </is>
      </c>
      <c r="H49" s="119" t="inlineStr">
        <is>
          <t>能源效率</t>
        </is>
      </c>
      <c r="I49" s="119" t="inlineStr">
        <is>
          <t>工业园区</t>
        </is>
      </c>
      <c r="J49" s="119" t="inlineStr">
        <is>
          <t>到2025年，国家高新区单位工业增加值综合能耗降至0.4吨标准煤/万元以下</t>
        </is>
      </c>
      <c r="K49" s="119" t="inlineStr">
        <is>
          <t>IP2102.htm</t>
        </is>
      </c>
      <c r="L49" s="119" t="inlineStr">
        <is>
          <t>工业</t>
        </is>
      </c>
    </row>
    <row r="50" ht="18" customHeight="1" s="235">
      <c r="A50" s="119" t="n">
        <v>2021</v>
      </c>
      <c r="B50" s="119" t="inlineStr">
        <is>
          <t>国家高新区单位工业增加值综合能耗</t>
        </is>
      </c>
      <c r="C50" s="119" t="inlineStr">
        <is>
          <t>降低</t>
        </is>
      </c>
      <c r="D50" s="119" t="inlineStr">
        <is>
          <t>低于0.4吨标准煤/万元</t>
        </is>
      </c>
      <c r="E50" s="119" t="n"/>
      <c r="F50" s="120" t="inlineStr">
        <is>
          <t>2025</t>
        </is>
      </c>
      <c r="G50" s="119" t="inlineStr">
        <is>
          <t>重申目标</t>
        </is>
      </c>
      <c r="H50" s="119" t="inlineStr">
        <is>
          <t>能源效率</t>
        </is>
      </c>
      <c r="I50" s="119" t="inlineStr">
        <is>
          <t>工业园区</t>
        </is>
      </c>
      <c r="J50" s="119" t="inlineStr">
        <is>
          <t>到2025年，国家高新区单位工业增加值综合能耗降至0.4吨标准煤/万元以下，其中50%的国家高新区单位工业增加值综合能耗低于0.3吨标准煤/万元；单位工业增加值二氧化碳排放量年均削减率4%以上，部分高新区实现碳达峰。</t>
        </is>
      </c>
      <c r="K50" s="119" t="inlineStr">
        <is>
          <t>IP2102.htm</t>
        </is>
      </c>
      <c r="L50" s="119" t="inlineStr">
        <is>
          <t>工业</t>
        </is>
      </c>
    </row>
    <row r="51" ht="18" customHeight="1" s="235">
      <c r="A51" s="119" t="n">
        <v>2013</v>
      </c>
      <c r="B51" s="119" t="inlineStr">
        <is>
          <t>纺织行业单位工业增加值能耗</t>
        </is>
      </c>
      <c r="C51" s="119" t="inlineStr">
        <is>
          <t>降低</t>
        </is>
      </c>
      <c r="D51" s="119" t="inlineStr">
        <is>
          <t>20%</t>
        </is>
      </c>
      <c r="E51" s="119" t="n">
        <v>2010</v>
      </c>
      <c r="F51" s="120" t="inlineStr">
        <is>
          <t>2015</t>
        </is>
      </c>
      <c r="G51" s="119" t="inlineStr">
        <is>
          <t>新目标</t>
        </is>
      </c>
      <c r="H51" s="119" t="inlineStr">
        <is>
          <t>能源效率</t>
        </is>
      </c>
      <c r="I51" s="119" t="inlineStr">
        <is>
          <t>行业</t>
        </is>
      </c>
      <c r="J51" s="119" t="inlineStr">
        <is>
          <t>到2015年，纺织行业单位工业增加值能耗比2010年下降20%。</t>
        </is>
      </c>
      <c r="K51" s="119" t="inlineStr">
        <is>
          <t>DP1301.htm</t>
        </is>
      </c>
      <c r="L51" s="119" t="inlineStr">
        <is>
          <t>工业</t>
        </is>
      </c>
    </row>
    <row r="52" ht="18" customHeight="1" s="235">
      <c r="A52" s="119" t="n">
        <v>2024</v>
      </c>
      <c r="B52" s="119" t="inlineStr">
        <is>
          <t>规模以上工业企业单位增加值能耗</t>
        </is>
      </c>
      <c r="C52" s="119" t="inlineStr">
        <is>
          <t>降低</t>
        </is>
      </c>
      <c r="D52" s="119" t="inlineStr">
        <is>
          <t>13.5%</t>
        </is>
      </c>
      <c r="E52" s="119" t="n">
        <v>2020</v>
      </c>
      <c r="F52" s="120" t="inlineStr">
        <is>
          <t>2025</t>
        </is>
      </c>
      <c r="G52" s="119" t="inlineStr">
        <is>
          <t>新目标</t>
        </is>
      </c>
      <c r="H52" s="119" t="inlineStr">
        <is>
          <t>能源效率</t>
        </is>
      </c>
      <c r="I52" s="119" t="inlineStr">
        <is>
          <t>企业</t>
        </is>
      </c>
      <c r="J52" s="119" t="inlineStr">
        <is>
          <t>到2025年，规模以上工业企业单位增加值能耗较2020年下降13.5%。</t>
        </is>
      </c>
      <c r="K52" s="119" t="inlineStr">
        <is>
          <t>HL2401.pdf</t>
        </is>
      </c>
      <c r="L52" s="119" t="inlineStr">
        <is>
          <t>工业</t>
        </is>
      </c>
    </row>
    <row r="53" ht="18" customHeight="1" s="235">
      <c r="A53" s="119" t="n">
        <v>2016</v>
      </c>
      <c r="B53" s="119" t="inlineStr">
        <is>
          <t>规模以上工业企业单位增加值能耗</t>
        </is>
      </c>
      <c r="C53" s="119" t="inlineStr">
        <is>
          <t>降低</t>
        </is>
      </c>
      <c r="D53" s="119" t="inlineStr">
        <is>
          <t>18%以上</t>
        </is>
      </c>
      <c r="E53" s="119" t="n">
        <v>2015</v>
      </c>
      <c r="F53" s="120" t="inlineStr">
        <is>
          <t>2020</t>
        </is>
      </c>
      <c r="G53" s="119" t="inlineStr">
        <is>
          <t>新目标</t>
        </is>
      </c>
      <c r="H53" s="119" t="inlineStr">
        <is>
          <t>能源效率</t>
        </is>
      </c>
      <c r="I53" s="119" t="inlineStr">
        <is>
          <t>企业</t>
        </is>
      </c>
      <c r="J53" s="119" t="inlineStr">
        <is>
          <t>到2020年，工业能源利用效率和清洁化水平显著提高，规模以上工业企业单位增加值能耗比2015年降低18%以上。</t>
        </is>
      </c>
      <c r="K53" s="119" t="inlineStr">
        <is>
          <t>FYP1601.htm</t>
        </is>
      </c>
      <c r="L53" s="119" t="inlineStr">
        <is>
          <t>工业</t>
        </is>
      </c>
    </row>
    <row r="54" ht="18" customHeight="1" s="235">
      <c r="A54" s="119" t="n">
        <v>2016</v>
      </c>
      <c r="B54" s="119" t="inlineStr">
        <is>
          <t>规模以上工业企业单位增加值能耗</t>
        </is>
      </c>
      <c r="C54" s="119" t="inlineStr">
        <is>
          <t>降低</t>
        </is>
      </c>
      <c r="D54" s="119" t="inlineStr">
        <is>
          <t>18%</t>
        </is>
      </c>
      <c r="E54" s="119" t="n">
        <v>2015</v>
      </c>
      <c r="F54" s="120" t="inlineStr">
        <is>
          <t>2020</t>
        </is>
      </c>
      <c r="G54" s="119" t="inlineStr">
        <is>
          <t>重申目标</t>
        </is>
      </c>
      <c r="H54" s="119" t="inlineStr">
        <is>
          <t>能源效率</t>
        </is>
      </c>
      <c r="I54" s="119" t="inlineStr">
        <is>
          <t>企业</t>
        </is>
      </c>
      <c r="J54" s="119" t="inlineStr">
        <is>
          <t>到2020年，工业能源利用效率和清洁化水平显著提高，规模以上工业企业单位增加值能耗比2015年降低18%以上，电力、钢铁、有色、建材、石油石化、化工等重点耗能行业能源利用效率达到或接近世界先进水平。</t>
        </is>
      </c>
      <c r="K54" s="119" t="inlineStr">
        <is>
          <t>FYP1601.htm</t>
        </is>
      </c>
      <c r="L54" s="119" t="inlineStr">
        <is>
          <t>工业</t>
        </is>
      </c>
    </row>
    <row r="55" ht="18" customHeight="1" s="235">
      <c r="A55" s="119" t="n">
        <v>2014</v>
      </c>
      <c r="B55" s="119" t="inlineStr">
        <is>
          <t>规模以上工业企业单位增加值能耗</t>
        </is>
      </c>
      <c r="C55" s="119" t="inlineStr">
        <is>
          <t>降低</t>
        </is>
      </c>
      <c r="D55" s="119" t="inlineStr">
        <is>
          <t>21%</t>
        </is>
      </c>
      <c r="E55" s="119" t="n">
        <v>2010</v>
      </c>
      <c r="F55" s="120" t="inlineStr">
        <is>
          <t>2015</t>
        </is>
      </c>
      <c r="G55" s="119" t="inlineStr">
        <is>
          <t>新目标</t>
        </is>
      </c>
      <c r="H55" s="119" t="inlineStr">
        <is>
          <t>能源效率</t>
        </is>
      </c>
      <c r="I55" s="119" t="inlineStr">
        <is>
          <t>企业</t>
        </is>
      </c>
      <c r="J55" s="119" t="inlineStr">
        <is>
          <t>到2015年，重点耗能行业规模以上工业企业单位增加值能耗比2010年降低21%以上。</t>
        </is>
      </c>
      <c r="K55" s="119" t="inlineStr">
        <is>
          <t>AP1404.htm</t>
        </is>
      </c>
      <c r="L55" s="119" t="inlineStr">
        <is>
          <t>工业</t>
        </is>
      </c>
    </row>
    <row r="56" ht="18" customHeight="1" s="235">
      <c r="A56" s="0" t="n">
        <v>2026</v>
      </c>
      <c r="B56" s="0" t="inlineStr">
        <is>
          <t>规模以上工业单位增加值能源消耗</t>
        </is>
      </c>
      <c r="C56" s="0" t="inlineStr">
        <is>
          <t>降低</t>
        </is>
      </c>
      <c r="D56" s="0" t="inlineStr">
        <is>
          <t>10%以上</t>
        </is>
      </c>
      <c r="F56" s="0" t="inlineStr">
        <is>
          <t>十五五</t>
        </is>
      </c>
      <c r="G56" s="0" t="inlineStr">
        <is>
          <t>重申目标</t>
        </is>
      </c>
      <c r="H56" s="0" t="inlineStr">
        <is>
          <t>能源效率</t>
        </is>
      </c>
      <c r="I56" s="0" t="inlineStr">
        <is>
          <t>行业</t>
        </is>
      </c>
      <c r="J56" s="0" t="inlineStr">
        <is>
          <t>“十五五”期间，规模以上工业单位增加值二氧化碳排放降低17%以上，规模以上工业单位增加值能耗降低10%以上，……</t>
        </is>
      </c>
      <c r="K56" s="0" t="inlineStr">
        <is>
          <t>HL2604.htm</t>
        </is>
      </c>
      <c r="L56" s="0" t="inlineStr">
        <is>
          <t>工业</t>
        </is>
      </c>
    </row>
    <row r="57" ht="18" customHeight="1" s="235">
      <c r="A57" s="0" t="n">
        <v>2026</v>
      </c>
      <c r="B57" s="0" t="inlineStr">
        <is>
          <t>规模以上工业单位增加值能源消耗</t>
        </is>
      </c>
      <c r="C57" s="0" t="inlineStr">
        <is>
          <t>降低</t>
        </is>
      </c>
      <c r="D57" s="0" t="inlineStr">
        <is>
          <t>10%以上（5年累计）</t>
        </is>
      </c>
      <c r="F57" s="0" t="n">
        <v>2030</v>
      </c>
      <c r="G57" s="0" t="inlineStr">
        <is>
          <t>新目标</t>
        </is>
      </c>
      <c r="H57" s="0" t="inlineStr">
        <is>
          <t>能源效率</t>
        </is>
      </c>
      <c r="I57" s="0" t="inlineStr">
        <is>
          <t>行业</t>
        </is>
      </c>
      <c r="J57" s="0" t="inlineStr">
        <is>
          <t>专栏1“十五五”时期工业绿色低碳发展预期性指标：规模以上工业单位增加值能耗下降（%）＞10（5年累计）</t>
        </is>
      </c>
      <c r="K57" s="0" t="inlineStr">
        <is>
          <t>FYP2605.htm</t>
        </is>
      </c>
      <c r="L57" s="0" t="inlineStr">
        <is>
          <t>工业</t>
        </is>
      </c>
    </row>
    <row r="58" ht="18" customHeight="1" s="235">
      <c r="A58" s="119" t="n">
        <v>2013</v>
      </c>
      <c r="B58" s="119" t="inlineStr">
        <is>
          <t>终端用能产品能效水平</t>
        </is>
      </c>
      <c r="C58" s="119" t="inlineStr">
        <is>
          <t>提高</t>
        </is>
      </c>
      <c r="D58" s="119" t="inlineStr">
        <is>
          <t>15%以上</t>
        </is>
      </c>
      <c r="E58" s="119" t="n">
        <v>2010</v>
      </c>
      <c r="F58" s="120" t="inlineStr">
        <is>
          <t>2015</t>
        </is>
      </c>
      <c r="G58" s="119" t="inlineStr">
        <is>
          <t>新目标</t>
        </is>
      </c>
      <c r="H58" s="119" t="inlineStr">
        <is>
          <t>能源效率</t>
        </is>
      </c>
      <c r="I58" s="119" t="inlineStr">
        <is>
          <t>不明确</t>
        </is>
      </c>
      <c r="J58" s="119" t="inlineStr">
        <is>
          <t>到2015年，终端用能产品能效水平提高15%以上</t>
        </is>
      </c>
      <c r="K58" s="119" t="inlineStr">
        <is>
          <t>O1302.htm</t>
        </is>
      </c>
      <c r="L58" s="119" t="inlineStr">
        <is>
          <t>工业</t>
        </is>
      </c>
    </row>
    <row r="59" ht="18" customHeight="1" s="235">
      <c r="A59" s="119" t="n">
        <v>2014</v>
      </c>
      <c r="B59" s="119" t="inlineStr">
        <is>
          <t>重点领域万家企业节能</t>
        </is>
      </c>
      <c r="C59" s="119" t="inlineStr">
        <is>
          <t>实现</t>
        </is>
      </c>
      <c r="D59" s="119" t="inlineStr">
        <is>
          <t>2.5亿吨标准煤以上</t>
        </is>
      </c>
      <c r="E59" s="119" t="n"/>
      <c r="F59" s="120" t="inlineStr">
        <is>
          <t>2015</t>
        </is>
      </c>
      <c r="G59" s="119" t="inlineStr">
        <is>
          <t>新目标</t>
        </is>
      </c>
      <c r="H59" s="119" t="inlineStr">
        <is>
          <t>节能</t>
        </is>
      </c>
      <c r="I59" s="119" t="inlineStr">
        <is>
          <t>企业</t>
        </is>
      </c>
      <c r="J59" s="119" t="inlineStr">
        <is>
          <t>到2015年底，万家企业实现节能量2.5亿吨标准煤以上。</t>
        </is>
      </c>
      <c r="K59" s="119" t="inlineStr">
        <is>
          <t>AP1404.htm</t>
        </is>
      </c>
      <c r="L59" s="119" t="inlineStr">
        <is>
          <t>工业</t>
        </is>
      </c>
    </row>
    <row r="60" ht="18" customHeight="1" s="235">
      <c r="A60" s="119" t="n">
        <v>2024</v>
      </c>
      <c r="B60" s="119" t="inlineStr">
        <is>
          <t>建材行业节能降碳改造</t>
        </is>
      </c>
      <c r="C60" s="119" t="inlineStr">
        <is>
          <t>节约</t>
        </is>
      </c>
      <c r="D60" s="119" t="inlineStr">
        <is>
          <t>1000万吨标准煤</t>
        </is>
      </c>
      <c r="E60" s="119" t="n">
        <v>2024</v>
      </c>
      <c r="F60" s="120" t="n">
        <v>2025</v>
      </c>
      <c r="G60" s="119" t="inlineStr">
        <is>
          <t>新目标</t>
        </is>
      </c>
      <c r="H60" s="119" t="inlineStr">
        <is>
          <t>节能</t>
        </is>
      </c>
      <c r="I60" s="119" t="inlineStr">
        <is>
          <t>行业</t>
        </is>
      </c>
      <c r="J60" s="119" t="inlineStr">
        <is>
          <t>2024—2025年，建材行业节能降碳改造形成节能量约1000万吨标准煤。</t>
        </is>
      </c>
      <c r="K60" s="119" t="inlineStr">
        <is>
          <t>AP2405.htm</t>
        </is>
      </c>
      <c r="L60" s="119" t="inlineStr">
        <is>
          <t>工业</t>
        </is>
      </c>
    </row>
    <row r="61" ht="18" customHeight="1" s="235">
      <c r="A61" s="119" t="n">
        <v>2024</v>
      </c>
      <c r="B61" s="119" t="inlineStr">
        <is>
          <t>有色金属行业节能降碳改造</t>
        </is>
      </c>
      <c r="C61" s="119" t="inlineStr">
        <is>
          <t>节约</t>
        </is>
      </c>
      <c r="D61" s="119" t="inlineStr">
        <is>
          <t>500万吨标准煤</t>
        </is>
      </c>
      <c r="E61" s="119" t="n">
        <v>2024</v>
      </c>
      <c r="F61" s="120" t="n">
        <v>2025</v>
      </c>
      <c r="G61" s="119" t="inlineStr">
        <is>
          <t>新目标</t>
        </is>
      </c>
      <c r="H61" s="119" t="inlineStr">
        <is>
          <t>节能</t>
        </is>
      </c>
      <c r="I61" s="119" t="inlineStr">
        <is>
          <t>行业</t>
        </is>
      </c>
      <c r="J61" s="119" t="inlineStr">
        <is>
          <t>2024—2025年，有色金属行业节能降碳改造形成节能量约500万吨标准煤。</t>
        </is>
      </c>
      <c r="K61" s="119" t="inlineStr">
        <is>
          <t>AP2405.htm</t>
        </is>
      </c>
      <c r="L61" s="119" t="inlineStr">
        <is>
          <t>工业</t>
        </is>
      </c>
    </row>
    <row r="62" ht="18" customHeight="1" s="235">
      <c r="A62" s="119" t="n">
        <v>2024</v>
      </c>
      <c r="B62" s="119" t="inlineStr">
        <is>
          <t>石化化工行业节能降碳改造</t>
        </is>
      </c>
      <c r="C62" s="119" t="inlineStr">
        <is>
          <t>节约</t>
        </is>
      </c>
      <c r="D62" s="119" t="inlineStr">
        <is>
          <t>4000万吨标准煤</t>
        </is>
      </c>
      <c r="E62" s="119" t="n">
        <v>2024</v>
      </c>
      <c r="F62" s="120" t="n">
        <v>2025</v>
      </c>
      <c r="G62" s="119" t="inlineStr">
        <is>
          <t>新目标</t>
        </is>
      </c>
      <c r="H62" s="119" t="inlineStr">
        <is>
          <t>节能</t>
        </is>
      </c>
      <c r="I62" s="119" t="inlineStr">
        <is>
          <t>行业</t>
        </is>
      </c>
      <c r="J62" s="119" t="inlineStr">
        <is>
          <t>2024—2025年，石化化工行业节能降碳改造形成节能量约4000万吨标准煤。</t>
        </is>
      </c>
      <c r="K62" s="119" t="inlineStr">
        <is>
          <t>AP2405.htm</t>
        </is>
      </c>
      <c r="L62" s="119" t="inlineStr">
        <is>
          <t>工业</t>
        </is>
      </c>
    </row>
    <row r="63" ht="18" customHeight="1" s="235">
      <c r="A63" s="119" t="n">
        <v>2024</v>
      </c>
      <c r="B63" s="119" t="inlineStr">
        <is>
          <t>钢铁行业节能降碳改造</t>
        </is>
      </c>
      <c r="C63" s="119" t="inlineStr">
        <is>
          <t>节约</t>
        </is>
      </c>
      <c r="D63" s="119" t="inlineStr">
        <is>
          <t>约2000万吨标准煤</t>
        </is>
      </c>
      <c r="E63" s="119" t="n">
        <v>2024</v>
      </c>
      <c r="F63" s="120" t="n">
        <v>2025</v>
      </c>
      <c r="G63" s="119" t="inlineStr">
        <is>
          <t>新目标</t>
        </is>
      </c>
      <c r="H63" s="119" t="inlineStr">
        <is>
          <t>节能</t>
        </is>
      </c>
      <c r="I63" s="119" t="inlineStr">
        <is>
          <t>行业</t>
        </is>
      </c>
      <c r="J63" s="119" t="inlineStr">
        <is>
          <t>2024—2025年，钢铁行业节能降碳改造形成节能量约2000万吨标准煤。</t>
        </is>
      </c>
      <c r="K63" s="119" t="inlineStr">
        <is>
          <t>AP2405.htm</t>
        </is>
      </c>
      <c r="L63" s="119" t="inlineStr">
        <is>
          <t>工业</t>
        </is>
      </c>
    </row>
    <row r="64" ht="18" customHeight="1" s="235">
      <c r="A64" s="119" t="n">
        <v>2024</v>
      </c>
      <c r="B64" s="119" t="inlineStr">
        <is>
          <t>节能环保产业产值</t>
        </is>
      </c>
      <c r="C64" s="119" t="inlineStr">
        <is>
          <t>达到</t>
        </is>
      </c>
      <c r="D64" s="119" t="inlineStr">
        <is>
          <t>15万亿元</t>
        </is>
      </c>
      <c r="E64" s="119" t="n"/>
      <c r="F64" s="120" t="inlineStr">
        <is>
          <t>2030</t>
        </is>
      </c>
      <c r="G64" s="119" t="inlineStr">
        <is>
          <t>重申目标</t>
        </is>
      </c>
      <c r="H64" s="119" t="inlineStr">
        <is>
          <t>生产导向</t>
        </is>
      </c>
      <c r="I64" s="119" t="inlineStr">
        <is>
          <t>行业</t>
        </is>
      </c>
      <c r="J64" s="119" t="inlineStr">
        <is>
          <t>到2030年，节能环保产业规模达到15万亿元左右。</t>
        </is>
      </c>
      <c r="K64" s="119" t="inlineStr">
        <is>
          <t>O2407.htm</t>
        </is>
      </c>
      <c r="L64" s="119" t="inlineStr">
        <is>
          <t>工业</t>
        </is>
      </c>
    </row>
    <row r="65" ht="18" customHeight="1" s="235">
      <c r="A65" s="119" t="n">
        <v>2024</v>
      </c>
      <c r="B65" s="119" t="inlineStr">
        <is>
          <t>节能环保产业产值</t>
        </is>
      </c>
      <c r="C65" s="119" t="inlineStr">
        <is>
          <t>达到</t>
        </is>
      </c>
      <c r="D65" s="119" t="inlineStr">
        <is>
          <t>15万亿元</t>
        </is>
      </c>
      <c r="E65" s="119" t="n"/>
      <c r="F65" s="120" t="inlineStr">
        <is>
          <t>2030</t>
        </is>
      </c>
      <c r="G65" s="119" t="inlineStr">
        <is>
          <t>新目标</t>
        </is>
      </c>
      <c r="H65" s="119" t="inlineStr">
        <is>
          <t>生产导向</t>
        </is>
      </c>
      <c r="I65" s="119" t="inlineStr">
        <is>
          <t>行业</t>
        </is>
      </c>
      <c r="J65" s="119" t="inlineStr">
        <is>
          <t>到2030年，该方案的目标是节能环保产业产值达到约15万亿元</t>
        </is>
      </c>
      <c r="K65" s="119" t="inlineStr">
        <is>
          <t>HL2404.pdf</t>
        </is>
      </c>
      <c r="L65" s="119" t="inlineStr">
        <is>
          <t>工业</t>
        </is>
      </c>
    </row>
    <row r="66" ht="18" customHeight="1" s="235">
      <c r="A66" s="119" t="n">
        <v>2022</v>
      </c>
      <c r="B66" s="119" t="inlineStr">
        <is>
          <t>重点行业绿色低碳生产线</t>
        </is>
      </c>
      <c r="C66" s="119" t="inlineStr">
        <is>
          <t>改造和建设</t>
        </is>
      </c>
      <c r="D66" s="119" t="inlineStr">
        <is>
          <t>1000条生产线</t>
        </is>
      </c>
      <c r="E66" s="119" t="n"/>
      <c r="F66" s="120" t="inlineStr">
        <is>
          <t>2030</t>
        </is>
      </c>
      <c r="G66" s="119" t="inlineStr">
        <is>
          <t>新目标</t>
        </is>
      </c>
      <c r="H66" s="119" t="inlineStr">
        <is>
          <t>工业转型</t>
        </is>
      </c>
      <c r="I66" s="119" t="inlineStr">
        <is>
          <t>行业</t>
        </is>
      </c>
      <c r="J66" s="119" t="inlineStr">
        <is>
          <t>在水泥、石灰、玻璃、陶瓷等重点行业加快实施污染物深度治理和二氧化碳超低排放改造，促进减污降碳协同增效，到2030年改造建设1000条绿色低碳生产线。</t>
        </is>
      </c>
      <c r="K66" s="119" t="inlineStr">
        <is>
          <t>IP2220.htm</t>
        </is>
      </c>
      <c r="L66" s="119" t="inlineStr">
        <is>
          <t>工业</t>
        </is>
      </c>
    </row>
    <row r="67" ht="18" customHeight="1" s="235">
      <c r="A67" s="119" t="n">
        <v>2016</v>
      </c>
      <c r="B67" s="119" t="inlineStr">
        <is>
          <t>绿色示范工厂</t>
        </is>
      </c>
      <c r="C67" s="119" t="inlineStr">
        <is>
          <t>建立</t>
        </is>
      </c>
      <c r="D67" s="119" t="inlineStr">
        <is>
          <t>1000家</t>
        </is>
      </c>
      <c r="E67" s="119" t="n"/>
      <c r="F67" s="120" t="inlineStr">
        <is>
          <t>2020</t>
        </is>
      </c>
      <c r="G67" s="119" t="inlineStr">
        <is>
          <t>新目标</t>
        </is>
      </c>
      <c r="H67" s="119" t="inlineStr">
        <is>
          <t>生产导向</t>
        </is>
      </c>
      <c r="I67" s="119" t="inlineStr">
        <is>
          <t>全社会经济</t>
        </is>
      </c>
      <c r="J67" s="119" t="inlineStr">
        <is>
          <t>到2020年，创建千家绿色示范工厂。</t>
        </is>
      </c>
      <c r="K67" s="119" t="inlineStr">
        <is>
          <t>DP1601.htm</t>
        </is>
      </c>
      <c r="L67" s="119" t="inlineStr">
        <is>
          <t>工业</t>
        </is>
      </c>
    </row>
    <row r="68" ht="18" customHeight="1" s="235">
      <c r="A68" s="119" t="n">
        <v>2015</v>
      </c>
      <c r="B68" s="119" t="inlineStr">
        <is>
          <t>绿色示范工厂</t>
        </is>
      </c>
      <c r="C68" s="119" t="inlineStr">
        <is>
          <t>建设</t>
        </is>
      </c>
      <c r="D68" s="119" t="inlineStr">
        <is>
          <t>1000家</t>
        </is>
      </c>
      <c r="E68" s="119" t="n"/>
      <c r="F68" s="120" t="inlineStr">
        <is>
          <t>2020</t>
        </is>
      </c>
      <c r="G68" s="119" t="inlineStr">
        <is>
          <t>重申目标</t>
        </is>
      </c>
      <c r="H68" s="119" t="inlineStr">
        <is>
          <t>生产导向</t>
        </is>
      </c>
      <c r="I68" s="119" t="inlineStr">
        <is>
          <t>全社会经济</t>
        </is>
      </c>
      <c r="J68" s="119" t="inlineStr">
        <is>
          <t>到2020年，建成千家绿色示范工厂。</t>
        </is>
      </c>
      <c r="K68" s="119" t="inlineStr">
        <is>
          <t>HL1504.htm</t>
        </is>
      </c>
      <c r="L68" s="119" t="inlineStr">
        <is>
          <t>工业</t>
        </is>
      </c>
    </row>
    <row r="69" ht="18" customHeight="1" s="235">
      <c r="A69" s="119" t="n">
        <v>2015</v>
      </c>
      <c r="B69" s="119" t="inlineStr">
        <is>
          <t>绿色示范园区</t>
        </is>
      </c>
      <c r="C69" s="119" t="inlineStr">
        <is>
          <t>建设</t>
        </is>
      </c>
      <c r="D69" s="119" t="inlineStr">
        <is>
          <t>100个</t>
        </is>
      </c>
      <c r="E69" s="119" t="n"/>
      <c r="F69" s="120" t="inlineStr">
        <is>
          <t>2020</t>
        </is>
      </c>
      <c r="G69" s="119" t="inlineStr">
        <is>
          <t>新目标</t>
        </is>
      </c>
      <c r="H69" s="119" t="inlineStr">
        <is>
          <t>生产导向</t>
        </is>
      </c>
      <c r="I69" s="119" t="inlineStr">
        <is>
          <t>全社会经济</t>
        </is>
      </c>
      <c r="J69" s="119" t="inlineStr">
        <is>
          <t>到2020年，建成100家绿色示范园区。</t>
        </is>
      </c>
      <c r="K69" s="119" t="inlineStr">
        <is>
          <t>HL1504.htm</t>
        </is>
      </c>
      <c r="L69" s="119" t="inlineStr">
        <is>
          <t>工业</t>
        </is>
      </c>
    </row>
    <row r="70" ht="18" customHeight="1" s="235">
      <c r="A70" s="119" t="n">
        <v>2016</v>
      </c>
      <c r="B70" s="119" t="inlineStr">
        <is>
          <t>绿色示范园区</t>
        </is>
      </c>
      <c r="C70" s="119" t="inlineStr">
        <is>
          <t>建立</t>
        </is>
      </c>
      <c r="D70" s="119" t="inlineStr">
        <is>
          <t>100个园区</t>
        </is>
      </c>
      <c r="E70" s="119" t="n"/>
      <c r="F70" s="120" t="inlineStr">
        <is>
          <t>2020</t>
        </is>
      </c>
      <c r="G70" s="119" t="inlineStr">
        <is>
          <t>重申目标</t>
        </is>
      </c>
      <c r="H70" s="119" t="inlineStr">
        <is>
          <t>生产导向</t>
        </is>
      </c>
      <c r="I70" s="119" t="inlineStr">
        <is>
          <t>全社会经济</t>
        </is>
      </c>
      <c r="J70" s="119" t="inlineStr">
        <is>
          <t>到2020年，创建百家示范意义强、综合水平高的绿色园区。</t>
        </is>
      </c>
      <c r="K70" s="119" t="inlineStr">
        <is>
          <t>DP1601.htm</t>
        </is>
      </c>
      <c r="L70" s="119" t="inlineStr">
        <is>
          <t>工业</t>
        </is>
      </c>
    </row>
    <row r="71" ht="18" customHeight="1" s="235">
      <c r="A71" s="119" t="n">
        <v>2016</v>
      </c>
      <c r="B71" s="119" t="inlineStr">
        <is>
          <t>绿色设计中心</t>
        </is>
      </c>
      <c r="C71" s="119" t="inlineStr">
        <is>
          <t>建立</t>
        </is>
      </c>
      <c r="D71" s="119" t="inlineStr">
        <is>
          <t>100家</t>
        </is>
      </c>
      <c r="E71" s="119" t="n"/>
      <c r="F71" s="120" t="inlineStr">
        <is>
          <t>2020</t>
        </is>
      </c>
      <c r="G71" s="119" t="inlineStr">
        <is>
          <t>新目标</t>
        </is>
      </c>
      <c r="H71" s="119" t="inlineStr">
        <is>
          <t>生产导向</t>
        </is>
      </c>
      <c r="I71" s="119" t="inlineStr">
        <is>
          <t>全社会经济</t>
        </is>
      </c>
      <c r="J71" s="119" t="inlineStr">
        <is>
          <t>到2020年，创建一百家绿色设计中心。</t>
        </is>
      </c>
      <c r="K71" s="119" t="inlineStr">
        <is>
          <t>DP1601.htm</t>
        </is>
      </c>
      <c r="L71" s="119" t="inlineStr">
        <is>
          <t>工业</t>
        </is>
      </c>
    </row>
    <row r="72" ht="18" customHeight="1" s="235">
      <c r="A72" s="119" t="n">
        <v>2016</v>
      </c>
      <c r="B72" s="119" t="inlineStr">
        <is>
          <t>绿色设计示范企业</t>
        </is>
      </c>
      <c r="C72" s="119" t="inlineStr">
        <is>
          <t>建立</t>
        </is>
      </c>
      <c r="D72" s="119" t="inlineStr">
        <is>
          <t>100家企业</t>
        </is>
      </c>
      <c r="E72" s="119" t="n"/>
      <c r="F72" s="120" t="inlineStr">
        <is>
          <t>2020</t>
        </is>
      </c>
      <c r="G72" s="119" t="inlineStr">
        <is>
          <t>重申目标</t>
        </is>
      </c>
      <c r="H72" s="119" t="inlineStr">
        <is>
          <t>生产导向</t>
        </is>
      </c>
      <c r="I72" s="119" t="inlineStr">
        <is>
          <t>全社会经济</t>
        </is>
      </c>
      <c r="J72" s="119" t="inlineStr">
        <is>
          <t>到2020年，创建百家绿色设计示范企业。</t>
        </is>
      </c>
      <c r="K72" s="119" t="inlineStr">
        <is>
          <t>DP1601.htm</t>
        </is>
      </c>
      <c r="L72" s="119" t="inlineStr">
        <is>
          <t>工业</t>
        </is>
      </c>
    </row>
    <row r="73" ht="18" customHeight="1" s="235">
      <c r="A73" s="119" t="n">
        <v>2016</v>
      </c>
      <c r="B73" s="119" t="inlineStr">
        <is>
          <t>绿色产品数量</t>
        </is>
      </c>
      <c r="C73" s="119" t="inlineStr">
        <is>
          <t>开发推广</t>
        </is>
      </c>
      <c r="D73" s="119" t="inlineStr">
        <is>
          <t>一万种产品</t>
        </is>
      </c>
      <c r="E73" s="119" t="n"/>
      <c r="F73" s="120" t="inlineStr">
        <is>
          <t>2020</t>
        </is>
      </c>
      <c r="G73" s="119" t="inlineStr">
        <is>
          <t>新目标</t>
        </is>
      </c>
      <c r="H73" s="119" t="inlineStr">
        <is>
          <t>生产导向</t>
        </is>
      </c>
      <c r="I73" s="119" t="inlineStr">
        <is>
          <t>全社会经济</t>
        </is>
      </c>
      <c r="J73" s="119" t="inlineStr">
        <is>
          <t>到2020年，力争开发推广万种绿色产品。</t>
        </is>
      </c>
      <c r="K73" s="119" t="inlineStr">
        <is>
          <t>DP1601.htm</t>
        </is>
      </c>
      <c r="L73" s="119" t="inlineStr">
        <is>
          <t>工业</t>
        </is>
      </c>
    </row>
    <row r="74" ht="18" customHeight="1" s="235">
      <c r="A74" s="119" t="n">
        <v>2021</v>
      </c>
      <c r="B74" s="119" t="inlineStr">
        <is>
          <t>绿色产品推广数量</t>
        </is>
      </c>
      <c r="C74" s="119" t="inlineStr">
        <is>
          <t>发展</t>
        </is>
      </c>
      <c r="D74" s="119" t="inlineStr">
        <is>
          <t>1万种</t>
        </is>
      </c>
      <c r="E74" s="119" t="n"/>
      <c r="F74" s="120" t="inlineStr">
        <is>
          <t>2025</t>
        </is>
      </c>
      <c r="G74" s="119" t="inlineStr">
        <is>
          <t>重申目标</t>
        </is>
      </c>
      <c r="H74" s="119" t="inlineStr">
        <is>
          <t>生产导向</t>
        </is>
      </c>
      <c r="I74" s="119" t="inlineStr">
        <is>
          <t>全社会经济</t>
        </is>
      </c>
      <c r="J74" s="119" t="inlineStr">
        <is>
          <t>到2025年，开发推广万种绿色产品。</t>
        </is>
      </c>
      <c r="K74" s="119" t="inlineStr">
        <is>
          <t>FYP2101.pdf</t>
        </is>
      </c>
      <c r="L74" s="119" t="inlineStr">
        <is>
          <t>工业</t>
        </is>
      </c>
    </row>
    <row r="75" ht="18" customHeight="1" s="235">
      <c r="A75" s="119" t="n">
        <v>2017</v>
      </c>
      <c r="B75" s="119" t="inlineStr">
        <is>
          <t>工业余热供暖面积目标</t>
        </is>
      </c>
      <c r="C75" s="119" t="inlineStr">
        <is>
          <t>达到</t>
        </is>
      </c>
      <c r="D75" s="119" t="inlineStr">
        <is>
          <t>2亿平方米</t>
        </is>
      </c>
      <c r="E75" s="119" t="n"/>
      <c r="F75" s="120" t="inlineStr">
        <is>
          <t>2021</t>
        </is>
      </c>
      <c r="G75" s="119" t="inlineStr">
        <is>
          <t>新目标</t>
        </is>
      </c>
      <c r="H75" s="119" t="inlineStr">
        <is>
          <t>工业转型</t>
        </is>
      </c>
      <c r="I75" s="119" t="inlineStr">
        <is>
          <t>地区</t>
        </is>
      </c>
      <c r="J75" s="119" t="inlineStr">
        <is>
          <t>到2021年，工业余热（不含电厂余热）供暖面积目标达到2亿平方米。</t>
        </is>
      </c>
      <c r="K75" s="119" t="inlineStr">
        <is>
          <t>PF1701.pdf</t>
        </is>
      </c>
      <c r="L75" s="119" t="inlineStr">
        <is>
          <t>工业</t>
        </is>
      </c>
    </row>
    <row r="76" ht="18" customHeight="1" s="235">
      <c r="A76" s="119" t="n">
        <v>2012</v>
      </c>
      <c r="B76" s="119" t="inlineStr">
        <is>
          <t>核电装备制造能力</t>
        </is>
      </c>
      <c r="C76" s="119" t="inlineStr">
        <is>
          <t>稳定在…以上</t>
        </is>
      </c>
      <c r="D76" s="119" t="inlineStr">
        <is>
          <t>1000万千瓦以上</t>
        </is>
      </c>
      <c r="E76" s="119" t="n"/>
      <c r="F76" s="120" t="inlineStr">
        <is>
          <t>2015</t>
        </is>
      </c>
      <c r="G76" s="119" t="inlineStr">
        <is>
          <t>新目标</t>
        </is>
      </c>
      <c r="H76" s="119" t="inlineStr">
        <is>
          <t>生产导向</t>
        </is>
      </c>
      <c r="I76" s="119" t="inlineStr">
        <is>
          <t>行业</t>
        </is>
      </c>
      <c r="J76" s="119" t="inlineStr">
        <is>
          <t>到2015年，包括三代在内的核电装备制造能力稳定在1000万千瓦以上。</t>
        </is>
      </c>
      <c r="K76" s="119" t="inlineStr">
        <is>
          <t>FYP1203.htm</t>
        </is>
      </c>
      <c r="L76" s="119" t="inlineStr">
        <is>
          <t>工业</t>
        </is>
      </c>
    </row>
    <row r="77" ht="18" customHeight="1" s="235">
      <c r="A77" s="119" t="n">
        <v>2016</v>
      </c>
      <c r="B77" s="119" t="inlineStr">
        <is>
          <t>节能家电市场占有率</t>
        </is>
      </c>
      <c r="C77" s="119" t="inlineStr">
        <is>
          <t>达到</t>
        </is>
      </c>
      <c r="D77" s="119" t="inlineStr">
        <is>
          <t>50%</t>
        </is>
      </c>
      <c r="E77" s="119" t="n"/>
      <c r="F77" s="120" t="inlineStr">
        <is>
          <t>2020</t>
        </is>
      </c>
      <c r="G77" s="119" t="inlineStr">
        <is>
          <t>新目标</t>
        </is>
      </c>
      <c r="H77" s="119" t="inlineStr">
        <is>
          <t>生产导向</t>
        </is>
      </c>
      <c r="I77" s="119" t="inlineStr">
        <is>
          <t>不明确</t>
        </is>
      </c>
      <c r="J77" s="119" t="inlineStr">
        <is>
          <t>到2020年，能效标识2级及以上的空调、冰箱、热水器等节能家电市场占有率达到50%以上。</t>
        </is>
      </c>
      <c r="K77" s="119" t="inlineStr">
        <is>
          <t>FYP1601.htm</t>
        </is>
      </c>
      <c r="L77" s="119" t="inlineStr">
        <is>
          <t>工业</t>
        </is>
      </c>
    </row>
    <row r="78" ht="18" customHeight="1" s="235">
      <c r="A78" s="119" t="n">
        <v>2013</v>
      </c>
      <c r="B78" s="119" t="inlineStr">
        <is>
          <t>高效节能产品市场占有率</t>
        </is>
      </c>
      <c r="C78" s="119" t="inlineStr">
        <is>
          <t>提高至</t>
        </is>
      </c>
      <c r="D78" s="119" t="inlineStr">
        <is>
          <t>50%以上</t>
        </is>
      </c>
      <c r="E78" s="119" t="n"/>
      <c r="F78" s="120" t="inlineStr">
        <is>
          <t>2015</t>
        </is>
      </c>
      <c r="G78" s="119" t="inlineStr">
        <is>
          <t>新目标</t>
        </is>
      </c>
      <c r="H78" s="119" t="inlineStr">
        <is>
          <t>生产导向</t>
        </is>
      </c>
      <c r="I78" s="119" t="inlineStr">
        <is>
          <t>不明确</t>
        </is>
      </c>
      <c r="J78" s="119" t="inlineStr">
        <is>
          <t>到2015年，高效节能产品市场占有率提高到50%以上。</t>
        </is>
      </c>
      <c r="K78" s="119" t="inlineStr">
        <is>
          <t>O1302.htm</t>
        </is>
      </c>
      <c r="L78" s="119" t="inlineStr">
        <is>
          <t>工业</t>
        </is>
      </c>
    </row>
    <row r="79" ht="18" customHeight="1" s="235">
      <c r="A79" s="119" t="n">
        <v>2024</v>
      </c>
      <c r="B79" s="119" t="inlineStr">
        <is>
          <t>全国水泥熟料产能</t>
        </is>
      </c>
      <c r="C79" s="119" t="inlineStr">
        <is>
          <t>控制在…以内</t>
        </is>
      </c>
      <c r="D79" s="119" t="inlineStr">
        <is>
          <t>18亿吨</t>
        </is>
      </c>
      <c r="E79" s="119" t="n"/>
      <c r="F79" s="120" t="inlineStr">
        <is>
          <t>2025</t>
        </is>
      </c>
      <c r="G79" s="119" t="inlineStr">
        <is>
          <t>新目标</t>
        </is>
      </c>
      <c r="H79" s="119" t="inlineStr">
        <is>
          <t>生产导向</t>
        </is>
      </c>
      <c r="I79" s="119" t="inlineStr">
        <is>
          <t>全社会经济</t>
        </is>
      </c>
      <c r="J79" s="119" t="inlineStr">
        <is>
          <t>到2025年底，全国水泥熟料产能控制在18亿吨左右。</t>
        </is>
      </c>
      <c r="K79" s="119" t="inlineStr">
        <is>
          <t>AP2405.htm</t>
        </is>
      </c>
      <c r="L79" s="119" t="inlineStr">
        <is>
          <t>工业</t>
        </is>
      </c>
    </row>
    <row r="80" ht="18" customHeight="1" s="235">
      <c r="A80" s="119" t="n">
        <v>2012</v>
      </c>
      <c r="B80" s="119" t="inlineStr">
        <is>
          <t>国家低碳产业示范园区数量</t>
        </is>
      </c>
      <c r="C80" s="119" t="inlineStr">
        <is>
          <t>形成</t>
        </is>
      </c>
      <c r="D80" s="119" t="inlineStr">
        <is>
          <t>80个</t>
        </is>
      </c>
      <c r="E80" s="119" t="n"/>
      <c r="F80" s="120" t="inlineStr">
        <is>
          <t>十二五</t>
        </is>
      </c>
      <c r="G80" s="119" t="inlineStr">
        <is>
          <t>新目标</t>
        </is>
      </c>
      <c r="H80" s="119" t="inlineStr">
        <is>
          <t>工业转型</t>
        </is>
      </c>
      <c r="I80" s="119" t="inlineStr">
        <is>
          <t>全社会经济</t>
        </is>
      </c>
      <c r="J80" s="119" t="inlineStr">
        <is>
          <t>“十二五”期间，在工业领域力争培育和形成80个国家低碳产业示范园区。</t>
        </is>
      </c>
      <c r="K80" s="119" t="inlineStr">
        <is>
          <t>AP1201.pdf</t>
        </is>
      </c>
      <c r="L80" s="119" t="inlineStr">
        <is>
          <t>工业</t>
        </is>
      </c>
    </row>
    <row r="81" ht="18" customHeight="1" s="235">
      <c r="A81" s="119" t="n">
        <v>2026</v>
      </c>
      <c r="B81" s="119" t="inlineStr">
        <is>
          <t>国家级零碳园区</t>
        </is>
      </c>
      <c r="C81" s="119" t="inlineStr">
        <is>
          <t>建设</t>
        </is>
      </c>
      <c r="D81" s="119" t="inlineStr">
        <is>
          <t>一百个左右</t>
        </is>
      </c>
      <c r="E81" s="119" t="n"/>
      <c r="F81" s="120" t="inlineStr">
        <is>
          <t>十五五</t>
        </is>
      </c>
      <c r="G81" s="119" t="inlineStr">
        <is>
          <t>新目标</t>
        </is>
      </c>
      <c r="H81" s="119" t="inlineStr">
        <is>
          <t>工业转型</t>
        </is>
      </c>
      <c r="I81" s="119" t="inlineStr">
        <is>
          <t>行业-工业园区</t>
        </is>
      </c>
      <c r="J81" s="119" t="inlineStr">
        <is>
          <t>因地制宜发展绿电直供，建设100个左右国家级零碳园区。</t>
        </is>
      </c>
      <c r="K81" s="119" t="inlineStr">
        <is>
          <t>HL2601.pdf</t>
        </is>
      </c>
      <c r="L81" s="119" t="inlineStr">
        <is>
          <t>工业</t>
        </is>
      </c>
    </row>
    <row r="82" ht="18" customHeight="1" s="235">
      <c r="A82" s="0" t="n">
        <v>2026</v>
      </c>
      <c r="B82" s="0" t="inlineStr">
        <is>
          <t>国家级零碳园区</t>
        </is>
      </c>
      <c r="C82" s="0" t="inlineStr">
        <is>
          <t>建设</t>
        </is>
      </c>
      <c r="D82" s="0" t="inlineStr">
        <is>
          <t>100个左右</t>
        </is>
      </c>
      <c r="F82" s="0" t="inlineStr">
        <is>
          <t>十五五</t>
        </is>
      </c>
      <c r="G82" s="0" t="inlineStr">
        <is>
          <t>重申目标</t>
        </is>
      </c>
      <c r="H82" s="0" t="inlineStr">
        <is>
          <t>工业转型</t>
        </is>
      </c>
      <c r="I82" s="0" t="inlineStr">
        <is>
          <t>城市与地区</t>
        </is>
      </c>
      <c r="J82" s="0" t="inlineStr">
        <is>
          <t>“十五五”期间，建设100个左右国家级零碳园区和500个左右零碳工厂。</t>
        </is>
      </c>
      <c r="K82" s="0" t="inlineStr">
        <is>
          <t>HL2604.htm</t>
        </is>
      </c>
      <c r="L82" s="0" t="inlineStr">
        <is>
          <t>工业</t>
        </is>
      </c>
    </row>
    <row r="83" ht="18" customHeight="1" s="235">
      <c r="A83" s="119" t="n">
        <v>2016</v>
      </c>
      <c r="B83" s="119" t="inlineStr">
        <is>
          <t>近零碳排放区示范工程</t>
        </is>
      </c>
      <c r="C83" s="119" t="inlineStr">
        <is>
          <t>建设</t>
        </is>
      </c>
      <c r="D83" s="119" t="inlineStr">
        <is>
          <t>50个</t>
        </is>
      </c>
      <c r="E83" s="119" t="n"/>
      <c r="F83" s="120" t="inlineStr">
        <is>
          <t>2020</t>
        </is>
      </c>
      <c r="G83" s="119" t="inlineStr">
        <is>
          <t>新目标</t>
        </is>
      </c>
      <c r="H83" s="119" t="inlineStr">
        <is>
          <t>工业转型</t>
        </is>
      </c>
      <c r="I83" s="119" t="inlineStr">
        <is>
          <t>全社会经济</t>
        </is>
      </c>
      <c r="J83" s="119" t="inlineStr">
        <is>
          <t>选择条件成熟的限制开发区域和禁止开发区域、生态功能区、工矿区、城镇等开展近零碳排放区示范工程，到2020年建设50个示范项目。</t>
        </is>
      </c>
      <c r="K83" s="119" t="inlineStr">
        <is>
          <t>FYP1615.htm</t>
        </is>
      </c>
      <c r="L83" s="119" t="inlineStr">
        <is>
          <t>工业</t>
        </is>
      </c>
    </row>
    <row r="84" ht="18" customHeight="1" s="235">
      <c r="A84" s="119" t="n">
        <v>2025</v>
      </c>
      <c r="B84" s="119" t="inlineStr">
        <is>
          <t>新能源汽车销量</t>
        </is>
      </c>
      <c r="C84" s="119" t="inlineStr">
        <is>
          <t>达到</t>
        </is>
      </c>
      <c r="D84" s="119" t="inlineStr">
        <is>
          <t>约1550万辆</t>
        </is>
      </c>
      <c r="E84" s="119" t="n"/>
      <c r="F84" s="120" t="n">
        <v>2025</v>
      </c>
      <c r="G84" s="119" t="inlineStr">
        <is>
          <t>新目标</t>
        </is>
      </c>
      <c r="H84" s="119" t="inlineStr">
        <is>
          <t>生产导向</t>
        </is>
      </c>
      <c r="I84" s="119" t="inlineStr">
        <is>
          <t>行业</t>
        </is>
      </c>
      <c r="J84" s="119" t="inlineStr">
        <is>
          <t>其中，新能源汽车销量预计达到约1550万辆，同比增长约20%。</t>
        </is>
      </c>
      <c r="K84" s="119" t="inlineStr">
        <is>
          <t>WOP2502.pdf</t>
        </is>
      </c>
      <c r="L84" s="119" t="inlineStr">
        <is>
          <t>工业</t>
        </is>
      </c>
    </row>
    <row r="85" ht="18" customHeight="1" s="235">
      <c r="A85" s="119" t="n">
        <v>2016</v>
      </c>
      <c r="B85" s="119" t="inlineStr">
        <is>
          <t>新能源汽车年产销量</t>
        </is>
      </c>
      <c r="C85" s="119" t="inlineStr">
        <is>
          <t>超过</t>
        </is>
      </c>
      <c r="D85" s="119" t="inlineStr">
        <is>
          <t>200万辆</t>
        </is>
      </c>
      <c r="E85" s="119" t="n"/>
      <c r="F85" s="120" t="inlineStr">
        <is>
          <t>2020</t>
        </is>
      </c>
      <c r="G85" s="119" t="inlineStr">
        <is>
          <t>新目标</t>
        </is>
      </c>
      <c r="H85" s="119" t="inlineStr">
        <is>
          <t>生产导向</t>
        </is>
      </c>
      <c r="I85" s="119" t="inlineStr">
        <is>
          <t>行业</t>
        </is>
      </c>
      <c r="J85" s="119" t="inlineStr">
        <is>
          <t>到2020年，实现当年产销200万辆以上</t>
        </is>
      </c>
      <c r="K85" s="119" t="inlineStr">
        <is>
          <t>FYP1613.htm</t>
        </is>
      </c>
      <c r="L85" s="119" t="inlineStr">
        <is>
          <t>工业</t>
        </is>
      </c>
    </row>
    <row r="86" ht="18" customHeight="1" s="235">
      <c r="A86" s="119" t="n">
        <v>2017</v>
      </c>
      <c r="B86" s="119" t="inlineStr">
        <is>
          <t>新能源汽车年产销</t>
        </is>
      </c>
      <c r="C86" s="119" t="inlineStr">
        <is>
          <t>达到</t>
        </is>
      </c>
      <c r="D86" s="119" t="inlineStr">
        <is>
          <t>200万辆</t>
        </is>
      </c>
      <c r="E86" s="119" t="n"/>
      <c r="F86" s="120" t="inlineStr">
        <is>
          <t>2020</t>
        </is>
      </c>
      <c r="G86" s="119" t="inlineStr">
        <is>
          <t>重申目标</t>
        </is>
      </c>
      <c r="H86" s="119" t="inlineStr">
        <is>
          <t>生产导向</t>
        </is>
      </c>
      <c r="I86" s="119" t="inlineStr">
        <is>
          <t>行业</t>
        </is>
      </c>
      <c r="J86" s="119" t="inlineStr">
        <is>
          <t>到2020年，新能源汽车年产销达到200万辆。</t>
        </is>
      </c>
      <c r="K86" s="119" t="inlineStr">
        <is>
          <t>DP1701.htm</t>
        </is>
      </c>
      <c r="L86" s="119" t="inlineStr">
        <is>
          <t>工业</t>
        </is>
      </c>
    </row>
    <row r="87" ht="18" customHeight="1" s="235">
      <c r="A87" s="119" t="n">
        <v>2012</v>
      </c>
      <c r="B87" s="119" t="inlineStr">
        <is>
          <t>新能源汽车年生产能力</t>
        </is>
      </c>
      <c r="C87" s="119" t="inlineStr">
        <is>
          <t>达到</t>
        </is>
      </c>
      <c r="D87" s="119" t="inlineStr">
        <is>
          <t>200万辆</t>
        </is>
      </c>
      <c r="E87" s="119" t="n"/>
      <c r="F87" s="120" t="inlineStr">
        <is>
          <t>2020</t>
        </is>
      </c>
      <c r="G87" s="119" t="inlineStr">
        <is>
          <t>新目标</t>
        </is>
      </c>
      <c r="H87" s="119" t="inlineStr">
        <is>
          <t>生产导向</t>
        </is>
      </c>
      <c r="I87" s="119" t="inlineStr">
        <is>
          <t>行业</t>
        </is>
      </c>
      <c r="J87" s="119" t="inlineStr">
        <is>
          <t>到2020年，纯电动汽车和插电式混合动力汽车生产能力达200万辆。</t>
        </is>
      </c>
      <c r="K87" s="119" t="inlineStr">
        <is>
          <t>DP1201.htm</t>
        </is>
      </c>
      <c r="L87" s="119" t="inlineStr">
        <is>
          <t>工业</t>
        </is>
      </c>
    </row>
    <row r="88" ht="18" customHeight="1" s="235">
      <c r="A88" s="119" t="n">
        <v>2016</v>
      </c>
      <c r="B88" s="119" t="inlineStr">
        <is>
          <t>新能源汽车累计产销量</t>
        </is>
      </c>
      <c r="C88" s="119" t="inlineStr">
        <is>
          <t>超过</t>
        </is>
      </c>
      <c r="D88" s="119" t="inlineStr">
        <is>
          <t>500万辆</t>
        </is>
      </c>
      <c r="E88" s="119" t="n"/>
      <c r="F88" s="120" t="inlineStr">
        <is>
          <t>2020</t>
        </is>
      </c>
      <c r="G88" s="119" t="inlineStr">
        <is>
          <t>重申目标</t>
        </is>
      </c>
      <c r="H88" s="119" t="inlineStr">
        <is>
          <t>生产导向</t>
        </is>
      </c>
      <c r="I88" s="119" t="inlineStr">
        <is>
          <t>行业</t>
        </is>
      </c>
      <c r="J88" s="119" t="inlineStr">
        <is>
          <t>到2020年，实现当年产销200万辆以上，累计产销超过500万辆。</t>
        </is>
      </c>
      <c r="K88" s="119" t="inlineStr">
        <is>
          <t>FYP1613.htm</t>
        </is>
      </c>
      <c r="L88" s="119" t="inlineStr">
        <is>
          <t>工业</t>
        </is>
      </c>
    </row>
    <row r="89" ht="18" customHeight="1" s="235">
      <c r="A89" s="119" t="n">
        <v>2012</v>
      </c>
      <c r="B89" s="119" t="inlineStr">
        <is>
          <t>新能源汽车累计产销量</t>
        </is>
      </c>
      <c r="C89" s="119" t="inlineStr">
        <is>
          <t>达到</t>
        </is>
      </c>
      <c r="D89" s="120" t="inlineStr">
        <is>
          <t>50万辆</t>
        </is>
      </c>
      <c r="E89" s="120" t="n"/>
      <c r="F89" s="120" t="n">
        <v>2015</v>
      </c>
      <c r="G89" s="119" t="inlineStr">
        <is>
          <t>新目标</t>
        </is>
      </c>
      <c r="H89" s="119" t="inlineStr">
        <is>
          <t>生产导向</t>
        </is>
      </c>
      <c r="I89" s="119" t="inlineStr">
        <is>
          <t>行业</t>
        </is>
      </c>
      <c r="J89" s="119" t="inlineStr">
        <is>
          <t>到2015年，纯电动汽车和插电式混合动力汽车累计产销量力争达到50万辆。</t>
        </is>
      </c>
      <c r="K89" s="119" t="inlineStr">
        <is>
          <t>DP1201.htm</t>
        </is>
      </c>
      <c r="L89" s="119" t="inlineStr">
        <is>
          <t>工业</t>
        </is>
      </c>
    </row>
    <row r="90" ht="18" customHeight="1" s="235">
      <c r="A90" s="119" t="n">
        <v>2012</v>
      </c>
      <c r="B90" s="119" t="inlineStr">
        <is>
          <t>新能源汽车累计产销量</t>
        </is>
      </c>
      <c r="C90" s="119" t="inlineStr">
        <is>
          <t>超过</t>
        </is>
      </c>
      <c r="D90" s="119" t="inlineStr">
        <is>
          <t>500万辆</t>
        </is>
      </c>
      <c r="E90" s="119" t="n"/>
      <c r="F90" s="120" t="inlineStr">
        <is>
          <t>2020</t>
        </is>
      </c>
      <c r="G90" s="119" t="inlineStr">
        <is>
          <t>新目标</t>
        </is>
      </c>
      <c r="H90" s="119" t="inlineStr">
        <is>
          <t>生产导向</t>
        </is>
      </c>
      <c r="I90" s="119" t="inlineStr">
        <is>
          <t>行业</t>
        </is>
      </c>
      <c r="J90" s="119" t="inlineStr">
        <is>
          <t>到2020年，纯电动汽车和插电式混合动力汽车累计产销量超过500万辆，燃料电池汽车、车用氢能源产业与国际同步发展。</t>
        </is>
      </c>
      <c r="K90" s="119" t="inlineStr">
        <is>
          <t>DP1201.htm</t>
        </is>
      </c>
      <c r="L90" s="119" t="inlineStr">
        <is>
          <t>工业</t>
        </is>
      </c>
    </row>
    <row r="91" ht="18" customHeight="1" s="235">
      <c r="A91" s="119" t="n">
        <v>2021</v>
      </c>
      <c r="B91" s="119" t="inlineStr">
        <is>
          <t>新能源汽车在年度汽车总销量中的占比</t>
        </is>
      </c>
      <c r="C91" s="119" t="inlineStr">
        <is>
          <t>达到</t>
        </is>
      </c>
      <c r="D91" s="119" t="inlineStr">
        <is>
          <t>40%</t>
        </is>
      </c>
      <c r="E91" s="119" t="n"/>
      <c r="F91" s="119" t="inlineStr">
        <is>
          <t>2030</t>
        </is>
      </c>
      <c r="G91" s="119" t="inlineStr">
        <is>
          <t>重申目标</t>
        </is>
      </c>
      <c r="H91" s="119" t="inlineStr">
        <is>
          <t>生产导向</t>
        </is>
      </c>
      <c r="I91" s="119" t="inlineStr">
        <is>
          <t>全社会经济</t>
        </is>
      </c>
      <c r="J91" s="119" t="inlineStr">
        <is>
          <t>到2030年，新能源汽车和清洁能源汽车占当年汽车总销量的比例将达到约40%</t>
        </is>
      </c>
      <c r="K91" s="119" t="inlineStr">
        <is>
          <t>HL2104.pdf</t>
        </is>
      </c>
      <c r="L91" s="119" t="inlineStr">
        <is>
          <t>工业</t>
        </is>
      </c>
    </row>
    <row r="92" ht="18" customHeight="1" s="235">
      <c r="A92" s="119" t="n">
        <v>2023</v>
      </c>
      <c r="B92" s="119" t="inlineStr">
        <is>
          <t>新能源汽车占年度汽车总销量比重</t>
        </is>
      </c>
      <c r="C92" s="119" t="inlineStr">
        <is>
          <t>达到</t>
        </is>
      </c>
      <c r="D92" s="119" t="inlineStr">
        <is>
          <t>40%</t>
        </is>
      </c>
      <c r="E92" s="119" t="n"/>
      <c r="F92" s="119" t="inlineStr">
        <is>
          <t>2030</t>
        </is>
      </c>
      <c r="G92" s="119" t="inlineStr">
        <is>
          <t>新目标</t>
        </is>
      </c>
      <c r="H92" s="119" t="inlineStr">
        <is>
          <t>生产导向</t>
        </is>
      </c>
      <c r="I92" s="119" t="inlineStr">
        <is>
          <t>全社会经济</t>
        </is>
      </c>
      <c r="J92" s="119" t="inlineStr">
        <is>
          <t>到2030年，每年新增车辆中约40%将使用可再生能源和清洁能源。</t>
        </is>
      </c>
      <c r="K92" s="119" t="inlineStr">
        <is>
          <t>HL2302.pdf</t>
        </is>
      </c>
      <c r="L92" s="119" t="inlineStr">
        <is>
          <t>工业</t>
        </is>
      </c>
    </row>
    <row r="93" ht="18" customHeight="1" s="235">
      <c r="A93" s="119" t="n">
        <v>2021</v>
      </c>
      <c r="B93" s="119" t="inlineStr">
        <is>
          <t>新能源汽车新车销售量占汽车新车销售总量的比例</t>
        </is>
      </c>
      <c r="C93" s="119" t="inlineStr">
        <is>
          <t>达到</t>
        </is>
      </c>
      <c r="D93" s="119" t="inlineStr">
        <is>
          <t>20%</t>
        </is>
      </c>
      <c r="E93" s="119" t="n"/>
      <c r="F93" s="119" t="inlineStr">
        <is>
          <t>2025</t>
        </is>
      </c>
      <c r="G93" s="119" t="inlineStr">
        <is>
          <t>重申目标</t>
        </is>
      </c>
      <c r="H93" s="119" t="inlineStr">
        <is>
          <t>生产导向</t>
        </is>
      </c>
      <c r="I93" s="119" t="inlineStr">
        <is>
          <t>全社会经济</t>
        </is>
      </c>
      <c r="J93" s="119" t="inlineStr">
        <is>
          <t>到2025年，新能源汽车新车销售量达到汽车新车销售总量的20%左右，铁路、水路货运量占比进一步提升。</t>
        </is>
      </c>
      <c r="K93" s="119" t="inlineStr">
        <is>
          <t>FYP2107.htm</t>
        </is>
      </c>
      <c r="L93" s="119" t="inlineStr">
        <is>
          <t>工业</t>
        </is>
      </c>
    </row>
    <row r="94" ht="18" customHeight="1" s="235">
      <c r="A94" s="119" t="n">
        <v>2021</v>
      </c>
      <c r="B94" s="119" t="inlineStr">
        <is>
          <t>新能源汽车占当年汽车销售总量的比重</t>
        </is>
      </c>
      <c r="C94" s="119" t="inlineStr">
        <is>
          <t>达到</t>
        </is>
      </c>
      <c r="D94" s="119" t="inlineStr">
        <is>
          <t>40%</t>
        </is>
      </c>
      <c r="E94" s="119" t="n"/>
      <c r="F94" s="119" t="inlineStr">
        <is>
          <t>2030</t>
        </is>
      </c>
      <c r="G94" s="119" t="inlineStr">
        <is>
          <t>重申目标</t>
        </is>
      </c>
      <c r="H94" s="119" t="inlineStr">
        <is>
          <t>生产导向</t>
        </is>
      </c>
      <c r="I94" s="119" t="inlineStr">
        <is>
          <t>全社会经济</t>
        </is>
      </c>
      <c r="J94" s="119" t="inlineStr">
        <is>
          <t>到2030年，当年新增新能源、清洁能源动力的交通工具比例达到40%左右</t>
        </is>
      </c>
      <c r="K94" s="119" t="inlineStr">
        <is>
          <t>HL2102.pdf</t>
        </is>
      </c>
      <c r="L94" s="119" t="inlineStr">
        <is>
          <t>工业</t>
        </is>
      </c>
    </row>
    <row r="95" ht="18" customHeight="1" s="235">
      <c r="A95" s="119" t="n">
        <v>2017</v>
      </c>
      <c r="B95" s="119" t="inlineStr">
        <is>
          <t>新能源汽车占汽车产销总量比重</t>
        </is>
      </c>
      <c r="C95" s="119" t="inlineStr">
        <is>
          <t>占比达到</t>
        </is>
      </c>
      <c r="D95" s="119" t="inlineStr">
        <is>
          <t>20%</t>
        </is>
      </c>
      <c r="E95" s="119" t="n"/>
      <c r="F95" s="119" t="inlineStr">
        <is>
          <t>2025</t>
        </is>
      </c>
      <c r="G95" s="119" t="inlineStr">
        <is>
          <t>新目标</t>
        </is>
      </c>
      <c r="H95" s="119" t="inlineStr">
        <is>
          <t>生产导向</t>
        </is>
      </c>
      <c r="I95" s="119" t="inlineStr">
        <is>
          <t>全社会经济</t>
        </is>
      </c>
      <c r="J95" s="119" t="inlineStr">
        <is>
          <t>到2025年，新能源汽车占汽车产销20%以上</t>
        </is>
      </c>
      <c r="K95" s="119" t="inlineStr">
        <is>
          <t>DP1701.htm</t>
        </is>
      </c>
      <c r="L95" s="119" t="inlineStr">
        <is>
          <t>工业</t>
        </is>
      </c>
    </row>
    <row r="96" ht="18" customHeight="1" s="235">
      <c r="A96" s="119" t="n">
        <v>2024</v>
      </c>
      <c r="B96" s="119" t="inlineStr">
        <is>
          <t>新能源汽车占汽车总产销量的比重</t>
        </is>
      </c>
      <c r="C96" s="119" t="inlineStr">
        <is>
          <t>达到</t>
        </is>
      </c>
      <c r="D96" s="119" t="inlineStr">
        <is>
          <t>45%</t>
        </is>
      </c>
      <c r="E96" s="119" t="n"/>
      <c r="F96" s="119" t="inlineStr">
        <is>
          <t>2027</t>
        </is>
      </c>
      <c r="G96" s="119" t="inlineStr">
        <is>
          <t>新目标</t>
        </is>
      </c>
      <c r="H96" s="119" t="inlineStr">
        <is>
          <t>生产导向</t>
        </is>
      </c>
      <c r="I96" s="119" t="inlineStr">
        <is>
          <t>全社会经济</t>
        </is>
      </c>
      <c r="J96" s="119" t="inlineStr">
        <is>
          <t>到2027年，新增汽车中新能源汽车占比力争达到45%。</t>
        </is>
      </c>
      <c r="K96" s="119" t="inlineStr">
        <is>
          <t>O2405.htm</t>
        </is>
      </c>
      <c r="L96" s="119" t="inlineStr">
        <is>
          <t>工业</t>
        </is>
      </c>
    </row>
    <row r="97" ht="18" customHeight="1" s="235">
      <c r="A97" s="119" t="n">
        <v>2024</v>
      </c>
      <c r="B97" s="119" t="inlineStr">
        <is>
          <t>大气污染防治重点区域新能源汽车占汽车总销量的比重</t>
        </is>
      </c>
      <c r="C97" s="119" t="inlineStr">
        <is>
          <t>占比达到</t>
        </is>
      </c>
      <c r="D97" s="119" t="inlineStr">
        <is>
          <t>50%</t>
        </is>
      </c>
      <c r="E97" s="119" t="n"/>
      <c r="F97" s="119" t="inlineStr">
        <is>
          <t>2030</t>
        </is>
      </c>
      <c r="G97" s="119" t="inlineStr">
        <is>
          <t>新目标</t>
        </is>
      </c>
      <c r="H97" s="119" t="inlineStr">
        <is>
          <t>生产导向</t>
        </is>
      </c>
      <c r="I97" s="119" t="inlineStr">
        <is>
          <t>地区</t>
        </is>
      </c>
      <c r="J97" s="119" t="inlineStr">
        <is>
          <t>到2030年，大气污染防治重点区域的新能源汽车销售量将占新车销售总量的50%左右。</t>
        </is>
      </c>
      <c r="K97" s="119" t="inlineStr">
        <is>
          <t>HL2401.pdf</t>
        </is>
      </c>
      <c r="L97" s="119" t="inlineStr">
        <is>
          <t>工业</t>
        </is>
      </c>
    </row>
    <row r="98" ht="18" customHeight="1" s="235">
      <c r="A98" s="119" t="n">
        <v>2022</v>
      </c>
      <c r="B98" s="119" t="inlineStr">
        <is>
          <t>节能低碳建材技术数量</t>
        </is>
      </c>
      <c r="C98" s="119" t="inlineStr">
        <is>
          <t>推广</t>
        </is>
      </c>
      <c r="D98" s="119" t="inlineStr">
        <is>
          <t>100项</t>
        </is>
      </c>
      <c r="E98" s="119" t="n"/>
      <c r="F98" s="120" t="inlineStr">
        <is>
          <t>2030</t>
        </is>
      </c>
      <c r="G98" s="119" t="inlineStr">
        <is>
          <t>新目标</t>
        </is>
      </c>
      <c r="H98" s="119" t="inlineStr">
        <is>
          <t>生产导向</t>
        </is>
      </c>
      <c r="I98" s="119" t="inlineStr">
        <is>
          <t>行业</t>
        </is>
      </c>
      <c r="J98" s="119" t="inlineStr">
        <is>
          <t>每年遴选公布一批节能低碳建材技术和装备，到2030年累计推广超过100项。</t>
        </is>
      </c>
      <c r="K98" s="119" t="inlineStr">
        <is>
          <t>IP2220.htm</t>
        </is>
      </c>
      <c r="L98" s="119" t="inlineStr">
        <is>
          <t>工业</t>
        </is>
      </c>
    </row>
    <row r="99" ht="18" customHeight="1" s="235">
      <c r="A99" s="119" t="n">
        <v>2012</v>
      </c>
      <c r="B99" s="119" t="inlineStr">
        <is>
          <t>节能服务公司数量</t>
        </is>
      </c>
      <c r="C99" s="119" t="inlineStr">
        <is>
          <t>提高至</t>
        </is>
      </c>
      <c r="D99" s="119" t="inlineStr">
        <is>
          <t>2000家</t>
        </is>
      </c>
      <c r="E99" s="119" t="n"/>
      <c r="F99" s="120" t="inlineStr">
        <is>
          <t>2015</t>
        </is>
      </c>
      <c r="G99" s="119" t="inlineStr">
        <is>
          <t>新目标</t>
        </is>
      </c>
      <c r="H99" s="119" t="inlineStr">
        <is>
          <t>生产导向</t>
        </is>
      </c>
      <c r="I99" s="119" t="inlineStr">
        <is>
          <t>行业</t>
        </is>
      </c>
      <c r="J99" s="119" t="inlineStr">
        <is>
          <t>到2015年，节能服务公司发展到2000多家。</t>
        </is>
      </c>
      <c r="K99" s="119" t="inlineStr">
        <is>
          <t>FYP1201.htm</t>
        </is>
      </c>
      <c r="L99" s="119" t="inlineStr">
        <is>
          <t>工业</t>
        </is>
      </c>
    </row>
    <row r="100" ht="18" customHeight="1" s="235">
      <c r="A100" s="0" t="n">
        <v>2026</v>
      </c>
      <c r="B100" s="0" t="inlineStr">
        <is>
          <t>零碳工厂建设数量</t>
        </is>
      </c>
      <c r="C100" s="0" t="inlineStr">
        <is>
          <t>建设</t>
        </is>
      </c>
      <c r="D100" s="0" t="inlineStr">
        <is>
          <t>500个左右</t>
        </is>
      </c>
      <c r="F100" s="0" t="inlineStr">
        <is>
          <t>十五五</t>
        </is>
      </c>
      <c r="G100" s="0" t="inlineStr">
        <is>
          <t>重申目标</t>
        </is>
      </c>
      <c r="H100" s="0" t="inlineStr">
        <is>
          <t>工业转型</t>
        </is>
      </c>
      <c r="I100" s="0" t="inlineStr">
        <is>
          <t>企事业单位</t>
        </is>
      </c>
      <c r="J100" s="0" t="inlineStr">
        <is>
          <t>“十五五”期间，建设100个左右国家级零碳园区和500个左右零碳工厂。</t>
        </is>
      </c>
      <c r="K100" s="0" t="inlineStr">
        <is>
          <t>HL2604.htm</t>
        </is>
      </c>
      <c r="L100" s="0" t="inlineStr">
        <is>
          <t>工业</t>
        </is>
      </c>
    </row>
    <row r="101" ht="18" customHeight="1" s="235">
      <c r="A101" s="0" t="n">
        <v>2026</v>
      </c>
      <c r="B101" s="0" t="inlineStr">
        <is>
          <t>零碳工厂建设数量</t>
        </is>
      </c>
      <c r="C101" s="0" t="inlineStr">
        <is>
          <t>建设</t>
        </is>
      </c>
      <c r="D101" s="0" t="inlineStr">
        <is>
          <t>500个</t>
        </is>
      </c>
      <c r="F101" s="0" t="n">
        <v>2030</v>
      </c>
      <c r="G101" s="0" t="inlineStr">
        <is>
          <t>新目标</t>
        </is>
      </c>
      <c r="H101" s="0" t="inlineStr">
        <is>
          <t>工业转型</t>
        </is>
      </c>
      <c r="I101" s="0" t="inlineStr">
        <is>
          <t>企事业单位</t>
        </is>
      </c>
      <c r="J101" s="0" t="inlineStr">
        <is>
          <t>专栏1：零碳工厂培育建设数量（个）2030年500</t>
        </is>
      </c>
      <c r="K101" s="0" t="inlineStr">
        <is>
          <t>FYP2605.htm</t>
        </is>
      </c>
      <c r="L101" s="0" t="inlineStr">
        <is>
          <t>工业</t>
        </is>
      </c>
    </row>
    <row r="102" ht="18" customHeight="1" s="235">
      <c r="A102" s="119" t="n">
        <v>2016</v>
      </c>
      <c r="B102" s="119" t="inlineStr">
        <is>
          <t>生物产业产值规模</t>
        </is>
      </c>
      <c r="C102" s="119" t="inlineStr">
        <is>
          <t>达到</t>
        </is>
      </c>
      <c r="D102" s="119" t="inlineStr">
        <is>
          <t>8-10万亿元</t>
        </is>
      </c>
      <c r="E102" s="119" t="n"/>
      <c r="F102" s="120" t="inlineStr">
        <is>
          <t>2020</t>
        </is>
      </c>
      <c r="G102" s="119" t="inlineStr">
        <is>
          <t>新目标</t>
        </is>
      </c>
      <c r="H102" s="119" t="inlineStr">
        <is>
          <t>生产导向</t>
        </is>
      </c>
      <c r="I102" s="119" t="inlineStr">
        <is>
          <t>行业</t>
        </is>
      </c>
      <c r="J102" s="119" t="inlineStr">
        <is>
          <t>到2020年，生物产业规模达到8—10万亿元，形成一批具有较强国际竞争力的新型生物技术企业和生物经济集群。</t>
        </is>
      </c>
      <c r="K102" s="119" t="inlineStr">
        <is>
          <t>FYP1613.htm</t>
        </is>
      </c>
      <c r="L102" s="119" t="inlineStr">
        <is>
          <t>工业</t>
        </is>
      </c>
    </row>
    <row r="103" ht="18" customHeight="1" s="235">
      <c r="A103" s="119" t="n">
        <v>2016</v>
      </c>
      <c r="B103" s="119" t="inlineStr">
        <is>
          <t>节能环保、新能源装备、新能源汽车等绿色低碳产业总产值</t>
        </is>
      </c>
      <c r="C103" s="119" t="inlineStr">
        <is>
          <t>超过</t>
        </is>
      </c>
      <c r="D103" s="119" t="inlineStr">
        <is>
          <t>10万亿元</t>
        </is>
      </c>
      <c r="E103" s="119" t="n"/>
      <c r="F103" s="120" t="inlineStr">
        <is>
          <t>2020</t>
        </is>
      </c>
      <c r="G103" s="119" t="inlineStr">
        <is>
          <t>新目标</t>
        </is>
      </c>
      <c r="H103" s="119" t="inlineStr">
        <is>
          <t>生产导向</t>
        </is>
      </c>
      <c r="I103" s="119" t="inlineStr">
        <is>
          <t>行业</t>
        </is>
      </c>
      <c r="J103" s="119" t="inlineStr">
        <is>
          <t>到2020年，节能环保、新能源装备、新能源汽车等绿色低碳产业总产值突破10万亿元，成为支柱产业。</t>
        </is>
      </c>
      <c r="K103" s="119" t="inlineStr">
        <is>
          <t>FYP1601.htm</t>
        </is>
      </c>
      <c r="L103" s="119" t="inlineStr">
        <is>
          <t>工业</t>
        </is>
      </c>
    </row>
    <row r="104" ht="18" customHeight="1" s="235">
      <c r="A104" s="119" t="n">
        <v>2016</v>
      </c>
      <c r="B104" s="119" t="inlineStr">
        <is>
          <t>高效节能产业产值规模</t>
        </is>
      </c>
      <c r="C104" s="119" t="inlineStr">
        <is>
          <t>达到</t>
        </is>
      </c>
      <c r="D104" s="119" t="inlineStr">
        <is>
          <t>3万亿元</t>
        </is>
      </c>
      <c r="E104" s="119" t="n"/>
      <c r="F104" s="120" t="inlineStr">
        <is>
          <t>2020</t>
        </is>
      </c>
      <c r="G104" s="119" t="inlineStr">
        <is>
          <t>新目标</t>
        </is>
      </c>
      <c r="H104" s="119" t="inlineStr">
        <is>
          <t>生产导向</t>
        </is>
      </c>
      <c r="I104" s="119" t="inlineStr">
        <is>
          <t>行业</t>
        </is>
      </c>
      <c r="J104" s="119" t="inlineStr">
        <is>
          <t>到2020年，高效节能产业产值规模力争达到3万亿元。</t>
        </is>
      </c>
      <c r="K104" s="119" t="inlineStr">
        <is>
          <t>FYP1613.htm</t>
        </is>
      </c>
      <c r="L104" s="119" t="inlineStr">
        <is>
          <t>工业</t>
        </is>
      </c>
    </row>
    <row r="105" ht="18" customHeight="1" s="235">
      <c r="A105" s="119" t="n">
        <v>2013</v>
      </c>
      <c r="B105" s="119" t="inlineStr">
        <is>
          <t>再制造产业产值</t>
        </is>
      </c>
      <c r="C105" s="119" t="inlineStr">
        <is>
          <t>达到</t>
        </is>
      </c>
      <c r="D105" s="119" t="inlineStr">
        <is>
          <t>500亿元</t>
        </is>
      </c>
      <c r="E105" s="119" t="n"/>
      <c r="F105" s="120" t="inlineStr">
        <is>
          <t>2015</t>
        </is>
      </c>
      <c r="G105" s="119" t="inlineStr">
        <is>
          <t>新目标</t>
        </is>
      </c>
      <c r="H105" s="119" t="inlineStr">
        <is>
          <t>生产导向</t>
        </is>
      </c>
      <c r="I105" s="119" t="inlineStr">
        <is>
          <t>行业</t>
        </is>
      </c>
      <c r="J105" s="119" t="inlineStr">
        <is>
          <t>到2015年，实现年再制造产业产值达500亿元左右。</t>
        </is>
      </c>
      <c r="K105" s="119" t="inlineStr">
        <is>
          <t>DP1301.htm</t>
        </is>
      </c>
      <c r="L105" s="119" t="inlineStr">
        <is>
          <t>工业</t>
        </is>
      </c>
    </row>
    <row r="106" ht="18" customHeight="1" s="235">
      <c r="A106" s="119" t="n">
        <v>2016</v>
      </c>
      <c r="B106" s="119" t="inlineStr">
        <is>
          <t>再制造产业产值</t>
        </is>
      </c>
      <c r="C106" s="119" t="inlineStr">
        <is>
          <t>达到</t>
        </is>
      </c>
      <c r="D106" s="119" t="inlineStr">
        <is>
          <t>2000亿元</t>
        </is>
      </c>
      <c r="E106" s="119" t="n"/>
      <c r="F106" s="120" t="inlineStr">
        <is>
          <t>2020</t>
        </is>
      </c>
      <c r="G106" s="119" t="inlineStr">
        <is>
          <t>新目标</t>
        </is>
      </c>
      <c r="H106" s="119" t="inlineStr">
        <is>
          <t>生产导向</t>
        </is>
      </c>
      <c r="I106" s="119" t="inlineStr">
        <is>
          <t>行业</t>
        </is>
      </c>
      <c r="J106" s="119" t="inlineStr">
        <is>
          <t>到2020年，再制造产业规模达到2000亿元。</t>
        </is>
      </c>
      <c r="K106" s="119" t="inlineStr">
        <is>
          <t>DP1601.htm</t>
        </is>
      </c>
      <c r="L106" s="119" t="inlineStr">
        <is>
          <t>工业</t>
        </is>
      </c>
    </row>
    <row r="107" ht="18" customHeight="1" s="235">
      <c r="A107" s="119" t="n">
        <v>2012</v>
      </c>
      <c r="B107" s="119" t="inlineStr">
        <is>
          <t>节能服务产业总产值</t>
        </is>
      </c>
      <c r="C107" s="119" t="inlineStr">
        <is>
          <t>达到</t>
        </is>
      </c>
      <c r="D107" s="119" t="inlineStr">
        <is>
          <t>3000亿元</t>
        </is>
      </c>
      <c r="E107" s="119" t="n"/>
      <c r="F107" s="120" t="inlineStr">
        <is>
          <t>2015</t>
        </is>
      </c>
      <c r="G107" s="119" t="inlineStr">
        <is>
          <t>新目标</t>
        </is>
      </c>
      <c r="H107" s="119" t="inlineStr">
        <is>
          <t>生产导向</t>
        </is>
      </c>
      <c r="I107" s="119" t="inlineStr">
        <is>
          <t>行业</t>
        </is>
      </c>
      <c r="J107" s="119" t="inlineStr">
        <is>
          <t>到2015年，节能服务产业总产值达到3000亿元。</t>
        </is>
      </c>
      <c r="K107" s="119" t="inlineStr">
        <is>
          <t>FYP1201.htm</t>
        </is>
      </c>
      <c r="L107" s="119" t="inlineStr">
        <is>
          <t>工业</t>
        </is>
      </c>
    </row>
    <row r="108" ht="18" customHeight="1" s="235">
      <c r="A108" s="119" t="n">
        <v>2013</v>
      </c>
      <c r="B108" s="119" t="inlineStr">
        <is>
          <t>重点钢铁企业焦炉干熄焦普及率</t>
        </is>
      </c>
      <c r="C108" s="119" t="inlineStr">
        <is>
          <t>达到</t>
        </is>
      </c>
      <c r="D108" s="119" t="inlineStr">
        <is>
          <t>95%</t>
        </is>
      </c>
      <c r="E108" s="119" t="n"/>
      <c r="F108" s="120" t="inlineStr">
        <is>
          <t>2015</t>
        </is>
      </c>
      <c r="G108" s="119" t="inlineStr">
        <is>
          <t>新目标</t>
        </is>
      </c>
      <c r="H108" s="119" t="inlineStr">
        <is>
          <t>工业转型</t>
        </is>
      </c>
      <c r="I108" s="119" t="inlineStr">
        <is>
          <t>企业</t>
        </is>
      </c>
      <c r="J108" s="119" t="inlineStr">
        <is>
          <t>到2015年，重点钢铁企业焦炉干熄焦普及率达到95%以上。</t>
        </is>
      </c>
      <c r="K108" s="119" t="inlineStr">
        <is>
          <t>DP1301.htm</t>
        </is>
      </c>
      <c r="L108" s="119" t="inlineStr">
        <is>
          <t>工业</t>
        </is>
      </c>
    </row>
    <row r="109" ht="18" customHeight="1" s="235">
      <c r="A109" s="119" t="n">
        <v>2024</v>
      </c>
      <c r="B109" s="119" t="inlineStr">
        <is>
          <t>碳排放管理试点企业和园区</t>
        </is>
      </c>
      <c r="C109" s="119" t="inlineStr">
        <is>
          <t>建设</t>
        </is>
      </c>
      <c r="D109" s="119" t="inlineStr">
        <is>
          <t>100家</t>
        </is>
      </c>
      <c r="E109" s="119" t="n"/>
      <c r="F109" s="120" t="inlineStr">
        <is>
          <t>2025</t>
        </is>
      </c>
      <c r="G109" s="119" t="inlineStr">
        <is>
          <t>新目标</t>
        </is>
      </c>
      <c r="H109" s="119" t="inlineStr">
        <is>
          <t>工业转型</t>
        </is>
      </c>
      <c r="I109" s="119" t="inlineStr">
        <is>
          <t>全社会经济</t>
        </is>
      </c>
      <c r="J109" s="119" t="inlineStr">
        <is>
          <t>到2025年，建设100家碳排放管理试点企业和园区。</t>
        </is>
      </c>
      <c r="K109" s="119" t="inlineStr">
        <is>
          <t>AP2415.htm</t>
        </is>
      </c>
      <c r="L109" s="119" t="inlineStr">
        <is>
          <t>工业</t>
        </is>
      </c>
    </row>
    <row r="110" ht="18" customHeight="1" s="235">
      <c r="A110" s="0" t="n">
        <v>2026</v>
      </c>
      <c r="B110" s="0" t="inlineStr">
        <is>
          <t>能效基准水平以下产能</t>
        </is>
      </c>
      <c r="C110" s="0" t="inlineStr">
        <is>
          <t>淘汰</t>
        </is>
      </c>
      <c r="D110" s="0" t="inlineStr">
        <is>
          <t>基本清零</t>
        </is>
      </c>
      <c r="F110" s="0" t="n">
        <v>2028</v>
      </c>
      <c r="G110" s="0" t="inlineStr">
        <is>
          <t>新目标</t>
        </is>
      </c>
      <c r="H110" s="0" t="inlineStr">
        <is>
          <t>能源效率</t>
        </is>
      </c>
      <c r="I110" s="0" t="inlineStr">
        <is>
          <t>行业</t>
        </is>
      </c>
      <c r="J110" s="0" t="inlineStr">
        <is>
          <t>……能效基准水平以下产能基本清零，累计形成节能量 1 亿吨标准煤以上、减排二氧化碳 2 亿吨以上。</t>
        </is>
      </c>
      <c r="K110" s="0" t="inlineStr">
        <is>
          <t>AP2607.htm</t>
        </is>
      </c>
      <c r="L110" s="0" t="inlineStr">
        <is>
          <t>工业</t>
        </is>
      </c>
    </row>
    <row r="111" ht="18" customHeight="1" s="235">
      <c r="A111" s="119" t="n">
        <v>2024</v>
      </c>
      <c r="B111" s="119" t="inlineStr">
        <is>
          <t>炼油、乙烯、合成氨、电石行业能效标杆水平以上产能占比</t>
        </is>
      </c>
      <c r="C111" s="119" t="inlineStr">
        <is>
          <t>占比达到</t>
        </is>
      </c>
      <c r="D111" s="119" t="inlineStr">
        <is>
          <t>30%</t>
        </is>
      </c>
      <c r="E111" s="119" t="n"/>
      <c r="F111" s="120" t="inlineStr">
        <is>
          <t>2025</t>
        </is>
      </c>
      <c r="G111" s="119" t="inlineStr">
        <is>
          <t>新目标</t>
        </is>
      </c>
      <c r="H111" s="119" t="inlineStr">
        <is>
          <t>能源效率</t>
        </is>
      </c>
      <c r="I111" s="119" t="inlineStr">
        <is>
          <t>行业</t>
        </is>
      </c>
      <c r="J111" s="119" t="inlineStr">
        <is>
          <t>到2025年底，炼油、乙烯、合成氨、电石行业能效标杆水平以上产能占比超过30%。</t>
        </is>
      </c>
      <c r="K111" s="119" t="inlineStr">
        <is>
          <t>AP2405.htm</t>
        </is>
      </c>
      <c r="L111" s="119" t="inlineStr">
        <is>
          <t>工业</t>
        </is>
      </c>
    </row>
    <row r="112" ht="18" customHeight="1" s="235">
      <c r="A112" s="119" t="n">
        <v>2024</v>
      </c>
      <c r="B112" s="119" t="inlineStr">
        <is>
          <t>中央和国家机关新增重点用能设备能效先进水平占比</t>
        </is>
      </c>
      <c r="C112" s="119" t="inlineStr">
        <is>
          <t>达到</t>
        </is>
      </c>
      <c r="D112" s="119" t="inlineStr">
        <is>
          <t>80%</t>
        </is>
      </c>
      <c r="E112" s="119" t="n"/>
      <c r="F112" s="120" t="inlineStr">
        <is>
          <t>2025</t>
        </is>
      </c>
      <c r="G112" s="119" t="inlineStr">
        <is>
          <t>新目标</t>
        </is>
      </c>
      <c r="H112" s="119" t="inlineStr">
        <is>
          <t>能源效率</t>
        </is>
      </c>
      <c r="I112" s="119" t="inlineStr">
        <is>
          <t>公共机构</t>
        </is>
      </c>
      <c r="J112" s="119" t="inlineStr">
        <is>
          <t>到2025年底，中央和国家机关新增锅炉、变配电、电梯、供热、制冷等重点用能设备能效先进水平占比达到80%。</t>
        </is>
      </c>
      <c r="K112" s="119" t="inlineStr">
        <is>
          <t>AP2405.htm</t>
        </is>
      </c>
      <c r="L112" s="119" t="inlineStr">
        <is>
          <t>工业</t>
        </is>
      </c>
    </row>
    <row r="113" ht="18" customHeight="1" s="235">
      <c r="A113" s="119" t="n">
        <v>2024</v>
      </c>
      <c r="B113" s="119" t="inlineStr">
        <is>
          <t>重点区域水泥熟料产能改造比例</t>
        </is>
      </c>
      <c r="C113" s="119" t="inlineStr">
        <is>
          <t>达到</t>
        </is>
      </c>
      <c r="D113" s="119" t="inlineStr">
        <is>
          <t>100%</t>
        </is>
      </c>
      <c r="E113" s="119" t="n"/>
      <c r="F113" s="120" t="n">
        <v>2028</v>
      </c>
      <c r="G113" s="119" t="inlineStr">
        <is>
          <t>新目标</t>
        </is>
      </c>
      <c r="H113" s="119" t="inlineStr">
        <is>
          <t>工业转型</t>
        </is>
      </c>
      <c r="I113" s="119" t="inlineStr">
        <is>
          <t>行业</t>
        </is>
      </c>
      <c r="J113" s="119" t="inlineStr">
        <is>
          <t>到2028年底前，重点区域水泥熟料生产企业基本完成改造，全国力争80%水泥熟料产能完成改造。</t>
        </is>
      </c>
      <c r="K113" s="119" t="inlineStr">
        <is>
          <t>O2406.pdf</t>
        </is>
      </c>
      <c r="L113" s="119" t="inlineStr">
        <is>
          <t>工业</t>
        </is>
      </c>
    </row>
    <row r="114" ht="18" customHeight="1" s="235">
      <c r="A114" s="119" t="n">
        <v>2024</v>
      </c>
      <c r="B114" s="119" t="inlineStr">
        <is>
          <t>全国水泥熟料产能改造比例</t>
        </is>
      </c>
      <c r="C114" s="119" t="inlineStr">
        <is>
          <t>达到</t>
        </is>
      </c>
      <c r="D114" s="119" t="inlineStr">
        <is>
          <t>80%</t>
        </is>
      </c>
      <c r="E114" s="119" t="n"/>
      <c r="F114" s="120" t="n">
        <v>2028</v>
      </c>
      <c r="G114" s="119" t="inlineStr">
        <is>
          <t>新目标</t>
        </is>
      </c>
      <c r="H114" s="119" t="inlineStr">
        <is>
          <t>工业转型</t>
        </is>
      </c>
      <c r="I114" s="119" t="inlineStr">
        <is>
          <t>行业</t>
        </is>
      </c>
      <c r="J114" s="119" t="inlineStr">
        <is>
          <t>到2028年底前，重点区域水泥熟料生产企业基本完成改造，全国力争80%水泥熟料产能完成改造。</t>
        </is>
      </c>
      <c r="K114" s="119" t="inlineStr">
        <is>
          <t>O2406.pdf</t>
        </is>
      </c>
      <c r="L114" s="119" t="inlineStr">
        <is>
          <t>工业</t>
        </is>
      </c>
    </row>
    <row r="115" ht="18" customHeight="1" s="235">
      <c r="A115" s="119" t="n">
        <v>2013</v>
      </c>
      <c r="B115" s="119" t="inlineStr">
        <is>
          <t>水泥窑协同处置生产线占比</t>
        </is>
      </c>
      <c r="C115" s="119" t="inlineStr">
        <is>
          <t>达到</t>
        </is>
      </c>
      <c r="D115" s="119" t="inlineStr">
        <is>
          <t>不低于10%</t>
        </is>
      </c>
      <c r="E115" s="119" t="n"/>
      <c r="F115" s="120" t="n">
        <v>2015</v>
      </c>
      <c r="G115" s="119" t="inlineStr">
        <is>
          <t>新目标</t>
        </is>
      </c>
      <c r="H115" s="119" t="inlineStr">
        <is>
          <t>资源效率</t>
        </is>
      </c>
      <c r="I115" s="119" t="inlineStr">
        <is>
          <t>行业</t>
        </is>
      </c>
      <c r="J115" s="119" t="inlineStr">
        <is>
          <t>支持利用现有水泥窑无害化协同处置城市生活垃圾和产业废弃物，协同处置生产线数量比重不低于10%。</t>
        </is>
      </c>
      <c r="K115" s="119" t="inlineStr">
        <is>
          <t>GO1302.htm</t>
        </is>
      </c>
      <c r="L115" s="119" t="inlineStr">
        <is>
          <t>工业</t>
        </is>
      </c>
    </row>
    <row r="116" ht="18" customHeight="1" s="235">
      <c r="A116" s="119" t="n">
        <v>2024</v>
      </c>
      <c r="B116" s="119" t="inlineStr">
        <is>
          <t>铝水直接合金化比例</t>
        </is>
      </c>
      <c r="C116" s="119" t="inlineStr">
        <is>
          <t>提高至</t>
        </is>
      </c>
      <c r="D116" s="119" t="inlineStr">
        <is>
          <t>90%以上</t>
        </is>
      </c>
      <c r="E116" s="119" t="n"/>
      <c r="F116" s="120" t="inlineStr">
        <is>
          <t>2025</t>
        </is>
      </c>
      <c r="G116" s="119" t="inlineStr">
        <is>
          <t>新目标</t>
        </is>
      </c>
      <c r="H116" s="119" t="inlineStr">
        <is>
          <t>工业转型</t>
        </is>
      </c>
      <c r="I116" s="119" t="inlineStr">
        <is>
          <t>行业</t>
        </is>
      </c>
      <c r="J116" s="119" t="inlineStr">
        <is>
          <t>到2025年底，铝水直接合金化比例提高到90%以上。</t>
        </is>
      </c>
      <c r="K116" s="119" t="inlineStr">
        <is>
          <t>AP2405.htm</t>
        </is>
      </c>
      <c r="L116" s="119" t="inlineStr">
        <is>
          <t>工业</t>
        </is>
      </c>
    </row>
    <row r="117" ht="18" customHeight="1" s="235">
      <c r="A117" s="119" t="n">
        <v>2022</v>
      </c>
      <c r="B117" s="119" t="inlineStr">
        <is>
          <t>铝水直接合金化比例</t>
        </is>
      </c>
      <c r="C117" s="119" t="inlineStr">
        <is>
          <t>提高至</t>
        </is>
      </c>
      <c r="D117" s="119" t="inlineStr">
        <is>
          <t>90%以上</t>
        </is>
      </c>
      <c r="E117" s="119" t="n"/>
      <c r="F117" s="120" t="inlineStr">
        <is>
          <t>2025</t>
        </is>
      </c>
      <c r="G117" s="119" t="inlineStr">
        <is>
          <t>重申目标</t>
        </is>
      </c>
      <c r="H117" s="119" t="inlineStr">
        <is>
          <t>工业转型</t>
        </is>
      </c>
      <c r="I117" s="119" t="inlineStr">
        <is>
          <t>行业</t>
        </is>
      </c>
      <c r="J117" s="119" t="inlineStr">
        <is>
          <t>到2025年，铝水直接合金化比例提高到90%以上。</t>
        </is>
      </c>
      <c r="K117" s="119" t="inlineStr">
        <is>
          <t>IP2221.htm</t>
        </is>
      </c>
      <c r="L117" s="119" t="inlineStr">
        <is>
          <t>工业</t>
        </is>
      </c>
    </row>
    <row r="118" ht="18" customHeight="1" s="235">
      <c r="A118" s="119" t="n">
        <v>2022</v>
      </c>
      <c r="B118" s="119" t="inlineStr">
        <is>
          <t>电炉钢产量占粗钢总产量比例</t>
        </is>
      </c>
      <c r="C118" s="119" t="inlineStr">
        <is>
          <t>提高至</t>
        </is>
      </c>
      <c r="D118" s="119" t="inlineStr">
        <is>
          <t>15%以上</t>
        </is>
      </c>
      <c r="E118" s="119" t="n"/>
      <c r="F118" s="120" t="n">
        <v>2025</v>
      </c>
      <c r="G118" s="119" t="inlineStr">
        <is>
          <t>新目标</t>
        </is>
      </c>
      <c r="H118" s="119" t="inlineStr">
        <is>
          <t>工业转型</t>
        </is>
      </c>
      <c r="I118" s="119" t="inlineStr">
        <is>
          <t>行业</t>
        </is>
      </c>
      <c r="J118" s="119" t="inlineStr">
        <is>
          <t>到2025年，钢铁工业工艺结构明显优化，电炉钢产量占粗钢总产量比例提升至15%以上。</t>
        </is>
      </c>
      <c r="K118" s="119" t="inlineStr">
        <is>
          <t>GO2204.htm</t>
        </is>
      </c>
      <c r="L118" s="119" t="inlineStr">
        <is>
          <t>工业</t>
        </is>
      </c>
    </row>
    <row r="119" ht="18" customHeight="1" s="235">
      <c r="A119" s="119" t="n">
        <v>2024</v>
      </c>
      <c r="B119" s="119" t="inlineStr">
        <is>
          <t>电炉钢产量占粗钢总产量比例</t>
        </is>
      </c>
      <c r="C119" s="119" t="inlineStr">
        <is>
          <t>提高至</t>
        </is>
      </c>
      <c r="D119" s="119" t="inlineStr">
        <is>
          <t>15%</t>
        </is>
      </c>
      <c r="E119" s="119" t="n"/>
      <c r="F119" s="120" t="inlineStr">
        <is>
          <t>2025</t>
        </is>
      </c>
      <c r="G119" s="119" t="inlineStr">
        <is>
          <t>重申目标</t>
        </is>
      </c>
      <c r="H119" s="119" t="inlineStr">
        <is>
          <t>工业转型</t>
        </is>
      </c>
      <c r="I119" s="119" t="inlineStr">
        <is>
          <t>行业</t>
        </is>
      </c>
      <c r="J119" s="119" t="inlineStr">
        <is>
          <t>到2025年底，电炉钢产量占粗钢总产量比例力争提升至15%。</t>
        </is>
      </c>
      <c r="K119" s="119" t="inlineStr">
        <is>
          <t>AP2405.htm</t>
        </is>
      </c>
      <c r="L119" s="119" t="inlineStr">
        <is>
          <t>工业</t>
        </is>
      </c>
    </row>
    <row r="120" ht="18" customHeight="1" s="235">
      <c r="A120" s="119" t="n">
        <v>2013</v>
      </c>
      <c r="B120" s="119" t="inlineStr">
        <is>
          <t>节能型内燃机产品占全社会内燃机产品保有量的比例</t>
        </is>
      </c>
      <c r="C120" s="119" t="inlineStr">
        <is>
          <t>占比达到</t>
        </is>
      </c>
      <c r="D120" s="119" t="inlineStr">
        <is>
          <t>60%</t>
        </is>
      </c>
      <c r="E120" s="119" t="n"/>
      <c r="F120" s="120" t="inlineStr">
        <is>
          <t>2015</t>
        </is>
      </c>
      <c r="G120" s="119" t="inlineStr">
        <is>
          <t>新目标</t>
        </is>
      </c>
      <c r="H120" s="119" t="inlineStr">
        <is>
          <t>能源效率</t>
        </is>
      </c>
      <c r="I120" s="119" t="inlineStr">
        <is>
          <t>不明确</t>
        </is>
      </c>
      <c r="J120" s="119" t="inlineStr">
        <is>
          <t>到2015年，节能型内燃机产品占全社会内燃机产品保有量的60%，与2010年相比，内燃机燃油消耗率降低6%－10%，实现节约商品燃油2000万吨，减少二氧化碳排放6200万吨，减少氮氧化物排放10%，采用替代燃料节约商品燃油1500万吨；培育一批汽车、工程机械用发动机等再制造重点企业；实现高效节能环保型内燃机主机及其零部件生产制造装备的国产化、大型化；建立内燃机产品节能减排政策法规和标准体系。</t>
        </is>
      </c>
      <c r="K120" s="119" t="inlineStr">
        <is>
          <t>O1301.htm</t>
        </is>
      </c>
      <c r="L120" s="119" t="inlineStr">
        <is>
          <t>工业</t>
        </is>
      </c>
    </row>
    <row r="121" ht="18" customHeight="1" s="235">
      <c r="A121" s="119" t="n">
        <v>2024</v>
      </c>
      <c r="B121" s="119" t="inlineStr">
        <is>
          <t>在运家用制冷设备中的高效节能产品占比</t>
        </is>
      </c>
      <c r="C121" s="119" t="inlineStr">
        <is>
          <t>达到</t>
        </is>
      </c>
      <c r="D121" s="119" t="inlineStr">
        <is>
          <t>超过60%</t>
        </is>
      </c>
      <c r="E121" s="119" t="n"/>
      <c r="F121" s="120" t="n">
        <v>2025</v>
      </c>
      <c r="G121" s="119" t="inlineStr">
        <is>
          <t>新目标</t>
        </is>
      </c>
      <c r="H121" s="119" t="inlineStr">
        <is>
          <t>能源效率</t>
        </is>
      </c>
      <c r="I121" s="119" t="inlineStr">
        <is>
          <t>不明确</t>
        </is>
      </c>
      <c r="J121" s="119" t="inlineStr">
        <is>
          <t>与2021年相比，2025年在运家用制冷设备中的高效节能产品占比达到60%。</t>
        </is>
      </c>
      <c r="K121" s="119" t="inlineStr">
        <is>
          <t>AP2405.htm</t>
        </is>
      </c>
      <c r="L121" s="119" t="inlineStr">
        <is>
          <t>工业</t>
        </is>
      </c>
    </row>
    <row r="122" ht="18" customHeight="1" s="235">
      <c r="A122" s="119" t="n">
        <v>2024</v>
      </c>
      <c r="B122" s="119" t="inlineStr">
        <is>
          <t>在运工商业制冷设备高效节能产品占比</t>
        </is>
      </c>
      <c r="C122" s="119" t="inlineStr">
        <is>
          <t>达到</t>
        </is>
      </c>
      <c r="D122" s="119" t="inlineStr">
        <is>
          <t>40%</t>
        </is>
      </c>
      <c r="E122" s="119" t="n"/>
      <c r="F122" s="120" t="n">
        <v>2025</v>
      </c>
      <c r="G122" s="119" t="inlineStr">
        <is>
          <t>新目标</t>
        </is>
      </c>
      <c r="H122" s="119" t="inlineStr">
        <is>
          <t>能源效率</t>
        </is>
      </c>
      <c r="I122" s="119" t="inlineStr">
        <is>
          <t>不明确</t>
        </is>
      </c>
      <c r="J122" s="119" t="inlineStr">
        <is>
          <t>与2021年相比，2025年在运工商业制冷设备中的高效节能产品占比达到40%。</t>
        </is>
      </c>
      <c r="K122" s="119" t="inlineStr">
        <is>
          <t>AP2405.htm</t>
        </is>
      </c>
      <c r="L122" s="119" t="inlineStr">
        <is>
          <t>工业</t>
        </is>
      </c>
    </row>
    <row r="123" ht="18" customHeight="1" s="235">
      <c r="A123" s="119" t="n">
        <v>2024</v>
      </c>
      <c r="B123" s="119" t="inlineStr">
        <is>
          <t>在运高效节能变压器占比</t>
        </is>
      </c>
      <c r="C123" s="119" t="inlineStr">
        <is>
          <t>提高</t>
        </is>
      </c>
      <c r="D123" s="119" t="inlineStr">
        <is>
          <t>10个百分点以上</t>
        </is>
      </c>
      <c r="E123" s="119" t="n">
        <v>2021</v>
      </c>
      <c r="F123" s="120" t="n">
        <v>2025</v>
      </c>
      <c r="G123" s="119" t="inlineStr">
        <is>
          <t>新目标</t>
        </is>
      </c>
      <c r="H123" s="119" t="inlineStr">
        <is>
          <t>能源效率</t>
        </is>
      </c>
      <c r="I123" s="119" t="inlineStr">
        <is>
          <t>不明确</t>
        </is>
      </c>
      <c r="J123" s="119" t="inlineStr">
        <is>
          <t>与2021年相比，2025年在运高效节能变压器占比提高10个百分点以上。</t>
        </is>
      </c>
      <c r="K123" s="119" t="inlineStr">
        <is>
          <t>AP2405.htm</t>
        </is>
      </c>
      <c r="L123" s="119" t="inlineStr">
        <is>
          <t>工业</t>
        </is>
      </c>
    </row>
    <row r="124" ht="18" customHeight="1" s="235">
      <c r="A124" s="119" t="n">
        <v>2021</v>
      </c>
      <c r="B124" s="119" t="inlineStr">
        <is>
          <t>国家高新区中单位工业增加值综合能耗低于0.3吨标准煤/万元的比例</t>
        </is>
      </c>
      <c r="C124" s="119" t="inlineStr">
        <is>
          <t>达到</t>
        </is>
      </c>
      <c r="D124" s="119" t="inlineStr">
        <is>
          <t>50%</t>
        </is>
      </c>
      <c r="E124" s="119" t="n"/>
      <c r="F124" s="120" t="inlineStr">
        <is>
          <t>2025</t>
        </is>
      </c>
      <c r="G124" s="119" t="inlineStr">
        <is>
          <t>新目标</t>
        </is>
      </c>
      <c r="H124" s="119" t="inlineStr">
        <is>
          <t>能源效率</t>
        </is>
      </c>
      <c r="I124" s="119" t="inlineStr">
        <is>
          <t>地区</t>
        </is>
      </c>
      <c r="J124" s="119" t="inlineStr">
        <is>
          <t>到2025年，50%的国家高新区单位工业增加值综合能耗低于0.3吨标准煤/万元。</t>
        </is>
      </c>
      <c r="K124" s="119" t="inlineStr">
        <is>
          <t>IP2102.htm</t>
        </is>
      </c>
      <c r="L124" s="119" t="inlineStr">
        <is>
          <t>工业</t>
        </is>
      </c>
    </row>
    <row r="125" ht="18" customHeight="1" s="235">
      <c r="A125" s="119" t="n">
        <v>2024</v>
      </c>
      <c r="B125" s="119" t="inlineStr">
        <is>
          <t>水泥、陶瓷行业能效标杆水平以上产能占比</t>
        </is>
      </c>
      <c r="C125" s="119" t="inlineStr">
        <is>
          <t>达到</t>
        </is>
      </c>
      <c r="D125" s="119" t="inlineStr">
        <is>
          <t>30%</t>
        </is>
      </c>
      <c r="E125" s="119" t="n"/>
      <c r="F125" s="120" t="inlineStr">
        <is>
          <t>2025</t>
        </is>
      </c>
      <c r="G125" s="119" t="inlineStr">
        <is>
          <t>新目标</t>
        </is>
      </c>
      <c r="H125" s="119" t="inlineStr">
        <is>
          <t>能源效率</t>
        </is>
      </c>
      <c r="I125" s="119" t="inlineStr">
        <is>
          <t>行业</t>
        </is>
      </c>
      <c r="J125" s="119" t="inlineStr">
        <is>
          <t>到2025年底，水泥、陶瓷行业能效标杆水平以上产能占比达到30%。</t>
        </is>
      </c>
      <c r="K125" s="119" t="inlineStr">
        <is>
          <t>AP2405.htm</t>
        </is>
      </c>
      <c r="L125" s="119" t="inlineStr">
        <is>
          <t>工业</t>
        </is>
      </c>
    </row>
    <row r="126" ht="18" customHeight="1" s="235">
      <c r="A126" s="119" t="n">
        <v>2024</v>
      </c>
      <c r="B126" s="119" t="inlineStr">
        <is>
          <t>铜、铅、锌冶炼能效标杆水平以上产能占比</t>
        </is>
      </c>
      <c r="C126" s="119" t="inlineStr">
        <is>
          <t>达到</t>
        </is>
      </c>
      <c r="D126" s="119" t="inlineStr">
        <is>
          <t>50%</t>
        </is>
      </c>
      <c r="E126" s="119" t="n"/>
      <c r="F126" s="120" t="inlineStr">
        <is>
          <t>2025</t>
        </is>
      </c>
      <c r="G126" s="119" t="inlineStr">
        <is>
          <t>新目标</t>
        </is>
      </c>
      <c r="H126" s="119" t="inlineStr">
        <is>
          <t>能源效率</t>
        </is>
      </c>
      <c r="I126" s="119" t="inlineStr">
        <is>
          <t>行业</t>
        </is>
      </c>
      <c r="J126" s="119" t="inlineStr">
        <is>
          <t>到2025年底，铜、铅、锌冶炼能效标杆水平以上产能占比达到50%。</t>
        </is>
      </c>
      <c r="K126" s="119" t="inlineStr">
        <is>
          <t>AP2405.htm</t>
        </is>
      </c>
      <c r="L126" s="119" t="inlineStr">
        <is>
          <t>工业</t>
        </is>
      </c>
    </row>
    <row r="127" ht="18" customHeight="1" s="235">
      <c r="A127" s="119" t="n">
        <v>2024</v>
      </c>
      <c r="B127" s="119" t="inlineStr">
        <is>
          <t>电解铝行业能效标杆水平以上产能占比</t>
        </is>
      </c>
      <c r="C127" s="119" t="inlineStr">
        <is>
          <t>达到</t>
        </is>
      </c>
      <c r="D127" s="119" t="inlineStr">
        <is>
          <t>30%</t>
        </is>
      </c>
      <c r="E127" s="119" t="n"/>
      <c r="F127" s="120" t="inlineStr">
        <is>
          <t>2025</t>
        </is>
      </c>
      <c r="G127" s="119" t="inlineStr">
        <is>
          <t>新目标</t>
        </is>
      </c>
      <c r="H127" s="119" t="inlineStr">
        <is>
          <t>能源效率</t>
        </is>
      </c>
      <c r="I127" s="119" t="inlineStr">
        <is>
          <t>行业</t>
        </is>
      </c>
      <c r="J127" s="119" t="inlineStr">
        <is>
          <t>到2025年底，电解铝行业能效标杆水平以上产能占比达到30%。</t>
        </is>
      </c>
      <c r="K127" s="119" t="inlineStr">
        <is>
          <t>AP2405.htm</t>
        </is>
      </c>
      <c r="L127" s="119" t="inlineStr">
        <is>
          <t>工业</t>
        </is>
      </c>
    </row>
    <row r="128" ht="18" customHeight="1" s="235">
      <c r="A128" s="119" t="n">
        <v>2024</v>
      </c>
      <c r="B128" s="119" t="inlineStr">
        <is>
          <t>平板玻璃行业能效标杆水平以上产能占比</t>
        </is>
      </c>
      <c r="C128" s="119" t="inlineStr">
        <is>
          <t>达到</t>
        </is>
      </c>
      <c r="D128" s="119" t="inlineStr">
        <is>
          <t>20%</t>
        </is>
      </c>
      <c r="E128" s="119" t="n"/>
      <c r="F128" s="120" t="inlineStr">
        <is>
          <t>2025</t>
        </is>
      </c>
      <c r="G128" s="119" t="inlineStr">
        <is>
          <t>新目标</t>
        </is>
      </c>
      <c r="H128" s="119" t="inlineStr">
        <is>
          <t>能源效率</t>
        </is>
      </c>
      <c r="I128" s="119" t="inlineStr">
        <is>
          <t>行业</t>
        </is>
      </c>
      <c r="J128" s="119" t="inlineStr">
        <is>
          <t>到2025年底，平板玻璃行业能效标杆水平以上产能占比达到20%。</t>
        </is>
      </c>
      <c r="K128" s="119" t="inlineStr">
        <is>
          <t>AP2405.htm</t>
        </is>
      </c>
      <c r="L128" s="119" t="inlineStr">
        <is>
          <t>工业</t>
        </is>
      </c>
    </row>
    <row r="129" ht="18" customHeight="1" s="235">
      <c r="A129" s="119" t="n">
        <v>2024</v>
      </c>
      <c r="B129" s="119" t="inlineStr">
        <is>
          <t>钢铁行业能效标杆水平以上产能占比</t>
        </is>
      </c>
      <c r="C129" s="119" t="inlineStr">
        <is>
          <t>达到</t>
        </is>
      </c>
      <c r="D129" s="119" t="inlineStr">
        <is>
          <t>30%</t>
        </is>
      </c>
      <c r="E129" s="119" t="n"/>
      <c r="F129" s="120" t="inlineStr">
        <is>
          <t>2025</t>
        </is>
      </c>
      <c r="G129" s="119" t="inlineStr">
        <is>
          <t>新目标</t>
        </is>
      </c>
      <c r="H129" s="119" t="inlineStr">
        <is>
          <t>能源效率</t>
        </is>
      </c>
      <c r="I129" s="119" t="inlineStr">
        <is>
          <t>行业</t>
        </is>
      </c>
      <c r="J129" s="119" t="inlineStr">
        <is>
          <t>到2025年底，钢铁行业能效标杆水平以上产能占比达到30%。</t>
        </is>
      </c>
      <c r="K129" s="119" t="inlineStr">
        <is>
          <t>AP2405.htm</t>
        </is>
      </c>
      <c r="L129" s="119" t="inlineStr">
        <is>
          <t>工业</t>
        </is>
      </c>
    </row>
    <row r="130" ht="18" customHeight="1" s="235">
      <c r="A130" s="119" t="n">
        <v>2021</v>
      </c>
      <c r="B130" s="119" t="inlineStr">
        <is>
          <t>钢铁、电解铝、水泥、平板玻璃、炼油、乙烯、合成氨、电石等重点行业和数据中心达到标杆水平的产能比例</t>
        </is>
      </c>
      <c r="C130" s="119" t="inlineStr">
        <is>
          <t>超过</t>
        </is>
      </c>
      <c r="D130" s="119" t="inlineStr">
        <is>
          <t>30%</t>
        </is>
      </c>
      <c r="E130" s="119" t="n"/>
      <c r="F130" s="120" t="inlineStr">
        <is>
          <t>2025</t>
        </is>
      </c>
      <c r="G130" s="119" t="inlineStr">
        <is>
          <t>新目标</t>
        </is>
      </c>
      <c r="H130" s="119" t="inlineStr">
        <is>
          <t>能源效率</t>
        </is>
      </c>
      <c r="I130" s="119" t="inlineStr">
        <is>
          <t>行业</t>
        </is>
      </c>
      <c r="J130" s="119" t="inlineStr">
        <is>
          <t>到2025年，通过实施节能降碳行动，钢铁、电解铝、水泥、平板玻璃、炼油、乙烯、合成氨、电石等重点行业和数据中心达到标杆水平的产能比例超过30%，行业整体能效水平明显提升，碳排放强度明显下降，绿色低碳发展能力显著增强。</t>
        </is>
      </c>
      <c r="K130" s="119" t="inlineStr">
        <is>
          <t>O2102.htm</t>
        </is>
      </c>
      <c r="L130" s="119" t="inlineStr">
        <is>
          <t>工业</t>
        </is>
      </c>
    </row>
    <row r="131" ht="18" customHeight="1" s="235">
      <c r="A131" s="119" t="n">
        <v>2013</v>
      </c>
      <c r="B131" s="119" t="inlineStr">
        <is>
          <t>水泥生产线纯低温余热发电比例</t>
        </is>
      </c>
      <c r="C131" s="119" t="inlineStr">
        <is>
          <t>提高至</t>
        </is>
      </c>
      <c r="D131" s="119" t="inlineStr">
        <is>
          <t>70%</t>
        </is>
      </c>
      <c r="E131" s="119" t="n"/>
      <c r="F131" s="120" t="inlineStr">
        <is>
          <t>2015</t>
        </is>
      </c>
      <c r="G131" s="119" t="inlineStr">
        <is>
          <t>新目标</t>
        </is>
      </c>
      <c r="H131" s="119" t="inlineStr">
        <is>
          <t>能源效率</t>
        </is>
      </c>
      <c r="I131" s="119" t="inlineStr">
        <is>
          <t>行业</t>
        </is>
      </c>
      <c r="J131" s="119" t="inlineStr">
        <is>
          <t>到2015年，水泥生产线纯低温余热发电比例提高到70%以上。</t>
        </is>
      </c>
      <c r="K131" s="119" t="inlineStr">
        <is>
          <t>DP1301.htm</t>
        </is>
      </c>
      <c r="L131" s="119" t="inlineStr">
        <is>
          <t>工业</t>
        </is>
      </c>
    </row>
    <row r="132" ht="18" customHeight="1" s="235">
      <c r="A132" s="119" t="n">
        <v>2024</v>
      </c>
      <c r="B132" s="119" t="inlineStr">
        <is>
          <t>电解铝使用可再生能源比例</t>
        </is>
      </c>
      <c r="C132" s="119" t="inlineStr">
        <is>
          <t>达到</t>
        </is>
      </c>
      <c r="D132" s="119" t="inlineStr">
        <is>
          <t>超过30%</t>
        </is>
      </c>
      <c r="E132" s="119" t="n"/>
      <c r="F132" s="120" t="inlineStr">
        <is>
          <t>2030</t>
        </is>
      </c>
      <c r="G132" s="119" t="inlineStr">
        <is>
          <t>新目标</t>
        </is>
      </c>
      <c r="H132" s="119" t="inlineStr">
        <is>
          <t>可再生能源</t>
        </is>
      </c>
      <c r="I132" s="119" t="inlineStr">
        <is>
          <t>行业</t>
        </is>
      </c>
      <c r="J132" s="119" t="inlineStr">
        <is>
          <t>到2030年，电解铝使用可再生能源比例达到30%以上。</t>
        </is>
      </c>
      <c r="K132" s="119" t="inlineStr">
        <is>
          <t>GO2401.htm</t>
        </is>
      </c>
      <c r="L132" s="119" t="inlineStr">
        <is>
          <t>工业</t>
        </is>
      </c>
    </row>
    <row r="133" ht="18" customHeight="1" s="235">
      <c r="A133" s="119" t="n">
        <v>2022</v>
      </c>
      <c r="B133" s="119" t="inlineStr">
        <is>
          <t>电解铝使用可再生能源比例</t>
        </is>
      </c>
      <c r="C133" s="119" t="inlineStr">
        <is>
          <t>达到</t>
        </is>
      </c>
      <c r="D133" s="119" t="inlineStr">
        <is>
          <t>30%以上</t>
        </is>
      </c>
      <c r="E133" s="119" t="n"/>
      <c r="F133" s="120" t="inlineStr">
        <is>
          <t>十五五</t>
        </is>
      </c>
      <c r="G133" s="119" t="inlineStr">
        <is>
          <t>重申目标</t>
        </is>
      </c>
      <c r="H133" s="119" t="inlineStr">
        <is>
          <t>可再生能源</t>
        </is>
      </c>
      <c r="I133" s="119" t="inlineStr">
        <is>
          <t>行业</t>
        </is>
      </c>
      <c r="J133" s="119" t="inlineStr">
        <is>
          <t>“十五五”期间，有色金属行业用能结构大幅改善，电解铝使用可再生能源比例达到30%以上，绿色低碳、循环发展的产业体系基本建立。</t>
        </is>
      </c>
      <c r="K133" s="119" t="inlineStr">
        <is>
          <t>IP2221.htm</t>
        </is>
      </c>
      <c r="L133" s="119" t="inlineStr">
        <is>
          <t>工业</t>
        </is>
      </c>
    </row>
    <row r="134" ht="18" customHeight="1" s="235">
      <c r="A134" s="119" t="n">
        <v>2024</v>
      </c>
      <c r="B134" s="119" t="inlineStr">
        <is>
          <t>电解铝可再生能源使用占比</t>
        </is>
      </c>
      <c r="C134" s="119" t="inlineStr">
        <is>
          <t>达到</t>
        </is>
      </c>
      <c r="D134" s="119" t="inlineStr">
        <is>
          <t>超过30%</t>
        </is>
      </c>
      <c r="E134" s="119" t="n"/>
      <c r="F134" s="120" t="inlineStr">
        <is>
          <t>十五五</t>
        </is>
      </c>
      <c r="G134" s="119" t="inlineStr">
        <is>
          <t>重申目标</t>
        </is>
      </c>
      <c r="H134" s="119" t="inlineStr">
        <is>
          <t>可再生能源</t>
        </is>
      </c>
      <c r="I134" s="119" t="inlineStr">
        <is>
          <t>行业</t>
        </is>
      </c>
      <c r="J134" s="119" t="inlineStr">
        <is>
          <t>“十五五”期间，电解铝可再生能源使用占比达到30%以上。</t>
        </is>
      </c>
      <c r="K134" s="119" t="inlineStr">
        <is>
          <t>HL2401.pdf</t>
        </is>
      </c>
      <c r="L134" s="119" t="inlineStr">
        <is>
          <t>工业</t>
        </is>
      </c>
    </row>
    <row r="135" ht="18" customHeight="1" s="235">
      <c r="A135" s="119" t="n">
        <v>2023</v>
      </c>
      <c r="B135" s="119" t="inlineStr">
        <is>
          <t>短流程炼钢产量占比</t>
        </is>
      </c>
      <c r="C135" s="119" t="inlineStr">
        <is>
          <t>达到</t>
        </is>
      </c>
      <c r="D135" s="119" t="inlineStr">
        <is>
          <t>15%</t>
        </is>
      </c>
      <c r="E135" s="119" t="n"/>
      <c r="F135" s="120" t="inlineStr">
        <is>
          <t>2025</t>
        </is>
      </c>
      <c r="G135" s="119" t="inlineStr">
        <is>
          <t>新目标</t>
        </is>
      </c>
      <c r="H135" s="119" t="inlineStr">
        <is>
          <t>工业转型</t>
        </is>
      </c>
      <c r="I135" s="119" t="inlineStr">
        <is>
          <t>行业</t>
        </is>
      </c>
      <c r="J135" s="119" t="inlineStr">
        <is>
          <t>到2025年，短流程炼钢产量占比达到15%。</t>
        </is>
      </c>
      <c r="K135" s="119" t="inlineStr">
        <is>
          <t>AP2304.htm</t>
        </is>
      </c>
      <c r="L135" s="119" t="inlineStr">
        <is>
          <t>工业</t>
        </is>
      </c>
    </row>
    <row r="136" ht="18" customHeight="1" s="235">
      <c r="A136" s="119" t="n">
        <v>2024</v>
      </c>
      <c r="B136" s="119" t="inlineStr">
        <is>
          <t>短流程炼钢比例</t>
        </is>
      </c>
      <c r="C136" s="119" t="inlineStr">
        <is>
          <t>达到</t>
        </is>
      </c>
      <c r="D136" s="119" t="inlineStr">
        <is>
          <t>20%以上</t>
        </is>
      </c>
      <c r="E136" s="119" t="n"/>
      <c r="F136" s="120" t="inlineStr">
        <is>
          <t>2030</t>
        </is>
      </c>
      <c r="G136" s="119" t="inlineStr">
        <is>
          <t>新目标</t>
        </is>
      </c>
      <c r="H136" s="119" t="inlineStr">
        <is>
          <t>工业转型</t>
        </is>
      </c>
      <c r="I136" s="119" t="inlineStr">
        <is>
          <t>行业</t>
        </is>
      </c>
      <c r="J136" s="119" t="inlineStr">
        <is>
          <t>到2030年，短流程炼钢比例达到20%以上。</t>
        </is>
      </c>
      <c r="K136" s="119" t="inlineStr">
        <is>
          <t>GO2401.htm</t>
        </is>
      </c>
      <c r="L136" s="119" t="inlineStr">
        <is>
          <t>工业</t>
        </is>
      </c>
    </row>
    <row r="137" ht="18" customHeight="1" s="235">
      <c r="A137" s="119" t="n">
        <v>2024</v>
      </c>
      <c r="B137" s="119" t="inlineStr">
        <is>
          <t>短流程炼钢占比</t>
        </is>
      </c>
      <c r="C137" s="119" t="inlineStr">
        <is>
          <t>占比达到</t>
        </is>
      </c>
      <c r="D137" s="119" t="inlineStr">
        <is>
          <t>15%</t>
        </is>
      </c>
      <c r="E137" s="119" t="n"/>
      <c r="F137" s="120" t="inlineStr">
        <is>
          <t>2025</t>
        </is>
      </c>
      <c r="G137" s="119" t="inlineStr">
        <is>
          <t>重申目标</t>
        </is>
      </c>
      <c r="H137" s="119" t="inlineStr">
        <is>
          <t>工业转型</t>
        </is>
      </c>
      <c r="I137" s="119" t="inlineStr">
        <is>
          <t>行业</t>
        </is>
      </c>
      <c r="J137" s="119" t="inlineStr">
        <is>
          <t>到2025年，短流程炼钢占比将达到15%以上</t>
        </is>
      </c>
      <c r="K137" s="119" t="inlineStr">
        <is>
          <t>HL2401.pdf</t>
        </is>
      </c>
      <c r="L137" s="119" t="inlineStr">
        <is>
          <t>工业</t>
        </is>
      </c>
    </row>
    <row r="138" ht="18" customHeight="1" s="235">
      <c r="A138" s="119" t="n">
        <v>2024</v>
      </c>
      <c r="B138" s="119" t="inlineStr">
        <is>
          <t>短流程炼钢占比</t>
        </is>
      </c>
      <c r="C138" s="119" t="inlineStr">
        <is>
          <t>占比达到</t>
        </is>
      </c>
      <c r="D138" s="119" t="inlineStr">
        <is>
          <t>20%</t>
        </is>
      </c>
      <c r="E138" s="119" t="n"/>
      <c r="F138" s="120" t="inlineStr">
        <is>
          <t>2030</t>
        </is>
      </c>
      <c r="G138" s="119" t="inlineStr">
        <is>
          <t>重申目标</t>
        </is>
      </c>
      <c r="H138" s="119" t="inlineStr">
        <is>
          <t>工业转型</t>
        </is>
      </c>
      <c r="I138" s="119" t="inlineStr">
        <is>
          <t>行业</t>
        </is>
      </c>
      <c r="J138" s="119" t="inlineStr">
        <is>
          <t>到2030年，短流程炼钢占比将超过20%。</t>
        </is>
      </c>
      <c r="K138" s="119" t="inlineStr">
        <is>
          <t>HL2401.pdf</t>
        </is>
      </c>
      <c r="L138" s="119" t="inlineStr">
        <is>
          <t>工业</t>
        </is>
      </c>
    </row>
    <row r="139" ht="18" customHeight="1" s="235">
      <c r="A139" s="119" t="n">
        <v>2021</v>
      </c>
      <c r="B139" s="119" t="inlineStr">
        <is>
          <t>溶剂型工业涂料使用比例</t>
        </is>
      </c>
      <c r="C139" s="119" t="inlineStr">
        <is>
          <t>降低</t>
        </is>
      </c>
      <c r="D139" s="119" t="inlineStr">
        <is>
          <t>20个百分点</t>
        </is>
      </c>
      <c r="E139" s="119" t="n">
        <v>2020</v>
      </c>
      <c r="F139" s="120" t="inlineStr">
        <is>
          <t>2025</t>
        </is>
      </c>
      <c r="G139" s="119" t="inlineStr">
        <is>
          <t>新目标</t>
        </is>
      </c>
      <c r="H139" s="119" t="inlineStr">
        <is>
          <t>污染控制</t>
        </is>
      </c>
      <c r="I139" s="119" t="inlineStr">
        <is>
          <t>行业</t>
        </is>
      </c>
      <c r="J139" s="119" t="inlineStr">
        <is>
          <t>到2025年，溶剂型工业涂料使用比例降低20个百分点。</t>
        </is>
      </c>
      <c r="K139" s="119" t="inlineStr">
        <is>
          <t>FYP2107.htm</t>
        </is>
      </c>
      <c r="L139" s="119" t="inlineStr">
        <is>
          <t>工业</t>
        </is>
      </c>
    </row>
    <row r="140" ht="18" customHeight="1" s="235">
      <c r="A140" s="119" t="n">
        <v>2021</v>
      </c>
      <c r="B140" s="119" t="inlineStr">
        <is>
          <t>溶剂型油墨使用比例</t>
        </is>
      </c>
      <c r="C140" s="119" t="inlineStr">
        <is>
          <t>降低</t>
        </is>
      </c>
      <c r="D140" s="119" t="inlineStr">
        <is>
          <t>10个百分点</t>
        </is>
      </c>
      <c r="E140" s="119" t="n">
        <v>2020</v>
      </c>
      <c r="F140" s="120" t="inlineStr">
        <is>
          <t>2025</t>
        </is>
      </c>
      <c r="G140" s="119" t="inlineStr">
        <is>
          <t>新目标</t>
        </is>
      </c>
      <c r="H140" s="119" t="inlineStr">
        <is>
          <t>污染控制</t>
        </is>
      </c>
      <c r="I140" s="119" t="inlineStr">
        <is>
          <t>行业</t>
        </is>
      </c>
      <c r="J140" s="119" t="inlineStr">
        <is>
          <t>到2025年，溶剂型油墨使用比例降低10个百分点。</t>
        </is>
      </c>
      <c r="K140" s="119" t="inlineStr">
        <is>
          <t>FYP2107.htm</t>
        </is>
      </c>
      <c r="L140" s="119" t="inlineStr">
        <is>
          <t>工业</t>
        </is>
      </c>
    </row>
    <row r="141" ht="18" customHeight="1" s="235">
      <c r="A141" s="119" t="n">
        <v>2013</v>
      </c>
      <c r="B141" s="119" t="inlineStr">
        <is>
          <t>玻璃生产线余热发电比例</t>
        </is>
      </c>
      <c r="C141" s="119" t="inlineStr">
        <is>
          <t>提高至</t>
        </is>
      </c>
      <c r="D141" s="119" t="inlineStr">
        <is>
          <t>30%</t>
        </is>
      </c>
      <c r="E141" s="119" t="n"/>
      <c r="F141" s="120" t="inlineStr">
        <is>
          <t>2015</t>
        </is>
      </c>
      <c r="G141" s="119" t="inlineStr">
        <is>
          <t>新目标</t>
        </is>
      </c>
      <c r="H141" s="119" t="inlineStr">
        <is>
          <t>能源效率</t>
        </is>
      </c>
      <c r="I141" s="119" t="inlineStr">
        <is>
          <t>行业</t>
        </is>
      </c>
      <c r="J141" s="119" t="inlineStr">
        <is>
          <t>到2015年，玻璃生产线余热发电比例提高到30%以上。</t>
        </is>
      </c>
      <c r="K141" s="119" t="inlineStr">
        <is>
          <t>DP1301.htm</t>
        </is>
      </c>
      <c r="L141" s="119" t="inlineStr">
        <is>
          <t>工业</t>
        </is>
      </c>
    </row>
    <row r="142" ht="18" customHeight="1" s="235">
      <c r="A142" s="0" t="n">
        <v>2026</v>
      </c>
      <c r="B142" s="0" t="inlineStr">
        <is>
          <t>工业单位增加值水耗下降</t>
        </is>
      </c>
      <c r="C142" s="0" t="inlineStr">
        <is>
          <t>降低</t>
        </is>
      </c>
      <c r="D142" s="0" t="inlineStr">
        <is>
          <t>10%（5年累计）</t>
        </is>
      </c>
      <c r="F142" s="0" t="n">
        <v>2030</v>
      </c>
      <c r="G142" s="0" t="inlineStr">
        <is>
          <t>新目标</t>
        </is>
      </c>
      <c r="H142" s="0" t="inlineStr">
        <is>
          <t>资源效率</t>
        </is>
      </c>
      <c r="I142" s="0" t="inlineStr">
        <is>
          <t>行业</t>
        </is>
      </c>
      <c r="J142" s="0" t="inlineStr">
        <is>
          <t>专栏1：工业单位增加值水耗下降（%）10（5年累计）</t>
        </is>
      </c>
      <c r="K142" s="0" t="inlineStr">
        <is>
          <t>FYP2605.htm</t>
        </is>
      </c>
      <c r="L142" s="0" t="inlineStr">
        <is>
          <t>工业</t>
        </is>
      </c>
    </row>
    <row r="143" ht="18" customHeight="1" s="235">
      <c r="A143" s="119" t="n">
        <v>2016</v>
      </c>
      <c r="B143" s="119" t="inlineStr">
        <is>
          <t>重大关键材料自给率</t>
        </is>
      </c>
      <c r="C143" s="119" t="inlineStr">
        <is>
          <t>实现</t>
        </is>
      </c>
      <c r="D143" s="119" t="inlineStr">
        <is>
          <t>70%</t>
        </is>
      </c>
      <c r="E143" s="119" t="n"/>
      <c r="F143" s="120" t="inlineStr">
        <is>
          <t>2020</t>
        </is>
      </c>
      <c r="G143" s="119" t="inlineStr">
        <is>
          <t>新目标</t>
        </is>
      </c>
      <c r="H143" s="119" t="inlineStr">
        <is>
          <t>工业转型</t>
        </is>
      </c>
      <c r="I143" s="119" t="inlineStr">
        <is>
          <t>不明确</t>
        </is>
      </c>
      <c r="J143" s="119" t="inlineStr">
        <is>
          <t>到2020年，力争使若干新材料品种进入全球供应链，重大关键材料自给率达到70%以上，初步实现我国从材料大国向材料强国的战略性转变。</t>
        </is>
      </c>
      <c r="K143" s="119" t="inlineStr">
        <is>
          <t>FYP1613.htm</t>
        </is>
      </c>
      <c r="L143" s="119" t="inlineStr">
        <is>
          <t>工业</t>
        </is>
      </c>
    </row>
    <row r="144" ht="18" customHeight="1" s="235">
      <c r="A144" s="119" t="n">
        <v>2014</v>
      </c>
      <c r="B144" s="119" t="inlineStr">
        <is>
          <t>先进高效锅炉占比</t>
        </is>
      </c>
      <c r="C144" s="119" t="inlineStr">
        <is>
          <t>达到</t>
        </is>
      </c>
      <c r="D144" s="119" t="inlineStr">
        <is>
          <t>50%以上</t>
        </is>
      </c>
      <c r="E144" s="119" t="n"/>
      <c r="F144" s="120" t="inlineStr">
        <is>
          <t>2020</t>
        </is>
      </c>
      <c r="G144" s="119" t="inlineStr">
        <is>
          <t>新目标</t>
        </is>
      </c>
      <c r="H144" s="119" t="inlineStr">
        <is>
          <t>能源效率</t>
        </is>
      </c>
      <c r="I144" s="119" t="inlineStr">
        <is>
          <t>不明确</t>
        </is>
      </c>
      <c r="J144" s="119" t="inlineStr">
        <is>
          <t>到2020年，现役低效、排放不达标炉窑基本淘汰或升级改造，先进高效锅炉达到50%以上。</t>
        </is>
      </c>
      <c r="K144" s="119" t="inlineStr">
        <is>
          <t>O1401.htm</t>
        </is>
      </c>
      <c r="L144" s="119" t="inlineStr">
        <is>
          <t>工业</t>
        </is>
      </c>
    </row>
    <row r="145" ht="18" customHeight="1" s="235">
      <c r="A145" s="119" t="n">
        <v>2024</v>
      </c>
      <c r="B145" s="119" t="inlineStr">
        <is>
          <t>重点用能单位节能监察覆盖率</t>
        </is>
      </c>
      <c r="C145" s="119" t="inlineStr">
        <is>
          <t>达到</t>
        </is>
      </c>
      <c r="D145" s="119" t="inlineStr">
        <is>
          <t>60%</t>
        </is>
      </c>
      <c r="E145" s="119" t="n"/>
      <c r="F145" s="120" t="inlineStr">
        <is>
          <t>2024</t>
        </is>
      </c>
      <c r="G145" s="119" t="inlineStr">
        <is>
          <t>新目标</t>
        </is>
      </c>
      <c r="H145" s="119" t="inlineStr">
        <is>
          <t>节能</t>
        </is>
      </c>
      <c r="I145" s="119" t="inlineStr">
        <is>
          <t>企业</t>
        </is>
      </c>
      <c r="J145" s="119" t="inlineStr">
        <is>
          <t>到2024年底，各地区完成60%以上重点用能单位节能监察。</t>
        </is>
      </c>
      <c r="K145" s="119" t="inlineStr">
        <is>
          <t>AP2405.htm</t>
        </is>
      </c>
      <c r="L145" s="119" t="inlineStr">
        <is>
          <t>工业</t>
        </is>
      </c>
    </row>
    <row r="146" ht="18" customHeight="1" s="235">
      <c r="A146" s="119" t="n">
        <v>2024</v>
      </c>
      <c r="B146" s="119" t="inlineStr">
        <is>
          <t>绿色工厂产值占制造业总产值比重</t>
        </is>
      </c>
      <c r="C146" s="119" t="inlineStr">
        <is>
          <t>占比达到</t>
        </is>
      </c>
      <c r="D146" s="119" t="inlineStr">
        <is>
          <t>40%</t>
        </is>
      </c>
      <c r="E146" s="119" t="n"/>
      <c r="F146" s="120" t="inlineStr">
        <is>
          <t>2030</t>
        </is>
      </c>
      <c r="G146" s="119" t="inlineStr">
        <is>
          <t>新目标</t>
        </is>
      </c>
      <c r="H146" s="119" t="inlineStr">
        <is>
          <t>生产导向</t>
        </is>
      </c>
      <c r="I146" s="119" t="inlineStr">
        <is>
          <t>行业</t>
        </is>
      </c>
      <c r="J146" s="119" t="inlineStr">
        <is>
          <t>到2030年，各级绿色工厂产值占制造业总产值比重超过40%。</t>
        </is>
      </c>
      <c r="K146" s="119" t="inlineStr">
        <is>
          <t>GO2401.htm</t>
        </is>
      </c>
      <c r="L146" s="119" t="inlineStr">
        <is>
          <t>工业</t>
        </is>
      </c>
    </row>
    <row r="147" ht="18" customHeight="1" s="235">
      <c r="A147" s="0" t="n">
        <v>2026</v>
      </c>
      <c r="B147" s="0" t="inlineStr">
        <is>
          <t>绿色工厂产值占制造业总产值比重</t>
        </is>
      </c>
      <c r="C147" s="0" t="inlineStr">
        <is>
          <t>达到</t>
        </is>
      </c>
      <c r="D147" s="0" t="inlineStr">
        <is>
          <t>45%</t>
        </is>
      </c>
      <c r="E147" s="0" t="inlineStr">
        <is>
          <t>30%（2025）</t>
        </is>
      </c>
      <c r="F147" s="0" t="n">
        <v>2030</v>
      </c>
      <c r="G147" s="0" t="inlineStr">
        <is>
          <t>强化或放宽目标（积极气候影响）</t>
        </is>
      </c>
      <c r="H147" s="0" t="inlineStr">
        <is>
          <t>生产导向</t>
        </is>
      </c>
      <c r="I147" s="0" t="inlineStr">
        <is>
          <t>行业</t>
        </is>
      </c>
      <c r="J147" s="0" t="inlineStr">
        <is>
          <t>专栏1：各级绿色工厂产值占规模以上制造业总产值比重（%）2025年30，2030年45</t>
        </is>
      </c>
      <c r="K147" s="0" t="inlineStr">
        <is>
          <t>FYP2605.htm</t>
        </is>
      </c>
      <c r="L147" s="0" t="inlineStr">
        <is>
          <t>工业</t>
        </is>
      </c>
    </row>
    <row r="148" ht="18" customHeight="1" s="235">
      <c r="A148" s="0" t="n">
        <v>2026</v>
      </c>
      <c r="B148" s="0" t="inlineStr">
        <is>
          <t>工业重点行业达到能效标杆水平的产能比例</t>
        </is>
      </c>
      <c r="C148" s="0" t="inlineStr">
        <is>
          <t>提高</t>
        </is>
      </c>
      <c r="D148" s="0" t="inlineStr">
        <is>
          <t>平均提高20个百分点</t>
        </is>
      </c>
      <c r="F148" s="0" t="n">
        <v>2028</v>
      </c>
      <c r="G148" s="0" t="inlineStr">
        <is>
          <t>新目标</t>
        </is>
      </c>
      <c r="H148" s="0" t="inlineStr">
        <is>
          <t>能源效率</t>
        </is>
      </c>
      <c r="I148" s="0" t="inlineStr">
        <is>
          <t>行业</t>
        </is>
      </c>
      <c r="J148" s="0" t="inlineStr">
        <is>
          <t>到 2028 年底，钢铁、电解铝、水泥、平板玻璃、炼油、乙烯、合成氨、甲醇等工业重点行业达到现行能效标杆水平的产能比例平均提高 20 个百分点，……</t>
        </is>
      </c>
      <c r="K148" s="0" t="inlineStr">
        <is>
          <t>AP2607.htm</t>
        </is>
      </c>
      <c r="L148" s="0" t="inlineStr">
        <is>
          <t>工业</t>
        </is>
      </c>
    </row>
    <row r="149" ht="18" customHeight="1" s="235">
      <c r="A149" s="119" t="n">
        <v>2024</v>
      </c>
      <c r="B149" s="119" t="inlineStr">
        <is>
          <t>完成超低排放改造的钢铁产能占比</t>
        </is>
      </c>
      <c r="C149" s="119" t="inlineStr">
        <is>
          <t>完成</t>
        </is>
      </c>
      <c r="D149" s="119" t="inlineStr">
        <is>
          <t>80%</t>
        </is>
      </c>
      <c r="E149" s="119" t="n"/>
      <c r="F149" s="120" t="inlineStr">
        <is>
          <t>2025</t>
        </is>
      </c>
      <c r="G149" s="119" t="inlineStr">
        <is>
          <t>重申目标</t>
        </is>
      </c>
      <c r="H149" s="119" t="inlineStr">
        <is>
          <t>工业转型</t>
        </is>
      </c>
      <c r="I149" s="119" t="inlineStr">
        <is>
          <t>全社会经济</t>
        </is>
      </c>
      <c r="J149" s="119" t="inlineStr">
        <is>
          <t>到2025年底，全国80%以上钢铁产能完成超低排放改造。</t>
        </is>
      </c>
      <c r="K149" s="119" t="inlineStr">
        <is>
          <t>AP2405.htm</t>
        </is>
      </c>
      <c r="L149" s="119" t="inlineStr">
        <is>
          <t>工业</t>
        </is>
      </c>
    </row>
    <row r="150" ht="18" customHeight="1" s="235">
      <c r="A150" s="119" t="n">
        <v>2022</v>
      </c>
      <c r="B150" s="119" t="inlineStr">
        <is>
          <t>完成超低排放改造的钢铁产能占比</t>
        </is>
      </c>
      <c r="C150" s="119" t="inlineStr">
        <is>
          <t>改造</t>
        </is>
      </c>
      <c r="D150" s="119" t="inlineStr">
        <is>
          <t>80%以上</t>
        </is>
      </c>
      <c r="E150" s="119" t="n"/>
      <c r="F150" s="120" t="inlineStr">
        <is>
          <t>2025</t>
        </is>
      </c>
      <c r="G150" s="119" t="inlineStr">
        <is>
          <t>新目标</t>
        </is>
      </c>
      <c r="H150" s="119" t="inlineStr">
        <is>
          <t>工业转型</t>
        </is>
      </c>
      <c r="I150" s="119" t="inlineStr">
        <is>
          <t>行业</t>
        </is>
      </c>
      <c r="J150" s="119" t="inlineStr">
        <is>
          <t>到2025年，超过80%的钢铁产能将完成超低排放改造。</t>
        </is>
      </c>
      <c r="K150" s="119" t="inlineStr">
        <is>
          <t>GO2204.htm</t>
        </is>
      </c>
      <c r="L150" s="119" t="inlineStr">
        <is>
          <t>工业</t>
        </is>
      </c>
    </row>
    <row r="151" ht="18" customHeight="1" s="235">
      <c r="A151" s="119" t="n">
        <v>2023</v>
      </c>
      <c r="B151" s="119" t="inlineStr">
        <is>
          <t>完成超低排放改造的钢铁产能占比</t>
        </is>
      </c>
      <c r="C151" s="119" t="inlineStr">
        <is>
          <t>完成</t>
        </is>
      </c>
      <c r="D151" s="119" t="inlineStr">
        <is>
          <t>80%以上</t>
        </is>
      </c>
      <c r="E151" s="119" t="n"/>
      <c r="F151" s="120" t="inlineStr">
        <is>
          <t>2025</t>
        </is>
      </c>
      <c r="G151" s="119" t="inlineStr">
        <is>
          <t>重申目标</t>
        </is>
      </c>
      <c r="H151" s="119" t="inlineStr">
        <is>
          <t>工业转型</t>
        </is>
      </c>
      <c r="I151" s="119" t="inlineStr">
        <is>
          <t>行业</t>
        </is>
      </c>
      <c r="J151" s="119" t="inlineStr">
        <is>
          <t>到2025年，全国80%以上的钢铁产能完成超低排放改造任务</t>
        </is>
      </c>
      <c r="K151" s="119" t="inlineStr">
        <is>
          <t>AP2304.htm</t>
        </is>
      </c>
      <c r="L151" s="119" t="inlineStr">
        <is>
          <t>工业</t>
        </is>
      </c>
    </row>
    <row r="152" ht="18" customHeight="1" s="235">
      <c r="A152" s="119" t="n">
        <v>2013</v>
      </c>
      <c r="B152" s="119" t="inlineStr">
        <is>
          <t>水泥窑协同资源化处理废弃物生产线比例</t>
        </is>
      </c>
      <c r="C152" s="119" t="inlineStr">
        <is>
          <t>达到</t>
        </is>
      </c>
      <c r="D152" s="119" t="inlineStr">
        <is>
          <t>10%</t>
        </is>
      </c>
      <c r="E152" s="119" t="n"/>
      <c r="F152" s="120" t="inlineStr">
        <is>
          <t>2015</t>
        </is>
      </c>
      <c r="G152" s="119" t="inlineStr">
        <is>
          <t>新目标</t>
        </is>
      </c>
      <c r="H152" s="119" t="inlineStr">
        <is>
          <t>资源效率</t>
        </is>
      </c>
      <c r="I152" s="119" t="inlineStr">
        <is>
          <t>行业</t>
        </is>
      </c>
      <c r="J152" s="119" t="inlineStr">
        <is>
          <t>到2015年，水泥窑协同资源化处理废弃物生产线比例达10%。</t>
        </is>
      </c>
      <c r="K152" s="119" t="inlineStr">
        <is>
          <t>DP1301.htm</t>
        </is>
      </c>
      <c r="L152" s="119" t="inlineStr">
        <is>
          <t>工业</t>
        </is>
      </c>
    </row>
    <row r="153" ht="18" customHeight="1" s="235">
      <c r="A153" s="119" t="n">
        <v>2014</v>
      </c>
      <c r="B153" s="119" t="inlineStr">
        <is>
          <t>小型锅炉淘汰</t>
        </is>
      </c>
      <c r="C153" s="119" t="inlineStr">
        <is>
          <t>淘汰</t>
        </is>
      </c>
      <c r="D153" s="119" t="inlineStr">
        <is>
          <t>5万台</t>
        </is>
      </c>
      <c r="E153" s="119" t="n"/>
      <c r="F153" s="120" t="inlineStr">
        <is>
          <t>2014</t>
        </is>
      </c>
      <c r="G153" s="119" t="inlineStr">
        <is>
          <t>新目标</t>
        </is>
      </c>
      <c r="H153" s="119" t="inlineStr">
        <is>
          <t>工业转型</t>
        </is>
      </c>
      <c r="I153" s="119" t="inlineStr">
        <is>
          <t>不明确</t>
        </is>
      </c>
      <c r="J153" s="119" t="inlineStr">
        <is>
          <t>2014年淘汰5万台小锅炉</t>
        </is>
      </c>
      <c r="K153" s="119" t="inlineStr">
        <is>
          <t>AP1404.htm</t>
        </is>
      </c>
      <c r="L153" s="119" t="inlineStr">
        <is>
          <t>工业</t>
        </is>
      </c>
    </row>
    <row r="154" ht="18" customHeight="1" s="235">
      <c r="A154" s="119" t="n">
        <v>2024</v>
      </c>
      <c r="B154" s="119" t="inlineStr">
        <is>
          <t>到2030年碳达峰所需标准数量</t>
        </is>
      </c>
      <c r="C154" s="119" t="inlineStr">
        <is>
          <t>完成</t>
        </is>
      </c>
      <c r="D154" s="119" t="inlineStr">
        <is>
          <t>500项</t>
        </is>
      </c>
      <c r="E154" s="119" t="n"/>
      <c r="F154" s="120" t="inlineStr">
        <is>
          <t>2030</t>
        </is>
      </c>
      <c r="G154" s="119" t="inlineStr">
        <is>
          <t>新目标</t>
        </is>
      </c>
      <c r="H154" s="119" t="inlineStr">
        <is>
          <t>工业转型</t>
        </is>
      </c>
      <c r="I154" s="119" t="inlineStr">
        <is>
          <t>不明确</t>
        </is>
      </c>
      <c r="J154" s="119" t="inlineStr">
        <is>
          <t>发挥各有关标准化技术组织作用，按照需求导向、先进适用、急用先行的原则，加快制定碳排放基础通用、核算与报告、低碳技术与装备等国家标准、行业标准和团体标准，到2030年完成500项以上碳达峰急需标准制修订。</t>
        </is>
      </c>
      <c r="K154" s="119" t="inlineStr">
        <is>
          <t>GO2401.htm</t>
        </is>
      </c>
      <c r="L154" s="119" t="inlineStr">
        <is>
          <t>工业</t>
        </is>
      </c>
    </row>
    <row r="155" ht="18" customHeight="1" s="235">
      <c r="A155" s="119" t="n">
        <v>2016</v>
      </c>
      <c r="B155" s="119" t="inlineStr">
        <is>
          <t>钢铁工业能源消费总量</t>
        </is>
      </c>
      <c r="C155" s="119" t="inlineStr">
        <is>
          <t>降低</t>
        </is>
      </c>
      <c r="D155" s="119" t="inlineStr">
        <is>
          <t>10%以上</t>
        </is>
      </c>
      <c r="E155" s="119" t="n"/>
      <c r="F155" s="120" t="inlineStr">
        <is>
          <t>十三五</t>
        </is>
      </c>
      <c r="G155" s="119" t="inlineStr">
        <is>
          <t>新目标</t>
        </is>
      </c>
      <c r="H155" s="119" t="inlineStr">
        <is>
          <t>能源效率</t>
        </is>
      </c>
      <c r="I155" s="119" t="inlineStr">
        <is>
          <t>行业</t>
        </is>
      </c>
      <c r="J155" s="119" t="inlineStr">
        <is>
          <t>“十三五”期间，钢铁工业能源消费总量下降10%以上。</t>
        </is>
      </c>
      <c r="K155" s="119" t="inlineStr">
        <is>
          <t>FYP1626.pdf</t>
        </is>
      </c>
      <c r="L155" s="119" t="inlineStr">
        <is>
          <t>工业</t>
        </is>
      </c>
    </row>
    <row r="156" ht="18" customHeight="1" s="235">
      <c r="A156" s="119" t="n">
        <v>2013</v>
      </c>
      <c r="B156" s="119" t="inlineStr">
        <is>
          <t>粗钢产能总量</t>
        </is>
      </c>
      <c r="C156" s="119" t="inlineStr">
        <is>
          <t>降低</t>
        </is>
      </c>
      <c r="D156" s="119" t="inlineStr">
        <is>
          <t>8000万吨以上</t>
        </is>
      </c>
      <c r="E156" s="119" t="n"/>
      <c r="F156" s="120" t="inlineStr">
        <is>
          <t>2013-2015</t>
        </is>
      </c>
      <c r="G156" s="119" t="inlineStr">
        <is>
          <t>新目标</t>
        </is>
      </c>
      <c r="H156" s="119" t="inlineStr">
        <is>
          <t>生产导向</t>
        </is>
      </c>
      <c r="I156" s="119" t="inlineStr">
        <is>
          <t>行业</t>
        </is>
      </c>
      <c r="J156" s="119" t="inlineStr">
        <is>
          <t>钢铁行业压缩产能总量8000万吨以上</t>
        </is>
      </c>
      <c r="K156" s="119" t="inlineStr">
        <is>
          <t>GO1302.htm</t>
        </is>
      </c>
      <c r="L156" s="119" t="inlineStr">
        <is>
          <t>工业</t>
        </is>
      </c>
    </row>
    <row r="157" ht="18" customHeight="1" s="235">
      <c r="A157" s="119" t="n">
        <v>2024</v>
      </c>
      <c r="B157" s="119" t="inlineStr">
        <is>
          <t>大气污染防治重点区域水泥熟料产能超低排放改造</t>
        </is>
      </c>
      <c r="C157" s="119" t="inlineStr">
        <is>
          <t>改造</t>
        </is>
      </c>
      <c r="D157" s="119" t="inlineStr">
        <is>
          <t>50%</t>
        </is>
      </c>
      <c r="E157" s="119" t="n"/>
      <c r="F157" s="120" t="inlineStr">
        <is>
          <t>2025</t>
        </is>
      </c>
      <c r="G157" s="119" t="inlineStr">
        <is>
          <t>新目标</t>
        </is>
      </c>
      <c r="H157" s="119" t="inlineStr">
        <is>
          <t>工业转型</t>
        </is>
      </c>
      <c r="I157" s="119" t="inlineStr">
        <is>
          <t>地区</t>
        </is>
      </c>
      <c r="J157" s="119" t="inlineStr">
        <is>
          <t>到2025年底前，重点区域力争50%水泥熟料产能完成超低排放改造。</t>
        </is>
      </c>
      <c r="K157" s="119" t="inlineStr">
        <is>
          <t>O2406.pdf</t>
        </is>
      </c>
      <c r="L157" s="119" t="inlineStr">
        <is>
          <t>工业</t>
        </is>
      </c>
    </row>
    <row r="158" ht="18" customHeight="1" s="235">
      <c r="A158" s="119" t="n">
        <v>2024</v>
      </c>
      <c r="B158" s="119" t="inlineStr">
        <is>
          <t>大气污染防治重点区域水泥熟料产能超低排放改造比例</t>
        </is>
      </c>
      <c r="C158" s="119" t="inlineStr">
        <is>
          <t>完成</t>
        </is>
      </c>
      <c r="D158" s="119" t="inlineStr">
        <is>
          <t>50%</t>
        </is>
      </c>
      <c r="E158" s="119" t="n"/>
      <c r="F158" s="120" t="inlineStr">
        <is>
          <t>2025</t>
        </is>
      </c>
      <c r="G158" s="119" t="inlineStr">
        <is>
          <t>重申目标</t>
        </is>
      </c>
      <c r="H158" s="119" t="inlineStr">
        <is>
          <t>工业转型</t>
        </is>
      </c>
      <c r="I158" s="119" t="inlineStr">
        <is>
          <t>地区</t>
        </is>
      </c>
      <c r="J158" s="119" t="inlineStr">
        <is>
          <t>到2025年底，大气污染防治重点区域50%左右水泥熟料产能完成超低排放改造。</t>
        </is>
      </c>
      <c r="K158" s="119" t="inlineStr">
        <is>
          <t>AP2405.htm</t>
        </is>
      </c>
      <c r="L158" s="119" t="inlineStr">
        <is>
          <t>工业</t>
        </is>
      </c>
    </row>
    <row r="159" ht="18" customHeight="1" s="235">
      <c r="A159" s="119" t="n">
        <v>2021</v>
      </c>
      <c r="B159" s="119" t="inlineStr">
        <is>
          <t>钢铁产能超低排放改造</t>
        </is>
      </c>
      <c r="C159" s="119" t="inlineStr">
        <is>
          <t>改造</t>
        </is>
      </c>
      <c r="D159" s="119" t="inlineStr">
        <is>
          <t>5.3亿吨</t>
        </is>
      </c>
      <c r="E159" s="119" t="n"/>
      <c r="F159" s="120" t="inlineStr">
        <is>
          <t>2025</t>
        </is>
      </c>
      <c r="G159" s="119" t="inlineStr">
        <is>
          <t>新目标</t>
        </is>
      </c>
      <c r="H159" s="119" t="inlineStr">
        <is>
          <t>工业转型</t>
        </is>
      </c>
      <c r="I159" s="119" t="inlineStr">
        <is>
          <t>行业</t>
        </is>
      </c>
      <c r="J159" s="119" t="inlineStr">
        <is>
          <t>到2025年，完成5.3亿吨钢铁产能超低排放改造。</t>
        </is>
      </c>
      <c r="K159" s="119" t="inlineStr">
        <is>
          <t>FYP2101.pdf</t>
        </is>
      </c>
      <c r="L159" s="119" t="inlineStr">
        <is>
          <t>工业</t>
        </is>
      </c>
    </row>
    <row r="160" ht="18" customHeight="1" s="235">
      <c r="A160" s="119" t="n">
        <v>2021</v>
      </c>
      <c r="B160" s="119" t="inlineStr">
        <is>
          <t>钢铁产能超低排放改造</t>
        </is>
      </c>
      <c r="C160" s="119" t="inlineStr">
        <is>
          <t>实现</t>
        </is>
      </c>
      <c r="D160" s="119" t="inlineStr">
        <is>
          <t>5.3亿吨（钢铁产能）</t>
        </is>
      </c>
      <c r="E160" s="119" t="n"/>
      <c r="F160" s="120" t="inlineStr">
        <is>
          <t>2025</t>
        </is>
      </c>
      <c r="G160" s="119" t="inlineStr">
        <is>
          <t>重申目标</t>
        </is>
      </c>
      <c r="H160" s="119" t="inlineStr">
        <is>
          <t>工业转型</t>
        </is>
      </c>
      <c r="I160" s="119" t="inlineStr">
        <is>
          <t>行业</t>
        </is>
      </c>
      <c r="J160" s="119" t="inlineStr">
        <is>
          <t>到2025年，完成5.3亿吨钢铁产能超低排放改造，大气污染防治重点区域燃煤锅炉全面实现超低排放。</t>
        </is>
      </c>
      <c r="K160" s="119" t="inlineStr">
        <is>
          <t>FYP2107.htm</t>
        </is>
      </c>
      <c r="L160" s="119" t="inlineStr">
        <is>
          <t>工业</t>
        </is>
      </c>
    </row>
    <row r="161" ht="18" customHeight="1" s="235">
      <c r="A161" s="119" t="n">
        <v>2013</v>
      </c>
      <c r="B161" s="119" t="inlineStr">
        <is>
          <t>标准抗压强度60兆帕以上混凝土用量占总用量的比例</t>
        </is>
      </c>
      <c r="C161" s="119" t="inlineStr">
        <is>
          <t>达到</t>
        </is>
      </c>
      <c r="D161" s="119" t="inlineStr">
        <is>
          <t>10%</t>
        </is>
      </c>
      <c r="E161" s="119" t="n"/>
      <c r="F161" s="120" t="inlineStr">
        <is>
          <t>2015</t>
        </is>
      </c>
      <c r="G161" s="119" t="inlineStr">
        <is>
          <t>新目标</t>
        </is>
      </c>
      <c r="H161" s="119" t="inlineStr">
        <is>
          <t>工业转型</t>
        </is>
      </c>
      <c r="I161" s="119" t="inlineStr">
        <is>
          <t>行业</t>
        </is>
      </c>
      <c r="J161" s="119" t="inlineStr">
        <is>
          <t>到2015年末，标准抗压强度60兆帕以上混凝土用量达到总用量的10%。</t>
        </is>
      </c>
      <c r="K161" s="119" t="inlineStr">
        <is>
          <t>AP1301.htm</t>
        </is>
      </c>
      <c r="L161" s="119" t="inlineStr">
        <is>
          <t>工业</t>
        </is>
      </c>
    </row>
    <row r="162" ht="18" customHeight="1" s="235">
      <c r="A162" s="119" t="n">
        <v>2013</v>
      </c>
      <c r="B162" s="119" t="inlineStr">
        <is>
          <t>屈服强度400兆帕以上热轧带肋钢筋使用量</t>
        </is>
      </c>
      <c r="C162" s="119" t="inlineStr">
        <is>
          <t>达到</t>
        </is>
      </c>
      <c r="D162" s="119" t="inlineStr">
        <is>
          <t>45%</t>
        </is>
      </c>
      <c r="E162" s="119" t="n"/>
      <c r="F162" s="120" t="inlineStr">
        <is>
          <t>2015</t>
        </is>
      </c>
      <c r="G162" s="119" t="inlineStr">
        <is>
          <t>新目标</t>
        </is>
      </c>
      <c r="H162" s="119" t="inlineStr">
        <is>
          <t>工业转型</t>
        </is>
      </c>
      <c r="I162" s="119" t="inlineStr">
        <is>
          <t>行业</t>
        </is>
      </c>
      <c r="J162" s="119" t="inlineStr">
        <is>
          <t>到2015年末，屈服强度400兆帕以上热轧带肋钢筋用量达到总用量的45%。</t>
        </is>
      </c>
      <c r="K162" s="119" t="inlineStr">
        <is>
          <t>AP1301.htm</t>
        </is>
      </c>
      <c r="L162" s="119" t="inlineStr">
        <is>
          <t>工业</t>
        </is>
      </c>
    </row>
    <row r="163" ht="18" customHeight="1" s="235">
      <c r="A163" s="119" t="n">
        <v>2016</v>
      </c>
      <c r="B163" s="119" t="inlineStr">
        <is>
          <t>重点行业汞使用量</t>
        </is>
      </c>
      <c r="C163" s="119" t="inlineStr">
        <is>
          <t>降低</t>
        </is>
      </c>
      <c r="D163" s="119" t="inlineStr">
        <is>
          <t>280吨/年</t>
        </is>
      </c>
      <c r="E163" s="119" t="n">
        <v>2015</v>
      </c>
      <c r="F163" s="120" t="inlineStr">
        <is>
          <t>2020</t>
        </is>
      </c>
      <c r="G163" s="119" t="inlineStr">
        <is>
          <t>新目标</t>
        </is>
      </c>
      <c r="H163" s="119" t="inlineStr">
        <is>
          <t>工业转型</t>
        </is>
      </c>
      <c r="I163" s="119" t="inlineStr">
        <is>
          <t>行业</t>
        </is>
      </c>
      <c r="J163" s="119" t="inlineStr">
        <is>
          <t>到2020年，削减汞使用量280吨/年</t>
        </is>
      </c>
      <c r="K163" s="119" t="inlineStr">
        <is>
          <t>DP1601.htm</t>
        </is>
      </c>
      <c r="L163" s="119" t="inlineStr">
        <is>
          <t>工业</t>
        </is>
      </c>
    </row>
    <row r="164" ht="18" customHeight="1" s="235">
      <c r="A164" s="119" t="n">
        <v>2021</v>
      </c>
      <c r="B164" s="119" t="inlineStr">
        <is>
          <t>溶剂型胶粘剂使用量</t>
        </is>
      </c>
      <c r="C164" s="119" t="inlineStr">
        <is>
          <t>降低</t>
        </is>
      </c>
      <c r="D164" s="119" t="inlineStr">
        <is>
          <t>20%</t>
        </is>
      </c>
      <c r="E164" s="119" t="n">
        <v>2020</v>
      </c>
      <c r="F164" s="120" t="inlineStr">
        <is>
          <t>2025</t>
        </is>
      </c>
      <c r="G164" s="119" t="inlineStr">
        <is>
          <t>新目标</t>
        </is>
      </c>
      <c r="H164" s="119" t="inlineStr">
        <is>
          <t>污染控制</t>
        </is>
      </c>
      <c r="I164" s="119" t="inlineStr">
        <is>
          <t>行业</t>
        </is>
      </c>
      <c r="J164" s="119" t="inlineStr">
        <is>
          <t>到2025年，溶剂型胶粘剂使用量降低20%。</t>
        </is>
      </c>
      <c r="K164" s="119" t="inlineStr">
        <is>
          <t>FYP2107.htm</t>
        </is>
      </c>
      <c r="L164" s="119" t="inlineStr">
        <is>
          <t>工业</t>
        </is>
      </c>
    </row>
    <row r="165" ht="18" customHeight="1" s="235">
      <c r="A165" s="119" t="n">
        <v>2013</v>
      </c>
      <c r="B165" s="119" t="inlineStr">
        <is>
          <t>脱硫石膏综合利用率</t>
        </is>
      </c>
      <c r="C165" s="119" t="inlineStr">
        <is>
          <t>达到</t>
        </is>
      </c>
      <c r="D165" s="119" t="inlineStr">
        <is>
          <t>80%</t>
        </is>
      </c>
      <c r="E165" s="119" t="n"/>
      <c r="F165" s="120" t="inlineStr">
        <is>
          <t>2015</t>
        </is>
      </c>
      <c r="G165" s="119" t="inlineStr">
        <is>
          <t>新目标</t>
        </is>
      </c>
      <c r="H165" s="119" t="inlineStr">
        <is>
          <t>循环利用</t>
        </is>
      </c>
      <c r="I165" s="119" t="inlineStr">
        <is>
          <t>行业</t>
        </is>
      </c>
      <c r="J165" s="119" t="inlineStr">
        <is>
          <t>到2015年，脱硫石膏综合利用率达到80%。</t>
        </is>
      </c>
      <c r="K165" s="119" t="inlineStr">
        <is>
          <t>DP1301.htm</t>
        </is>
      </c>
      <c r="L165" s="119" t="inlineStr">
        <is>
          <t>工业</t>
        </is>
      </c>
    </row>
    <row r="166" ht="18" customHeight="1" s="235">
      <c r="A166" s="119" t="n">
        <v>2013</v>
      </c>
      <c r="B166" s="119" t="inlineStr">
        <is>
          <t>赤泥综合利用率</t>
        </is>
      </c>
      <c r="C166" s="119" t="inlineStr">
        <is>
          <t>达到</t>
        </is>
      </c>
      <c r="D166" s="119" t="inlineStr">
        <is>
          <t>20%</t>
        </is>
      </c>
      <c r="E166" s="119" t="n"/>
      <c r="F166" s="120" t="inlineStr">
        <is>
          <t>2015</t>
        </is>
      </c>
      <c r="G166" s="119" t="inlineStr">
        <is>
          <t>新目标</t>
        </is>
      </c>
      <c r="H166" s="119" t="inlineStr">
        <is>
          <t>循环利用</t>
        </is>
      </c>
      <c r="I166" s="119" t="inlineStr">
        <is>
          <t>行业</t>
        </is>
      </c>
      <c r="J166" s="119" t="inlineStr">
        <is>
          <t>到2015年，赤泥综合利用率达到20%。</t>
        </is>
      </c>
      <c r="K166" s="119" t="inlineStr">
        <is>
          <t>DP1301.htm</t>
        </is>
      </c>
      <c r="L166" s="119" t="inlineStr">
        <is>
          <t>工业</t>
        </is>
      </c>
    </row>
    <row r="167" ht="18" customHeight="1" s="235">
      <c r="A167" s="119" t="n">
        <v>2013</v>
      </c>
      <c r="B167" s="119" t="inlineStr">
        <is>
          <t>吨钢耗新水量</t>
        </is>
      </c>
      <c r="C167" s="119" t="inlineStr">
        <is>
          <t>降低至</t>
        </is>
      </c>
      <c r="D167" s="119" t="inlineStr">
        <is>
          <t>4立方米</t>
        </is>
      </c>
      <c r="E167" s="119" t="n"/>
      <c r="F167" s="120" t="inlineStr">
        <is>
          <t>2015</t>
        </is>
      </c>
      <c r="G167" s="119" t="inlineStr">
        <is>
          <t>新目标</t>
        </is>
      </c>
      <c r="H167" s="119" t="inlineStr">
        <is>
          <t>资源效率</t>
        </is>
      </c>
      <c r="I167" s="119" t="inlineStr">
        <is>
          <t>行业</t>
        </is>
      </c>
      <c r="J167" s="119" t="inlineStr">
        <is>
          <t>到2015年，吨钢耗新水量降到4立方米</t>
        </is>
      </c>
      <c r="K167" s="119" t="inlineStr">
        <is>
          <t>DP1301.htm</t>
        </is>
      </c>
      <c r="L167" s="119" t="inlineStr">
        <is>
          <t>工业</t>
        </is>
      </c>
    </row>
    <row r="168" ht="18" customHeight="1" s="235">
      <c r="A168" s="119" t="n">
        <v>2024</v>
      </c>
      <c r="B168" s="119" t="inlineStr">
        <is>
          <t>单位国内生产总值用水量</t>
        </is>
      </c>
      <c r="C168" s="119" t="inlineStr">
        <is>
          <t>降低</t>
        </is>
      </c>
      <c r="D168" s="119" t="inlineStr">
        <is>
          <t>16%</t>
        </is>
      </c>
      <c r="E168" s="119" t="n">
        <v>2020</v>
      </c>
      <c r="F168" s="120" t="inlineStr">
        <is>
          <t>2025</t>
        </is>
      </c>
      <c r="G168" s="119" t="inlineStr">
        <is>
          <t>新目标</t>
        </is>
      </c>
      <c r="H168" s="119" t="inlineStr">
        <is>
          <t>资源效率</t>
        </is>
      </c>
      <c r="I168" s="119" t="inlineStr">
        <is>
          <t>行业</t>
        </is>
      </c>
      <c r="J168" s="119" t="inlineStr">
        <is>
          <t>到2025年，万元国内生产总值用水量和万元工业增加值用水量较2020年分别下降约16%。</t>
        </is>
      </c>
      <c r="K168" s="119" t="inlineStr">
        <is>
          <t>HL2401.pdf</t>
        </is>
      </c>
      <c r="L168" s="119" t="inlineStr">
        <is>
          <t>工业</t>
        </is>
      </c>
    </row>
    <row r="169" ht="18" customHeight="1" s="235">
      <c r="A169" s="119" t="n">
        <v>2024</v>
      </c>
      <c r="B169" s="119" t="inlineStr">
        <is>
          <t>单位工业增加值用水量</t>
        </is>
      </c>
      <c r="C169" s="119" t="inlineStr">
        <is>
          <t>降低</t>
        </is>
      </c>
      <c r="D169" s="119" t="inlineStr">
        <is>
          <t>16%</t>
        </is>
      </c>
      <c r="E169" s="119" t="n">
        <v>2020</v>
      </c>
      <c r="F169" s="120" t="inlineStr">
        <is>
          <t>2025</t>
        </is>
      </c>
      <c r="G169" s="119" t="inlineStr">
        <is>
          <t>新目标</t>
        </is>
      </c>
      <c r="H169" s="119" t="inlineStr">
        <is>
          <t>资源效率</t>
        </is>
      </c>
      <c r="I169" s="119" t="inlineStr">
        <is>
          <t>行业</t>
        </is>
      </c>
      <c r="J169" s="119" t="inlineStr">
        <is>
          <t>到2025年，万元GDP用水量和万元工业增加值用水量较2020年分别下降约16%。</t>
        </is>
      </c>
      <c r="K169" s="119" t="inlineStr">
        <is>
          <t>HL2401.pdf</t>
        </is>
      </c>
      <c r="L169" s="119" t="inlineStr">
        <is>
          <t>工业</t>
        </is>
      </c>
    </row>
    <row r="170" ht="18" customHeight="1" s="235">
      <c r="A170" s="119" t="n">
        <v>2015</v>
      </c>
      <c r="B170" s="119" t="inlineStr">
        <is>
          <t>万元工业增加值用水量</t>
        </is>
      </c>
      <c r="C170" s="119" t="inlineStr">
        <is>
          <t>降低至</t>
        </is>
      </c>
      <c r="D170" s="119" t="inlineStr">
        <is>
          <t>65立方米</t>
        </is>
      </c>
      <c r="E170" s="119" t="n"/>
      <c r="F170" s="120" t="inlineStr">
        <is>
          <t>2020</t>
        </is>
      </c>
      <c r="G170" s="119" t="inlineStr">
        <is>
          <t>新目标</t>
        </is>
      </c>
      <c r="H170" s="119" t="inlineStr">
        <is>
          <t>资源效率</t>
        </is>
      </c>
      <c r="I170" s="119" t="inlineStr">
        <is>
          <t>行业</t>
        </is>
      </c>
      <c r="J170" s="119" t="inlineStr">
        <is>
          <t>到2020年，万元工业增加值用水量降低到65立方米以下</t>
        </is>
      </c>
      <c r="K170" s="119" t="inlineStr">
        <is>
          <t>HL1503.htm</t>
        </is>
      </c>
      <c r="L170" s="119" t="inlineStr">
        <is>
          <t>工业</t>
        </is>
      </c>
    </row>
    <row r="171" ht="18" customHeight="1" s="235">
      <c r="A171" s="119" t="n">
        <v>2019</v>
      </c>
      <c r="B171" s="119" t="inlineStr">
        <is>
          <t>单位工业增加值用水量</t>
        </is>
      </c>
      <c r="C171" s="119" t="inlineStr">
        <is>
          <t>降低至</t>
        </is>
      </c>
      <c r="D171" s="119" t="inlineStr">
        <is>
          <t>65立方米</t>
        </is>
      </c>
      <c r="E171" s="119" t="n"/>
      <c r="F171" s="120" t="inlineStr">
        <is>
          <t>2020</t>
        </is>
      </c>
      <c r="G171" s="119" t="inlineStr">
        <is>
          <t>重申目标</t>
        </is>
      </c>
      <c r="H171" s="119" t="inlineStr">
        <is>
          <t>资源效率</t>
        </is>
      </c>
      <c r="I171" s="119" t="inlineStr">
        <is>
          <t>行业</t>
        </is>
      </c>
      <c r="J171" s="119" t="inlineStr">
        <is>
          <t>到2020年，万元工业增加值用水量降至65立方米。</t>
        </is>
      </c>
      <c r="K171" s="119" t="inlineStr">
        <is>
          <t>HL1902.pdf</t>
        </is>
      </c>
      <c r="L171" s="119" t="inlineStr">
        <is>
          <t>工业</t>
        </is>
      </c>
    </row>
    <row r="172" ht="18" customHeight="1" s="235">
      <c r="A172" s="119" t="n">
        <v>2013</v>
      </c>
      <c r="B172" s="119" t="inlineStr">
        <is>
          <t>单位工业增加值用水量</t>
        </is>
      </c>
      <c r="C172" s="119" t="inlineStr">
        <is>
          <t>降低</t>
        </is>
      </c>
      <c r="D172" s="119" t="inlineStr">
        <is>
          <t>30%</t>
        </is>
      </c>
      <c r="E172" s="119" t="n">
        <v>2010</v>
      </c>
      <c r="F172" s="120" t="inlineStr">
        <is>
          <t>2015</t>
        </is>
      </c>
      <c r="G172" s="119" t="inlineStr">
        <is>
          <t>新目标</t>
        </is>
      </c>
      <c r="H172" s="119" t="inlineStr">
        <is>
          <t>资源效率</t>
        </is>
      </c>
      <c r="I172" s="119" t="inlineStr">
        <is>
          <t>行业</t>
        </is>
      </c>
      <c r="J172" s="119" t="inlineStr">
        <is>
          <t>到2015年，单位工业增加值用水量比2010年降低30%。</t>
        </is>
      </c>
      <c r="K172" s="119" t="inlineStr">
        <is>
          <t>DP1301.htm</t>
        </is>
      </c>
      <c r="L172" s="119" t="inlineStr">
        <is>
          <t>工业</t>
        </is>
      </c>
    </row>
    <row r="173" ht="18" customHeight="1" s="235">
      <c r="A173" s="119" t="n">
        <v>2013</v>
      </c>
      <c r="B173" s="119" t="inlineStr">
        <is>
          <t>食品行业单位工业增加值用水量</t>
        </is>
      </c>
      <c r="C173" s="119" t="inlineStr">
        <is>
          <t>降低</t>
        </is>
      </c>
      <c r="D173" s="119" t="inlineStr">
        <is>
          <t>30%</t>
        </is>
      </c>
      <c r="E173" s="119" t="n">
        <v>2010</v>
      </c>
      <c r="F173" s="120" t="inlineStr">
        <is>
          <t>2015</t>
        </is>
      </c>
      <c r="G173" s="119" t="inlineStr">
        <is>
          <t>新目标</t>
        </is>
      </c>
      <c r="H173" s="119" t="inlineStr">
        <is>
          <t>资源效率</t>
        </is>
      </c>
      <c r="I173" s="119" t="inlineStr">
        <is>
          <t>行业</t>
        </is>
      </c>
      <c r="J173" s="119" t="inlineStr">
        <is>
          <t>到2015年，食品行业单位工业增加值用水量比2010年降低30%。</t>
        </is>
      </c>
      <c r="K173" s="119" t="inlineStr">
        <is>
          <t>DP1301.htm</t>
        </is>
      </c>
      <c r="L173" s="119" t="inlineStr">
        <is>
          <t>工业</t>
        </is>
      </c>
    </row>
    <row r="174" ht="18" customHeight="1" s="235">
      <c r="A174" s="119" t="n">
        <v>2013</v>
      </c>
      <c r="B174" s="119" t="inlineStr">
        <is>
          <t>石油石化行业单位工业增加值用水量</t>
        </is>
      </c>
      <c r="C174" s="119" t="inlineStr">
        <is>
          <t>降低</t>
        </is>
      </c>
      <c r="D174" s="119" t="inlineStr">
        <is>
          <t>30%</t>
        </is>
      </c>
      <c r="E174" s="119" t="n">
        <v>2010</v>
      </c>
      <c r="F174" s="120" t="inlineStr">
        <is>
          <t>2015</t>
        </is>
      </c>
      <c r="G174" s="119" t="inlineStr">
        <is>
          <t>新目标</t>
        </is>
      </c>
      <c r="H174" s="119" t="inlineStr">
        <is>
          <t>资源效率</t>
        </is>
      </c>
      <c r="I174" s="119" t="inlineStr">
        <is>
          <t>行业</t>
        </is>
      </c>
      <c r="J174" s="119" t="inlineStr">
        <is>
          <t>到2015年，石油石化行业单位工业增加值用水量比2010年减少30%。</t>
        </is>
      </c>
      <c r="K174" s="119" t="inlineStr">
        <is>
          <t>DP1301.htm</t>
        </is>
      </c>
      <c r="L174" s="119" t="inlineStr">
        <is>
          <t>工业</t>
        </is>
      </c>
    </row>
    <row r="175" ht="18" customHeight="1" s="235">
      <c r="A175" s="119" t="n">
        <v>2013</v>
      </c>
      <c r="B175" s="119" t="inlineStr">
        <is>
          <t>纺织行业单位工业增加值用水量</t>
        </is>
      </c>
      <c r="C175" s="119" t="inlineStr">
        <is>
          <t>降低</t>
        </is>
      </c>
      <c r="D175" s="119" t="inlineStr">
        <is>
          <t>30%</t>
        </is>
      </c>
      <c r="E175" s="119" t="n">
        <v>2010</v>
      </c>
      <c r="F175" s="120" t="inlineStr">
        <is>
          <t>2015</t>
        </is>
      </c>
      <c r="G175" s="119" t="inlineStr">
        <is>
          <t>新目标</t>
        </is>
      </c>
      <c r="H175" s="119" t="inlineStr">
        <is>
          <t>资源效率</t>
        </is>
      </c>
      <c r="I175" s="119" t="inlineStr">
        <is>
          <t>行业</t>
        </is>
      </c>
      <c r="J175" s="119" t="inlineStr">
        <is>
          <t>到2015年，纺织行业单位工业增加值用水量比2010年下降30%。</t>
        </is>
      </c>
      <c r="K175" s="119" t="inlineStr">
        <is>
          <t>DP1301.htm</t>
        </is>
      </c>
      <c r="L175" s="119" t="inlineStr">
        <is>
          <t>工业</t>
        </is>
      </c>
    </row>
    <row r="176" ht="18" customHeight="1" s="235">
      <c r="A176" s="121" t="n">
        <v>2021</v>
      </c>
      <c r="B176" s="121" t="inlineStr">
        <is>
          <t>高耗水行业（钢铁、炼化、煤化工、造纸、食品、纺织印染）水效“领跑者”企业数量</t>
        </is>
      </c>
      <c r="C176" s="121" t="inlineStr">
        <is>
          <t>遴选</t>
        </is>
      </c>
      <c r="D176" s="121" t="inlineStr">
        <is>
          <t>50家</t>
        </is>
      </c>
      <c r="E176" s="121" t="n"/>
      <c r="F176" s="122" t="n">
        <v>2025</v>
      </c>
      <c r="G176" s="121" t="inlineStr">
        <is>
          <t>新目标</t>
        </is>
      </c>
      <c r="H176" s="121" t="inlineStr">
        <is>
          <t>资源效率</t>
        </is>
      </c>
      <c r="I176" s="121" t="inlineStr">
        <is>
          <t>企业</t>
        </is>
      </c>
      <c r="J176" s="121" t="inlineStr">
        <is>
          <t>到2025年，在钢铁、炼化、煤化工、造纸、食品、纺织印染等高耗水行业，遴选50家水效“领跑者”企业，创建节水标杆。</t>
        </is>
      </c>
      <c r="K176" s="121" t="inlineStr">
        <is>
          <t>FYP2101.pdf</t>
        </is>
      </c>
      <c r="L176" s="121" t="inlineStr">
        <is>
          <t>工业</t>
        </is>
      </c>
    </row>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row r="203" ht="18" customHeight="1" s="235"/>
    <row r="204" ht="18" customHeight="1" s="235"/>
    <row r="205" ht="18" customHeight="1" s="235"/>
    <row r="206" ht="18" customHeight="1" s="235"/>
    <row r="207" ht="18" customHeight="1" s="235"/>
    <row r="208" ht="18" customHeight="1" s="235"/>
    <row r="209" ht="18" customHeight="1" s="235"/>
    <row r="210" ht="18" customHeight="1" s="235"/>
    <row r="211" ht="18" customHeight="1" s="235"/>
    <row r="212" ht="18" customHeight="1" s="235"/>
    <row r="213" ht="18" customHeight="1" s="235"/>
    <row r="214" ht="18" customHeight="1" s="235"/>
    <row r="215" ht="18" customHeight="1" s="235"/>
    <row r="216" ht="18" customHeight="1" s="235"/>
    <row r="217" ht="18" customHeight="1" s="235"/>
    <row r="218" ht="18" customHeight="1" s="235"/>
    <row r="219" ht="18" customHeight="1" s="235"/>
    <row r="220" ht="18" customHeight="1" s="235"/>
    <row r="221" ht="18" customHeight="1" s="235"/>
    <row r="222" ht="18" customHeight="1" s="235"/>
    <row r="223"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L98"/>
  <sheetViews>
    <sheetView zoomScale="75" workbookViewId="0">
      <selection activeCell="J18" sqref="J18"/>
    </sheetView>
  </sheetViews>
  <sheetFormatPr baseColWidth="8" defaultColWidth="14" defaultRowHeight="13"/>
  <cols>
    <col width="10.7968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05" customWidth="1" style="235" min="13" max="13"/>
    <col width="17" customWidth="1" style="235" min="14" max="15"/>
    <col width="13" customWidth="1" style="235" min="16"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row>
    <row r="2" ht="18" customHeight="1" s="235">
      <c r="A2" s="123" t="n">
        <v>2024</v>
      </c>
      <c r="B2" s="123" t="inlineStr">
        <is>
          <t>地热能建筑应用覆盖面积</t>
        </is>
      </c>
      <c r="C2" s="123" t="inlineStr">
        <is>
          <t>超过</t>
        </is>
      </c>
      <c r="D2" s="123" t="inlineStr">
        <is>
          <t>超过1亿平方米</t>
        </is>
      </c>
      <c r="E2" s="123" t="n"/>
      <c r="F2" s="123" t="inlineStr">
        <is>
          <t>2025</t>
        </is>
      </c>
      <c r="G2" s="123" t="inlineStr">
        <is>
          <t>新目标</t>
        </is>
      </c>
      <c r="H2" s="123" t="inlineStr">
        <is>
          <t>可再生能源</t>
        </is>
      </c>
      <c r="I2" s="123" t="inlineStr">
        <is>
          <t>地区</t>
        </is>
      </c>
      <c r="J2" s="123" t="inlineStr">
        <is>
          <t>到2025年，地热能建筑应用面积将超过1亿平方米</t>
        </is>
      </c>
      <c r="K2" s="124" t="inlineStr">
        <is>
          <t>HL2401.pdf</t>
        </is>
      </c>
      <c r="L2" s="123" t="inlineStr">
        <is>
          <t>建筑</t>
        </is>
      </c>
    </row>
    <row r="3" ht="18" customHeight="1" s="235">
      <c r="A3" s="123" t="n">
        <v>2017</v>
      </c>
      <c r="B3" s="123" t="inlineStr">
        <is>
          <t>生物质能清洁供暖面积</t>
        </is>
      </c>
      <c r="C3" s="123" t="inlineStr">
        <is>
          <t>达到</t>
        </is>
      </c>
      <c r="D3" s="123" t="inlineStr">
        <is>
          <t>21亿平方米</t>
        </is>
      </c>
      <c r="E3" s="123" t="n"/>
      <c r="F3" s="123" t="inlineStr">
        <is>
          <t>2021</t>
        </is>
      </c>
      <c r="G3" s="123" t="inlineStr">
        <is>
          <t>新目标</t>
        </is>
      </c>
      <c r="H3" s="123" t="inlineStr">
        <is>
          <t>可再生能源</t>
        </is>
      </c>
      <c r="I3" s="123" t="inlineStr">
        <is>
          <t>地区</t>
        </is>
      </c>
      <c r="J3" s="123" t="inlineStr">
        <is>
          <t>到2021年，生物质能清洁供暖面积达到21亿平方米，其中：农林生物质热电联产供暖面积10亿平方米，城镇生活垃圾热电联产供暖面积5亿平方米，生物质成型燃料供暖面积5亿平方米，生物天然气与其他生物质气化供暖面积超1亿平方米。</t>
        </is>
      </c>
      <c r="K3" s="124" t="inlineStr">
        <is>
          <t>PF1701.pdf</t>
        </is>
      </c>
      <c r="L3" s="123" t="inlineStr">
        <is>
          <t>建筑</t>
        </is>
      </c>
    </row>
    <row r="4" ht="18" customHeight="1" s="235">
      <c r="A4" s="123" t="n">
        <v>2017</v>
      </c>
      <c r="B4" s="123" t="inlineStr">
        <is>
          <t>清洁燃煤集中供暖面积</t>
        </is>
      </c>
      <c r="C4" s="123" t="inlineStr">
        <is>
          <t>达到</t>
        </is>
      </c>
      <c r="D4" s="123" t="inlineStr">
        <is>
          <t>110亿平方米</t>
        </is>
      </c>
      <c r="E4" s="123" t="n"/>
      <c r="F4" s="123" t="inlineStr">
        <is>
          <t>2021</t>
        </is>
      </c>
      <c r="G4" s="123" t="inlineStr">
        <is>
          <t>新目标</t>
        </is>
      </c>
      <c r="H4" s="123" t="inlineStr">
        <is>
          <t>涉煤</t>
        </is>
      </c>
      <c r="I4" s="123" t="inlineStr">
        <is>
          <t>地区</t>
        </is>
      </c>
      <c r="J4" s="123" t="inlineStr">
        <is>
          <t>到2021年，清洁燃煤集中供暖面积达到110亿平方米，其中超低排放热电联产80亿平方米，超低排放锅炉房30亿平方米。</t>
        </is>
      </c>
      <c r="K4" s="124" t="inlineStr">
        <is>
          <t>PF1701.pdf</t>
        </is>
      </c>
      <c r="L4" s="123" t="inlineStr">
        <is>
          <t>建筑</t>
        </is>
      </c>
    </row>
    <row r="5" ht="18" customHeight="1" s="235">
      <c r="A5" s="123" t="n">
        <v>2018</v>
      </c>
      <c r="B5" s="123" t="inlineStr">
        <is>
          <t>北方地区清洁取暖率</t>
        </is>
      </c>
      <c r="C5" s="123" t="inlineStr">
        <is>
          <t>达到</t>
        </is>
      </c>
      <c r="D5" s="123" t="inlineStr">
        <is>
          <t>70%</t>
        </is>
      </c>
      <c r="E5" s="123" t="n"/>
      <c r="F5" s="125" t="n">
        <v>2021</v>
      </c>
      <c r="G5" s="123" t="inlineStr">
        <is>
          <t>新目标</t>
        </is>
      </c>
      <c r="H5" s="123" t="inlineStr">
        <is>
          <t>电气化</t>
        </is>
      </c>
      <c r="I5" s="123" t="inlineStr">
        <is>
          <t>地区</t>
        </is>
      </c>
      <c r="J5" s="123" t="inlineStr">
        <is>
          <t>2017年，国家发展改革委印发《北方地区冬季清洁取暖规划（2017-2021年）》，提出到2019年北方地区清洁取暖率达到50%，到2021年达到70%，并在京津冀及“2+26”城市等大气污染传输通道地区形成以天然气、电能替代散煤的清洁取暖格局。</t>
        </is>
      </c>
      <c r="K5" s="124" t="inlineStr">
        <is>
          <t>HL1801.pdf</t>
        </is>
      </c>
      <c r="L5" s="123" t="inlineStr">
        <is>
          <t>建筑</t>
        </is>
      </c>
    </row>
    <row r="6" ht="18" customHeight="1" s="235">
      <c r="A6" s="123" t="n">
        <v>2018</v>
      </c>
      <c r="B6" s="123" t="inlineStr">
        <is>
          <t>北方地区清洁取暖率</t>
        </is>
      </c>
      <c r="C6" s="123" t="inlineStr">
        <is>
          <t>达到</t>
        </is>
      </c>
      <c r="D6" s="123" t="inlineStr">
        <is>
          <t>50%</t>
        </is>
      </c>
      <c r="E6" s="123" t="n"/>
      <c r="F6" s="125" t="n">
        <v>2019</v>
      </c>
      <c r="G6" s="123" t="inlineStr">
        <is>
          <t>新目标</t>
        </is>
      </c>
      <c r="H6" s="123" t="inlineStr">
        <is>
          <t>电气化</t>
        </is>
      </c>
      <c r="I6" s="123" t="inlineStr">
        <is>
          <t>地区</t>
        </is>
      </c>
      <c r="J6" s="123" t="inlineStr">
        <is>
          <t>2017年，国家发展改革委印发《北方地区冬季清洁取暖规划（2017-2021年）》，提出到2019年北方地区清洁取暖率达到50%，到2021年达到70%，并在京津冀及“2+26”城市等大气污染传输通道形成以天然气和电力替代散煤的清洁取暖格局。</t>
        </is>
      </c>
      <c r="K6" s="124" t="inlineStr">
        <is>
          <t>HL1801.pdf</t>
        </is>
      </c>
      <c r="L6" s="123" t="inlineStr">
        <is>
          <t>建筑</t>
        </is>
      </c>
    </row>
    <row r="7" ht="18" customHeight="1" s="235">
      <c r="A7" s="123" t="n">
        <v>2019</v>
      </c>
      <c r="B7" s="123" t="inlineStr">
        <is>
          <t>北方地区清洁取暖率</t>
        </is>
      </c>
      <c r="C7" s="123" t="inlineStr">
        <is>
          <t>达到</t>
        </is>
      </c>
      <c r="D7" s="123" t="inlineStr">
        <is>
          <t>50%</t>
        </is>
      </c>
      <c r="E7" s="123" t="n"/>
      <c r="F7" s="123" t="inlineStr">
        <is>
          <t>2019</t>
        </is>
      </c>
      <c r="G7" s="123" t="inlineStr">
        <is>
          <t>重申目标</t>
        </is>
      </c>
      <c r="H7" s="123" t="inlineStr">
        <is>
          <t>电气化</t>
        </is>
      </c>
      <c r="I7" s="123" t="inlineStr">
        <is>
          <t>地区</t>
        </is>
      </c>
      <c r="J7" s="123" t="inlineStr">
        <is>
          <t>提出到2019年，北方地区清洁取暖率达到50%，替代散煤（含低效小锅炉用煤）7400万吨。</t>
        </is>
      </c>
      <c r="K7" s="124" t="inlineStr">
        <is>
          <t>HL1903.pdf</t>
        </is>
      </c>
      <c r="L7" s="123" t="inlineStr">
        <is>
          <t>建筑</t>
        </is>
      </c>
    </row>
    <row r="8" ht="18" customHeight="1" s="235">
      <c r="A8" s="123" t="n">
        <v>2019</v>
      </c>
      <c r="B8" s="123" t="inlineStr">
        <is>
          <t>北方地区清洁取暖率</t>
        </is>
      </c>
      <c r="C8" s="123" t="inlineStr">
        <is>
          <t>达到</t>
        </is>
      </c>
      <c r="D8" s="123" t="inlineStr">
        <is>
          <t>70%</t>
        </is>
      </c>
      <c r="E8" s="123" t="n"/>
      <c r="F8" s="123" t="inlineStr">
        <is>
          <t>2021</t>
        </is>
      </c>
      <c r="G8" s="123" t="inlineStr">
        <is>
          <t>重申目标</t>
        </is>
      </c>
      <c r="H8" s="123" t="inlineStr">
        <is>
          <t>电气化</t>
        </is>
      </c>
      <c r="I8" s="123" t="inlineStr">
        <is>
          <t>地区</t>
        </is>
      </c>
      <c r="J8" s="123" t="inlineStr">
        <is>
          <t>到2021年，北方地区清洁取暖率达到70%，替代散煤（含低效小锅炉用煤）1.5亿吨。</t>
        </is>
      </c>
      <c r="K8" s="124" t="inlineStr">
        <is>
          <t>HL1903.pdf</t>
        </is>
      </c>
      <c r="L8" s="123" t="inlineStr">
        <is>
          <t>建筑</t>
        </is>
      </c>
    </row>
    <row r="9" ht="18" customHeight="1" s="235">
      <c r="A9" s="0" t="n">
        <v>2026</v>
      </c>
      <c r="B9" s="0" t="inlineStr">
        <is>
          <t>节约型公共机构示范单位</t>
        </is>
      </c>
      <c r="C9" s="0" t="inlineStr">
        <is>
          <t>创建</t>
        </is>
      </c>
      <c r="D9" s="0" t="inlineStr">
        <is>
          <t>2000家以内</t>
        </is>
      </c>
      <c r="F9" s="0" t="n">
        <v>2030</v>
      </c>
      <c r="G9" s="0" t="inlineStr">
        <is>
          <t>重申目标</t>
        </is>
      </c>
      <c r="H9" s="0" t="inlineStr">
        <is>
          <t>节能</t>
        </is>
      </c>
      <c r="I9" s="0" t="inlineStr">
        <is>
          <t>企事业单位</t>
        </is>
      </c>
      <c r="J9" s="0" t="inlineStr">
        <is>
          <t>优化创建指标、严把创建实效，高标准创建2000家以内节约型公共机构示范单位。</t>
        </is>
      </c>
      <c r="K9" s="0" t="inlineStr">
        <is>
          <t>WOP2601.htm</t>
        </is>
      </c>
      <c r="L9" s="0" t="inlineStr">
        <is>
          <t>建筑</t>
        </is>
      </c>
    </row>
    <row r="10" ht="18" customHeight="1" s="235">
      <c r="A10" s="0" t="n">
        <v>2026</v>
      </c>
      <c r="B10" s="0" t="inlineStr">
        <is>
          <t>单位建筑面积直接碳排放</t>
        </is>
      </c>
      <c r="C10" s="0" t="inlineStr">
        <is>
          <t>降低</t>
        </is>
      </c>
      <c r="D10" s="0" t="inlineStr">
        <is>
          <t>3%</t>
        </is>
      </c>
      <c r="F10" s="0" t="inlineStr">
        <is>
          <t>十五五</t>
        </is>
      </c>
      <c r="G10" s="0" t="inlineStr">
        <is>
          <t>新目标</t>
        </is>
      </c>
      <c r="H10" s="0" t="inlineStr">
        <is>
          <t>碳强度</t>
        </is>
      </c>
      <c r="I10" s="0" t="inlineStr">
        <is>
          <t>全社会经济</t>
        </is>
      </c>
      <c r="J10" s="0" t="inlineStr">
        <is>
          <t>“十五五”期间，单位建筑面积直接碳排放降低3%。</t>
        </is>
      </c>
      <c r="K10" s="0" t="inlineStr">
        <is>
          <t>HL2604.htm</t>
        </is>
      </c>
      <c r="L10" s="0" t="inlineStr">
        <is>
          <t>建筑</t>
        </is>
      </c>
    </row>
    <row r="11" ht="18" customHeight="1" s="235">
      <c r="A11" s="123" t="n">
        <v>2021</v>
      </c>
      <c r="B11" s="123" t="inlineStr">
        <is>
          <t>新建工业园区及新增大型公共建筑分布式光伏安装率</t>
        </is>
      </c>
      <c r="C11" s="123" t="inlineStr">
        <is>
          <t>达到</t>
        </is>
      </c>
      <c r="D11" s="123" t="inlineStr">
        <is>
          <t>50%以上</t>
        </is>
      </c>
      <c r="E11" s="123" t="n"/>
      <c r="F11" s="123" t="inlineStr">
        <is>
          <t>十四五</t>
        </is>
      </c>
      <c r="G11" s="123" t="inlineStr">
        <is>
          <t>新目标</t>
        </is>
      </c>
      <c r="H11" s="123" t="inlineStr">
        <is>
          <t>可再生能源</t>
        </is>
      </c>
      <c r="I11" s="123" t="inlineStr">
        <is>
          <t>公共机构</t>
        </is>
      </c>
      <c r="J11" s="123" t="inlineStr">
        <is>
          <t>“十四五”期间，新建工业园区、新增大型公共建筑分布式光伏安装率达到50%以上。</t>
        </is>
      </c>
      <c r="K11" s="124" t="inlineStr">
        <is>
          <t>FYP2106.pdf</t>
        </is>
      </c>
      <c r="L11" s="123" t="inlineStr">
        <is>
          <t>建筑</t>
        </is>
      </c>
    </row>
    <row r="12" ht="18" customHeight="1" s="235">
      <c r="A12" s="123" t="n">
        <v>2004</v>
      </c>
      <c r="B12" s="123" t="inlineStr">
        <is>
          <t>高效节能照明系统节电量</t>
        </is>
      </c>
      <c r="C12" s="123" t="inlineStr">
        <is>
          <t>节约</t>
        </is>
      </c>
      <c r="D12" s="123" t="inlineStr">
        <is>
          <t>290亿千瓦时</t>
        </is>
      </c>
      <c r="E12" s="123" t="n"/>
      <c r="F12" s="123" t="inlineStr">
        <is>
          <t>十一五</t>
        </is>
      </c>
      <c r="G12" s="123" t="inlineStr">
        <is>
          <t>新目标</t>
        </is>
      </c>
      <c r="H12" s="123" t="inlineStr">
        <is>
          <t>节能</t>
        </is>
      </c>
      <c r="I12" s="123" t="inlineStr">
        <is>
          <t>不明确</t>
        </is>
      </c>
      <c r="J12" s="123" t="inlineStr">
        <is>
          <t>“十一五”期间重点在公用设施、宾馆、商厦、写字楼、体育场馆、居民中推广高效节电照明系统、稀土三基色荧光灯，对高效照明电器产品生产装配线进行自动化改造，可节电290亿千瓦时。</t>
        </is>
      </c>
      <c r="K12" s="124" t="inlineStr">
        <is>
          <t>MLT0401.htm</t>
        </is>
      </c>
      <c r="L12" s="123" t="inlineStr">
        <is>
          <t>建筑</t>
        </is>
      </c>
    </row>
    <row r="13" ht="18" customHeight="1" s="235">
      <c r="A13" s="123" t="n">
        <v>2024</v>
      </c>
      <c r="B13" s="123" t="inlineStr">
        <is>
          <t>公共机构人均综合能耗</t>
        </is>
      </c>
      <c r="C13" s="123" t="inlineStr">
        <is>
          <t>降低</t>
        </is>
      </c>
      <c r="D13" s="123" t="inlineStr">
        <is>
          <t>6%</t>
        </is>
      </c>
      <c r="E13" s="123" t="n">
        <v>2020</v>
      </c>
      <c r="F13" s="123" t="inlineStr">
        <is>
          <t>2025</t>
        </is>
      </c>
      <c r="G13" s="123" t="inlineStr">
        <is>
          <t>新目标</t>
        </is>
      </c>
      <c r="H13" s="123" t="inlineStr">
        <is>
          <t>能源效率</t>
        </is>
      </c>
      <c r="I13" s="123" t="inlineStr">
        <is>
          <t>公共机构</t>
        </is>
      </c>
      <c r="J13" s="123" t="inlineStr">
        <is>
          <t>到2025年底，公共机构人均综合能耗较2020年降低6%。</t>
        </is>
      </c>
      <c r="K13" s="124" t="inlineStr">
        <is>
          <t>AP2405.htm</t>
        </is>
      </c>
      <c r="L13" s="123" t="inlineStr">
        <is>
          <t>建筑</t>
        </is>
      </c>
    </row>
    <row r="14" ht="18" customHeight="1" s="235">
      <c r="A14" s="123" t="n">
        <v>2016</v>
      </c>
      <c r="B14" s="123" t="inlineStr">
        <is>
          <t>公共机构人均能耗</t>
        </is>
      </c>
      <c r="C14" s="123" t="inlineStr">
        <is>
          <t>降低</t>
        </is>
      </c>
      <c r="D14" s="123" t="inlineStr">
        <is>
          <t>11%</t>
        </is>
      </c>
      <c r="E14" s="123" t="n">
        <v>2015</v>
      </c>
      <c r="F14" s="123" t="inlineStr">
        <is>
          <t>2020</t>
        </is>
      </c>
      <c r="G14" s="123" t="inlineStr">
        <is>
          <t>新目标</t>
        </is>
      </c>
      <c r="H14" s="123" t="inlineStr">
        <is>
          <t>能源效率</t>
        </is>
      </c>
      <c r="I14" s="123" t="inlineStr">
        <is>
          <t>公共机构</t>
        </is>
      </c>
      <c r="J14" s="123" t="inlineStr">
        <is>
          <t>到2020年，公共机构单位建筑面积能耗和人均能耗分别比2015年降低10%和11%。</t>
        </is>
      </c>
      <c r="K14" s="124" t="inlineStr">
        <is>
          <t>FYP1601.htm</t>
        </is>
      </c>
      <c r="L14" s="123" t="inlineStr">
        <is>
          <t>建筑</t>
        </is>
      </c>
    </row>
    <row r="15" ht="18" customHeight="1" s="235">
      <c r="A15" s="123" t="n">
        <v>2004</v>
      </c>
      <c r="B15" s="123" t="inlineStr">
        <is>
          <t>中央国家机关人均能耗</t>
        </is>
      </c>
      <c r="C15" s="123" t="inlineStr">
        <is>
          <t>降低</t>
        </is>
      </c>
      <c r="D15" s="123" t="inlineStr">
        <is>
          <t>10%</t>
        </is>
      </c>
      <c r="E15" s="123" t="n">
        <v>2002</v>
      </c>
      <c r="F15" s="123" t="inlineStr">
        <is>
          <t>2010</t>
        </is>
      </c>
      <c r="G15" s="123" t="inlineStr">
        <is>
          <t>新目标</t>
        </is>
      </c>
      <c r="H15" s="123" t="inlineStr">
        <is>
          <t>能源效率</t>
        </is>
      </c>
      <c r="I15" s="123" t="inlineStr">
        <is>
          <t>公共机构</t>
        </is>
      </c>
      <c r="J15" s="123" t="inlineStr">
        <is>
          <t>到2010年，中央国家机关单位建筑面积能耗和人均能耗在2002年基础上降低10%。</t>
        </is>
      </c>
      <c r="K15" s="124" t="inlineStr">
        <is>
          <t>MLT0401.htm</t>
        </is>
      </c>
      <c r="L15" s="123" t="inlineStr">
        <is>
          <t>建筑</t>
        </is>
      </c>
    </row>
    <row r="16" ht="18" customHeight="1" s="235">
      <c r="A16" s="123" t="n">
        <v>2004</v>
      </c>
      <c r="B16" s="123" t="inlineStr">
        <is>
          <t>中央国家机关单位建筑面积能耗</t>
        </is>
      </c>
      <c r="C16" s="123" t="inlineStr">
        <is>
          <t>降低</t>
        </is>
      </c>
      <c r="D16" s="123" t="inlineStr">
        <is>
          <t>10%</t>
        </is>
      </c>
      <c r="E16" s="123" t="n">
        <v>2002</v>
      </c>
      <c r="F16" s="123" t="inlineStr">
        <is>
          <t>2010</t>
        </is>
      </c>
      <c r="G16" s="123" t="inlineStr">
        <is>
          <t>新目标</t>
        </is>
      </c>
      <c r="H16" s="123" t="inlineStr">
        <is>
          <t>能源效率</t>
        </is>
      </c>
      <c r="I16" s="123" t="inlineStr">
        <is>
          <t>公共机构</t>
        </is>
      </c>
      <c r="J16" s="123" t="inlineStr">
        <is>
          <t>到2010年，中央国家机关单位建筑面积能耗和人均能耗在2002年基础上降低10%。</t>
        </is>
      </c>
      <c r="K16" s="124" t="inlineStr">
        <is>
          <t>MLT0401.htm</t>
        </is>
      </c>
      <c r="L16" s="123" t="inlineStr">
        <is>
          <t>建筑</t>
        </is>
      </c>
    </row>
    <row r="17" ht="18" customHeight="1" s="235">
      <c r="A17" s="123" t="n">
        <v>2014</v>
      </c>
      <c r="B17" s="123" t="inlineStr">
        <is>
          <t>公共机构单位建筑面积能耗</t>
        </is>
      </c>
      <c r="C17" s="123" t="inlineStr">
        <is>
          <t>降低</t>
        </is>
      </c>
      <c r="D17" s="123" t="inlineStr">
        <is>
          <t>12%</t>
        </is>
      </c>
      <c r="E17" s="123" t="n"/>
      <c r="F17" s="125" t="inlineStr">
        <is>
          <t>十二五</t>
        </is>
      </c>
      <c r="G17" s="123" t="inlineStr">
        <is>
          <t>新目标</t>
        </is>
      </c>
      <c r="H17" s="123" t="inlineStr">
        <is>
          <t>能源效率</t>
        </is>
      </c>
      <c r="I17" s="123" t="inlineStr">
        <is>
          <t>公共机构</t>
        </is>
      </c>
      <c r="J17" s="123" t="inlineStr">
        <is>
          <t>2014-2015年，全国公共机构单位建筑面积能耗年均降低2.2%，力争超额完成“十二五”时期降低12%的目标。</t>
        </is>
      </c>
      <c r="K17" s="124" t="inlineStr">
        <is>
          <t>AP1404.htm</t>
        </is>
      </c>
      <c r="L17" s="123" t="inlineStr">
        <is>
          <t>建筑</t>
        </is>
      </c>
    </row>
    <row r="18" ht="18" customHeight="1" s="235">
      <c r="A18" s="123" t="n">
        <v>2024</v>
      </c>
      <c r="B18" s="123" t="inlineStr">
        <is>
          <t>公共机构单位建筑面积能耗</t>
        </is>
      </c>
      <c r="C18" s="123" t="inlineStr">
        <is>
          <t>降低</t>
        </is>
      </c>
      <c r="D18" s="125" t="inlineStr">
        <is>
          <t>5%</t>
        </is>
      </c>
      <c r="E18" s="126" t="n">
        <v>2020</v>
      </c>
      <c r="F18" s="125" t="inlineStr">
        <is>
          <t>2025</t>
        </is>
      </c>
      <c r="G18" s="123" t="inlineStr">
        <is>
          <t>新目标</t>
        </is>
      </c>
      <c r="H18" s="123" t="inlineStr">
        <is>
          <t>能源效率</t>
        </is>
      </c>
      <c r="I18" s="123" t="inlineStr">
        <is>
          <t>公共机构</t>
        </is>
      </c>
      <c r="J18" s="123" t="inlineStr">
        <is>
          <t>到2025年底，公共机构单位建筑面积能耗较2020年降低5%。</t>
        </is>
      </c>
      <c r="K18" s="124" t="inlineStr">
        <is>
          <t>AP2405.htm</t>
        </is>
      </c>
      <c r="L18" s="123" t="inlineStr">
        <is>
          <t>建筑</t>
        </is>
      </c>
    </row>
    <row r="19" ht="18" customHeight="1" s="235">
      <c r="A19" s="123" t="n">
        <v>2016</v>
      </c>
      <c r="B19" s="123" t="inlineStr">
        <is>
          <t>公共机构单位建筑面积能耗</t>
        </is>
      </c>
      <c r="C19" s="123" t="inlineStr">
        <is>
          <t>降低</t>
        </is>
      </c>
      <c r="D19" s="123" t="inlineStr">
        <is>
          <t>10%</t>
        </is>
      </c>
      <c r="E19" s="123" t="n">
        <v>2015</v>
      </c>
      <c r="F19" s="123" t="inlineStr">
        <is>
          <t>2020</t>
        </is>
      </c>
      <c r="G19" s="123" t="inlineStr">
        <is>
          <t>新目标</t>
        </is>
      </c>
      <c r="H19" s="123" t="inlineStr">
        <is>
          <t>能源效率</t>
        </is>
      </c>
      <c r="I19" s="123" t="inlineStr">
        <is>
          <t>地区</t>
        </is>
      </c>
      <c r="J19" s="123" t="inlineStr">
        <is>
          <t>到2020年，公共机构单位建筑面积能耗和人均能耗分别比2015年降低10%和11%。</t>
        </is>
      </c>
      <c r="K19" s="124" t="inlineStr">
        <is>
          <t>FYP1601.htm</t>
        </is>
      </c>
      <c r="L19" s="123" t="inlineStr">
        <is>
          <t>建筑</t>
        </is>
      </c>
    </row>
    <row r="20" ht="18" customHeight="1" s="235">
      <c r="A20" s="123" t="n">
        <v>2026</v>
      </c>
      <c r="B20" s="123" t="inlineStr">
        <is>
          <t>公共机构单位建筑面积能耗</t>
        </is>
      </c>
      <c r="C20" s="123" t="inlineStr">
        <is>
          <t>降低</t>
        </is>
      </c>
      <c r="D20" s="127" t="inlineStr">
        <is>
          <t>5%</t>
        </is>
      </c>
      <c r="E20" s="123" t="n"/>
      <c r="F20" s="123" t="inlineStr">
        <is>
          <t>十五五</t>
        </is>
      </c>
      <c r="G20" s="123" t="inlineStr">
        <is>
          <t>新目标</t>
        </is>
      </c>
      <c r="H20" s="123" t="inlineStr">
        <is>
          <t>能源效率</t>
        </is>
      </c>
      <c r="I20" s="123" t="inlineStr">
        <is>
          <t>公共机构</t>
        </is>
      </c>
      <c r="J20" s="123" t="inlineStr">
        <is>
          <t>公共机构单位建筑面积能耗降低5%</t>
        </is>
      </c>
      <c r="K20" s="124" t="inlineStr">
        <is>
          <t>HL2601.pdf</t>
        </is>
      </c>
      <c r="L20" s="123" t="inlineStr">
        <is>
          <t>建筑</t>
        </is>
      </c>
    </row>
    <row r="21" ht="18" customHeight="1" s="235">
      <c r="A21" s="0" t="n">
        <v>2026</v>
      </c>
      <c r="B21" s="0" t="inlineStr">
        <is>
          <t>公共机构单位建筑面积能耗</t>
        </is>
      </c>
      <c r="C21" s="0" t="inlineStr">
        <is>
          <t>降低</t>
        </is>
      </c>
      <c r="D21" s="0" t="inlineStr">
        <is>
          <t>5%</t>
        </is>
      </c>
      <c r="F21" s="0" t="inlineStr">
        <is>
          <t>十五五</t>
        </is>
      </c>
      <c r="G21" s="0" t="inlineStr">
        <is>
          <t>重申目标</t>
        </is>
      </c>
      <c r="H21" s="0" t="inlineStr">
        <is>
          <t>能源效率</t>
        </is>
      </c>
      <c r="I21" s="0" t="inlineStr">
        <is>
          <t>企事业单位</t>
        </is>
      </c>
      <c r="J21" s="0" t="inlineStr">
        <is>
          <t>“十五五”期间，公共机构单位建筑面积能耗降低5%、碳排放降低8.5%。</t>
        </is>
      </c>
      <c r="K21" s="0" t="inlineStr">
        <is>
          <t>HL2604.htm</t>
        </is>
      </c>
      <c r="L21" s="0" t="inlineStr">
        <is>
          <t>建筑</t>
        </is>
      </c>
    </row>
    <row r="22" ht="18" customHeight="1" s="235">
      <c r="A22" s="0" t="n">
        <v>2026</v>
      </c>
      <c r="B22" s="0" t="inlineStr">
        <is>
          <t>公共机构单位建筑面积能耗</t>
        </is>
      </c>
      <c r="C22" s="0" t="inlineStr">
        <is>
          <t>降低</t>
        </is>
      </c>
      <c r="D22" s="0" t="inlineStr">
        <is>
          <t>5%</t>
        </is>
      </c>
      <c r="E22" s="0" t="inlineStr">
        <is>
          <t>2025</t>
        </is>
      </c>
      <c r="F22" s="0" t="n">
        <v>2030</v>
      </c>
      <c r="G22" s="0" t="inlineStr">
        <is>
          <t>重申目标</t>
        </is>
      </c>
      <c r="H22" s="0" t="inlineStr">
        <is>
          <t>能源效率</t>
        </is>
      </c>
      <c r="I22" s="0" t="inlineStr">
        <is>
          <t>企事业单位</t>
        </is>
      </c>
      <c r="J22" s="0" t="inlineStr">
        <is>
          <t>……到2030年统计范围内公共机构单位建筑面积碳排放下降8.5%，单位建筑面积能耗下降5%，人均用水量下降3%，公共机构碳排放总量2030年前尽早达峰。</t>
        </is>
      </c>
      <c r="K22" s="0" t="inlineStr">
        <is>
          <t>WOP2601.htm</t>
        </is>
      </c>
      <c r="L22" s="0" t="inlineStr">
        <is>
          <t>建筑</t>
        </is>
      </c>
    </row>
    <row r="23" ht="18" customHeight="1" s="235">
      <c r="A23" s="123" t="n">
        <v>2021</v>
      </c>
      <c r="B23" s="123" t="inlineStr">
        <is>
          <t>节约型公共机构示范单位</t>
        </is>
      </c>
      <c r="C23" s="123" t="inlineStr">
        <is>
          <t>建立</t>
        </is>
      </c>
      <c r="D23" s="125" t="inlineStr">
        <is>
          <t>2000家</t>
        </is>
      </c>
      <c r="E23" s="123" t="n"/>
      <c r="F23" s="123" t="inlineStr">
        <is>
          <t>2025</t>
        </is>
      </c>
      <c r="G23" s="123" t="inlineStr">
        <is>
          <t>新目标</t>
        </is>
      </c>
      <c r="H23" s="123" t="inlineStr">
        <is>
          <t>节能</t>
        </is>
      </c>
      <c r="I23" s="123" t="inlineStr">
        <is>
          <t>公共机构</t>
        </is>
      </c>
      <c r="J23" s="123" t="inlineStr">
        <is>
          <t>到2025年，创建2000家节约型公共机构示范单位。</t>
        </is>
      </c>
      <c r="K23" s="124" t="inlineStr">
        <is>
          <t>FYP2107.htm</t>
        </is>
      </c>
      <c r="L23" s="123" t="inlineStr">
        <is>
          <t>建筑</t>
        </is>
      </c>
    </row>
    <row r="24" ht="18" customHeight="1" s="235">
      <c r="A24" s="123" t="n">
        <v>2010</v>
      </c>
      <c r="B24" s="123" t="inlineStr">
        <is>
          <t>北方采暖地区居住建筑供热计量及节能改造</t>
        </is>
      </c>
      <c r="C24" s="123" t="inlineStr">
        <is>
          <t>完成</t>
        </is>
      </c>
      <c r="D24" s="123" t="inlineStr">
        <is>
          <t>五千万平方米</t>
        </is>
      </c>
      <c r="E24" s="123" t="n"/>
      <c r="F24" s="123" t="inlineStr">
        <is>
          <t>十一五</t>
        </is>
      </c>
      <c r="G24" s="123" t="inlineStr">
        <is>
          <t>新目标</t>
        </is>
      </c>
      <c r="H24" s="123" t="inlineStr">
        <is>
          <t>能源效率</t>
        </is>
      </c>
      <c r="I24" s="123" t="inlineStr">
        <is>
          <t>地区</t>
        </is>
      </c>
      <c r="J24" s="123" t="inlineStr">
        <is>
          <t>到2010年底，完成北方采暖地区居住建筑供热计量及节能改造5000万平方米。</t>
        </is>
      </c>
      <c r="K24" s="124" t="inlineStr">
        <is>
          <t>N1001.htm</t>
        </is>
      </c>
      <c r="L24" s="123" t="inlineStr">
        <is>
          <t>建筑</t>
        </is>
      </c>
    </row>
    <row r="25" ht="18" customHeight="1" s="235">
      <c r="A25" s="123" t="n">
        <v>2012</v>
      </c>
      <c r="B25" s="123" t="inlineStr">
        <is>
          <t>北方采暖地区既有居住建筑供热计量及节能改造面积</t>
        </is>
      </c>
      <c r="C25" s="123" t="inlineStr">
        <is>
          <t>完成</t>
        </is>
      </c>
      <c r="D25" s="123" t="inlineStr">
        <is>
          <t>4亿平方米</t>
        </is>
      </c>
      <c r="E25" s="123" t="n"/>
      <c r="F25" s="123" t="inlineStr">
        <is>
          <t>十二五</t>
        </is>
      </c>
      <c r="G25" s="123" t="inlineStr">
        <is>
          <t>新目标</t>
        </is>
      </c>
      <c r="H25" s="123" t="inlineStr">
        <is>
          <t>能源效率</t>
        </is>
      </c>
      <c r="I25" s="123" t="inlineStr">
        <is>
          <t>地区</t>
        </is>
      </c>
      <c r="J25" s="123" t="inlineStr">
        <is>
          <t>到2015年，累计完成北方采暖地区既有居住建筑供热计量和节能改造4亿平方米以上</t>
        </is>
      </c>
      <c r="K25" s="124" t="inlineStr">
        <is>
          <t>FYP1201.htm</t>
        </is>
      </c>
      <c r="L25" s="123" t="inlineStr">
        <is>
          <t>建筑</t>
        </is>
      </c>
    </row>
    <row r="26" ht="18" customHeight="1" s="235">
      <c r="A26" s="123" t="n">
        <v>2014</v>
      </c>
      <c r="B26" s="123" t="inlineStr">
        <is>
          <t>北方采暖地区既有居住建筑供热计量及节能改造</t>
        </is>
      </c>
      <c r="C26" s="123" t="inlineStr">
        <is>
          <t>完成</t>
        </is>
      </c>
      <c r="D26" s="123" t="inlineStr">
        <is>
          <t>3亿平方米</t>
        </is>
      </c>
      <c r="E26" s="123" t="n"/>
      <c r="F26" s="123" t="inlineStr">
        <is>
          <t>十二五</t>
        </is>
      </c>
      <c r="G26" s="123" t="inlineStr">
        <is>
          <t>强化或放宽目标（消极气候影响）</t>
        </is>
      </c>
      <c r="H26" s="123" t="inlineStr">
        <is>
          <t>能源效率</t>
        </is>
      </c>
      <c r="I26" s="123" t="inlineStr">
        <is>
          <t>地区</t>
        </is>
      </c>
      <c r="J26" s="123" t="inlineStr">
        <is>
          <t>到2015年，完成北方采暖地区既有居住建筑供热计量及节能改造3亿平方米</t>
        </is>
      </c>
      <c r="K26" s="124" t="inlineStr">
        <is>
          <t>AP1404.htm</t>
        </is>
      </c>
      <c r="L26" s="123" t="inlineStr">
        <is>
          <t>建筑</t>
        </is>
      </c>
    </row>
    <row r="27" ht="18" customHeight="1" s="235">
      <c r="A27" s="123" t="n">
        <v>2013</v>
      </c>
      <c r="B27" s="123" t="inlineStr">
        <is>
          <t>北方采暖地区既有居住建筑供热计量及节能改造</t>
        </is>
      </c>
      <c r="C27" s="123" t="inlineStr">
        <is>
          <t>完成</t>
        </is>
      </c>
      <c r="D27" s="123" t="inlineStr">
        <is>
          <t>4亿平方米</t>
        </is>
      </c>
      <c r="E27" s="123" t="n"/>
      <c r="F27" s="123" t="inlineStr">
        <is>
          <t>十二五</t>
        </is>
      </c>
      <c r="G27" s="123" t="inlineStr">
        <is>
          <t>重申目标</t>
        </is>
      </c>
      <c r="H27" s="123" t="inlineStr">
        <is>
          <t>能源效率</t>
        </is>
      </c>
      <c r="I27" s="123" t="inlineStr">
        <is>
          <t>地区</t>
        </is>
      </c>
      <c r="J27" s="123" t="inlineStr">
        <is>
          <t>“十二五”期间，完成北方采暖地区既有居住建筑供热计量及节能改造4亿平方米以上。</t>
        </is>
      </c>
      <c r="K27" s="124" t="inlineStr">
        <is>
          <t>AP1301.htm</t>
        </is>
      </c>
      <c r="L27" s="123" t="inlineStr">
        <is>
          <t>建筑</t>
        </is>
      </c>
    </row>
    <row r="28" ht="18" customHeight="1" s="235">
      <c r="A28" s="123" t="n">
        <v>2024</v>
      </c>
      <c r="B28" s="123" t="inlineStr">
        <is>
          <t>既有建筑节能改造面积</t>
        </is>
      </c>
      <c r="C28" s="123" t="inlineStr">
        <is>
          <t>完成</t>
        </is>
      </c>
      <c r="D28" s="123" t="inlineStr">
        <is>
          <t>3.5亿平方米</t>
        </is>
      </c>
      <c r="E28" s="123" t="n">
        <v>2020</v>
      </c>
      <c r="F28" s="123" t="inlineStr">
        <is>
          <t>2025</t>
        </is>
      </c>
      <c r="G28" s="123" t="inlineStr">
        <is>
          <t>新目标</t>
        </is>
      </c>
      <c r="H28" s="123" t="inlineStr">
        <is>
          <t>能源效率</t>
        </is>
      </c>
      <c r="I28" s="123" t="inlineStr">
        <is>
          <t>建筑业主</t>
        </is>
      </c>
      <c r="J28" s="123" t="inlineStr">
        <is>
          <t>到2025年，完成既有建筑节能改造面积超过3.5亿平方米</t>
        </is>
      </c>
      <c r="K28" s="124" t="inlineStr">
        <is>
          <t>HL2401.pdf</t>
        </is>
      </c>
      <c r="L28" s="123" t="inlineStr">
        <is>
          <t>建筑</t>
        </is>
      </c>
    </row>
    <row r="29" ht="18" customHeight="1" s="235">
      <c r="A29" s="123" t="n">
        <v>2024</v>
      </c>
      <c r="B29" s="123" t="inlineStr">
        <is>
          <t>既有建筑节能改造面积</t>
        </is>
      </c>
      <c r="C29" s="123" t="inlineStr">
        <is>
          <t>提高</t>
        </is>
      </c>
      <c r="D29" s="123" t="inlineStr">
        <is>
          <t>2亿平方米以上</t>
        </is>
      </c>
      <c r="E29" s="123" t="n">
        <v>2023</v>
      </c>
      <c r="F29" s="123" t="inlineStr">
        <is>
          <t>2025</t>
        </is>
      </c>
      <c r="G29" s="123" t="inlineStr">
        <is>
          <t>新目标</t>
        </is>
      </c>
      <c r="H29" s="123" t="inlineStr">
        <is>
          <t>能源效率</t>
        </is>
      </c>
      <c r="I29" s="123" t="inlineStr">
        <is>
          <t>建筑业主</t>
        </is>
      </c>
      <c r="J29" s="123" t="inlineStr">
        <is>
          <t>到2025年，完成既有建筑节能改造面积比2023年增长2亿平方米以上</t>
        </is>
      </c>
      <c r="K29" s="124" t="inlineStr">
        <is>
          <t>WOP2403.htm</t>
        </is>
      </c>
      <c r="L29" s="123" t="inlineStr">
        <is>
          <t>建筑</t>
        </is>
      </c>
    </row>
    <row r="30" ht="18" customHeight="1" s="235">
      <c r="A30" s="123" t="n">
        <v>2010</v>
      </c>
      <c r="B30" s="123" t="inlineStr">
        <is>
          <t>既有建筑节能改造</t>
        </is>
      </c>
      <c r="C30" s="123" t="inlineStr">
        <is>
          <t>完成</t>
        </is>
      </c>
      <c r="D30" s="123" t="inlineStr">
        <is>
          <t>1.5亿平方米</t>
        </is>
      </c>
      <c r="E30" s="123" t="n"/>
      <c r="F30" s="123" t="inlineStr">
        <is>
          <t>十一五</t>
        </is>
      </c>
      <c r="G30" s="123" t="inlineStr">
        <is>
          <t>新目标</t>
        </is>
      </c>
      <c r="H30" s="123" t="inlineStr">
        <is>
          <t>能源效率</t>
        </is>
      </c>
      <c r="I30" s="123" t="inlineStr">
        <is>
          <t>建筑业主</t>
        </is>
      </c>
      <c r="J30" s="123" t="inlineStr">
        <is>
          <t>到2010年底，确保完成“十一五”期间1.5亿平方米的既有居住建筑供热计量及节能改造任务。</t>
        </is>
      </c>
      <c r="K30" s="124" t="inlineStr">
        <is>
          <t>N1001.htm</t>
        </is>
      </c>
      <c r="L30" s="123" t="inlineStr">
        <is>
          <t>建筑</t>
        </is>
      </c>
    </row>
    <row r="31" ht="18" customHeight="1" s="235">
      <c r="A31" s="123" t="n">
        <v>2013</v>
      </c>
      <c r="B31" s="123" t="inlineStr">
        <is>
          <t>既有建筑节能改造</t>
        </is>
      </c>
      <c r="C31" s="123" t="inlineStr">
        <is>
          <t>改造</t>
        </is>
      </c>
      <c r="D31" s="123" t="inlineStr">
        <is>
          <t>4亿平方米</t>
        </is>
      </c>
      <c r="E31" s="123" t="n"/>
      <c r="F31" s="123" t="inlineStr">
        <is>
          <t>十二五</t>
        </is>
      </c>
      <c r="G31" s="123" t="inlineStr">
        <is>
          <t>重申目标</t>
        </is>
      </c>
      <c r="H31" s="123" t="inlineStr">
        <is>
          <t>能源效率</t>
        </is>
      </c>
      <c r="I31" s="123" t="inlineStr">
        <is>
          <t>建筑业主</t>
        </is>
      </c>
      <c r="J31" s="123" t="inlineStr">
        <is>
          <t>“十二五”期间完成改造4亿平方米以上，鼓励有条件的地区超额完成任务。</t>
        </is>
      </c>
      <c r="K31" s="124" t="inlineStr">
        <is>
          <t>AP1301.htm</t>
        </is>
      </c>
      <c r="L31" s="123" t="inlineStr">
        <is>
          <t>建筑</t>
        </is>
      </c>
    </row>
    <row r="32" ht="18" customHeight="1" s="235">
      <c r="A32" s="123" t="n">
        <v>2016</v>
      </c>
      <c r="B32" s="123" t="inlineStr">
        <is>
          <t>既有居住建筑节能改造</t>
        </is>
      </c>
      <c r="C32" s="123" t="inlineStr">
        <is>
          <t>完成</t>
        </is>
      </c>
      <c r="D32" s="123" t="inlineStr">
        <is>
          <t>5亿平方米</t>
        </is>
      </c>
      <c r="E32" s="123" t="n"/>
      <c r="F32" s="123" t="inlineStr">
        <is>
          <t>十三五</t>
        </is>
      </c>
      <c r="G32" s="123" t="inlineStr">
        <is>
          <t>新目标</t>
        </is>
      </c>
      <c r="H32" s="123" t="inlineStr">
        <is>
          <t>能源效率</t>
        </is>
      </c>
      <c r="I32" s="123" t="inlineStr">
        <is>
          <t>建筑业主</t>
        </is>
      </c>
      <c r="J32" s="123" t="inlineStr">
        <is>
          <t>强化既有居住建筑节能改造，实施改造面积5亿平方米以上，2020年前基本完成北方采暖地区有改造价值城镇居住建筑的节能改造。</t>
        </is>
      </c>
      <c r="K32" s="124" t="inlineStr">
        <is>
          <t>FYP1601.htm</t>
        </is>
      </c>
      <c r="L32" s="123" t="inlineStr">
        <is>
          <t>建筑</t>
        </is>
      </c>
    </row>
    <row r="33" ht="18" customHeight="1" s="235">
      <c r="A33" s="123" t="n">
        <v>2013</v>
      </c>
      <c r="B33" s="123" t="inlineStr">
        <is>
          <t>夏热冬冷地区既有居住建筑节能改造</t>
        </is>
      </c>
      <c r="C33" s="123" t="inlineStr">
        <is>
          <t>完成</t>
        </is>
      </c>
      <c r="D33" s="123" t="inlineStr">
        <is>
          <t>五千万平方米</t>
        </is>
      </c>
      <c r="E33" s="123" t="n"/>
      <c r="F33" s="123" t="inlineStr">
        <is>
          <t>十二五</t>
        </is>
      </c>
      <c r="G33" s="123" t="inlineStr">
        <is>
          <t>重申目标</t>
        </is>
      </c>
      <c r="H33" s="123" t="inlineStr">
        <is>
          <t>能源效率</t>
        </is>
      </c>
      <c r="I33" s="123" t="inlineStr">
        <is>
          <t>地区</t>
        </is>
      </c>
      <c r="J33" s="123" t="inlineStr">
        <is>
          <t>“十二五”期间，完成夏热冬冷地区既有居住建筑节能改造五千万平方米以上。</t>
        </is>
      </c>
      <c r="K33" s="124" t="inlineStr">
        <is>
          <t>AP1301.htm</t>
        </is>
      </c>
      <c r="L33" s="123" t="inlineStr">
        <is>
          <t>建筑</t>
        </is>
      </c>
    </row>
    <row r="34" ht="18" customHeight="1" s="235">
      <c r="A34" s="123" t="n">
        <v>2013</v>
      </c>
      <c r="B34" s="123" t="inlineStr">
        <is>
          <t>夏热冬冷地区既有居住建筑节能改造</t>
        </is>
      </c>
      <c r="C34" s="123" t="inlineStr">
        <is>
          <t>改造</t>
        </is>
      </c>
      <c r="D34" s="123" t="inlineStr">
        <is>
          <t>5000万平方米</t>
        </is>
      </c>
      <c r="E34" s="123" t="n"/>
      <c r="F34" s="123" t="inlineStr">
        <is>
          <t>十二五</t>
        </is>
      </c>
      <c r="G34" s="123" t="inlineStr">
        <is>
          <t>新目标</t>
        </is>
      </c>
      <c r="H34" s="123" t="inlineStr">
        <is>
          <t>能源效率</t>
        </is>
      </c>
      <c r="I34" s="123" t="inlineStr">
        <is>
          <t>地区</t>
        </is>
      </c>
      <c r="J34" s="123" t="inlineStr">
        <is>
          <t>“十二五”期间，完成夏热冬冷地区既有居住建筑节能改造5000万平方米。</t>
        </is>
      </c>
      <c r="K34" s="124" t="inlineStr">
        <is>
          <t>AP1301.htm</t>
        </is>
      </c>
      <c r="L34" s="123" t="inlineStr">
        <is>
          <t>建筑</t>
        </is>
      </c>
    </row>
    <row r="35" ht="18" customHeight="1" s="235">
      <c r="A35" s="123" t="n">
        <v>2012</v>
      </c>
      <c r="B35" s="123" t="inlineStr">
        <is>
          <t>夏热冬冷地区既有居住建筑节能改造面积</t>
        </is>
      </c>
      <c r="C35" s="123" t="inlineStr">
        <is>
          <t>完成</t>
        </is>
      </c>
      <c r="D35" s="123" t="inlineStr">
        <is>
          <t>5000万平方米</t>
        </is>
      </c>
      <c r="E35" s="123" t="n"/>
      <c r="F35" s="123" t="inlineStr">
        <is>
          <t>2015</t>
        </is>
      </c>
      <c r="G35" s="123" t="inlineStr">
        <is>
          <t>重申目标</t>
        </is>
      </c>
      <c r="H35" s="123" t="inlineStr">
        <is>
          <t>能源效率</t>
        </is>
      </c>
      <c r="I35" s="123" t="inlineStr">
        <is>
          <t>地区</t>
        </is>
      </c>
      <c r="J35" s="123" t="inlineStr">
        <is>
          <t>到2015年，累计完成夏热冬冷地区既有居住建筑节能改造5000万平方米</t>
        </is>
      </c>
      <c r="K35" s="124" t="inlineStr">
        <is>
          <t>FYP1201.htm</t>
        </is>
      </c>
      <c r="L35" s="123" t="inlineStr">
        <is>
          <t>建筑</t>
        </is>
      </c>
    </row>
    <row r="36" ht="18" customHeight="1" s="235">
      <c r="A36" s="123" t="n">
        <v>2012</v>
      </c>
      <c r="B36" s="123" t="inlineStr">
        <is>
          <t>公共建筑节能改造</t>
        </is>
      </c>
      <c r="C36" s="123" t="inlineStr">
        <is>
          <t>完成</t>
        </is>
      </c>
      <c r="D36" s="123" t="inlineStr">
        <is>
          <t>6000万平方米</t>
        </is>
      </c>
      <c r="E36" s="123" t="n"/>
      <c r="F36" s="123" t="inlineStr">
        <is>
          <t>2011-2015</t>
        </is>
      </c>
      <c r="G36" s="123" t="inlineStr">
        <is>
          <t>新目标</t>
        </is>
      </c>
      <c r="H36" s="123" t="inlineStr">
        <is>
          <t>能源效率</t>
        </is>
      </c>
      <c r="I36" s="123" t="inlineStr">
        <is>
          <t>公共机构</t>
        </is>
      </c>
      <c r="J36" s="123" t="inlineStr">
        <is>
          <t>到2015年，累计完成公共建筑节能改造6000万平方米。</t>
        </is>
      </c>
      <c r="K36" s="124" t="inlineStr">
        <is>
          <t>FYP1201.htm</t>
        </is>
      </c>
      <c r="L36" s="123" t="inlineStr">
        <is>
          <t>建筑</t>
        </is>
      </c>
    </row>
    <row r="37" ht="18" customHeight="1" s="235">
      <c r="A37" s="123" t="n">
        <v>2013</v>
      </c>
      <c r="B37" s="123" t="inlineStr">
        <is>
          <t>公共建筑节能改造</t>
        </is>
      </c>
      <c r="C37" s="123" t="inlineStr">
        <is>
          <t>改造</t>
        </is>
      </c>
      <c r="D37" s="123" t="inlineStr">
        <is>
          <t>6000万平方米</t>
        </is>
      </c>
      <c r="E37" s="123" t="n"/>
      <c r="F37" s="123" t="inlineStr">
        <is>
          <t>十二五</t>
        </is>
      </c>
      <c r="G37" s="123" t="inlineStr">
        <is>
          <t>重申目标</t>
        </is>
      </c>
      <c r="H37" s="123" t="inlineStr">
        <is>
          <t>能源效率</t>
        </is>
      </c>
      <c r="I37" s="123" t="inlineStr">
        <is>
          <t>公共机构</t>
        </is>
      </c>
      <c r="J37" s="123" t="inlineStr">
        <is>
          <t>“十二五”期间，完成公共建筑改造6000万平方米。</t>
        </is>
      </c>
      <c r="K37" s="124" t="inlineStr">
        <is>
          <t>AP1301.htm</t>
        </is>
      </c>
      <c r="L37" s="123" t="inlineStr">
        <is>
          <t>建筑</t>
        </is>
      </c>
    </row>
    <row r="38" ht="18" customHeight="1" s="235">
      <c r="A38" s="123" t="n">
        <v>2013</v>
      </c>
      <c r="B38" s="123" t="inlineStr">
        <is>
          <t>公共建筑节能改造</t>
        </is>
      </c>
      <c r="C38" s="123" t="inlineStr">
        <is>
          <t>改造</t>
        </is>
      </c>
      <c r="D38" s="123" t="inlineStr">
        <is>
          <t>1.2亿平方米</t>
        </is>
      </c>
      <c r="E38" s="123" t="n"/>
      <c r="F38" s="123" t="inlineStr">
        <is>
          <t>十二五</t>
        </is>
      </c>
      <c r="G38" s="123" t="inlineStr">
        <is>
          <t>重申目标</t>
        </is>
      </c>
      <c r="H38" s="123" t="inlineStr">
        <is>
          <t>能源效率</t>
        </is>
      </c>
      <c r="I38" s="123" t="inlineStr">
        <is>
          <t>公共机构</t>
        </is>
      </c>
      <c r="J38" s="123" t="inlineStr">
        <is>
          <t>“十二五”期间，完成公共建筑和公共机构办公建筑节能改造1.2亿平方米。</t>
        </is>
      </c>
      <c r="K38" s="124" t="inlineStr">
        <is>
          <t>AP1301.htm</t>
        </is>
      </c>
      <c r="L38" s="123" t="inlineStr">
        <is>
          <t>建筑</t>
        </is>
      </c>
    </row>
    <row r="39" ht="18" customHeight="1" s="235">
      <c r="A39" s="123" t="n">
        <v>2012</v>
      </c>
      <c r="B39" s="123" t="inlineStr">
        <is>
          <t>公共机构办公建筑节能改造</t>
        </is>
      </c>
      <c r="C39" s="123" t="inlineStr">
        <is>
          <t>完成</t>
        </is>
      </c>
      <c r="D39" s="123" t="inlineStr">
        <is>
          <t>6000万平方米</t>
        </is>
      </c>
      <c r="E39" s="123" t="n"/>
      <c r="F39" s="123" t="inlineStr">
        <is>
          <t>2015</t>
        </is>
      </c>
      <c r="G39" s="123" t="inlineStr">
        <is>
          <t>重申目标</t>
        </is>
      </c>
      <c r="H39" s="123" t="inlineStr">
        <is>
          <t>能源效率</t>
        </is>
      </c>
      <c r="I39" s="123" t="inlineStr">
        <is>
          <t>公共机构</t>
        </is>
      </c>
      <c r="J39" s="123" t="inlineStr">
        <is>
          <t>到2015年，完成公共机构办公建筑节能改造6000万平方米。</t>
        </is>
      </c>
      <c r="K39" s="124" t="inlineStr">
        <is>
          <t>FYP1201.htm</t>
        </is>
      </c>
      <c r="L39" s="123" t="inlineStr">
        <is>
          <t>建筑</t>
        </is>
      </c>
    </row>
    <row r="40" ht="18" customHeight="1" s="235">
      <c r="A40" s="123" t="n">
        <v>2013</v>
      </c>
      <c r="B40" s="123" t="inlineStr">
        <is>
          <t>公共机构办公建筑节能改造</t>
        </is>
      </c>
      <c r="C40" s="123" t="inlineStr">
        <is>
          <t>改造</t>
        </is>
      </c>
      <c r="D40" s="123" t="inlineStr">
        <is>
          <t>6000万平方米</t>
        </is>
      </c>
      <c r="E40" s="123" t="n"/>
      <c r="F40" s="123" t="inlineStr">
        <is>
          <t>十二五</t>
        </is>
      </c>
      <c r="G40" s="123" t="inlineStr">
        <is>
          <t>重申目标</t>
        </is>
      </c>
      <c r="H40" s="123" t="inlineStr">
        <is>
          <t>能源效率</t>
        </is>
      </c>
      <c r="I40" s="123" t="inlineStr">
        <is>
          <t>公共机构</t>
        </is>
      </c>
      <c r="J40" s="123" t="inlineStr">
        <is>
          <t>“十二五”期间，完成公共机构办公建筑节能改造6000万平方米。</t>
        </is>
      </c>
      <c r="K40" s="124" t="inlineStr">
        <is>
          <t>AP1301.htm</t>
        </is>
      </c>
      <c r="L40" s="123" t="inlineStr">
        <is>
          <t>建筑</t>
        </is>
      </c>
    </row>
    <row r="41" ht="18" customHeight="1" s="235">
      <c r="A41" s="123" t="n">
        <v>2013</v>
      </c>
      <c r="B41" s="123" t="inlineStr">
        <is>
          <t>农村危房节能改造</t>
        </is>
      </c>
      <c r="C41" s="123" t="inlineStr">
        <is>
          <t>改造</t>
        </is>
      </c>
      <c r="D41" s="123" t="inlineStr">
        <is>
          <t>40万套</t>
        </is>
      </c>
      <c r="E41" s="123" t="n"/>
      <c r="F41" s="123" t="inlineStr">
        <is>
          <t>十二五</t>
        </is>
      </c>
      <c r="G41" s="123" t="inlineStr">
        <is>
          <t>新目标</t>
        </is>
      </c>
      <c r="H41" s="123" t="inlineStr">
        <is>
          <t>能源效率</t>
        </is>
      </c>
      <c r="I41" s="123" t="inlineStr">
        <is>
          <t>不明确</t>
        </is>
      </c>
      <c r="J41" s="123" t="inlineStr">
        <is>
          <t>“十二五”期间，实施农村危房改造节能示范40万套。</t>
        </is>
      </c>
      <c r="K41" s="124" t="inlineStr">
        <is>
          <t>AP1301.htm</t>
        </is>
      </c>
      <c r="L41" s="123" t="inlineStr">
        <is>
          <t>建筑</t>
        </is>
      </c>
    </row>
    <row r="42" ht="18" customHeight="1" s="235">
      <c r="A42" s="123" t="n">
        <v>2017</v>
      </c>
      <c r="B42" s="123" t="inlineStr">
        <is>
          <t>地热供暖面积</t>
        </is>
      </c>
      <c r="C42" s="123" t="inlineStr">
        <is>
          <t>达到</t>
        </is>
      </c>
      <c r="D42" s="123" t="inlineStr">
        <is>
          <t>10亿平方米</t>
        </is>
      </c>
      <c r="E42" s="123" t="n"/>
      <c r="F42" s="123" t="inlineStr">
        <is>
          <t>2021</t>
        </is>
      </c>
      <c r="G42" s="123" t="inlineStr">
        <is>
          <t>新目标</t>
        </is>
      </c>
      <c r="H42" s="123" t="inlineStr">
        <is>
          <t>可再生能源</t>
        </is>
      </c>
      <c r="I42" s="123" t="inlineStr">
        <is>
          <t>地区</t>
        </is>
      </c>
      <c r="J42" s="123" t="inlineStr">
        <is>
          <t>到2021年，地热供暖面积达到10亿平方米，其中中深层地热供暖5亿平方米，浅层地热供暖5亿平方米（含电供暖中的地源、水源热泵）。</t>
        </is>
      </c>
      <c r="K42" s="124" t="inlineStr">
        <is>
          <t>PF1701.pdf</t>
        </is>
      </c>
      <c r="L42" s="123" t="inlineStr">
        <is>
          <t>建筑</t>
        </is>
      </c>
    </row>
    <row r="43" ht="18" customHeight="1" s="235">
      <c r="A43" s="123" t="n">
        <v>2022</v>
      </c>
      <c r="B43" s="123" t="inlineStr">
        <is>
          <t>施工现场建筑材料损耗率</t>
        </is>
      </c>
      <c r="C43" s="123" t="inlineStr">
        <is>
          <t>降低</t>
        </is>
      </c>
      <c r="D43" s="123" t="inlineStr">
        <is>
          <t>20%</t>
        </is>
      </c>
      <c r="E43" s="123" t="n">
        <v>2020</v>
      </c>
      <c r="F43" s="125" t="n">
        <v>2030</v>
      </c>
      <c r="G43" s="123" t="inlineStr">
        <is>
          <t>新目标</t>
        </is>
      </c>
      <c r="H43" s="123" t="inlineStr">
        <is>
          <t>资源效率</t>
        </is>
      </c>
      <c r="I43" s="123" t="inlineStr">
        <is>
          <t>建筑业主</t>
        </is>
      </c>
      <c r="J43" s="123" t="inlineStr">
        <is>
          <t>推广建筑材料工厂化精准加工、精细化管理，到2030年施工现场建筑材料损耗率比2020年下降20%。</t>
        </is>
      </c>
      <c r="K43" s="124" t="inlineStr">
        <is>
          <t>IP2219.htm</t>
        </is>
      </c>
      <c r="L43" s="123" t="inlineStr">
        <is>
          <t>建筑</t>
        </is>
      </c>
    </row>
    <row r="44" ht="18" customHeight="1" s="235">
      <c r="A44" s="123" t="n">
        <v>2024</v>
      </c>
      <c r="B44" s="123" t="inlineStr">
        <is>
          <t>全国建筑光伏累计装机容量</t>
        </is>
      </c>
      <c r="C44" s="123" t="inlineStr">
        <is>
          <t>提高</t>
        </is>
      </c>
      <c r="D44" s="123" t="inlineStr">
        <is>
          <t>超过5000万千瓦</t>
        </is>
      </c>
      <c r="E44" s="123" t="n">
        <v>2024</v>
      </c>
      <c r="F44" s="123" t="inlineStr">
        <is>
          <t>2025</t>
        </is>
      </c>
      <c r="G44" s="123" t="inlineStr">
        <is>
          <t>新目标</t>
        </is>
      </c>
      <c r="H44" s="123" t="inlineStr">
        <is>
          <t>可再生能源</t>
        </is>
      </c>
      <c r="I44" s="123" t="inlineStr">
        <is>
          <t>建筑业主</t>
        </is>
      </c>
      <c r="J44" s="123" t="inlineStr">
        <is>
          <t>到2025年，全国建筑光伏累计装机容量增加超过5000万千瓦</t>
        </is>
      </c>
      <c r="K44" s="124" t="inlineStr">
        <is>
          <t>HL2401.pdf</t>
        </is>
      </c>
      <c r="L44" s="123" t="inlineStr">
        <is>
          <t>建筑</t>
        </is>
      </c>
    </row>
    <row r="45" ht="18" customHeight="1" s="235">
      <c r="A45" s="128" t="n">
        <v>2014</v>
      </c>
      <c r="B45" s="123" t="inlineStr">
        <is>
          <t>新增绿色建筑面积</t>
        </is>
      </c>
      <c r="C45" s="128" t="inlineStr">
        <is>
          <t>新增</t>
        </is>
      </c>
      <c r="D45" s="128" t="inlineStr">
        <is>
          <t>3亿平方米</t>
        </is>
      </c>
      <c r="E45" s="128" t="n"/>
      <c r="F45" s="128" t="inlineStr">
        <is>
          <t>2014-2015</t>
        </is>
      </c>
      <c r="G45" s="128" t="inlineStr">
        <is>
          <t>新目标</t>
        </is>
      </c>
      <c r="H45" s="123" t="inlineStr">
        <is>
          <t>能源效率</t>
        </is>
      </c>
      <c r="I45" s="128" t="inlineStr">
        <is>
          <t>地区</t>
        </is>
      </c>
      <c r="J45" s="128" t="inlineStr">
        <is>
          <t>到2015年，新增绿色建筑3亿平方米</t>
        </is>
      </c>
      <c r="K45" s="128" t="inlineStr">
        <is>
          <t>AP1404.htm</t>
        </is>
      </c>
      <c r="L45" s="123" t="inlineStr">
        <is>
          <t>建筑</t>
        </is>
      </c>
    </row>
    <row r="46" ht="18" customHeight="1" s="235">
      <c r="A46" s="123" t="n">
        <v>2013</v>
      </c>
      <c r="B46" s="123" t="inlineStr">
        <is>
          <t>新增绿色建筑面积</t>
        </is>
      </c>
      <c r="C46" s="123" t="inlineStr">
        <is>
          <t>超过</t>
        </is>
      </c>
      <c r="D46" s="123" t="inlineStr">
        <is>
          <t>10亿平方米</t>
        </is>
      </c>
      <c r="E46" s="123" t="n"/>
      <c r="F46" s="123" t="inlineStr">
        <is>
          <t>2015</t>
        </is>
      </c>
      <c r="G46" s="123" t="inlineStr">
        <is>
          <t>新目标</t>
        </is>
      </c>
      <c r="H46" s="123" t="inlineStr">
        <is>
          <t>能源效率</t>
        </is>
      </c>
      <c r="I46" s="123" t="inlineStr">
        <is>
          <t>地区</t>
        </is>
      </c>
      <c r="J46" s="123" t="inlineStr">
        <is>
          <t>到2015年，新增绿色建筑面积达到10亿平方米以上。</t>
        </is>
      </c>
      <c r="K46" s="124" t="inlineStr">
        <is>
          <t>O1302.htm</t>
        </is>
      </c>
      <c r="L46" s="123" t="inlineStr">
        <is>
          <t>建筑</t>
        </is>
      </c>
    </row>
    <row r="47" ht="18" customHeight="1" s="235">
      <c r="A47" s="123" t="n">
        <v>2013</v>
      </c>
      <c r="B47" s="123" t="inlineStr">
        <is>
          <t>新建绿色建筑面积</t>
        </is>
      </c>
      <c r="C47" s="123" t="inlineStr">
        <is>
          <t>完成</t>
        </is>
      </c>
      <c r="D47" s="123" t="inlineStr">
        <is>
          <t>10亿平方米</t>
        </is>
      </c>
      <c r="E47" s="123" t="n"/>
      <c r="F47" s="123" t="inlineStr">
        <is>
          <t>十二五</t>
        </is>
      </c>
      <c r="G47" s="123" t="inlineStr">
        <is>
          <t>重申目标</t>
        </is>
      </c>
      <c r="H47" s="123" t="inlineStr">
        <is>
          <t>能源效率</t>
        </is>
      </c>
      <c r="I47" s="123" t="inlineStr">
        <is>
          <t>地区</t>
        </is>
      </c>
      <c r="J47" s="123" t="inlineStr">
        <is>
          <t>“十二五”期间，完成新建绿色建筑10亿平方米</t>
        </is>
      </c>
      <c r="K47" s="124" t="inlineStr">
        <is>
          <t>AP1301.htm</t>
        </is>
      </c>
      <c r="L47" s="123" t="inlineStr">
        <is>
          <t>建筑</t>
        </is>
      </c>
    </row>
    <row r="48" ht="18" customHeight="1" s="235">
      <c r="A48" s="123" t="n">
        <v>2024</v>
      </c>
      <c r="B48" s="123" t="inlineStr">
        <is>
          <t>新建超低能耗建筑及近零能耗建筑面积</t>
        </is>
      </c>
      <c r="C48" s="123" t="inlineStr">
        <is>
          <t>提高</t>
        </is>
      </c>
      <c r="D48" s="123" t="inlineStr">
        <is>
          <t>2000万平方米</t>
        </is>
      </c>
      <c r="E48" s="123" t="n">
        <v>2023</v>
      </c>
      <c r="F48" s="123" t="inlineStr">
        <is>
          <t>2025</t>
        </is>
      </c>
      <c r="G48" s="123" t="inlineStr">
        <is>
          <t>重申目标</t>
        </is>
      </c>
      <c r="H48" s="123" t="inlineStr">
        <is>
          <t>节能</t>
        </is>
      </c>
      <c r="I48" s="123" t="inlineStr">
        <is>
          <t>地区</t>
        </is>
      </c>
      <c r="J48" s="123" t="inlineStr">
        <is>
          <t>到2025年底，新建超低能耗建筑、近零能耗建筑面积较2023年增长2000万平方米以上。</t>
        </is>
      </c>
      <c r="K48" s="124" t="inlineStr">
        <is>
          <t>AP2405.htm</t>
        </is>
      </c>
      <c r="L48" s="123" t="inlineStr">
        <is>
          <t>建筑</t>
        </is>
      </c>
    </row>
    <row r="49" ht="18" customHeight="1" s="235">
      <c r="A49" s="123" t="n">
        <v>2024</v>
      </c>
      <c r="B49" s="123" t="inlineStr">
        <is>
          <t>新增超低能耗和近零能耗建筑面积</t>
        </is>
      </c>
      <c r="C49" s="123" t="inlineStr">
        <is>
          <t>建设</t>
        </is>
      </c>
      <c r="D49" s="123" t="inlineStr">
        <is>
          <t>5000万平方米</t>
        </is>
      </c>
      <c r="E49" s="123" t="n"/>
      <c r="F49" s="123" t="inlineStr">
        <is>
          <t>十四五</t>
        </is>
      </c>
      <c r="G49" s="123" t="inlineStr">
        <is>
          <t>新目标</t>
        </is>
      </c>
      <c r="H49" s="123" t="inlineStr">
        <is>
          <t>节能</t>
        </is>
      </c>
      <c r="I49" s="123" t="inlineStr">
        <is>
          <t>地区</t>
        </is>
      </c>
      <c r="J49" s="123" t="inlineStr">
        <is>
          <t>到2025年，将建成超过5000万平方米的超低能耗和近零能耗建筑。</t>
        </is>
      </c>
      <c r="K49" s="124" t="inlineStr">
        <is>
          <t>HL2401.pdf</t>
        </is>
      </c>
      <c r="L49" s="123" t="inlineStr">
        <is>
          <t>建筑</t>
        </is>
      </c>
    </row>
    <row r="50" ht="18" customHeight="1" s="235">
      <c r="A50" s="123" t="n">
        <v>2017</v>
      </c>
      <c r="B50" s="123" t="inlineStr">
        <is>
          <t>新增超低能耗及近零能耗建筑面积</t>
        </is>
      </c>
      <c r="C50" s="123" t="inlineStr">
        <is>
          <t>建设</t>
        </is>
      </c>
      <c r="D50" s="123" t="inlineStr">
        <is>
          <t>1000 万平方米</t>
        </is>
      </c>
      <c r="E50" s="123" t="n"/>
      <c r="F50" s="123" t="inlineStr">
        <is>
          <t>十三五</t>
        </is>
      </c>
      <c r="G50" s="123" t="inlineStr">
        <is>
          <t>新目标</t>
        </is>
      </c>
      <c r="H50" s="123" t="inlineStr">
        <is>
          <t>节能</t>
        </is>
      </c>
      <c r="I50" s="123" t="inlineStr">
        <is>
          <t>地区</t>
        </is>
      </c>
      <c r="J50" s="123" t="inlineStr">
        <is>
          <t>到2020年，建设超低能耗、近零能耗建筑示范项目1000万平方米以上。</t>
        </is>
      </c>
      <c r="K50" s="124" t="inlineStr">
        <is>
          <t>FYP1706.pdf</t>
        </is>
      </c>
      <c r="L50" s="123" t="inlineStr">
        <is>
          <t>建筑</t>
        </is>
      </c>
    </row>
    <row r="51" ht="18" customHeight="1" s="235">
      <c r="A51" s="123" t="n">
        <v>2024</v>
      </c>
      <c r="B51" s="123" t="inlineStr">
        <is>
          <t>新建超低能耗及近零能耗建筑面积</t>
        </is>
      </c>
      <c r="C51" s="123" t="inlineStr">
        <is>
          <t>提高</t>
        </is>
      </c>
      <c r="D51" s="123" t="inlineStr">
        <is>
          <t>两千万平方米</t>
        </is>
      </c>
      <c r="E51" s="123" t="n">
        <v>2023</v>
      </c>
      <c r="F51" s="123" t="inlineStr">
        <is>
          <t>2025</t>
        </is>
      </c>
      <c r="G51" s="123" t="inlineStr">
        <is>
          <t>重申目标</t>
        </is>
      </c>
      <c r="H51" s="123" t="inlineStr">
        <is>
          <t>节能</t>
        </is>
      </c>
      <c r="I51" s="123" t="inlineStr">
        <is>
          <t>地区</t>
        </is>
      </c>
      <c r="J51" s="123" t="inlineStr">
        <is>
          <t>到2025年，新建超低能耗、近零能耗建筑面积比2023年增长2000万平方米以上。</t>
        </is>
      </c>
      <c r="K51" s="124" t="inlineStr">
        <is>
          <t>WOP2403.htm</t>
        </is>
      </c>
      <c r="L51" s="123" t="inlineStr">
        <is>
          <t>建筑</t>
        </is>
      </c>
    </row>
    <row r="52" ht="18" customHeight="1" s="235">
      <c r="A52" s="123" t="n">
        <v>2013</v>
      </c>
      <c r="B52" s="123" t="inlineStr">
        <is>
          <t>新增可再生能源建筑应用面积</t>
        </is>
      </c>
      <c r="C52" s="123" t="inlineStr">
        <is>
          <t>达到</t>
        </is>
      </c>
      <c r="D52" s="123" t="inlineStr">
        <is>
          <t>25亿平方米</t>
        </is>
      </c>
      <c r="E52" s="123" t="n"/>
      <c r="F52" s="123" t="inlineStr">
        <is>
          <t>2015</t>
        </is>
      </c>
      <c r="G52" s="123" t="inlineStr">
        <is>
          <t>新目标</t>
        </is>
      </c>
      <c r="H52" s="123" t="inlineStr">
        <is>
          <t>可再生能源</t>
        </is>
      </c>
      <c r="I52" s="123" t="inlineStr">
        <is>
          <t>地区</t>
        </is>
      </c>
      <c r="J52" s="123" t="inlineStr">
        <is>
          <t>到2015年末，新增可再生能源建筑应用面积25亿平方米。</t>
        </is>
      </c>
      <c r="K52" s="124" t="inlineStr">
        <is>
          <t>AP1301.htm</t>
        </is>
      </c>
      <c r="L52" s="123" t="inlineStr">
        <is>
          <t>建筑</t>
        </is>
      </c>
    </row>
    <row r="53" ht="18" customHeight="1" s="235">
      <c r="A53" s="0" t="n">
        <v>2026</v>
      </c>
      <c r="B53" s="0" t="inlineStr">
        <is>
          <t>公共机构能效领跑者数量</t>
        </is>
      </c>
      <c r="C53" s="0" t="inlineStr">
        <is>
          <t>遴选</t>
        </is>
      </c>
      <c r="D53" s="0" t="inlineStr">
        <is>
          <t>200家左右</t>
        </is>
      </c>
      <c r="F53" s="0" t="n">
        <v>2030</v>
      </c>
      <c r="G53" s="0" t="inlineStr">
        <is>
          <t>重申目标</t>
        </is>
      </c>
      <c r="H53" s="0" t="inlineStr">
        <is>
          <t>能源效率</t>
        </is>
      </c>
      <c r="I53" s="0" t="inlineStr">
        <is>
          <t>企事业单位</t>
        </is>
      </c>
      <c r="J53" s="0" t="inlineStr">
        <is>
          <t>遴选200家左右公共机构能效领跑者和200家左右公共机构水效领跑者，……</t>
        </is>
      </c>
      <c r="K53" s="0" t="inlineStr">
        <is>
          <t>WOP2601.htm</t>
        </is>
      </c>
      <c r="L53" s="0" t="inlineStr">
        <is>
          <t>建筑</t>
        </is>
      </c>
    </row>
    <row r="54" ht="18" customHeight="1" s="235">
      <c r="A54" s="123" t="n">
        <v>2012</v>
      </c>
      <c r="B54" s="123" t="inlineStr">
        <is>
          <t>煤矿瓦斯利用家庭户数</t>
        </is>
      </c>
      <c r="C54" s="123" t="inlineStr">
        <is>
          <t>达到</t>
        </is>
      </c>
      <c r="D54" s="123" t="inlineStr">
        <is>
          <t>320万户</t>
        </is>
      </c>
      <c r="E54" s="123" t="n"/>
      <c r="F54" s="123" t="inlineStr">
        <is>
          <t>2015</t>
        </is>
      </c>
      <c r="G54" s="123" t="inlineStr">
        <is>
          <t>新目标</t>
        </is>
      </c>
      <c r="H54" s="123" t="inlineStr">
        <is>
          <t>过渡能源</t>
        </is>
      </c>
      <c r="I54" s="123" t="inlineStr">
        <is>
          <t>建筑业主</t>
        </is>
      </c>
      <c r="J54" s="123" t="inlineStr">
        <is>
          <t>到2015年，其他发展目标还包括320万户家庭使用煤矿瓦斯。</t>
        </is>
      </c>
      <c r="K54" s="124" t="inlineStr">
        <is>
          <t>HL1202.pdf</t>
        </is>
      </c>
      <c r="L54" s="123" t="inlineStr">
        <is>
          <t>建筑</t>
        </is>
      </c>
    </row>
    <row r="55" ht="18" customHeight="1" s="235">
      <c r="A55" s="0" t="n">
        <v>2026</v>
      </c>
      <c r="B55" s="0" t="inlineStr">
        <is>
          <t>公共机构水效领跑者数量</t>
        </is>
      </c>
      <c r="C55" s="0" t="inlineStr">
        <is>
          <t>遴选</t>
        </is>
      </c>
      <c r="D55" s="0" t="inlineStr">
        <is>
          <t>200家左右</t>
        </is>
      </c>
      <c r="F55" s="0" t="n">
        <v>2030</v>
      </c>
      <c r="G55" s="0" t="inlineStr">
        <is>
          <t>新目标</t>
        </is>
      </c>
      <c r="H55" s="0" t="inlineStr">
        <is>
          <t>资源效率</t>
        </is>
      </c>
      <c r="I55" s="0" t="inlineStr">
        <is>
          <t>企事业单位</t>
        </is>
      </c>
      <c r="J55" s="0" t="inlineStr">
        <is>
          <t>遴选200家左右公共机构能效领跑者和200家左右公共机构水效领跑者，……</t>
        </is>
      </c>
      <c r="K55" s="0" t="inlineStr">
        <is>
          <t>WOP2601.htm</t>
        </is>
      </c>
      <c r="L55" s="0" t="inlineStr">
        <is>
          <t>建筑</t>
        </is>
      </c>
    </row>
    <row r="56" ht="18" customHeight="1" s="235">
      <c r="A56" s="123" t="n">
        <v>2004</v>
      </c>
      <c r="B56" s="123" t="inlineStr">
        <is>
          <t>城市集中供热普及率</t>
        </is>
      </c>
      <c r="C56" s="123" t="inlineStr">
        <is>
          <t>提高至</t>
        </is>
      </c>
      <c r="D56" s="123" t="inlineStr">
        <is>
          <t>40%</t>
        </is>
      </c>
      <c r="E56" s="123" t="n"/>
      <c r="F56" s="123" t="inlineStr">
        <is>
          <t>2010</t>
        </is>
      </c>
      <c r="G56" s="123" t="inlineStr">
        <is>
          <t>新目标</t>
        </is>
      </c>
      <c r="H56" s="123" t="inlineStr">
        <is>
          <t>能源效率</t>
        </is>
      </c>
      <c r="I56" s="123" t="inlineStr">
        <is>
          <t>城市</t>
        </is>
      </c>
      <c r="J56" s="123" t="inlineStr">
        <is>
          <t>到2010年，城市集中供热普及率由2002年的27%提高到40%。</t>
        </is>
      </c>
      <c r="K56" s="124" t="inlineStr">
        <is>
          <t>MLT0401.htm</t>
        </is>
      </c>
      <c r="L56" s="123" t="inlineStr">
        <is>
          <t>建筑</t>
        </is>
      </c>
    </row>
    <row r="57" ht="18" customHeight="1" s="235">
      <c r="A57" s="123" t="n">
        <v>2004</v>
      </c>
      <c r="B57" s="123" t="inlineStr">
        <is>
          <t>城市集中供热普及率</t>
        </is>
      </c>
      <c r="C57" s="123" t="inlineStr">
        <is>
          <t>提高至</t>
        </is>
      </c>
      <c r="D57" s="123" t="inlineStr">
        <is>
          <t>40%</t>
        </is>
      </c>
      <c r="E57" s="123" t="n"/>
      <c r="F57" s="123" t="inlineStr">
        <is>
          <t>2010</t>
        </is>
      </c>
      <c r="G57" s="123" t="inlineStr">
        <is>
          <t>重申目标</t>
        </is>
      </c>
      <c r="H57" s="123" t="inlineStr">
        <is>
          <t>能源效率</t>
        </is>
      </c>
      <c r="I57" s="123" t="inlineStr">
        <is>
          <t>城市</t>
        </is>
      </c>
      <c r="J57" s="123" t="inlineStr">
        <is>
          <t>到2010年，城市集中供热普及率由2002年的27%提高到40%，新增供暖热电联产机组4000万千瓦，年节能3500万吨标准煤。</t>
        </is>
      </c>
      <c r="K57" s="124" t="inlineStr">
        <is>
          <t>MLT0401.htm</t>
        </is>
      </c>
      <c r="L57" s="123" t="inlineStr">
        <is>
          <t>建筑</t>
        </is>
      </c>
    </row>
    <row r="58" ht="18" customHeight="1" s="235">
      <c r="A58" s="123" t="n">
        <v>2013</v>
      </c>
      <c r="B58" s="123" t="inlineStr">
        <is>
          <t>居民人均生活用电量</t>
        </is>
      </c>
      <c r="C58" s="123" t="inlineStr">
        <is>
          <t>提高至</t>
        </is>
      </c>
      <c r="D58" s="123" t="inlineStr">
        <is>
          <t>620 千瓦时</t>
        </is>
      </c>
      <c r="E58" s="123" t="n"/>
      <c r="F58" s="123" t="inlineStr">
        <is>
          <t>2015</t>
        </is>
      </c>
      <c r="G58" s="123" t="inlineStr">
        <is>
          <t>新目标</t>
        </is>
      </c>
      <c r="H58" s="123" t="inlineStr">
        <is>
          <t>电气化</t>
        </is>
      </c>
      <c r="I58" s="123" t="inlineStr">
        <is>
          <t>建筑业主</t>
        </is>
      </c>
      <c r="J58" s="123" t="inlineStr">
        <is>
          <t>到2015年，居民人均生活用电量达到620千瓦时。</t>
        </is>
      </c>
      <c r="K58" s="124" t="inlineStr">
        <is>
          <t>FYP1302.htm</t>
        </is>
      </c>
      <c r="L58" s="123" t="inlineStr">
        <is>
          <t>建筑</t>
        </is>
      </c>
    </row>
    <row r="59" ht="18" customHeight="1" s="235">
      <c r="A59" s="0" t="n">
        <v>2026</v>
      </c>
      <c r="B59" s="0" t="inlineStr">
        <is>
          <t>公共机构人均用水量</t>
        </is>
      </c>
      <c r="C59" s="0" t="inlineStr">
        <is>
          <t>降低</t>
        </is>
      </c>
      <c r="D59" s="0" t="inlineStr">
        <is>
          <t>3%</t>
        </is>
      </c>
      <c r="E59" s="0" t="inlineStr">
        <is>
          <t>2025</t>
        </is>
      </c>
      <c r="F59" s="0" t="n">
        <v>2030</v>
      </c>
      <c r="G59" s="0" t="inlineStr">
        <is>
          <t>新目标</t>
        </is>
      </c>
      <c r="H59" s="0" t="inlineStr">
        <is>
          <t>资源效率</t>
        </is>
      </c>
      <c r="I59" s="0" t="inlineStr">
        <is>
          <t>企事业单位</t>
        </is>
      </c>
      <c r="J59" s="0" t="inlineStr">
        <is>
          <t>……人均用水量下降3%，公共机构碳排放总量2030年前尽早达峰。</t>
        </is>
      </c>
      <c r="K59" s="0" t="inlineStr">
        <is>
          <t>WOP2601.htm</t>
        </is>
      </c>
      <c r="L59" s="0" t="inlineStr">
        <is>
          <t>建筑</t>
        </is>
      </c>
    </row>
    <row r="60" ht="18" customHeight="1" s="235">
      <c r="A60" s="123" t="n">
        <v>2024</v>
      </c>
      <c r="B60" s="123" t="inlineStr">
        <is>
          <t>城镇新建建筑中装配式建筑的比例</t>
        </is>
      </c>
      <c r="C60" s="123" t="inlineStr">
        <is>
          <t>占比达到</t>
        </is>
      </c>
      <c r="D60" s="123" t="inlineStr">
        <is>
          <t>30%</t>
        </is>
      </c>
      <c r="E60" s="123" t="n"/>
      <c r="F60" s="123" t="inlineStr">
        <is>
          <t>2025</t>
        </is>
      </c>
      <c r="G60" s="123" t="inlineStr">
        <is>
          <t>新目标</t>
        </is>
      </c>
      <c r="H60" s="123" t="inlineStr">
        <is>
          <t>资源效率</t>
        </is>
      </c>
      <c r="I60" s="123" t="inlineStr">
        <is>
          <t>城市</t>
        </is>
      </c>
      <c r="J60" s="123" t="inlineStr">
        <is>
          <t>到2025年，装配式建筑占城镇新建建筑的比例达到30%。</t>
        </is>
      </c>
      <c r="K60" s="124" t="inlineStr">
        <is>
          <t>HL2401.pdf</t>
        </is>
      </c>
      <c r="L60" s="123" t="inlineStr">
        <is>
          <t>建筑</t>
        </is>
      </c>
    </row>
    <row r="61" ht="18" customHeight="1" s="235">
      <c r="A61" s="123" t="n">
        <v>2023</v>
      </c>
      <c r="B61" s="123" t="inlineStr">
        <is>
          <t>装配式建筑占新建建筑面积比例</t>
        </is>
      </c>
      <c r="C61" s="123" t="inlineStr">
        <is>
          <t>占比达到</t>
        </is>
      </c>
      <c r="D61" s="123" t="inlineStr">
        <is>
          <t>30%</t>
        </is>
      </c>
      <c r="E61" s="123" t="n"/>
      <c r="F61" s="123" t="inlineStr">
        <is>
          <t>2025</t>
        </is>
      </c>
      <c r="G61" s="123" t="inlineStr">
        <is>
          <t>重申目标</t>
        </is>
      </c>
      <c r="H61" s="123" t="inlineStr">
        <is>
          <t>资源效率</t>
        </is>
      </c>
      <c r="I61" s="123" t="inlineStr">
        <is>
          <t>城市</t>
        </is>
      </c>
      <c r="J61" s="123" t="inlineStr">
        <is>
          <t>到2025年，装配式建筑占新建建筑面积比例达到30%</t>
        </is>
      </c>
      <c r="K61" s="124" t="inlineStr">
        <is>
          <t>AP2304.htm</t>
        </is>
      </c>
      <c r="L61" s="123" t="inlineStr">
        <is>
          <t>建筑</t>
        </is>
      </c>
    </row>
    <row r="62" ht="18" customHeight="1" s="235">
      <c r="A62" s="123" t="n">
        <v>2022</v>
      </c>
      <c r="B62" s="123" t="inlineStr">
        <is>
          <t>公共机构新建建筑屋顶光伏覆盖率</t>
        </is>
      </c>
      <c r="C62" s="123" t="inlineStr">
        <is>
          <t>达到</t>
        </is>
      </c>
      <c r="D62" s="123" t="inlineStr">
        <is>
          <t>50%</t>
        </is>
      </c>
      <c r="E62" s="123" t="n"/>
      <c r="F62" s="123" t="inlineStr">
        <is>
          <t>2025</t>
        </is>
      </c>
      <c r="G62" s="123" t="inlineStr">
        <is>
          <t>新目标</t>
        </is>
      </c>
      <c r="H62" s="123" t="inlineStr">
        <is>
          <t>可再生能源</t>
        </is>
      </c>
      <c r="I62" s="123" t="inlineStr">
        <is>
          <t>公共机构</t>
        </is>
      </c>
      <c r="J62" s="123" t="inlineStr">
        <is>
          <t>到2025年，公共机构新建建筑屋顶光伏覆盖率力争达到50%；鼓励公共机构既有建筑安装光伏或太阳能热利用设施。</t>
        </is>
      </c>
      <c r="K62" s="124" t="inlineStr">
        <is>
          <t>IP2208.htm</t>
        </is>
      </c>
      <c r="L62" s="123" t="inlineStr">
        <is>
          <t>建筑</t>
        </is>
      </c>
    </row>
    <row r="63" ht="18" customHeight="1" s="235">
      <c r="A63" s="123" t="n">
        <v>2024</v>
      </c>
      <c r="B63" s="123" t="inlineStr">
        <is>
          <t>新建公共机构建筑和新建厂房屋顶光伏覆盖率</t>
        </is>
      </c>
      <c r="C63" s="123" t="inlineStr">
        <is>
          <t>达到</t>
        </is>
      </c>
      <c r="D63" s="123" t="inlineStr">
        <is>
          <t>50%</t>
        </is>
      </c>
      <c r="E63" s="123" t="n"/>
      <c r="F63" s="123" t="inlineStr">
        <is>
          <t>2025</t>
        </is>
      </c>
      <c r="G63" s="123" t="inlineStr">
        <is>
          <t>重申目标</t>
        </is>
      </c>
      <c r="H63" s="123" t="inlineStr">
        <is>
          <t>可再生能源</t>
        </is>
      </c>
      <c r="I63" s="123" t="inlineStr">
        <is>
          <t>公共机构</t>
        </is>
      </c>
      <c r="J63" s="123" t="inlineStr">
        <is>
          <t>到2025年底，新建公共机构建筑、新建厂房屋顶光伏覆盖率力争达到50%。</t>
        </is>
      </c>
      <c r="K63" s="124" t="inlineStr">
        <is>
          <t>AP2405.htm</t>
        </is>
      </c>
      <c r="L63" s="123" t="inlineStr">
        <is>
          <t>建筑</t>
        </is>
      </c>
    </row>
    <row r="64" ht="18" customHeight="1" s="235">
      <c r="A64" s="123" t="n">
        <v>2021</v>
      </c>
      <c r="B64" s="123" t="inlineStr">
        <is>
          <t>数据中心电能利用效率</t>
        </is>
      </c>
      <c r="C64" s="123" t="inlineStr">
        <is>
          <t>不超过</t>
        </is>
      </c>
      <c r="D64" s="123" t="inlineStr">
        <is>
          <t>1.5</t>
        </is>
      </c>
      <c r="E64" s="123" t="n"/>
      <c r="F64" s="123" t="inlineStr">
        <is>
          <t>2025</t>
        </is>
      </c>
      <c r="G64" s="123" t="inlineStr">
        <is>
          <t>新目标</t>
        </is>
      </c>
      <c r="H64" s="123" t="inlineStr">
        <is>
          <t>能源效率</t>
        </is>
      </c>
      <c r="I64" s="123" t="inlineStr">
        <is>
          <t>企业</t>
        </is>
      </c>
      <c r="J64" s="123" t="inlineStr">
        <is>
          <t>到2025年，数据中心电能利用效率普遍不超过1.5</t>
        </is>
      </c>
      <c r="K64" s="124" t="inlineStr">
        <is>
          <t>O2102.htm</t>
        </is>
      </c>
      <c r="L64" s="123" t="inlineStr">
        <is>
          <t>建筑</t>
        </is>
      </c>
    </row>
    <row r="65" ht="18" customHeight="1" s="235">
      <c r="A65" s="123" t="n">
        <v>2021</v>
      </c>
      <c r="B65" s="123" t="inlineStr">
        <is>
          <t>新建大型及以上数据中心电能利用效率（PUE）</t>
        </is>
      </c>
      <c r="C65" s="123" t="inlineStr">
        <is>
          <t>降低至</t>
        </is>
      </c>
      <c r="D65" s="123" t="inlineStr">
        <is>
          <t>低于1.35</t>
        </is>
      </c>
      <c r="E65" s="123" t="n"/>
      <c r="F65" s="123" t="inlineStr">
        <is>
          <t>2021</t>
        </is>
      </c>
      <c r="G65" s="123" t="inlineStr">
        <is>
          <t>新目标</t>
        </is>
      </c>
      <c r="H65" s="123" t="inlineStr">
        <is>
          <t>能源效率</t>
        </is>
      </c>
      <c r="I65" s="123" t="inlineStr">
        <is>
          <t>企业</t>
        </is>
      </c>
      <c r="J65" s="123" t="inlineStr">
        <is>
          <t>到2021年底，新建大型及以上数据中心电能利用效率（PUE）降低到1.35以下。</t>
        </is>
      </c>
      <c r="K65" s="124" t="inlineStr">
        <is>
          <t>AP2108.htm</t>
        </is>
      </c>
      <c r="L65" s="123" t="inlineStr">
        <is>
          <t>建筑</t>
        </is>
      </c>
    </row>
    <row r="66" ht="18" customHeight="1" s="235">
      <c r="A66" s="123" t="n">
        <v>2024</v>
      </c>
      <c r="B66" s="123" t="inlineStr">
        <is>
          <t>城镇新建建筑中绿色建筑面积占比</t>
        </is>
      </c>
      <c r="C66" s="123" t="inlineStr">
        <is>
          <t>达到</t>
        </is>
      </c>
      <c r="D66" s="123" t="inlineStr">
        <is>
          <t>95%</t>
        </is>
      </c>
      <c r="E66" s="123" t="n"/>
      <c r="F66" s="123" t="inlineStr">
        <is>
          <t>2023</t>
        </is>
      </c>
      <c r="G66" s="123" t="inlineStr">
        <is>
          <t>新目标</t>
        </is>
      </c>
      <c r="H66" s="123" t="inlineStr">
        <is>
          <t>能源效率</t>
        </is>
      </c>
      <c r="I66" s="123" t="inlineStr">
        <is>
          <t>城市</t>
        </is>
      </c>
      <c r="J66" s="123" t="inlineStr">
        <is>
          <t>到2023年，城镇新建建筑中绿色建筑的面积占比达到95%</t>
        </is>
      </c>
      <c r="K66" s="124" t="inlineStr">
        <is>
          <t>HL2404.pdf</t>
        </is>
      </c>
      <c r="L66" s="123" t="inlineStr">
        <is>
          <t>建筑</t>
        </is>
      </c>
    </row>
    <row r="67" ht="18" customHeight="1" s="235">
      <c r="A67" s="123" t="n">
        <v>2004</v>
      </c>
      <c r="B67" s="123" t="inlineStr">
        <is>
          <t>政府机构节能改造建筑面积比例</t>
        </is>
      </c>
      <c r="C67" s="123" t="inlineStr">
        <is>
          <t>达到</t>
        </is>
      </c>
      <c r="D67" s="123" t="inlineStr">
        <is>
          <t>20%</t>
        </is>
      </c>
      <c r="E67" s="123" t="n"/>
      <c r="F67" s="123" t="inlineStr">
        <is>
          <t>2010</t>
        </is>
      </c>
      <c r="G67" s="123" t="inlineStr">
        <is>
          <t>新目标</t>
        </is>
      </c>
      <c r="H67" s="123" t="inlineStr">
        <is>
          <t>能源效率</t>
        </is>
      </c>
      <c r="I67" s="123" t="inlineStr">
        <is>
          <t>公共机构</t>
        </is>
      </c>
      <c r="J67" s="123" t="inlineStr">
        <is>
          <t>到二〇一〇年，按照建筑节能标准改造的政府机构建筑面积达到政府机构建筑总面积的百分之二十。</t>
        </is>
      </c>
      <c r="K67" s="124" t="inlineStr">
        <is>
          <t>MLT0401.htm</t>
        </is>
      </c>
      <c r="L67" s="123" t="inlineStr">
        <is>
          <t>建筑</t>
        </is>
      </c>
    </row>
    <row r="68" ht="18" customHeight="1" s="235">
      <c r="A68" s="123" t="n">
        <v>2024</v>
      </c>
      <c r="B68" s="123" t="inlineStr">
        <is>
          <t>公共机构煤炭消费占比</t>
        </is>
      </c>
      <c r="C68" s="123" t="inlineStr">
        <is>
          <t>降至…以下</t>
        </is>
      </c>
      <c r="D68" s="123" t="inlineStr">
        <is>
          <t>13%</t>
        </is>
      </c>
      <c r="E68" s="123" t="n"/>
      <c r="F68" s="123" t="inlineStr">
        <is>
          <t>2025</t>
        </is>
      </c>
      <c r="G68" s="123" t="inlineStr">
        <is>
          <t>新目标</t>
        </is>
      </c>
      <c r="H68" s="123" t="inlineStr">
        <is>
          <t>涉煤</t>
        </is>
      </c>
      <c r="I68" s="123" t="inlineStr">
        <is>
          <t>公共机构</t>
        </is>
      </c>
      <c r="J68" s="123" t="inlineStr">
        <is>
          <t>到2025年底，公共机构煤炭消费占比降至13%以下。</t>
        </is>
      </c>
      <c r="K68" s="124" t="inlineStr">
        <is>
          <t>AP2405.htm</t>
        </is>
      </c>
      <c r="L68" s="123" t="inlineStr">
        <is>
          <t>建筑</t>
        </is>
      </c>
    </row>
    <row r="69" ht="18" customHeight="1" s="235">
      <c r="A69" s="0" t="n">
        <v>2026</v>
      </c>
      <c r="B69" s="0" t="inlineStr">
        <is>
          <t>公共机构煤炭消费占比</t>
        </is>
      </c>
      <c r="C69" s="0" t="inlineStr">
        <is>
          <t>控制在…以内</t>
        </is>
      </c>
      <c r="D69" s="0" t="inlineStr">
        <is>
          <t>5%</t>
        </is>
      </c>
      <c r="F69" s="0" t="n">
        <v>2030</v>
      </c>
      <c r="G69" s="0" t="inlineStr">
        <is>
          <t>强化或放宽目标（积极气候影响）</t>
        </is>
      </c>
      <c r="H69" s="0" t="inlineStr">
        <is>
          <t>涉煤</t>
        </is>
      </c>
      <c r="I69" s="0" t="inlineStr">
        <is>
          <t>企事业单位</t>
        </is>
      </c>
      <c r="J69" s="0" t="inlineStr">
        <is>
          <t>严控公共机构煤炭等化石能源消费，……全国公共机构煤炭消费占能源消费总量比例控制在5%以内，有条件的地区实现燃煤清零。</t>
        </is>
      </c>
      <c r="K69" s="0" t="inlineStr">
        <is>
          <t>WOP2601.htm</t>
        </is>
      </c>
      <c r="L69" s="0" t="inlineStr">
        <is>
          <t>建筑</t>
        </is>
      </c>
    </row>
    <row r="70" ht="18" customHeight="1" s="235">
      <c r="A70" s="123" t="n">
        <v>2024</v>
      </c>
      <c r="B70" s="123" t="inlineStr">
        <is>
          <t>建筑用能中电力消费占比</t>
        </is>
      </c>
      <c r="C70" s="123" t="inlineStr">
        <is>
          <t>超过</t>
        </is>
      </c>
      <c r="D70" s="123" t="inlineStr">
        <is>
          <t>55%</t>
        </is>
      </c>
      <c r="E70" s="123" t="n"/>
      <c r="F70" s="123" t="inlineStr">
        <is>
          <t>2025</t>
        </is>
      </c>
      <c r="G70" s="123" t="inlineStr">
        <is>
          <t>新目标</t>
        </is>
      </c>
      <c r="H70" s="123" t="inlineStr">
        <is>
          <t>电气化</t>
        </is>
      </c>
      <c r="I70" s="123" t="inlineStr">
        <is>
          <t>建筑业主</t>
        </is>
      </c>
      <c r="J70" s="123" t="inlineStr">
        <is>
          <t>到2025年，建筑用能中电力消费占比超过55%。</t>
        </is>
      </c>
      <c r="K70" s="124" t="inlineStr">
        <is>
          <t>WOP2403.htm</t>
        </is>
      </c>
      <c r="L70" s="123" t="inlineStr">
        <is>
          <t>建筑</t>
        </is>
      </c>
    </row>
    <row r="71" ht="18" customHeight="1" s="235">
      <c r="A71" s="123" t="n">
        <v>2024</v>
      </c>
      <c r="B71" s="123" t="inlineStr">
        <is>
          <t>建筑能耗中电力消费占比</t>
        </is>
      </c>
      <c r="C71" s="123" t="inlineStr">
        <is>
          <t>超过</t>
        </is>
      </c>
      <c r="D71" s="123" t="inlineStr">
        <is>
          <t>55%</t>
        </is>
      </c>
      <c r="E71" s="123" t="n"/>
      <c r="F71" s="123" t="inlineStr">
        <is>
          <t>2025</t>
        </is>
      </c>
      <c r="G71" s="123" t="inlineStr">
        <is>
          <t>重申目标</t>
        </is>
      </c>
      <c r="H71" s="123" t="inlineStr">
        <is>
          <t>电气化</t>
        </is>
      </c>
      <c r="I71" s="123" t="inlineStr">
        <is>
          <t>建筑业主</t>
        </is>
      </c>
      <c r="J71" s="123" t="inlineStr">
        <is>
          <t>到2025年，建筑能耗中电力消费占比将超过百分之五十五。</t>
        </is>
      </c>
      <c r="K71" s="124" t="inlineStr">
        <is>
          <t>HL2401.pdf</t>
        </is>
      </c>
      <c r="L71" s="123" t="inlineStr">
        <is>
          <t>建筑</t>
        </is>
      </c>
    </row>
    <row r="72" ht="18" customHeight="1" s="235">
      <c r="A72" s="123" t="n">
        <v>2017</v>
      </c>
      <c r="B72" s="123" t="inlineStr">
        <is>
          <t>城镇新建建筑中绿色建材应用比例</t>
        </is>
      </c>
      <c r="C72" s="123" t="inlineStr">
        <is>
          <t>超过</t>
        </is>
      </c>
      <c r="D72" s="123" t="inlineStr">
        <is>
          <t>40%</t>
        </is>
      </c>
      <c r="E72" s="123" t="n"/>
      <c r="F72" s="123" t="inlineStr">
        <is>
          <t>2020</t>
        </is>
      </c>
      <c r="G72" s="123" t="inlineStr">
        <is>
          <t>新目标</t>
        </is>
      </c>
      <c r="H72" s="123" t="inlineStr">
        <is>
          <t>资源效率</t>
        </is>
      </c>
      <c r="I72" s="123" t="inlineStr">
        <is>
          <t>城市</t>
        </is>
      </c>
      <c r="J72" s="123" t="inlineStr">
        <is>
          <t>到2020年，城镇新建建筑中绿色建材应用比例超过40%。</t>
        </is>
      </c>
      <c r="K72" s="124" t="inlineStr">
        <is>
          <t>FYP1706.pdf</t>
        </is>
      </c>
      <c r="L72" s="123" t="inlineStr">
        <is>
          <t>建筑</t>
        </is>
      </c>
    </row>
    <row r="73" ht="18" customHeight="1" s="235">
      <c r="A73" s="123" t="n">
        <v>2014</v>
      </c>
      <c r="B73" s="123" t="inlineStr">
        <is>
          <t>城镇绿色建筑比例</t>
        </is>
      </c>
      <c r="C73" s="123" t="inlineStr">
        <is>
          <t>达到</t>
        </is>
      </c>
      <c r="D73" s="123" t="inlineStr">
        <is>
          <t>50%</t>
        </is>
      </c>
      <c r="E73" s="123" t="n"/>
      <c r="F73" s="123" t="inlineStr">
        <is>
          <t>2020</t>
        </is>
      </c>
      <c r="G73" s="123" t="inlineStr">
        <is>
          <t>重申目标</t>
        </is>
      </c>
      <c r="H73" s="123" t="inlineStr">
        <is>
          <t>能源效率</t>
        </is>
      </c>
      <c r="I73" s="123" t="inlineStr">
        <is>
          <t>城市</t>
        </is>
      </c>
      <c r="J73" s="123" t="inlineStr">
        <is>
          <t>到2020年，城镇绿色建筑占新建建筑的比例达到50%。</t>
        </is>
      </c>
      <c r="K73" s="124" t="inlineStr">
        <is>
          <t>AP1401.htm</t>
        </is>
      </c>
      <c r="L73" s="123" t="inlineStr">
        <is>
          <t>建筑</t>
        </is>
      </c>
    </row>
    <row r="74" ht="18" customHeight="1" s="235">
      <c r="A74" s="123" t="n">
        <v>2016</v>
      </c>
      <c r="B74" s="123" t="inlineStr">
        <is>
          <t>城镇绿色建筑占新建建筑比重</t>
        </is>
      </c>
      <c r="C74" s="123" t="inlineStr">
        <is>
          <t>达到</t>
        </is>
      </c>
      <c r="D74" s="123" t="inlineStr">
        <is>
          <t>50%</t>
        </is>
      </c>
      <c r="E74" s="123" t="n"/>
      <c r="F74" s="123" t="inlineStr">
        <is>
          <t>2020</t>
        </is>
      </c>
      <c r="G74" s="123" t="inlineStr">
        <is>
          <t>新目标</t>
        </is>
      </c>
      <c r="H74" s="123" t="inlineStr">
        <is>
          <t>能源效率</t>
        </is>
      </c>
      <c r="I74" s="123" t="inlineStr">
        <is>
          <t>城市</t>
        </is>
      </c>
      <c r="J74" s="123" t="inlineStr">
        <is>
          <t>推进既有建筑节能改造，强化新建建筑节能，推广绿色建筑，到2020年城镇绿色建筑占新建建筑比重达到50%。</t>
        </is>
      </c>
      <c r="K74" s="124" t="inlineStr">
        <is>
          <t>FYP1615.htm</t>
        </is>
      </c>
      <c r="L74" s="123" t="inlineStr">
        <is>
          <t>建筑</t>
        </is>
      </c>
    </row>
    <row r="75" ht="18" customHeight="1" s="235">
      <c r="A75" s="123" t="n">
        <v>2024</v>
      </c>
      <c r="B75" s="123" t="inlineStr">
        <is>
          <t>在运通用照明设备中的高效节能产品占比</t>
        </is>
      </c>
      <c r="C75" s="123" t="inlineStr">
        <is>
          <t>达到</t>
        </is>
      </c>
      <c r="D75" s="123" t="inlineStr">
        <is>
          <t>50%</t>
        </is>
      </c>
      <c r="E75" s="123" t="n"/>
      <c r="F75" s="125" t="n">
        <v>2025</v>
      </c>
      <c r="G75" s="123" t="inlineStr">
        <is>
          <t>新目标</t>
        </is>
      </c>
      <c r="H75" s="123" t="inlineStr">
        <is>
          <t>能源效率</t>
        </is>
      </c>
      <c r="I75" s="123" t="inlineStr">
        <is>
          <t>不明确</t>
        </is>
      </c>
      <c r="J75" s="123" t="inlineStr">
        <is>
          <t>与2021年相比，2025年在运通用照明设备中的高效节能产品占比达到50%。</t>
        </is>
      </c>
      <c r="K75" s="124" t="inlineStr">
        <is>
          <t>AP2405.htm</t>
        </is>
      </c>
      <c r="L75" s="123" t="inlineStr">
        <is>
          <t>建筑</t>
        </is>
      </c>
    </row>
    <row r="76" ht="18" customHeight="1" s="235">
      <c r="A76" s="123" t="n">
        <v>2023</v>
      </c>
      <c r="B76" s="123" t="inlineStr">
        <is>
          <t>新建工厂及公共建筑屋顶安装太阳能光伏板的比例</t>
        </is>
      </c>
      <c r="C76" s="123" t="inlineStr">
        <is>
          <t>达到</t>
        </is>
      </c>
      <c r="D76" s="123" t="inlineStr">
        <is>
          <t>60%</t>
        </is>
      </c>
      <c r="E76" s="123" t="n"/>
      <c r="F76" s="123" t="inlineStr">
        <is>
          <t>2025</t>
        </is>
      </c>
      <c r="G76" s="123" t="inlineStr">
        <is>
          <t>新目标</t>
        </is>
      </c>
      <c r="H76" s="123" t="inlineStr">
        <is>
          <t>可再生能源</t>
        </is>
      </c>
      <c r="I76" s="123" t="inlineStr">
        <is>
          <t>行业</t>
        </is>
      </c>
      <c r="J76" s="123" t="inlineStr">
        <is>
          <t>到2025年，60%的新建工厂及公共建筑将安装屋顶太阳能光伏板。</t>
        </is>
      </c>
      <c r="K76" s="124" t="inlineStr">
        <is>
          <t>HL2302.pdf</t>
        </is>
      </c>
      <c r="L76" s="123" t="inlineStr">
        <is>
          <t>建筑</t>
        </is>
      </c>
    </row>
    <row r="77" ht="18" customHeight="1" s="235">
      <c r="A77" s="123" t="n">
        <v>2021</v>
      </c>
      <c r="B77" s="123" t="inlineStr">
        <is>
          <t>新建公共建筑屋顶光伏覆盖率</t>
        </is>
      </c>
      <c r="C77" s="123" t="inlineStr">
        <is>
          <t>达到</t>
        </is>
      </c>
      <c r="D77" s="123" t="inlineStr">
        <is>
          <t>50%</t>
        </is>
      </c>
      <c r="E77" s="123" t="n"/>
      <c r="F77" s="123" t="inlineStr">
        <is>
          <t>2025</t>
        </is>
      </c>
      <c r="G77" s="123" t="inlineStr">
        <is>
          <t>新目标</t>
        </is>
      </c>
      <c r="H77" s="123" t="inlineStr">
        <is>
          <t>可再生能源</t>
        </is>
      </c>
      <c r="I77" s="123" t="inlineStr">
        <is>
          <t>行业</t>
        </is>
      </c>
      <c r="J77" s="123" t="inlineStr">
        <is>
          <t>到2025年，新建公共机构建筑、新建厂房屋顶光伏覆盖率力争达到50%。</t>
        </is>
      </c>
      <c r="K77" s="124" t="inlineStr">
        <is>
          <t>HL2102.pdf</t>
        </is>
      </c>
      <c r="L77" s="123" t="inlineStr">
        <is>
          <t>建筑</t>
        </is>
      </c>
    </row>
    <row r="78" ht="18" customHeight="1" s="235">
      <c r="A78" s="123" t="n">
        <v>2021</v>
      </c>
      <c r="B78" s="123" t="inlineStr">
        <is>
          <t>新建公共建筑安装屋顶太阳能光伏板的比例</t>
        </is>
      </c>
      <c r="C78" s="123" t="inlineStr">
        <is>
          <t>达到</t>
        </is>
      </c>
      <c r="D78" s="123" t="inlineStr">
        <is>
          <t>50%</t>
        </is>
      </c>
      <c r="E78" s="123" t="n"/>
      <c r="F78" s="123" t="inlineStr">
        <is>
          <t>2025</t>
        </is>
      </c>
      <c r="G78" s="123" t="inlineStr">
        <is>
          <t>重申目标</t>
        </is>
      </c>
      <c r="H78" s="123" t="inlineStr">
        <is>
          <t>可再生能源</t>
        </is>
      </c>
      <c r="I78" s="123" t="inlineStr">
        <is>
          <t>行业</t>
        </is>
      </c>
      <c r="J78" s="123" t="inlineStr">
        <is>
          <t>到2025年，新建公共建筑和新建厂房屋顶光伏覆盖率力争达到50%。</t>
        </is>
      </c>
      <c r="K78" s="124" t="inlineStr">
        <is>
          <t>HL2104.pdf</t>
        </is>
      </c>
      <c r="L78" s="123" t="inlineStr">
        <is>
          <t>建筑</t>
        </is>
      </c>
    </row>
    <row r="79" ht="18" customHeight="1" s="235">
      <c r="A79" s="123" t="n">
        <v>2014</v>
      </c>
      <c r="B79" s="123" t="inlineStr">
        <is>
          <t>城镇新建建筑绿色建筑标准执行率</t>
        </is>
      </c>
      <c r="C79" s="123" t="inlineStr">
        <is>
          <t>达到</t>
        </is>
      </c>
      <c r="D79" s="123" t="inlineStr">
        <is>
          <t>20%</t>
        </is>
      </c>
      <c r="E79" s="123" t="n"/>
      <c r="F79" s="123" t="inlineStr">
        <is>
          <t>2015</t>
        </is>
      </c>
      <c r="G79" s="123" t="inlineStr">
        <is>
          <t>重申目标</t>
        </is>
      </c>
      <c r="H79" s="123" t="inlineStr">
        <is>
          <t>能源效率</t>
        </is>
      </c>
      <c r="I79" s="123" t="inlineStr">
        <is>
          <t>公共机构</t>
        </is>
      </c>
      <c r="J79" s="123" t="inlineStr">
        <is>
          <t>到2015年，城镇新建建筑绿色建筑标准执行率达到20%。</t>
        </is>
      </c>
      <c r="K79" s="124" t="inlineStr">
        <is>
          <t>AP1404.htm</t>
        </is>
      </c>
      <c r="L79" s="123" t="inlineStr">
        <is>
          <t>建筑</t>
        </is>
      </c>
    </row>
    <row r="80" ht="18" customHeight="1" s="235">
      <c r="A80" s="123" t="n">
        <v>2013</v>
      </c>
      <c r="B80" s="123" t="inlineStr">
        <is>
          <t>城镇新建建筑中绿色建筑标准达标比例</t>
        </is>
      </c>
      <c r="C80" s="123" t="inlineStr">
        <is>
          <t>达到</t>
        </is>
      </c>
      <c r="D80" s="123" t="inlineStr">
        <is>
          <t>超过15%</t>
        </is>
      </c>
      <c r="E80" s="123" t="n"/>
      <c r="F80" s="123" t="inlineStr">
        <is>
          <t>2015</t>
        </is>
      </c>
      <c r="G80" s="123" t="inlineStr">
        <is>
          <t>新目标</t>
        </is>
      </c>
      <c r="H80" s="123" t="inlineStr">
        <is>
          <t>能源效率</t>
        </is>
      </c>
      <c r="I80" s="123" t="inlineStr">
        <is>
          <t>城市</t>
        </is>
      </c>
      <c r="J80" s="123" t="inlineStr">
        <is>
          <t>到2015年，城镇新建建筑中绿色建筑标准达标比例超过15%。</t>
        </is>
      </c>
      <c r="K80" s="124" t="inlineStr">
        <is>
          <t>DP1301.htm</t>
        </is>
      </c>
      <c r="L80" s="123" t="inlineStr">
        <is>
          <t>建筑</t>
        </is>
      </c>
    </row>
    <row r="81" ht="18" customHeight="1" s="235">
      <c r="A81" s="123" t="n">
        <v>2024</v>
      </c>
      <c r="B81" s="123" t="inlineStr">
        <is>
          <t>城镇新建建筑执行绿色建筑标准的比例</t>
        </is>
      </c>
      <c r="C81" s="123" t="inlineStr">
        <is>
          <t>达到</t>
        </is>
      </c>
      <c r="D81" s="123" t="inlineStr">
        <is>
          <t>100%</t>
        </is>
      </c>
      <c r="E81" s="123" t="n"/>
      <c r="F81" s="123" t="inlineStr">
        <is>
          <t>2025</t>
        </is>
      </c>
      <c r="G81" s="123" t="inlineStr">
        <is>
          <t>新目标</t>
        </is>
      </c>
      <c r="H81" s="123" t="inlineStr">
        <is>
          <t>能源效率</t>
        </is>
      </c>
      <c r="I81" s="123" t="inlineStr">
        <is>
          <t>城市</t>
        </is>
      </c>
      <c r="J81" s="123" t="inlineStr">
        <is>
          <t>到2025年底，城镇新建建筑全面执行绿色建筑标准。</t>
        </is>
      </c>
      <c r="K81" s="124" t="inlineStr">
        <is>
          <t>AP2405.htm</t>
        </is>
      </c>
      <c r="L81" s="123" t="inlineStr">
        <is>
          <t>建筑</t>
        </is>
      </c>
    </row>
    <row r="82" ht="18" customHeight="1" s="235">
      <c r="A82" s="123" t="n">
        <v>2021</v>
      </c>
      <c r="B82" s="123" t="inlineStr">
        <is>
          <t>城镇新建建筑中绿色建筑标准的执行比例</t>
        </is>
      </c>
      <c r="C82" s="123" t="inlineStr">
        <is>
          <t>达到</t>
        </is>
      </c>
      <c r="D82" s="123" t="inlineStr">
        <is>
          <t>100%</t>
        </is>
      </c>
      <c r="E82" s="123" t="n"/>
      <c r="F82" s="123" t="inlineStr">
        <is>
          <t>2025</t>
        </is>
      </c>
      <c r="G82" s="123" t="inlineStr">
        <is>
          <t>重申目标</t>
        </is>
      </c>
      <c r="H82" s="123" t="inlineStr">
        <is>
          <t>能源效率</t>
        </is>
      </c>
      <c r="I82" s="123" t="inlineStr">
        <is>
          <t>城市</t>
        </is>
      </c>
      <c r="J82" s="123" t="inlineStr">
        <is>
          <t>到2025年，城镇新建建筑全面执行绿色建筑标准</t>
        </is>
      </c>
      <c r="K82" s="124" t="inlineStr">
        <is>
          <t>HL2104.pdf</t>
        </is>
      </c>
      <c r="L82" s="123" t="inlineStr">
        <is>
          <t>建筑</t>
        </is>
      </c>
    </row>
    <row r="83" ht="18" customHeight="1" s="235">
      <c r="A83" s="123" t="n">
        <v>2023</v>
      </c>
      <c r="B83" s="123" t="inlineStr">
        <is>
          <t>城镇新建建筑中绿色建筑标准执行比例</t>
        </is>
      </c>
      <c r="C83" s="123" t="inlineStr">
        <is>
          <t>实现</t>
        </is>
      </c>
      <c r="D83" s="123" t="inlineStr">
        <is>
          <t>100%</t>
        </is>
      </c>
      <c r="E83" s="123" t="n"/>
      <c r="F83" s="123" t="inlineStr">
        <is>
          <t>2025</t>
        </is>
      </c>
      <c r="G83" s="123" t="inlineStr">
        <is>
          <t>重申目标</t>
        </is>
      </c>
      <c r="H83" s="123" t="inlineStr">
        <is>
          <t>能源效率</t>
        </is>
      </c>
      <c r="I83" s="123" t="inlineStr">
        <is>
          <t>城市</t>
        </is>
      </c>
      <c r="J83" s="123" t="inlineStr">
        <is>
          <t>到2025年，中国城镇新建建筑将全面执行绿色建筑标准；城镇建筑可再生能源替代率达到8%以上。</t>
        </is>
      </c>
      <c r="K83" s="124" t="inlineStr">
        <is>
          <t>HL2302.pdf</t>
        </is>
      </c>
      <c r="L83" s="123" t="inlineStr">
        <is>
          <t>建筑</t>
        </is>
      </c>
    </row>
    <row r="84" ht="18" customHeight="1" s="235">
      <c r="A84" s="123" t="n">
        <v>2013</v>
      </c>
      <c r="B84" s="123" t="inlineStr">
        <is>
          <t>城镇新建建筑绿色建筑标准达标率</t>
        </is>
      </c>
      <c r="C84" s="123" t="inlineStr">
        <is>
          <t>达到</t>
        </is>
      </c>
      <c r="D84" s="123" t="inlineStr">
        <is>
          <t>20%</t>
        </is>
      </c>
      <c r="E84" s="123" t="n"/>
      <c r="F84" s="123" t="inlineStr">
        <is>
          <t>2015</t>
        </is>
      </c>
      <c r="G84" s="123" t="inlineStr">
        <is>
          <t>强化或放宽目标（积极气候影响）</t>
        </is>
      </c>
      <c r="H84" s="123" t="inlineStr">
        <is>
          <t>能源效率</t>
        </is>
      </c>
      <c r="I84" s="123" t="inlineStr">
        <is>
          <t>城市</t>
        </is>
      </c>
      <c r="J84" s="123" t="inlineStr">
        <is>
          <t>到2015年末，20%的城镇新建建筑达到绿色建筑标准要求。</t>
        </is>
      </c>
      <c r="K84" s="124" t="inlineStr">
        <is>
          <t>AP1301.htm</t>
        </is>
      </c>
      <c r="L84" s="123" t="inlineStr">
        <is>
          <t>建筑</t>
        </is>
      </c>
    </row>
    <row r="85" ht="18" customHeight="1" s="235">
      <c r="A85" s="123" t="n">
        <v>2013</v>
      </c>
      <c r="B85" s="123" t="inlineStr">
        <is>
          <t>新型墙体材料比重</t>
        </is>
      </c>
      <c r="C85" s="123" t="inlineStr">
        <is>
          <t>达到</t>
        </is>
      </c>
      <c r="D85" s="123" t="inlineStr">
        <is>
          <t>65%以上</t>
        </is>
      </c>
      <c r="E85" s="123" t="n"/>
      <c r="F85" s="123" t="inlineStr">
        <is>
          <t>2015</t>
        </is>
      </c>
      <c r="G85" s="123" t="inlineStr">
        <is>
          <t>重申目标</t>
        </is>
      </c>
      <c r="H85" s="123" t="inlineStr">
        <is>
          <t>资源效率</t>
        </is>
      </c>
      <c r="I85" s="123" t="inlineStr">
        <is>
          <t>不明确</t>
        </is>
      </c>
      <c r="J85" s="123" t="inlineStr">
        <is>
          <t>到2015年，新型墙体材料比重达到65%以上。</t>
        </is>
      </c>
      <c r="K85" s="124" t="inlineStr">
        <is>
          <t>DP1301.htm</t>
        </is>
      </c>
      <c r="L85" s="123" t="inlineStr">
        <is>
          <t>建筑</t>
        </is>
      </c>
    </row>
    <row r="86" ht="18" customHeight="1" s="235">
      <c r="A86" s="123" t="n">
        <v>2012</v>
      </c>
      <c r="B86" s="123" t="inlineStr">
        <is>
          <t>新型墙体材料占比</t>
        </is>
      </c>
      <c r="C86" s="123" t="inlineStr">
        <is>
          <t>达到</t>
        </is>
      </c>
      <c r="D86" s="123" t="inlineStr">
        <is>
          <t>65%以上</t>
        </is>
      </c>
      <c r="E86" s="123" t="n"/>
      <c r="F86" s="123" t="inlineStr">
        <is>
          <t>2015</t>
        </is>
      </c>
      <c r="G86" s="123" t="inlineStr">
        <is>
          <t>新目标</t>
        </is>
      </c>
      <c r="H86" s="123" t="inlineStr">
        <is>
          <t>资源效率</t>
        </is>
      </c>
      <c r="I86" s="123" t="inlineStr">
        <is>
          <t>不明确</t>
        </is>
      </c>
      <c r="J86" s="123" t="inlineStr">
        <is>
          <t>加快新型墙体材料发展，到2015年，新型墙体材料比重达到65%以上。</t>
        </is>
      </c>
      <c r="K86" s="124" t="inlineStr">
        <is>
          <t>FYP1201.htm</t>
        </is>
      </c>
      <c r="L86" s="123" t="inlineStr">
        <is>
          <t>建筑</t>
        </is>
      </c>
    </row>
    <row r="87" ht="18" customHeight="1" s="235">
      <c r="A87" s="123" t="n">
        <v>2010</v>
      </c>
      <c r="B87" s="123" t="inlineStr">
        <is>
          <t>全国城镇新建建筑执行节能强制性标准的比例</t>
        </is>
      </c>
      <c r="C87" s="123" t="inlineStr">
        <is>
          <t>达到</t>
        </is>
      </c>
      <c r="D87" s="123" t="inlineStr">
        <is>
          <t>95%以上</t>
        </is>
      </c>
      <c r="E87" s="123" t="n"/>
      <c r="F87" s="123" t="inlineStr">
        <is>
          <t>2010</t>
        </is>
      </c>
      <c r="G87" s="123" t="inlineStr">
        <is>
          <t>新目标</t>
        </is>
      </c>
      <c r="H87" s="123" t="inlineStr">
        <is>
          <t>能源效率</t>
        </is>
      </c>
      <c r="I87" s="123" t="inlineStr">
        <is>
          <t>城市</t>
        </is>
      </c>
      <c r="J87" s="123" t="inlineStr">
        <is>
          <t>加强新建建筑节能监管，到2010年底，全国城镇新建建筑执行节能强制性标准的比例达到95%以上，完成北方采暖地区居住建筑供热计量及节能改造5000万平方米，确保完成“十一五”期间1.5亿平方米的改造任务。</t>
        </is>
      </c>
      <c r="K87" s="124" t="inlineStr">
        <is>
          <t>N1001.htm</t>
        </is>
      </c>
      <c r="L87" s="123" t="inlineStr">
        <is>
          <t>建筑</t>
        </is>
      </c>
    </row>
    <row r="88" ht="18" customHeight="1" s="235">
      <c r="A88" s="129" t="n">
        <v>2021</v>
      </c>
      <c r="B88" s="129" t="inlineStr">
        <is>
          <t>建筑领域可再生能源替代率</t>
        </is>
      </c>
      <c r="C88" s="129" t="inlineStr">
        <is>
          <t>占比达到</t>
        </is>
      </c>
      <c r="D88" s="123" t="inlineStr">
        <is>
          <t>8%</t>
        </is>
      </c>
      <c r="E88" s="129" t="n"/>
      <c r="F88" s="129" t="inlineStr">
        <is>
          <t>2025</t>
        </is>
      </c>
      <c r="G88" s="129" t="inlineStr">
        <is>
          <t>新目标</t>
        </is>
      </c>
      <c r="H88" s="129" t="inlineStr">
        <is>
          <t>可再生能源</t>
        </is>
      </c>
      <c r="I88" s="129" t="inlineStr">
        <is>
          <t>建筑业主</t>
        </is>
      </c>
      <c r="J88" s="129" t="inlineStr">
        <is>
          <t>到2025年，可再生能源占建筑用能替代总量的比例达到8%</t>
        </is>
      </c>
      <c r="K88" s="130" t="inlineStr">
        <is>
          <t>HL2102.pdf</t>
        </is>
      </c>
      <c r="L88" s="129" t="inlineStr">
        <is>
          <t>建筑</t>
        </is>
      </c>
    </row>
    <row r="89" ht="18" customHeight="1" s="235">
      <c r="A89" s="123" t="n">
        <v>2013</v>
      </c>
      <c r="B89" s="123" t="inlineStr">
        <is>
          <t>城镇新建建筑中二星级及以上绿色建筑比例</t>
        </is>
      </c>
      <c r="C89" s="123" t="inlineStr">
        <is>
          <t>超过</t>
        </is>
      </c>
      <c r="D89" s="123" t="inlineStr">
        <is>
          <t>20%</t>
        </is>
      </c>
      <c r="E89" s="123" t="n"/>
      <c r="F89" s="123" t="inlineStr">
        <is>
          <t>2015</t>
        </is>
      </c>
      <c r="G89" s="123" t="inlineStr">
        <is>
          <t>新目标</t>
        </is>
      </c>
      <c r="H89" s="123" t="inlineStr">
        <is>
          <t>能源效率</t>
        </is>
      </c>
      <c r="I89" s="123" t="inlineStr">
        <is>
          <t>城市</t>
        </is>
      </c>
      <c r="J89" s="123" t="inlineStr">
        <is>
          <t>到2015年，城镇新建建筑中二星级及以上绿色建筑比例超过20%。</t>
        </is>
      </c>
      <c r="K89" s="124" t="inlineStr">
        <is>
          <t>O1302.htm</t>
        </is>
      </c>
      <c r="L89" s="129" t="inlineStr">
        <is>
          <t>建筑</t>
        </is>
      </c>
    </row>
    <row r="90" ht="18" customHeight="1" s="235">
      <c r="A90" s="123" t="n">
        <v>2021</v>
      </c>
      <c r="B90" s="123" t="inlineStr">
        <is>
          <t>城市建筑可再生能源替代率</t>
        </is>
      </c>
      <c r="C90" s="123" t="inlineStr">
        <is>
          <t>达到</t>
        </is>
      </c>
      <c r="D90" s="123" t="inlineStr">
        <is>
          <t>8%</t>
        </is>
      </c>
      <c r="E90" s="123" t="n"/>
      <c r="F90" s="123" t="inlineStr">
        <is>
          <t>2025</t>
        </is>
      </c>
      <c r="G90" s="123" t="inlineStr">
        <is>
          <t>新目标</t>
        </is>
      </c>
      <c r="H90" s="123" t="inlineStr">
        <is>
          <t>可再生能源</t>
        </is>
      </c>
      <c r="I90" s="123" t="inlineStr">
        <is>
          <t>城市</t>
        </is>
      </c>
      <c r="J90" s="123" t="inlineStr">
        <is>
          <t>到2025年，中国将加快优化建筑用能结构，城市建筑中可再生能源替代化石能源的比例将达到8%。</t>
        </is>
      </c>
      <c r="K90" s="124" t="inlineStr">
        <is>
          <t>HL2104.pdf</t>
        </is>
      </c>
      <c r="L90" s="129" t="inlineStr">
        <is>
          <t>建筑</t>
        </is>
      </c>
    </row>
    <row r="91" ht="18" customHeight="1" s="235">
      <c r="A91" s="123" t="n">
        <v>2024</v>
      </c>
      <c r="B91" s="123" t="inlineStr">
        <is>
          <t>城镇建筑可再生能源替代率</t>
        </is>
      </c>
      <c r="C91" s="123" t="inlineStr">
        <is>
          <t>达到</t>
        </is>
      </c>
      <c r="D91" s="123" t="inlineStr">
        <is>
          <t>8%</t>
        </is>
      </c>
      <c r="E91" s="123" t="n"/>
      <c r="F91" s="123" t="inlineStr">
        <is>
          <t>2025</t>
        </is>
      </c>
      <c r="G91" s="123" t="inlineStr">
        <is>
          <t>重申目标</t>
        </is>
      </c>
      <c r="H91" s="123" t="inlineStr">
        <is>
          <t>可再生能源</t>
        </is>
      </c>
      <c r="I91" s="123" t="inlineStr">
        <is>
          <t>城市</t>
        </is>
      </c>
      <c r="J91" s="123" t="inlineStr">
        <is>
          <t>到2025年，城镇建筑可再生能源替代率达到8%</t>
        </is>
      </c>
      <c r="K91" s="124" t="inlineStr">
        <is>
          <t>HL2401.pdf</t>
        </is>
      </c>
      <c r="L91" s="129" t="inlineStr">
        <is>
          <t>建筑</t>
        </is>
      </c>
    </row>
    <row r="92" ht="18" customHeight="1" s="235">
      <c r="A92" s="123" t="n">
        <v>2024</v>
      </c>
      <c r="B92" s="123" t="inlineStr">
        <is>
          <t>城镇建筑可再生能源替代率</t>
        </is>
      </c>
      <c r="C92" s="123" t="inlineStr">
        <is>
          <t>达到</t>
        </is>
      </c>
      <c r="D92" s="123" t="inlineStr">
        <is>
          <t>8%</t>
        </is>
      </c>
      <c r="E92" s="123" t="n"/>
      <c r="F92" s="123" t="inlineStr">
        <is>
          <t>2025</t>
        </is>
      </c>
      <c r="G92" s="123" t="inlineStr">
        <is>
          <t>重申目标</t>
        </is>
      </c>
      <c r="H92" s="123" t="inlineStr">
        <is>
          <t>可再生能源</t>
        </is>
      </c>
      <c r="I92" s="123" t="inlineStr">
        <is>
          <t>城市</t>
        </is>
      </c>
      <c r="J92" s="123" t="inlineStr">
        <is>
          <t>到2025年底，城镇建筑可再生能源替代率达到8%。</t>
        </is>
      </c>
      <c r="K92" s="124" t="inlineStr">
        <is>
          <t>AP2405.htm</t>
        </is>
      </c>
      <c r="L92" s="129" t="inlineStr">
        <is>
          <t>建筑</t>
        </is>
      </c>
    </row>
    <row r="93" ht="18" customHeight="1" s="235">
      <c r="A93" s="129" t="n">
        <v>2024</v>
      </c>
      <c r="B93" s="123" t="inlineStr">
        <is>
          <t>城镇建筑可再生能源替代率</t>
        </is>
      </c>
      <c r="C93" s="129" t="inlineStr">
        <is>
          <t>达到</t>
        </is>
      </c>
      <c r="D93" s="129" t="inlineStr">
        <is>
          <t>8%</t>
        </is>
      </c>
      <c r="E93" s="129" t="n"/>
      <c r="F93" s="129" t="inlineStr">
        <is>
          <t>2025</t>
        </is>
      </c>
      <c r="G93" s="129" t="inlineStr">
        <is>
          <t>重申目标</t>
        </is>
      </c>
      <c r="H93" s="123" t="inlineStr">
        <is>
          <t>可再生能源</t>
        </is>
      </c>
      <c r="I93" s="129" t="inlineStr">
        <is>
          <t>城市</t>
        </is>
      </c>
      <c r="J93" s="129" t="inlineStr">
        <is>
          <t>到2025年，城镇建筑可再生能源替代率达到8%。</t>
        </is>
      </c>
      <c r="K93" s="130" t="inlineStr">
        <is>
          <t>WOP2403.htm</t>
        </is>
      </c>
      <c r="L93" s="129" t="inlineStr">
        <is>
          <t>建筑</t>
        </is>
      </c>
    </row>
    <row r="94" ht="18" customHeight="1" s="235">
      <c r="A94" s="123" t="n">
        <v>2025</v>
      </c>
      <c r="B94" s="123" t="inlineStr">
        <is>
          <t>绿色建材营业收入</t>
        </is>
      </c>
      <c r="C94" s="123" t="inlineStr">
        <is>
          <t>超过</t>
        </is>
      </c>
      <c r="D94" s="123" t="inlineStr">
        <is>
          <t>3000亿元</t>
        </is>
      </c>
      <c r="E94" s="123" t="n"/>
      <c r="F94" s="125" t="n">
        <v>2026</v>
      </c>
      <c r="G94" s="129" t="inlineStr">
        <is>
          <t>新目标</t>
        </is>
      </c>
      <c r="H94" s="129" t="inlineStr">
        <is>
          <t>生产导向</t>
        </is>
      </c>
      <c r="I94" s="129" t="inlineStr">
        <is>
          <t>行业</t>
        </is>
      </c>
      <c r="J94" s="129" t="inlineStr">
        <is>
          <t>到2026年，绿色建材营业收入超过3000亿元，绿色低碳和数字化发展水平明显提高。</t>
        </is>
      </c>
      <c r="K94" s="130" t="inlineStr">
        <is>
          <t>WOP2504.pdf</t>
        </is>
      </c>
      <c r="L94" s="129" t="inlineStr">
        <is>
          <t>建筑</t>
        </is>
      </c>
    </row>
    <row r="95" ht="18" customHeight="1" s="235">
      <c r="A95" s="0" t="n">
        <v>2026</v>
      </c>
      <c r="B95" s="0" t="inlineStr">
        <is>
          <t>公共机构用电占比</t>
        </is>
      </c>
      <c r="C95" s="0" t="inlineStr">
        <is>
          <t>达到</t>
        </is>
      </c>
      <c r="D95" s="0" t="inlineStr">
        <is>
          <t>65%</t>
        </is>
      </c>
      <c r="F95" s="0" t="n">
        <v>2030</v>
      </c>
      <c r="G95" s="0" t="inlineStr">
        <is>
          <t>新目标</t>
        </is>
      </c>
      <c r="H95" s="0" t="inlineStr">
        <is>
          <t>电气化</t>
        </is>
      </c>
      <c r="I95" s="0" t="inlineStr">
        <is>
          <t>企事业单位</t>
        </is>
      </c>
      <c r="J95" s="0" t="inlineStr">
        <is>
          <t>提高终端用能电气化水平，……全国公共机构用电占能源消费总量比例达到65%。</t>
        </is>
      </c>
      <c r="K95" s="0" t="inlineStr">
        <is>
          <t>WOP2601.htm</t>
        </is>
      </c>
      <c r="L95" s="0" t="inlineStr">
        <is>
          <t>建筑</t>
        </is>
      </c>
    </row>
    <row r="96" ht="18" customHeight="1" s="235">
      <c r="A96" s="0" t="n">
        <v>2026</v>
      </c>
      <c r="B96" s="0" t="inlineStr">
        <is>
          <t>中央和国家机关新增重点用能设备能效先进水平占比</t>
        </is>
      </c>
      <c r="C96" s="0" t="inlineStr">
        <is>
          <t>达到</t>
        </is>
      </c>
      <c r="D96" s="0" t="inlineStr">
        <is>
          <t>不低于80%</t>
        </is>
      </c>
      <c r="F96" s="0" t="inlineStr">
        <is>
          <t>十五五</t>
        </is>
      </c>
      <c r="G96" s="0" t="inlineStr">
        <is>
          <t>重申目标</t>
        </is>
      </c>
      <c r="H96" s="0" t="inlineStr">
        <is>
          <t>能源效率</t>
        </is>
      </c>
      <c r="I96" s="0" t="inlineStr">
        <is>
          <t>企事业单位</t>
        </is>
      </c>
      <c r="J96" s="0" t="inlineStr">
        <is>
          <t>抓好中央国家机关部门本级及所属单位节能降碳改造，……新增重点用能设备能效先进水平占比不低于80%。</t>
        </is>
      </c>
      <c r="K96" s="0" t="inlineStr">
        <is>
          <t>WOP2601.htm</t>
        </is>
      </c>
      <c r="L96" s="0" t="inlineStr">
        <is>
          <t>建筑</t>
        </is>
      </c>
    </row>
    <row r="97" ht="18" customHeight="1" s="235">
      <c r="A97" s="129" t="n">
        <v>2017</v>
      </c>
      <c r="B97" s="129" t="inlineStr">
        <is>
          <t>太阳能供暖面积</t>
        </is>
      </c>
      <c r="C97" s="129" t="inlineStr">
        <is>
          <t>达到</t>
        </is>
      </c>
      <c r="D97" s="129" t="inlineStr">
        <is>
          <t>5000万平方米</t>
        </is>
      </c>
      <c r="E97" s="129" t="n"/>
      <c r="F97" s="129" t="inlineStr">
        <is>
          <t>2021</t>
        </is>
      </c>
      <c r="G97" s="129" t="inlineStr">
        <is>
          <t>新目标</t>
        </is>
      </c>
      <c r="H97" s="123" t="inlineStr">
        <is>
          <t>可再生能源</t>
        </is>
      </c>
      <c r="I97" s="129" t="inlineStr">
        <is>
          <t>地区</t>
        </is>
      </c>
      <c r="J97" s="129" t="inlineStr">
        <is>
          <t>太阳能供暖发展目标：配合其他清洁供暖方式，到2021年，实现太阳能供暖面积目标5000万平方米。</t>
        </is>
      </c>
      <c r="K97" s="130" t="inlineStr">
        <is>
          <t>PF1701.pdf</t>
        </is>
      </c>
      <c r="L97" s="129" t="inlineStr">
        <is>
          <t>建筑</t>
        </is>
      </c>
    </row>
    <row r="98" ht="18" customHeight="1" s="235">
      <c r="A98" s="129" t="n">
        <v>2022</v>
      </c>
      <c r="B98" s="129" t="inlineStr">
        <is>
          <t>既有公共建筑节能改造面积</t>
        </is>
      </c>
      <c r="C98" s="129" t="inlineStr">
        <is>
          <t>改造</t>
        </is>
      </c>
      <c r="D98" s="129" t="inlineStr">
        <is>
          <t>2.5亿平方米</t>
        </is>
      </c>
      <c r="E98" s="129" t="n"/>
      <c r="F98" s="129" t="inlineStr">
        <is>
          <t>十四五</t>
        </is>
      </c>
      <c r="G98" s="129" t="inlineStr">
        <is>
          <t>新目标</t>
        </is>
      </c>
      <c r="H98" s="129" t="inlineStr">
        <is>
          <t>能源效率</t>
        </is>
      </c>
      <c r="I98" s="129" t="inlineStr">
        <is>
          <t>公共机构</t>
        </is>
      </c>
      <c r="J98" s="129" t="inlineStr">
        <is>
          <t>“十四五”期间，累计完成既有公共建筑节能改造2.5亿平方米以上。</t>
        </is>
      </c>
      <c r="K98" s="129" t="inlineStr">
        <is>
          <t>FYP2206.pdf</t>
        </is>
      </c>
      <c r="L98" s="129" t="inlineStr">
        <is>
          <t>建筑</t>
        </is>
      </c>
    </row>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L75"/>
  <sheetViews>
    <sheetView topLeftCell="A42" zoomScale="75" workbookViewId="0">
      <selection activeCell="B1" sqref="B1"/>
    </sheetView>
  </sheetViews>
  <sheetFormatPr baseColWidth="8" defaultColWidth="14" defaultRowHeight="13"/>
  <cols>
    <col width="10.699218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3" customWidth="1" style="235" min="16"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row>
    <row r="2" ht="18" customHeight="1" s="235">
      <c r="A2" s="131" t="n">
        <v>2014</v>
      </c>
      <c r="B2" s="131" t="inlineStr">
        <is>
          <t>公路、水路运输和港口年度节能能力</t>
        </is>
      </c>
      <c r="C2" s="131" t="inlineStr">
        <is>
          <t>实现</t>
        </is>
      </c>
      <c r="D2" s="131" t="inlineStr">
        <is>
          <t>1400万吨标准煤</t>
        </is>
      </c>
      <c r="E2" s="131" t="n"/>
      <c r="F2" s="131" t="inlineStr">
        <is>
          <t>2015</t>
        </is>
      </c>
      <c r="G2" s="131" t="inlineStr">
        <is>
          <t>新目标</t>
        </is>
      </c>
      <c r="H2" s="131" t="inlineStr">
        <is>
          <t>节能</t>
        </is>
      </c>
      <c r="I2" s="131" t="inlineStr">
        <is>
          <t>行业</t>
        </is>
      </c>
      <c r="J2" s="131" t="inlineStr">
        <is>
          <t>到2015年，公路、水路运输和港口形成节能能力1400万吨标准煤以上。</t>
        </is>
      </c>
      <c r="K2" s="132" t="inlineStr">
        <is>
          <t>AP1404.htm</t>
        </is>
      </c>
      <c r="L2" s="133" t="inlineStr">
        <is>
          <t>交通</t>
        </is>
      </c>
    </row>
    <row r="3" ht="18" customHeight="1" s="235">
      <c r="A3" s="131" t="n">
        <v>2017</v>
      </c>
      <c r="B3" s="131" t="inlineStr">
        <is>
          <t>怠速启停等节能技术应用率</t>
        </is>
      </c>
      <c r="C3" s="131" t="inlineStr">
        <is>
          <t>超过</t>
        </is>
      </c>
      <c r="D3" s="131" t="inlineStr">
        <is>
          <t>50%</t>
        </is>
      </c>
      <c r="E3" s="131" t="n"/>
      <c r="F3" s="134" t="n">
        <v>2020</v>
      </c>
      <c r="G3" s="131" t="inlineStr">
        <is>
          <t>新目标</t>
        </is>
      </c>
      <c r="H3" s="131" t="inlineStr">
        <is>
          <t>能源效率</t>
        </is>
      </c>
      <c r="I3" s="131" t="inlineStr">
        <is>
          <t>行业</t>
        </is>
      </c>
      <c r="J3" s="131" t="inlineStr">
        <is>
          <t>到2020年，怠速启停等节能技术应用率超过50%。</t>
        </is>
      </c>
      <c r="K3" s="132" t="inlineStr">
        <is>
          <t>DP1701.htm</t>
        </is>
      </c>
      <c r="L3" s="131" t="inlineStr">
        <is>
          <t>交通</t>
        </is>
      </c>
    </row>
    <row r="4" ht="18" customHeight="1" s="235">
      <c r="A4" s="131" t="n">
        <v>2013</v>
      </c>
      <c r="B4" s="131" t="inlineStr">
        <is>
          <t>车用汽油机高效增压技术应用比例</t>
        </is>
      </c>
      <c r="C4" s="131" t="inlineStr">
        <is>
          <t>达到</t>
        </is>
      </c>
      <c r="D4" s="131" t="inlineStr">
        <is>
          <t>30%</t>
        </is>
      </c>
      <c r="E4" s="131" t="n"/>
      <c r="F4" s="131" t="inlineStr">
        <is>
          <t>2015</t>
        </is>
      </c>
      <c r="G4" s="131" t="inlineStr">
        <is>
          <t>新目标</t>
        </is>
      </c>
      <c r="H4" s="131" t="inlineStr">
        <is>
          <t>能源效率</t>
        </is>
      </c>
      <c r="I4" s="131" t="inlineStr">
        <is>
          <t>行业</t>
        </is>
      </c>
      <c r="J4" s="131" t="inlineStr">
        <is>
          <t>到2015年，高效增压技术在车用汽油机上的应用比例达30%以上。</t>
        </is>
      </c>
      <c r="K4" s="132" t="inlineStr">
        <is>
          <t>O1301.htm</t>
        </is>
      </c>
      <c r="L4" s="131" t="inlineStr">
        <is>
          <t>交通</t>
        </is>
      </c>
    </row>
    <row r="5" ht="18" customHeight="1" s="235">
      <c r="A5" s="131" t="n">
        <v>2013</v>
      </c>
      <c r="B5" s="131" t="inlineStr">
        <is>
          <t>高效增压技术在车用柴油机上的应用比例</t>
        </is>
      </c>
      <c r="C5" s="131" t="inlineStr">
        <is>
          <t>达到</t>
        </is>
      </c>
      <c r="D5" s="131" t="inlineStr">
        <is>
          <t>100%</t>
        </is>
      </c>
      <c r="E5" s="131" t="n"/>
      <c r="F5" s="131" t="inlineStr">
        <is>
          <t>2015</t>
        </is>
      </c>
      <c r="G5" s="131" t="inlineStr">
        <is>
          <t>新目标</t>
        </is>
      </c>
      <c r="H5" s="131" t="inlineStr">
        <is>
          <t>能源效率</t>
        </is>
      </c>
      <c r="I5" s="131" t="inlineStr">
        <is>
          <t>行业</t>
        </is>
      </c>
      <c r="J5" s="131" t="inlineStr">
        <is>
          <t>到2015年，多缸柴油机增压技术普及率达90%以上，高效增压技术在车用柴油机上的应用比例达100%，在车用汽油机上的应用比例达30%以上。</t>
        </is>
      </c>
      <c r="K5" s="132" t="inlineStr">
        <is>
          <t>O1301.htm</t>
        </is>
      </c>
      <c r="L5" s="131" t="inlineStr">
        <is>
          <t>交通</t>
        </is>
      </c>
    </row>
    <row r="6" ht="18" customHeight="1" s="235">
      <c r="A6" s="131" t="n">
        <v>2012</v>
      </c>
      <c r="B6" s="131" t="inlineStr">
        <is>
          <t>当年生产的节能型乘用车平均燃料消耗量</t>
        </is>
      </c>
      <c r="C6" s="131" t="inlineStr">
        <is>
          <t>降低至</t>
        </is>
      </c>
      <c r="D6" s="131" t="inlineStr">
        <is>
          <t>低于4.5升/百公里</t>
        </is>
      </c>
      <c r="E6" s="131" t="n"/>
      <c r="F6" s="131" t="inlineStr">
        <is>
          <t>2020</t>
        </is>
      </c>
      <c r="G6" s="131" t="inlineStr">
        <is>
          <t>新目标</t>
        </is>
      </c>
      <c r="H6" s="131" t="inlineStr">
        <is>
          <t>能源效率</t>
        </is>
      </c>
      <c r="I6" s="131" t="inlineStr">
        <is>
          <t>行业</t>
        </is>
      </c>
      <c r="J6" s="131" t="inlineStr">
        <is>
          <t>到2020年，当年生产的节能型乘用车燃料消耗量降至4.5升/百公里以下</t>
        </is>
      </c>
      <c r="K6" s="132" t="inlineStr">
        <is>
          <t>DP1201.htm</t>
        </is>
      </c>
      <c r="L6" s="131" t="inlineStr">
        <is>
          <t>交通</t>
        </is>
      </c>
    </row>
    <row r="7" ht="18" customHeight="1" s="235">
      <c r="A7" s="131" t="n">
        <v>2017</v>
      </c>
      <c r="B7" s="131" t="inlineStr">
        <is>
          <t>当年生产的节能型乘用车平均燃料消耗量</t>
        </is>
      </c>
      <c r="C7" s="131" t="inlineStr">
        <is>
          <t>降低至</t>
        </is>
      </c>
      <c r="D7" s="131" t="inlineStr">
        <is>
          <t>4.5升/百公里</t>
        </is>
      </c>
      <c r="E7" s="131" t="n"/>
      <c r="F7" s="131" t="inlineStr">
        <is>
          <t>2020</t>
        </is>
      </c>
      <c r="G7" s="131" t="inlineStr">
        <is>
          <t>重申目标</t>
        </is>
      </c>
      <c r="H7" s="131" t="inlineStr">
        <is>
          <t>能源效率</t>
        </is>
      </c>
      <c r="I7" s="131" t="inlineStr">
        <is>
          <t>行业</t>
        </is>
      </c>
      <c r="J7" s="131" t="inlineStr">
        <is>
          <t>到2020年，节能型汽车燃料消耗量降到4.5升/百公里以下</t>
        </is>
      </c>
      <c r="K7" s="132" t="inlineStr">
        <is>
          <t>DP1701.htm</t>
        </is>
      </c>
      <c r="L7" s="131" t="inlineStr">
        <is>
          <t>交通</t>
        </is>
      </c>
    </row>
    <row r="8" ht="18" customHeight="1" s="235">
      <c r="A8" s="131" t="n">
        <v>2013</v>
      </c>
      <c r="B8" s="131" t="inlineStr">
        <is>
          <t>新生产车用柴油机平均燃油消耗量</t>
        </is>
      </c>
      <c r="C8" s="131" t="inlineStr">
        <is>
          <t>降低</t>
        </is>
      </c>
      <c r="D8" s="131" t="inlineStr">
        <is>
          <t>5%-8%</t>
        </is>
      </c>
      <c r="E8" s="131" t="n">
        <v>2010</v>
      </c>
      <c r="F8" s="131" t="inlineStr">
        <is>
          <t>2015</t>
        </is>
      </c>
      <c r="G8" s="131" t="inlineStr">
        <is>
          <t>新目标</t>
        </is>
      </c>
      <c r="H8" s="131" t="inlineStr">
        <is>
          <t>能源效率</t>
        </is>
      </c>
      <c r="I8" s="131" t="inlineStr">
        <is>
          <t>行业</t>
        </is>
      </c>
      <c r="J8" s="131" t="inlineStr">
        <is>
          <t>到2015年，新生产的车用柴油机全部应用高压燃油喷射系统，燃油消耗率比2010年降低5%-8%。</t>
        </is>
      </c>
      <c r="K8" s="132" t="inlineStr">
        <is>
          <t>O1301.htm</t>
        </is>
      </c>
      <c r="L8" s="131" t="inlineStr">
        <is>
          <t>交通</t>
        </is>
      </c>
    </row>
    <row r="9" ht="18" customHeight="1" s="235">
      <c r="A9" s="131" t="n">
        <v>2013</v>
      </c>
      <c r="B9" s="131" t="inlineStr">
        <is>
          <t>新生产车用汽油机平均燃油消耗率</t>
        </is>
      </c>
      <c r="C9" s="131" t="inlineStr">
        <is>
          <t>降低</t>
        </is>
      </c>
      <c r="D9" s="131" t="inlineStr">
        <is>
          <t>8%-10%</t>
        </is>
      </c>
      <c r="E9" s="131" t="n">
        <v>2010</v>
      </c>
      <c r="F9" s="131" t="inlineStr">
        <is>
          <t>2015</t>
        </is>
      </c>
      <c r="G9" s="131" t="inlineStr">
        <is>
          <t>新目标</t>
        </is>
      </c>
      <c r="H9" s="131" t="inlineStr">
        <is>
          <t>能源效率</t>
        </is>
      </c>
      <c r="I9" s="131" t="inlineStr">
        <is>
          <t>行业</t>
        </is>
      </c>
      <c r="J9" s="131" t="inlineStr">
        <is>
          <t>到2015年，新生产车用汽油机产品燃油消耗率比2010年降低8%-10%。</t>
        </is>
      </c>
      <c r="K9" s="132" t="inlineStr">
        <is>
          <t>O1301.htm</t>
        </is>
      </c>
      <c r="L9" s="131" t="inlineStr">
        <is>
          <t>交通</t>
        </is>
      </c>
    </row>
    <row r="10" ht="18" customHeight="1" s="235">
      <c r="A10" s="131" t="n">
        <v>2017</v>
      </c>
      <c r="B10" s="131" t="inlineStr">
        <is>
          <t>当年生产乘用车平均燃料消耗量</t>
        </is>
      </c>
      <c r="C10" s="131" t="inlineStr">
        <is>
          <t>达到</t>
        </is>
      </c>
      <c r="D10" s="131" t="inlineStr">
        <is>
          <t>5升/百公里</t>
        </is>
      </c>
      <c r="E10" s="131" t="n"/>
      <c r="F10" s="131" t="inlineStr">
        <is>
          <t>2020</t>
        </is>
      </c>
      <c r="G10" s="131" t="inlineStr">
        <is>
          <t>强化或放宽目标（消极气候影响）</t>
        </is>
      </c>
      <c r="H10" s="131" t="inlineStr">
        <is>
          <t>能源效率</t>
        </is>
      </c>
      <c r="I10" s="131" t="inlineStr">
        <is>
          <t>行业</t>
        </is>
      </c>
      <c r="J10" s="131" t="inlineStr">
        <is>
          <t>到2020年，新车平均燃料消耗量乘用车降到5.0升/百公里</t>
        </is>
      </c>
      <c r="K10" s="132" t="inlineStr">
        <is>
          <t>DP1701.htm</t>
        </is>
      </c>
      <c r="L10" s="131" t="inlineStr">
        <is>
          <t>交通</t>
        </is>
      </c>
    </row>
    <row r="11" ht="18" customHeight="1" s="235">
      <c r="A11" s="131" t="n">
        <v>2017</v>
      </c>
      <c r="B11" s="131" t="inlineStr">
        <is>
          <t>当年生产乘用车平均燃料消耗量</t>
        </is>
      </c>
      <c r="C11" s="131" t="inlineStr">
        <is>
          <t>降低</t>
        </is>
      </c>
      <c r="D11" s="131" t="inlineStr">
        <is>
          <t>20%</t>
        </is>
      </c>
      <c r="E11" s="131" t="n">
        <v>2020</v>
      </c>
      <c r="F11" s="131" t="inlineStr">
        <is>
          <t>2025</t>
        </is>
      </c>
      <c r="G11" s="131" t="inlineStr">
        <is>
          <t>新目标</t>
        </is>
      </c>
      <c r="H11" s="131" t="inlineStr">
        <is>
          <t>能源效率</t>
        </is>
      </c>
      <c r="I11" s="131" t="inlineStr">
        <is>
          <t>行业</t>
        </is>
      </c>
      <c r="J11" s="131" t="inlineStr">
        <is>
          <t>到2025年，乘用车新车平均燃料消耗量比2020年降低20%</t>
        </is>
      </c>
      <c r="K11" s="132" t="inlineStr">
        <is>
          <t>DP1701.htm</t>
        </is>
      </c>
      <c r="L11" s="131" t="inlineStr">
        <is>
          <t>交通</t>
        </is>
      </c>
    </row>
    <row r="12" ht="18" customHeight="1" s="235">
      <c r="A12" s="131" t="n">
        <v>2016</v>
      </c>
      <c r="B12" s="131" t="inlineStr">
        <is>
          <t>新生产乘用车平均燃料消耗量</t>
        </is>
      </c>
      <c r="C12" s="131" t="inlineStr">
        <is>
          <t>降低至</t>
        </is>
      </c>
      <c r="D12" s="131" t="inlineStr">
        <is>
          <t>5.0升/百公里</t>
        </is>
      </c>
      <c r="E12" s="131" t="n"/>
      <c r="F12" s="131" t="inlineStr">
        <is>
          <t>2020</t>
        </is>
      </c>
      <c r="G12" s="131" t="inlineStr">
        <is>
          <t>重申目标</t>
        </is>
      </c>
      <c r="H12" s="131" t="inlineStr">
        <is>
          <t>能源效率</t>
        </is>
      </c>
      <c r="I12" s="131" t="inlineStr">
        <is>
          <t>行业</t>
        </is>
      </c>
      <c r="J12" s="131" t="inlineStr">
        <is>
          <t>提高交通运输工具能效水平，到2020年新增乘用车平均燃料消耗量降至5.0升/百公里。</t>
        </is>
      </c>
      <c r="K12" s="132" t="inlineStr">
        <is>
          <t>FYP1601.htm</t>
        </is>
      </c>
      <c r="L12" s="131" t="inlineStr">
        <is>
          <t>交通</t>
        </is>
      </c>
    </row>
    <row r="13" ht="18" customHeight="1" s="235">
      <c r="A13" s="131" t="n">
        <v>2012</v>
      </c>
      <c r="B13" s="131" t="inlineStr">
        <is>
          <t>当年生产的乘用车平均燃料消耗量</t>
        </is>
      </c>
      <c r="C13" s="131" t="inlineStr">
        <is>
          <t>降低至</t>
        </is>
      </c>
      <c r="D13" s="131" t="inlineStr">
        <is>
          <t>6.9升/百公里</t>
        </is>
      </c>
      <c r="E13" s="131" t="n"/>
      <c r="F13" s="131" t="inlineStr">
        <is>
          <t>2015</t>
        </is>
      </c>
      <c r="G13" s="131" t="inlineStr">
        <is>
          <t>新目标</t>
        </is>
      </c>
      <c r="H13" s="131" t="inlineStr">
        <is>
          <t>能源效率</t>
        </is>
      </c>
      <c r="I13" s="131" t="inlineStr">
        <is>
          <t>行业</t>
        </is>
      </c>
      <c r="J13" s="131" t="inlineStr">
        <is>
          <t>到2015年，当年生产的乘用车平均燃料消耗量降至6.9升/百公里。</t>
        </is>
      </c>
      <c r="K13" s="132" t="inlineStr">
        <is>
          <t>DP1201.htm</t>
        </is>
      </c>
      <c r="L13" s="131" t="inlineStr">
        <is>
          <t>交通</t>
        </is>
      </c>
    </row>
    <row r="14" ht="18" customHeight="1" s="235">
      <c r="A14" s="131" t="n">
        <v>2012</v>
      </c>
      <c r="B14" s="131" t="inlineStr">
        <is>
          <t>当年生产的乘用车平均燃料消耗量</t>
        </is>
      </c>
      <c r="C14" s="131" t="inlineStr">
        <is>
          <t>降低至</t>
        </is>
      </c>
      <c r="D14" s="131" t="inlineStr">
        <is>
          <t>5.0升/百公里</t>
        </is>
      </c>
      <c r="E14" s="131" t="n"/>
      <c r="F14" s="131" t="inlineStr">
        <is>
          <t>2020</t>
        </is>
      </c>
      <c r="G14" s="131" t="inlineStr">
        <is>
          <t>重申目标</t>
        </is>
      </c>
      <c r="H14" s="131" t="inlineStr">
        <is>
          <t>能源效率</t>
        </is>
      </c>
      <c r="I14" s="131" t="inlineStr">
        <is>
          <t>行业</t>
        </is>
      </c>
      <c r="J14" s="131" t="inlineStr">
        <is>
          <t>到2020年，当年生产的乘用车平均燃料消耗量降至5.0升/百公里。</t>
        </is>
      </c>
      <c r="K14" s="132" t="inlineStr">
        <is>
          <t>DP1201.htm</t>
        </is>
      </c>
      <c r="L14" s="131" t="inlineStr">
        <is>
          <t>交通</t>
        </is>
      </c>
    </row>
    <row r="15" ht="18" customHeight="1" s="235">
      <c r="A15" s="131" t="n">
        <v>2017</v>
      </c>
      <c r="B15" s="131" t="inlineStr">
        <is>
          <t>当年生产乘用车平均燃料消耗量</t>
        </is>
      </c>
      <c r="C15" s="131" t="inlineStr">
        <is>
          <t>降低至</t>
        </is>
      </c>
      <c r="D15" s="131" t="inlineStr">
        <is>
          <t>5.0升/百公里</t>
        </is>
      </c>
      <c r="E15" s="131" t="n"/>
      <c r="F15" s="131" t="inlineStr">
        <is>
          <t>2020</t>
        </is>
      </c>
      <c r="G15" s="131" t="inlineStr">
        <is>
          <t>重申目标</t>
        </is>
      </c>
      <c r="H15" s="131" t="inlineStr">
        <is>
          <t>能源效率</t>
        </is>
      </c>
      <c r="I15" s="131" t="inlineStr">
        <is>
          <t>行业</t>
        </is>
      </c>
      <c r="J15" s="131" t="inlineStr">
        <is>
          <t>到2020年，新车平均燃料消耗量乘用车降到5.0升/百公里</t>
        </is>
      </c>
      <c r="K15" s="132" t="inlineStr">
        <is>
          <t>DP1701.htm</t>
        </is>
      </c>
      <c r="L15" s="131" t="inlineStr">
        <is>
          <t>交通</t>
        </is>
      </c>
    </row>
    <row r="16" ht="18" customHeight="1" s="235">
      <c r="A16" s="131" t="n">
        <v>2017</v>
      </c>
      <c r="B16" s="131" t="inlineStr">
        <is>
          <t>当年生产乘用车平均燃料消耗量</t>
        </is>
      </c>
      <c r="C16" s="131" t="inlineStr">
        <is>
          <t>降低至</t>
        </is>
      </c>
      <c r="D16" s="131" t="inlineStr">
        <is>
          <t>4.0升/百公里</t>
        </is>
      </c>
      <c r="E16" s="131" t="n"/>
      <c r="F16" s="131" t="inlineStr">
        <is>
          <t>2025</t>
        </is>
      </c>
      <c r="G16" s="131" t="inlineStr">
        <is>
          <t>强化或放宽目标（积极气候影响）</t>
        </is>
      </c>
      <c r="H16" s="131" t="inlineStr">
        <is>
          <t>能源效率</t>
        </is>
      </c>
      <c r="I16" s="131" t="inlineStr">
        <is>
          <t>行业</t>
        </is>
      </c>
      <c r="J16" s="131" t="inlineStr">
        <is>
          <t>到2025年，新车平均燃料消耗量乘用车降到4.0升/百公里</t>
        </is>
      </c>
      <c r="K16" s="132" t="inlineStr">
        <is>
          <t>DP1701.htm</t>
        </is>
      </c>
      <c r="L16" s="131" t="inlineStr">
        <is>
          <t>交通</t>
        </is>
      </c>
    </row>
    <row r="17" ht="18" customHeight="1" s="235">
      <c r="A17" s="131" t="n">
        <v>2013</v>
      </c>
      <c r="B17" s="131" t="inlineStr">
        <is>
          <t>内燃机燃油消耗率</t>
        </is>
      </c>
      <c r="C17" s="131" t="inlineStr">
        <is>
          <t>降低</t>
        </is>
      </c>
      <c r="D17" s="131" t="inlineStr">
        <is>
          <t>6%-10%</t>
        </is>
      </c>
      <c r="E17" s="131" t="n">
        <v>2010</v>
      </c>
      <c r="F17" s="131" t="inlineStr">
        <is>
          <t>2015</t>
        </is>
      </c>
      <c r="G17" s="131" t="inlineStr">
        <is>
          <t>新目标</t>
        </is>
      </c>
      <c r="H17" s="131" t="inlineStr">
        <is>
          <t>能源效率</t>
        </is>
      </c>
      <c r="I17" s="131" t="inlineStr">
        <is>
          <t>行业</t>
        </is>
      </c>
      <c r="J17" s="131" t="inlineStr">
        <is>
          <t>到2015年，与2010年相比，内燃机燃油消耗率降低6%—10%。</t>
        </is>
      </c>
      <c r="K17" s="132" t="inlineStr">
        <is>
          <t>O1301.htm</t>
        </is>
      </c>
      <c r="L17" s="131" t="inlineStr">
        <is>
          <t>交通</t>
        </is>
      </c>
    </row>
    <row r="18" ht="18" customHeight="1" s="235">
      <c r="A18" s="131" t="n">
        <v>2013</v>
      </c>
      <c r="B18" s="131" t="inlineStr">
        <is>
          <t>节能型内燃机节约商品燃油量</t>
        </is>
      </c>
      <c r="C18" s="131" t="inlineStr">
        <is>
          <t>达到</t>
        </is>
      </c>
      <c r="D18" s="131" t="inlineStr">
        <is>
          <t>2000万吨商品燃油</t>
        </is>
      </c>
      <c r="E18" s="131" t="n"/>
      <c r="F18" s="131" t="inlineStr">
        <is>
          <t>2015</t>
        </is>
      </c>
      <c r="G18" s="131" t="inlineStr">
        <is>
          <t>新目标</t>
        </is>
      </c>
      <c r="H18" s="131" t="inlineStr">
        <is>
          <t>节能</t>
        </is>
      </c>
      <c r="I18" s="131" t="inlineStr">
        <is>
          <t>行业</t>
        </is>
      </c>
      <c r="J18" s="131" t="inlineStr">
        <is>
          <t>到2015年，实现节约商品燃油2000万吨</t>
        </is>
      </c>
      <c r="K18" s="132" t="inlineStr">
        <is>
          <t>O1301.htm</t>
        </is>
      </c>
      <c r="L18" s="131" t="inlineStr">
        <is>
          <t>交通</t>
        </is>
      </c>
    </row>
    <row r="19" ht="18" customHeight="1" s="235">
      <c r="A19" s="131" t="n">
        <v>2016</v>
      </c>
      <c r="B19" s="131" t="inlineStr">
        <is>
          <t>电机和内燃机系统平均运行效率</t>
        </is>
      </c>
      <c r="C19" s="131" t="inlineStr">
        <is>
          <t>提高</t>
        </is>
      </c>
      <c r="D19" s="131" t="inlineStr">
        <is>
          <t>5个百分点</t>
        </is>
      </c>
      <c r="E19" s="131" t="n"/>
      <c r="F19" s="131" t="inlineStr">
        <is>
          <t>2020</t>
        </is>
      </c>
      <c r="G19" s="131" t="inlineStr">
        <is>
          <t>新目标</t>
        </is>
      </c>
      <c r="H19" s="131" t="inlineStr">
        <is>
          <t>能源效率</t>
        </is>
      </c>
      <c r="I19" s="131" t="inlineStr">
        <is>
          <t>行业</t>
        </is>
      </c>
      <c r="J19" s="131" t="inlineStr">
        <is>
          <t>到2020年，电机和内燃机系统平均运行效率提高5个百分点。</t>
        </is>
      </c>
      <c r="K19" s="132" t="inlineStr">
        <is>
          <t>DP1601.htm</t>
        </is>
      </c>
      <c r="L19" s="131" t="inlineStr">
        <is>
          <t>交通</t>
        </is>
      </c>
    </row>
    <row r="20" ht="18" customHeight="1" s="235">
      <c r="A20" s="131" t="n">
        <v>2013</v>
      </c>
      <c r="B20" s="131" t="inlineStr">
        <is>
          <t>电动汽车充电基础设施体系容量</t>
        </is>
      </c>
      <c r="C20" s="131" t="inlineStr">
        <is>
          <t>形成</t>
        </is>
      </c>
      <c r="D20" s="131" t="inlineStr">
        <is>
          <t>50万辆电动汽车</t>
        </is>
      </c>
      <c r="E20" s="131" t="n"/>
      <c r="F20" s="131" t="inlineStr">
        <is>
          <t>2015</t>
        </is>
      </c>
      <c r="G20" s="131" t="inlineStr">
        <is>
          <t>新目标</t>
        </is>
      </c>
      <c r="H20" s="131" t="inlineStr">
        <is>
          <t>绿色交通</t>
        </is>
      </c>
      <c r="I20" s="131" t="inlineStr">
        <is>
          <t>全社会经济</t>
        </is>
      </c>
      <c r="J20" s="131" t="inlineStr">
        <is>
          <t>到2015年，形成50万辆电动汽车充电基础设施体系。</t>
        </is>
      </c>
      <c r="K20" s="132" t="inlineStr">
        <is>
          <t>FYP1302.htm</t>
        </is>
      </c>
      <c r="L20" s="131" t="inlineStr">
        <is>
          <t>交通</t>
        </is>
      </c>
    </row>
    <row r="21" ht="18" customHeight="1" s="235">
      <c r="A21" s="0" t="n">
        <v>2026</v>
      </c>
      <c r="B21" s="0" t="inlineStr">
        <is>
          <t>京津冀、汾渭平原等地区固定线路短倒运输电动化比例</t>
        </is>
      </c>
      <c r="C21" s="0" t="inlineStr">
        <is>
          <t>超过</t>
        </is>
      </c>
      <c r="D21" s="0" t="inlineStr">
        <is>
          <t>80%</t>
        </is>
      </c>
      <c r="F21" s="0" t="n">
        <v>2030</v>
      </c>
      <c r="G21" s="0" t="inlineStr">
        <is>
          <t>新目标</t>
        </is>
      </c>
      <c r="H21" s="0" t="inlineStr">
        <is>
          <t>绿色交通</t>
        </is>
      </c>
      <c r="I21" s="0" t="inlineStr">
        <is>
          <t>城市与地区</t>
        </is>
      </c>
      <c r="J21" s="0" t="inlineStr">
        <is>
          <t>京津冀、汾渭平原等地区固定线路短倒运输电动化比例超过80%；</t>
        </is>
      </c>
      <c r="K21" s="0" t="inlineStr">
        <is>
          <t>IP2603.htm</t>
        </is>
      </c>
      <c r="L21" s="0" t="inlineStr">
        <is>
          <t>交通</t>
        </is>
      </c>
    </row>
    <row r="22" ht="18" customHeight="1" s="235">
      <c r="A22" s="0" t="n">
        <v>2026</v>
      </c>
      <c r="B22" s="0" t="inlineStr">
        <is>
          <t>中心城市绿色出行比例</t>
        </is>
      </c>
      <c r="C22" s="0" t="inlineStr">
        <is>
          <t>达到</t>
        </is>
      </c>
      <c r="D22" s="0" t="inlineStr">
        <is>
          <t>76%</t>
        </is>
      </c>
      <c r="E22" s="0" t="inlineStr">
        <is>
          <t>73.9%（2025）</t>
        </is>
      </c>
      <c r="F22" s="0" t="n">
        <v>2030</v>
      </c>
      <c r="G22" s="0" t="inlineStr">
        <is>
          <t>新目标</t>
        </is>
      </c>
      <c r="H22" s="0" t="inlineStr">
        <is>
          <t>绿色交通</t>
        </is>
      </c>
      <c r="I22" s="0" t="inlineStr">
        <is>
          <t>城市与地区</t>
        </is>
      </c>
      <c r="J22" s="0" t="inlineStr">
        <is>
          <t>表1：中心城市绿色出行比例（%）2025年73.9，2030年76，预期性</t>
        </is>
      </c>
      <c r="K22" s="0" t="inlineStr">
        <is>
          <t>FYP2604.htm</t>
        </is>
      </c>
      <c r="L22" s="0" t="inlineStr">
        <is>
          <t>交通</t>
        </is>
      </c>
    </row>
    <row r="23" ht="18" customHeight="1" s="235">
      <c r="A23" s="0" t="n">
        <v>2026</v>
      </c>
      <c r="B23" s="0" t="inlineStr">
        <is>
          <t>重卡充换电站建设数量</t>
        </is>
      </c>
      <c r="C23" s="0" t="inlineStr">
        <is>
          <t>建设</t>
        </is>
      </c>
      <c r="D23" s="0" t="inlineStr">
        <is>
          <t>3000个左右</t>
        </is>
      </c>
      <c r="F23" s="0" t="n">
        <v>2030</v>
      </c>
      <c r="G23" s="0" t="inlineStr">
        <is>
          <t>新目标</t>
        </is>
      </c>
      <c r="H23" s="0" t="inlineStr">
        <is>
          <t>绿色交通</t>
        </is>
      </c>
      <c r="I23" s="0" t="inlineStr">
        <is>
          <t>企事业单位</t>
        </is>
      </c>
      <c r="J23" s="0" t="inlineStr">
        <is>
          <t>结合高速公路网建设电动重卡补能设施，打造零碳公路运输通道，支持并引导建设重卡充换电站3000个左右，引导在重点场景科学布局加氢站、绿色燃料加注站；</t>
        </is>
      </c>
      <c r="K23" s="0" t="inlineStr">
        <is>
          <t>IP2603.htm</t>
        </is>
      </c>
      <c r="L23" s="0" t="inlineStr">
        <is>
          <t>交通</t>
        </is>
      </c>
    </row>
    <row r="24" ht="18" customHeight="1" s="235">
      <c r="A24" s="0" t="n">
        <v>2026</v>
      </c>
      <c r="B24" s="0" t="inlineStr">
        <is>
          <t>新能源重卡保有量</t>
        </is>
      </c>
      <c r="C24" s="0" t="inlineStr">
        <is>
          <t>突破</t>
        </is>
      </c>
      <c r="D24" s="0" t="inlineStr">
        <is>
          <t>160万辆</t>
        </is>
      </c>
      <c r="F24" s="0" t="n">
        <v>2030</v>
      </c>
      <c r="G24" s="0" t="inlineStr">
        <is>
          <t>新目标</t>
        </is>
      </c>
      <c r="H24" s="0" t="inlineStr">
        <is>
          <t>绿色交通</t>
        </is>
      </c>
      <c r="I24" s="0" t="inlineStr">
        <is>
          <t>行业</t>
        </is>
      </c>
      <c r="J24" s="0" t="inlineStr">
        <is>
          <t>到2030年，新能源重卡渗透率达到40%，保有量突破160万辆、占比达到20%左右；</t>
        </is>
      </c>
      <c r="K24" s="0" t="inlineStr">
        <is>
          <t>IP2603.htm</t>
        </is>
      </c>
      <c r="L24" s="0" t="inlineStr">
        <is>
          <t>交通</t>
        </is>
      </c>
    </row>
    <row r="25" ht="18" customHeight="1" s="235">
      <c r="A25" s="0" t="n">
        <v>2026</v>
      </c>
      <c r="B25" s="0" t="inlineStr">
        <is>
          <t>新能源重卡渗透率</t>
        </is>
      </c>
      <c r="C25" s="0" t="inlineStr">
        <is>
          <t>达到</t>
        </is>
      </c>
      <c r="D25" s="0" t="inlineStr">
        <is>
          <t>40%</t>
        </is>
      </c>
      <c r="F25" s="0" t="n">
        <v>2030</v>
      </c>
      <c r="G25" s="0" t="inlineStr">
        <is>
          <t>新目标</t>
        </is>
      </c>
      <c r="H25" s="0" t="inlineStr">
        <is>
          <t>绿色交通</t>
        </is>
      </c>
      <c r="I25" s="0" t="inlineStr">
        <is>
          <t>行业</t>
        </is>
      </c>
      <c r="J25" s="0" t="inlineStr">
        <is>
          <t>到2030年，新能源重卡渗透率达到40%，保有量突破160万辆、占比达到20%左右；</t>
        </is>
      </c>
      <c r="K25" s="0" t="inlineStr">
        <is>
          <t>IP2603.htm</t>
        </is>
      </c>
      <c r="L25" s="0" t="inlineStr">
        <is>
          <t>交通</t>
        </is>
      </c>
    </row>
    <row r="26" ht="18" customHeight="1" s="235">
      <c r="A26" s="0" t="n">
        <v>2026</v>
      </c>
      <c r="B26" s="0" t="inlineStr">
        <is>
          <t>重点行业清洁运输比例</t>
        </is>
      </c>
      <c r="C26" s="0" t="inlineStr">
        <is>
          <t>达到</t>
        </is>
      </c>
      <c r="D26" s="0" t="inlineStr">
        <is>
          <t>75%（大气污染防治重点区域重点行业85%）</t>
        </is>
      </c>
      <c r="F26" s="0" t="n">
        <v>2030</v>
      </c>
      <c r="G26" s="0" t="inlineStr">
        <is>
          <t>新目标</t>
        </is>
      </c>
      <c r="H26" s="0" t="inlineStr">
        <is>
          <t>绿色交通</t>
        </is>
      </c>
      <c r="I26" s="0" t="inlineStr">
        <is>
          <t>行业</t>
        </is>
      </c>
      <c r="J26" s="0" t="inlineStr">
        <is>
          <t>……重点行业清洁运输比例达到75%、大气污染防治重点区域重点行业清洁运输比例达到85%。</t>
        </is>
      </c>
      <c r="K26" s="0" t="inlineStr">
        <is>
          <t>FYP2609.htm</t>
        </is>
      </c>
      <c r="L26" s="0" t="inlineStr">
        <is>
          <t>交通</t>
        </is>
      </c>
    </row>
    <row r="27" ht="18" customHeight="1" s="235">
      <c r="A27" s="131" t="n">
        <v>2024</v>
      </c>
      <c r="B27" s="131" t="inlineStr">
        <is>
          <t>国际枢纽海港清洁能源集装箱货车的比例</t>
        </is>
      </c>
      <c r="C27" s="131" t="inlineStr">
        <is>
          <t>达到</t>
        </is>
      </c>
      <c r="D27" s="131" t="inlineStr">
        <is>
          <t>60%</t>
        </is>
      </c>
      <c r="E27" s="131" t="n"/>
      <c r="F27" s="131" t="inlineStr">
        <is>
          <t>2025</t>
        </is>
      </c>
      <c r="G27" s="131" t="inlineStr">
        <is>
          <t>新目标</t>
        </is>
      </c>
      <c r="H27" s="131" t="inlineStr">
        <is>
          <t>绿色交通</t>
        </is>
      </c>
      <c r="I27" s="131" t="inlineStr">
        <is>
          <t>港口</t>
        </is>
      </c>
      <c r="J27" s="131" t="inlineStr">
        <is>
          <t>到2025年，国际枢纽海港清洁能源集装箱货车比例达到60%</t>
        </is>
      </c>
      <c r="K27" s="132" t="inlineStr">
        <is>
          <t>HL2401.pdf</t>
        </is>
      </c>
      <c r="L27" s="131" t="inlineStr">
        <is>
          <t>交通</t>
        </is>
      </c>
    </row>
    <row r="28" ht="18" customHeight="1" s="235">
      <c r="A28" s="131" t="n">
        <v>2013</v>
      </c>
      <c r="B28" s="131" t="inlineStr">
        <is>
          <t>通过推广应用天然气单一燃料、双燃料及生物柴油内燃机实现商品燃油替代量</t>
        </is>
      </c>
      <c r="C28" s="131" t="inlineStr">
        <is>
          <t>替代</t>
        </is>
      </c>
      <c r="D28" s="131" t="inlineStr">
        <is>
          <t>1000万吨商品燃油</t>
        </is>
      </c>
      <c r="E28" s="131" t="n"/>
      <c r="F28" s="131" t="inlineStr">
        <is>
          <t>十二五</t>
        </is>
      </c>
      <c r="G28" s="131" t="inlineStr">
        <is>
          <t>新目标</t>
        </is>
      </c>
      <c r="H28" s="131" t="inlineStr">
        <is>
          <t>过渡能源</t>
        </is>
      </c>
      <c r="I28" s="131" t="inlineStr">
        <is>
          <t>不明确</t>
        </is>
      </c>
      <c r="J28" s="131" t="inlineStr">
        <is>
          <t>到2015年，通过推广应用天然气单一燃料、双燃料及生物柴油内燃机，实现替代商品燃油1000万吨；通过推广应用甲醇燃料内燃机，实现替代商品燃油500万吨。</t>
        </is>
      </c>
      <c r="K28" s="132" t="inlineStr">
        <is>
          <t>O1301.htm</t>
        </is>
      </c>
      <c r="L28" s="131" t="inlineStr">
        <is>
          <t>交通</t>
        </is>
      </c>
    </row>
    <row r="29" ht="18" customHeight="1" s="235">
      <c r="A29" s="131" t="n">
        <v>2013</v>
      </c>
      <c r="B29" s="131" t="inlineStr">
        <is>
          <t>推广应用甲醇燃料内燃机实现的商品燃油替代量</t>
        </is>
      </c>
      <c r="C29" s="131" t="inlineStr">
        <is>
          <t>替代</t>
        </is>
      </c>
      <c r="D29" s="131" t="inlineStr">
        <is>
          <t>500万吨商品燃油</t>
        </is>
      </c>
      <c r="E29" s="131" t="n"/>
      <c r="F29" s="131" t="inlineStr">
        <is>
          <t>十二五</t>
        </is>
      </c>
      <c r="G29" s="131" t="inlineStr">
        <is>
          <t>新目标</t>
        </is>
      </c>
      <c r="H29" s="131" t="inlineStr">
        <is>
          <t>过渡能源</t>
        </is>
      </c>
      <c r="I29" s="131" t="inlineStr">
        <is>
          <t>不明确</t>
        </is>
      </c>
      <c r="J29" s="131" t="inlineStr">
        <is>
          <t>到2015年，通过推广应用天然气单一燃料、双燃料及生物柴油内燃机，实现替代商品燃油1000万吨；通过推广应用甲醇燃料内燃机，实现替代商品燃油500万吨。</t>
        </is>
      </c>
      <c r="K29" s="132" t="inlineStr">
        <is>
          <t>O1301.htm</t>
        </is>
      </c>
      <c r="L29" s="131" t="inlineStr">
        <is>
          <t>交通</t>
        </is>
      </c>
    </row>
    <row r="30" ht="18" customHeight="1" s="235">
      <c r="A30" s="131" t="n">
        <v>2013</v>
      </c>
      <c r="B30" s="131" t="inlineStr">
        <is>
          <t>采用替代燃料节约商品燃油量</t>
        </is>
      </c>
      <c r="C30" s="131" t="inlineStr">
        <is>
          <t>达到</t>
        </is>
      </c>
      <c r="D30" s="131" t="inlineStr">
        <is>
          <t>1500万吨商品燃油</t>
        </is>
      </c>
      <c r="E30" s="131" t="n"/>
      <c r="F30" s="131" t="inlineStr">
        <is>
          <t>2015</t>
        </is>
      </c>
      <c r="G30" s="131" t="inlineStr">
        <is>
          <t>重申目标</t>
        </is>
      </c>
      <c r="H30" s="131" t="inlineStr">
        <is>
          <t>过渡能源</t>
        </is>
      </c>
      <c r="I30" s="131" t="inlineStr">
        <is>
          <t>不明确</t>
        </is>
      </c>
      <c r="J30" s="131" t="inlineStr">
        <is>
          <t>到2015年，通过采用替代燃料实现节约商品燃油1500万吨。</t>
        </is>
      </c>
      <c r="K30" s="132" t="inlineStr">
        <is>
          <t>O1301.htm</t>
        </is>
      </c>
      <c r="L30" s="131" t="inlineStr">
        <is>
          <t>交通</t>
        </is>
      </c>
    </row>
    <row r="31" ht="18" customHeight="1" s="235">
      <c r="A31" s="131" t="n">
        <v>2013</v>
      </c>
      <c r="B31" s="131" t="inlineStr">
        <is>
          <t>单船综合能效</t>
        </is>
      </c>
      <c r="C31" s="131" t="inlineStr">
        <is>
          <t>提高</t>
        </is>
      </c>
      <c r="D31" s="131" t="inlineStr">
        <is>
          <t>5%</t>
        </is>
      </c>
      <c r="E31" s="131" t="n">
        <v>2010</v>
      </c>
      <c r="F31" s="131" t="inlineStr">
        <is>
          <t>2015</t>
        </is>
      </c>
      <c r="G31" s="131" t="inlineStr">
        <is>
          <t>新目标</t>
        </is>
      </c>
      <c r="H31" s="131" t="inlineStr">
        <is>
          <t>能源效率</t>
        </is>
      </c>
      <c r="I31" s="131" t="inlineStr">
        <is>
          <t>行业</t>
        </is>
      </c>
      <c r="J31" s="131" t="inlineStr">
        <is>
          <t>到2015年，实现单船综合能效比2010年提高5%。</t>
        </is>
      </c>
      <c r="K31" s="132" t="inlineStr">
        <is>
          <t>O1301.htm</t>
        </is>
      </c>
      <c r="L31" s="131" t="inlineStr">
        <is>
          <t>交通</t>
        </is>
      </c>
    </row>
    <row r="32" ht="18" customHeight="1" s="235">
      <c r="A32" s="131" t="n">
        <v>2023</v>
      </c>
      <c r="B32" s="131" t="inlineStr">
        <is>
          <t>重点区域高速公路服务区快充站覆盖率</t>
        </is>
      </c>
      <c r="C32" s="131" t="inlineStr">
        <is>
          <t>实现</t>
        </is>
      </c>
      <c r="D32" s="131" t="inlineStr">
        <is>
          <t>80%</t>
        </is>
      </c>
      <c r="E32" s="131" t="n"/>
      <c r="F32" s="131" t="inlineStr">
        <is>
          <t>2025</t>
        </is>
      </c>
      <c r="G32" s="131" t="inlineStr">
        <is>
          <t>重申目标</t>
        </is>
      </c>
      <c r="H32" s="131" t="inlineStr">
        <is>
          <t>绿色交通</t>
        </is>
      </c>
      <c r="I32" s="131" t="inlineStr">
        <is>
          <t>地区</t>
        </is>
      </c>
      <c r="J32" s="131" t="inlineStr">
        <is>
          <t>力争到2025年，重点区域高速服务区快充站覆盖率不低于80%，其他地区不低于60%。</t>
        </is>
      </c>
      <c r="K32" s="132" t="inlineStr">
        <is>
          <t>AP2304.htm</t>
        </is>
      </c>
      <c r="L32" s="131" t="inlineStr">
        <is>
          <t>交通</t>
        </is>
      </c>
    </row>
    <row r="33" ht="18" customHeight="1" s="235">
      <c r="A33" s="131" t="n">
        <v>2022</v>
      </c>
      <c r="B33" s="131" t="inlineStr">
        <is>
          <t>重点区域高速公路服务区快充站覆盖率</t>
        </is>
      </c>
      <c r="C33" s="131" t="inlineStr">
        <is>
          <t>实现</t>
        </is>
      </c>
      <c r="D33" s="131" t="inlineStr">
        <is>
          <t>80%</t>
        </is>
      </c>
      <c r="E33" s="131" t="n"/>
      <c r="F33" s="131" t="inlineStr">
        <is>
          <t>2025</t>
        </is>
      </c>
      <c r="G33" s="131" t="inlineStr">
        <is>
          <t>新目标</t>
        </is>
      </c>
      <c r="H33" s="131" t="inlineStr">
        <is>
          <t>绿色交通</t>
        </is>
      </c>
      <c r="I33" s="131" t="inlineStr">
        <is>
          <t>地区</t>
        </is>
      </c>
      <c r="J33" s="131" t="inlineStr">
        <is>
          <t>力争到2025年，国家生态文明试验区、大气污染防治重点区域的高速公路服务区快充站覆盖率不低于80%。</t>
        </is>
      </c>
      <c r="K33" s="132" t="inlineStr">
        <is>
          <t>IP2217.htm</t>
        </is>
      </c>
      <c r="L33" s="131" t="inlineStr">
        <is>
          <t>交通</t>
        </is>
      </c>
    </row>
    <row r="34" ht="18" customHeight="1" s="235">
      <c r="A34" s="131" t="n">
        <v>2023</v>
      </c>
      <c r="B34" s="131" t="inlineStr">
        <is>
          <t>非重点区域高速公路服务区快速充电站覆盖率</t>
        </is>
      </c>
      <c r="C34" s="131" t="inlineStr">
        <is>
          <t>实现</t>
        </is>
      </c>
      <c r="D34" s="131" t="inlineStr">
        <is>
          <t>60%</t>
        </is>
      </c>
      <c r="E34" s="131" t="n"/>
      <c r="F34" s="131" t="inlineStr">
        <is>
          <t>2025</t>
        </is>
      </c>
      <c r="G34" s="131" t="inlineStr">
        <is>
          <t>重申目标</t>
        </is>
      </c>
      <c r="H34" s="131" t="inlineStr">
        <is>
          <t>绿色交通</t>
        </is>
      </c>
      <c r="I34" s="131" t="inlineStr">
        <is>
          <t>地区</t>
        </is>
      </c>
      <c r="J34" s="131" t="inlineStr">
        <is>
          <t>力争到2025年，重点区域高速公路服务区快速充电站覆盖率不低于80%，其他地区不低于60%。</t>
        </is>
      </c>
      <c r="K34" s="132" t="inlineStr">
        <is>
          <t>AP2304.htm</t>
        </is>
      </c>
      <c r="L34" s="131" t="inlineStr">
        <is>
          <t>交通</t>
        </is>
      </c>
    </row>
    <row r="35" ht="18" customHeight="1" s="235">
      <c r="A35" s="131" t="n">
        <v>2022</v>
      </c>
      <c r="B35" s="131" t="inlineStr">
        <is>
          <t>大气污染防治重点区域以外地区高速公路服务区快充站覆盖率</t>
        </is>
      </c>
      <c r="C35" s="131" t="inlineStr">
        <is>
          <t>实现</t>
        </is>
      </c>
      <c r="D35" s="131" t="inlineStr">
        <is>
          <t>60%</t>
        </is>
      </c>
      <c r="E35" s="131" t="n"/>
      <c r="F35" s="131" t="inlineStr">
        <is>
          <t>2025</t>
        </is>
      </c>
      <c r="G35" s="131" t="inlineStr">
        <is>
          <t>新目标</t>
        </is>
      </c>
      <c r="H35" s="131" t="inlineStr">
        <is>
          <t>绿色交通</t>
        </is>
      </c>
      <c r="I35" s="131" t="inlineStr">
        <is>
          <t>地区</t>
        </is>
      </c>
      <c r="J35" s="131" t="inlineStr">
        <is>
          <t>力争到2025年，国家生态文明试验区、大气污染防治重点区域以外地区的高速公路服务区快充站覆盖率不低于60%。</t>
        </is>
      </c>
      <c r="K35" s="132" t="inlineStr">
        <is>
          <t>IP2217.htm</t>
        </is>
      </c>
      <c r="L35" s="131" t="inlineStr">
        <is>
          <t>交通</t>
        </is>
      </c>
    </row>
    <row r="36" ht="18" customHeight="1" s="235">
      <c r="A36" s="131" t="n">
        <v>2017</v>
      </c>
      <c r="B36" s="131" t="inlineStr">
        <is>
          <t>城区常住人口100万以上城市的高速铁路覆盖率</t>
        </is>
      </c>
      <c r="C36" s="131" t="inlineStr">
        <is>
          <t>达到</t>
        </is>
      </c>
      <c r="D36" s="131" t="inlineStr">
        <is>
          <t>80%</t>
        </is>
      </c>
      <c r="E36" s="131" t="n"/>
      <c r="F36" s="131" t="inlineStr">
        <is>
          <t>2020</t>
        </is>
      </c>
      <c r="G36" s="131" t="inlineStr">
        <is>
          <t>新目标</t>
        </is>
      </c>
      <c r="H36" s="131" t="inlineStr">
        <is>
          <t>绿色交通</t>
        </is>
      </c>
      <c r="I36" s="131" t="inlineStr">
        <is>
          <t>城市</t>
        </is>
      </c>
      <c r="J36" s="131" t="inlineStr">
        <is>
          <t>到2020年，高速铁路覆盖80%以上的城区常住人口100万以上的城市。</t>
        </is>
      </c>
      <c r="K36" s="132" t="inlineStr">
        <is>
          <t>FYP1705.htm</t>
        </is>
      </c>
      <c r="L36" s="131" t="inlineStr">
        <is>
          <t>交通</t>
        </is>
      </c>
    </row>
    <row r="37" ht="18" customHeight="1" s="235">
      <c r="A37" s="131" t="n">
        <v>2024</v>
      </c>
      <c r="B37" s="131" t="inlineStr">
        <is>
          <t>常住人口超过100万的60个城市的绿色出行比例</t>
        </is>
      </c>
      <c r="C37" s="131" t="inlineStr">
        <is>
          <t>实现</t>
        </is>
      </c>
      <c r="D37" s="131" t="inlineStr">
        <is>
          <t>超过70%</t>
        </is>
      </c>
      <c r="E37" s="131" t="n"/>
      <c r="F37" s="131" t="inlineStr">
        <is>
          <t>2025</t>
        </is>
      </c>
      <c r="G37" s="131" t="inlineStr">
        <is>
          <t>新目标</t>
        </is>
      </c>
      <c r="H37" s="131" t="inlineStr">
        <is>
          <t>绿色交通</t>
        </is>
      </c>
      <c r="I37" s="131" t="inlineStr">
        <is>
          <t>城市</t>
        </is>
      </c>
      <c r="J37" s="131" t="inlineStr">
        <is>
          <t>到2025年，常住人口超过100万的60个城市将实现绿色出行比例超过70%。</t>
        </is>
      </c>
      <c r="K37" s="132" t="inlineStr">
        <is>
          <t>HL2401.pdf</t>
        </is>
      </c>
      <c r="L37" s="131" t="inlineStr">
        <is>
          <t>交通</t>
        </is>
      </c>
    </row>
    <row r="38" ht="18" customHeight="1" s="235">
      <c r="A38" s="131" t="n">
        <v>2021</v>
      </c>
      <c r="B38" s="131" t="inlineStr">
        <is>
          <t>常住人口超过100万的城市绿色出行比例</t>
        </is>
      </c>
      <c r="C38" s="131" t="inlineStr">
        <is>
          <t>超过</t>
        </is>
      </c>
      <c r="D38" s="131" t="inlineStr">
        <is>
          <t>70%</t>
        </is>
      </c>
      <c r="E38" s="131" t="n"/>
      <c r="F38" s="131" t="inlineStr">
        <is>
          <t>2030</t>
        </is>
      </c>
      <c r="G38" s="131" t="inlineStr">
        <is>
          <t>重申目标</t>
        </is>
      </c>
      <c r="H38" s="131" t="inlineStr">
        <is>
          <t>绿色交通</t>
        </is>
      </c>
      <c r="I38" s="131" t="inlineStr">
        <is>
          <t>城市</t>
        </is>
      </c>
      <c r="J38" s="131" t="inlineStr">
        <is>
          <t>到2030年，常住人口100万以上的城市绿色出行比例不低于70%。</t>
        </is>
      </c>
      <c r="K38" s="132" t="inlineStr">
        <is>
          <t>HL2102.pdf</t>
        </is>
      </c>
      <c r="L38" s="131" t="inlineStr">
        <is>
          <t>交通</t>
        </is>
      </c>
    </row>
    <row r="39" ht="18" customHeight="1" s="235">
      <c r="A39" s="131" t="n">
        <v>2024</v>
      </c>
      <c r="B39" s="131" t="inlineStr">
        <is>
          <t>新增能源车辆在出租车中的占比</t>
        </is>
      </c>
      <c r="C39" s="131" t="inlineStr">
        <is>
          <t>占比达到</t>
        </is>
      </c>
      <c r="D39" s="131" t="inlineStr">
        <is>
          <t>35%</t>
        </is>
      </c>
      <c r="E39" s="131" t="n"/>
      <c r="F39" s="131" t="inlineStr">
        <is>
          <t>2025</t>
        </is>
      </c>
      <c r="G39" s="131" t="inlineStr">
        <is>
          <t>新目标</t>
        </is>
      </c>
      <c r="H39" s="131" t="inlineStr">
        <is>
          <t>绿色交通</t>
        </is>
      </c>
      <c r="I39" s="131" t="inlineStr">
        <is>
          <t>全社会经济</t>
        </is>
      </c>
      <c r="J39" s="131" t="inlineStr">
        <is>
          <t>到2025年，新增能源车辆在出租车（含网约车）中的占比将达到百分之三十五。</t>
        </is>
      </c>
      <c r="K39" s="132" t="inlineStr">
        <is>
          <t>HL2401.pdf</t>
        </is>
      </c>
      <c r="L39" s="131" t="inlineStr">
        <is>
          <t>交通</t>
        </is>
      </c>
    </row>
    <row r="40" ht="18" customHeight="1" s="235">
      <c r="A40" s="131" t="n">
        <v>2024</v>
      </c>
      <c r="B40" s="131" t="inlineStr">
        <is>
          <t>新能源物流配送车辆占比</t>
        </is>
      </c>
      <c r="C40" s="131" t="inlineStr">
        <is>
          <t>占比达到</t>
        </is>
      </c>
      <c r="D40" s="131" t="inlineStr">
        <is>
          <t>20%</t>
        </is>
      </c>
      <c r="E40" s="131" t="n"/>
      <c r="F40" s="131" t="inlineStr">
        <is>
          <t>2025</t>
        </is>
      </c>
      <c r="G40" s="131" t="inlineStr">
        <is>
          <t>新目标</t>
        </is>
      </c>
      <c r="H40" s="131" t="inlineStr">
        <is>
          <t>绿色交通</t>
        </is>
      </c>
      <c r="I40" s="131" t="inlineStr">
        <is>
          <t>城市</t>
        </is>
      </c>
      <c r="J40" s="131" t="inlineStr">
        <is>
          <t>到2025年，新能源物流配送车辆占比达到20%</t>
        </is>
      </c>
      <c r="K40" s="132" t="inlineStr">
        <is>
          <t>HL2401.pdf</t>
        </is>
      </c>
      <c r="L40" s="131" t="inlineStr">
        <is>
          <t>交通</t>
        </is>
      </c>
    </row>
    <row r="41" ht="18" customHeight="1" s="235">
      <c r="A41" s="131" t="n">
        <v>2024</v>
      </c>
      <c r="B41" s="131" t="inlineStr">
        <is>
          <t>城市公共交通领域新能源汽车占比</t>
        </is>
      </c>
      <c r="C41" s="131" t="inlineStr">
        <is>
          <t>占比达到</t>
        </is>
      </c>
      <c r="D41" s="131" t="inlineStr">
        <is>
          <t>72%</t>
        </is>
      </c>
      <c r="E41" s="131" t="n"/>
      <c r="F41" s="131" t="inlineStr">
        <is>
          <t>2025</t>
        </is>
      </c>
      <c r="G41" s="131" t="inlineStr">
        <is>
          <t>新目标</t>
        </is>
      </c>
      <c r="H41" s="131" t="inlineStr">
        <is>
          <t>绿色交通</t>
        </is>
      </c>
      <c r="I41" s="131" t="inlineStr">
        <is>
          <t>城市</t>
        </is>
      </c>
      <c r="J41" s="131" t="inlineStr">
        <is>
          <t>到2025年，新能源汽车在城市公共交通中的占比将达到72%。</t>
        </is>
      </c>
      <c r="K41" s="132" t="inlineStr">
        <is>
          <t>HL2401.pdf</t>
        </is>
      </c>
      <c r="L41" s="131" t="inlineStr">
        <is>
          <t>交通</t>
        </is>
      </c>
    </row>
    <row r="42" ht="18" customHeight="1" s="235">
      <c r="A42" s="131" t="n">
        <v>2015</v>
      </c>
      <c r="B42" s="131" t="inlineStr">
        <is>
          <t>新能源城市公交车数量</t>
        </is>
      </c>
      <c r="C42" s="131" t="inlineStr">
        <is>
          <t>达到</t>
        </is>
      </c>
      <c r="D42" s="131" t="inlineStr">
        <is>
          <t>二十万辆</t>
        </is>
      </c>
      <c r="E42" s="131" t="n"/>
      <c r="F42" s="131" t="inlineStr">
        <is>
          <t>2020</t>
        </is>
      </c>
      <c r="G42" s="131" t="inlineStr">
        <is>
          <t>新目标</t>
        </is>
      </c>
      <c r="H42" s="131" t="inlineStr">
        <is>
          <t>绿色交通</t>
        </is>
      </c>
      <c r="I42" s="131" t="inlineStr">
        <is>
          <t>城市</t>
        </is>
      </c>
      <c r="J42" s="131" t="inlineStr">
        <is>
          <t>到2020年，新能源城市公交车达到20万辆。</t>
        </is>
      </c>
      <c r="K42" s="132" t="inlineStr">
        <is>
          <t>IP1501.htm</t>
        </is>
      </c>
      <c r="L42" s="131" t="inlineStr">
        <is>
          <t>交通</t>
        </is>
      </c>
    </row>
    <row r="43" ht="18" customHeight="1" s="235">
      <c r="A43" s="131" t="n">
        <v>2015</v>
      </c>
      <c r="B43" s="131" t="inlineStr">
        <is>
          <t>新能源出租汽车和城市物流配送车辆数量</t>
        </is>
      </c>
      <c r="C43" s="131" t="inlineStr">
        <is>
          <t>达到</t>
        </is>
      </c>
      <c r="D43" s="131" t="inlineStr">
        <is>
          <t>100,000辆</t>
        </is>
      </c>
      <c r="E43" s="131" t="n"/>
      <c r="F43" s="131" t="inlineStr">
        <is>
          <t>2020</t>
        </is>
      </c>
      <c r="G43" s="131" t="inlineStr">
        <is>
          <t>新目标</t>
        </is>
      </c>
      <c r="H43" s="131" t="inlineStr">
        <is>
          <t>绿色交通</t>
        </is>
      </c>
      <c r="I43" s="131" t="inlineStr">
        <is>
          <t>城市</t>
        </is>
      </c>
      <c r="J43" s="131" t="inlineStr">
        <is>
          <t>到2020年，新能源出租汽车和城市物流配送车辆共达到10万辆。</t>
        </is>
      </c>
      <c r="K43" s="132" t="inlineStr">
        <is>
          <t>IP1501.htm</t>
        </is>
      </c>
      <c r="L43" s="131" t="inlineStr">
        <is>
          <t>交通</t>
        </is>
      </c>
    </row>
    <row r="44" ht="18" customHeight="1" s="235">
      <c r="A44" s="131" t="n">
        <v>2021</v>
      </c>
      <c r="B44" s="131" t="inlineStr">
        <is>
          <t>陆路交通石油消费量</t>
        </is>
      </c>
      <c r="C44" s="131" t="inlineStr">
        <is>
          <t>达峰</t>
        </is>
      </c>
      <c r="D44" s="131" t="inlineStr">
        <is>
          <t>力争达到峰值</t>
        </is>
      </c>
      <c r="E44" s="131" t="n"/>
      <c r="F44" s="131" t="inlineStr">
        <is>
          <t>2030</t>
        </is>
      </c>
      <c r="G44" s="131" t="inlineStr">
        <is>
          <t>新目标</t>
        </is>
      </c>
      <c r="H44" s="131" t="inlineStr">
        <is>
          <t>绿色交通</t>
        </is>
      </c>
      <c r="I44" s="131" t="inlineStr">
        <is>
          <t>全社会经济</t>
        </is>
      </c>
      <c r="J44" s="131" t="inlineStr">
        <is>
          <t>到2030年，铁路单位换算周转量综合能耗比2020年下降10%，陆路交通石油消费量力争达到峰值。</t>
        </is>
      </c>
      <c r="K44" s="132" t="inlineStr">
        <is>
          <t>HL2104.pdf</t>
        </is>
      </c>
      <c r="L44" s="131" t="inlineStr">
        <is>
          <t>交通</t>
        </is>
      </c>
    </row>
    <row r="45" ht="18" customHeight="1" s="235">
      <c r="A45" s="131" t="n">
        <v>2024</v>
      </c>
      <c r="B45" s="131" t="inlineStr">
        <is>
          <t>老旧内燃机车淘汰</t>
        </is>
      </c>
      <c r="C45" s="131" t="inlineStr">
        <is>
          <t>实现</t>
        </is>
      </c>
      <c r="D45" s="131" t="inlineStr">
        <is>
          <t>基本淘汰</t>
        </is>
      </c>
      <c r="E45" s="131" t="n"/>
      <c r="F45" s="131" t="inlineStr">
        <is>
          <t>2027</t>
        </is>
      </c>
      <c r="G45" s="131" t="inlineStr">
        <is>
          <t>新目标</t>
        </is>
      </c>
      <c r="H45" s="131" t="inlineStr">
        <is>
          <t>绿色交通</t>
        </is>
      </c>
      <c r="I45" s="131" t="inlineStr">
        <is>
          <t>全社会经济</t>
        </is>
      </c>
      <c r="J45" s="131" t="inlineStr">
        <is>
          <t>到2027年，老旧内燃机车基本淘汰</t>
        </is>
      </c>
      <c r="K45" s="132" t="inlineStr">
        <is>
          <t>O2405.htm</t>
        </is>
      </c>
      <c r="L45" s="131" t="inlineStr">
        <is>
          <t>交通</t>
        </is>
      </c>
    </row>
    <row r="46" ht="18" customHeight="1" s="235">
      <c r="A46" s="131" t="n">
        <v>2012</v>
      </c>
      <c r="B46" s="131" t="inlineStr">
        <is>
          <t>电机系统运行效率</t>
        </is>
      </c>
      <c r="C46" s="131" t="inlineStr">
        <is>
          <t>提高</t>
        </is>
      </c>
      <c r="D46" s="131" t="inlineStr">
        <is>
          <t>2-3个百分点</t>
        </is>
      </c>
      <c r="E46" s="131" t="n">
        <v>2010</v>
      </c>
      <c r="F46" s="131" t="inlineStr">
        <is>
          <t>2015</t>
        </is>
      </c>
      <c r="G46" s="131" t="inlineStr">
        <is>
          <t>新目标</t>
        </is>
      </c>
      <c r="H46" s="131" t="inlineStr">
        <is>
          <t>能源效率</t>
        </is>
      </c>
      <c r="I46" s="131" t="inlineStr">
        <is>
          <t>行业</t>
        </is>
      </c>
      <c r="J46" s="131" t="inlineStr">
        <is>
          <t>2015年电机系统运行效率比2010年提高2－3个百分点</t>
        </is>
      </c>
      <c r="K46" s="132" t="inlineStr">
        <is>
          <t>FYP1201.htm</t>
        </is>
      </c>
      <c r="L46" s="131" t="inlineStr">
        <is>
          <t>交通</t>
        </is>
      </c>
    </row>
    <row r="47" ht="18" customHeight="1" s="235">
      <c r="A47" s="131" t="n">
        <v>2013</v>
      </c>
      <c r="B47" s="131" t="inlineStr">
        <is>
          <t>多缸柴油机增压技术普及率</t>
        </is>
      </c>
      <c r="C47" s="131" t="inlineStr">
        <is>
          <t>达到</t>
        </is>
      </c>
      <c r="D47" s="131" t="inlineStr">
        <is>
          <t>90%</t>
        </is>
      </c>
      <c r="E47" s="131" t="n"/>
      <c r="F47" s="131" t="inlineStr">
        <is>
          <t>2015</t>
        </is>
      </c>
      <c r="G47" s="131" t="inlineStr">
        <is>
          <t>新目标</t>
        </is>
      </c>
      <c r="H47" s="131" t="inlineStr">
        <is>
          <t>能源效率</t>
        </is>
      </c>
      <c r="I47" s="131" t="inlineStr">
        <is>
          <t>不明确</t>
        </is>
      </c>
      <c r="J47" s="131" t="inlineStr">
        <is>
          <t>到2015年，多缸柴油机增压技术普及率达90%以上，高效增压技术在车用柴油机上的应用比例达100%，在车用汽油机上的应用比例达30%以上。</t>
        </is>
      </c>
      <c r="K47" s="132" t="inlineStr">
        <is>
          <t>O1301.htm</t>
        </is>
      </c>
      <c r="L47" s="131" t="inlineStr">
        <is>
          <t>交通</t>
        </is>
      </c>
    </row>
    <row r="48" ht="18" customHeight="1" s="235">
      <c r="A48" s="131" t="n">
        <v>2023</v>
      </c>
      <c r="B48" s="131" t="inlineStr">
        <is>
          <t>重点区域及粤港澳大湾区沿海主要港口铁矿石、焦炭等清洁运输（含新能源车）比例</t>
        </is>
      </c>
      <c r="C48" s="131" t="inlineStr">
        <is>
          <t>达到</t>
        </is>
      </c>
      <c r="D48" s="131" t="inlineStr">
        <is>
          <t>80%</t>
        </is>
      </c>
      <c r="E48" s="131" t="n"/>
      <c r="F48" s="131" t="inlineStr">
        <is>
          <t>2025</t>
        </is>
      </c>
      <c r="G48" s="131" t="inlineStr">
        <is>
          <t>新目标</t>
        </is>
      </c>
      <c r="H48" s="131" t="inlineStr">
        <is>
          <t>绿色交通</t>
        </is>
      </c>
      <c r="I48" s="131" t="inlineStr">
        <is>
          <t>地区</t>
        </is>
      </c>
      <c r="J48" s="131" t="inlineStr">
        <is>
          <t>到2025年，重点区域和粤港澳大湾区沿海主要港口铁矿石、焦炭等清洁运输（含新能源车）比例力争达到80%。</t>
        </is>
      </c>
      <c r="K48" s="132" t="inlineStr">
        <is>
          <t>AP2304.htm</t>
        </is>
      </c>
      <c r="L48" s="131" t="inlineStr">
        <is>
          <t>交通</t>
        </is>
      </c>
    </row>
    <row r="49" ht="18" customHeight="1" s="235">
      <c r="A49" s="131" t="n">
        <v>2024</v>
      </c>
      <c r="B49" s="131" t="inlineStr">
        <is>
          <t>高效节能电机占比</t>
        </is>
      </c>
      <c r="C49" s="131" t="inlineStr">
        <is>
          <t>提高</t>
        </is>
      </c>
      <c r="D49" s="134" t="inlineStr">
        <is>
          <t>5个百分点</t>
        </is>
      </c>
      <c r="E49" s="137" t="n">
        <v>2021</v>
      </c>
      <c r="F49" s="134" t="n">
        <v>2025</v>
      </c>
      <c r="G49" s="131" t="inlineStr">
        <is>
          <t>新目标</t>
        </is>
      </c>
      <c r="H49" s="131" t="inlineStr">
        <is>
          <t>能源效率</t>
        </is>
      </c>
      <c r="I49" s="131" t="inlineStr">
        <is>
          <t>不明确</t>
        </is>
      </c>
      <c r="J49" s="131" t="inlineStr">
        <is>
          <t>与2021年相比，2025年在运高效节能电机占比提高5个百分点以上。</t>
        </is>
      </c>
      <c r="K49" s="132" t="inlineStr">
        <is>
          <t>AP2405.htm</t>
        </is>
      </c>
      <c r="L49" s="131" t="inlineStr">
        <is>
          <t>交通</t>
        </is>
      </c>
    </row>
    <row r="50" ht="18" customHeight="1" s="235">
      <c r="A50" s="131" t="n">
        <v>2014</v>
      </c>
      <c r="B50" s="131" t="inlineStr">
        <is>
          <t>新能源汽车推广应用城市新增或更新车辆中的新能源汽车占比</t>
        </is>
      </c>
      <c r="C50" s="131" t="inlineStr">
        <is>
          <t>不低于</t>
        </is>
      </c>
      <c r="D50" s="131" t="inlineStr">
        <is>
          <t>30%</t>
        </is>
      </c>
      <c r="E50" s="131" t="n"/>
      <c r="F50" s="131" t="inlineStr">
        <is>
          <t>2014-2016</t>
        </is>
      </c>
      <c r="G50" s="131" t="inlineStr">
        <is>
          <t>新目标</t>
        </is>
      </c>
      <c r="H50" s="131" t="inlineStr">
        <is>
          <t>绿色交通</t>
        </is>
      </c>
      <c r="I50" s="131" t="inlineStr">
        <is>
          <t>公共机构</t>
        </is>
      </c>
      <c r="J50" s="131" t="inlineStr">
        <is>
          <t>2014—2016年，中央国家机关以及新能源汽车推广应用城市的政府机关及公共机构购买的新能源汽车占当年配备更新车辆总量的比例不低于30%，以后逐年扩大应用规模。</t>
        </is>
      </c>
      <c r="K50" s="132" t="inlineStr">
        <is>
          <t>GO1402.htm</t>
        </is>
      </c>
      <c r="L50" s="131" t="inlineStr">
        <is>
          <t>交通</t>
        </is>
      </c>
    </row>
    <row r="51" ht="18" customHeight="1" s="235">
      <c r="A51" s="131" t="n">
        <v>2024</v>
      </c>
      <c r="B51" s="131" t="inlineStr">
        <is>
          <t>铁路货运周转量占总周转量的比例</t>
        </is>
      </c>
      <c r="C51" s="131" t="inlineStr">
        <is>
          <t>达到</t>
        </is>
      </c>
      <c r="D51" s="131" t="inlineStr">
        <is>
          <t>25%</t>
        </is>
      </c>
      <c r="E51" s="131" t="n"/>
      <c r="F51" s="138" t="n">
        <v>2035</v>
      </c>
      <c r="G51" s="131" t="inlineStr">
        <is>
          <t>新目标</t>
        </is>
      </c>
      <c r="H51" s="131" t="inlineStr">
        <is>
          <t>绿色交通</t>
        </is>
      </c>
      <c r="I51" s="131" t="inlineStr">
        <is>
          <t>行业</t>
        </is>
      </c>
      <c r="J51" s="131" t="inlineStr">
        <is>
          <t>到2035年，铁路货运周转量占总周转量的比例达到25%左右。</t>
        </is>
      </c>
      <c r="K51" s="132" t="inlineStr">
        <is>
          <t>O2405.htm</t>
        </is>
      </c>
      <c r="L51" s="131" t="inlineStr">
        <is>
          <t>交通</t>
        </is>
      </c>
    </row>
    <row r="52" ht="18" customHeight="1" s="235">
      <c r="A52" s="131" t="n">
        <v>2023</v>
      </c>
      <c r="B52" s="131" t="inlineStr">
        <is>
          <t>晋陕蒙新煤炭主产区中长距离运输（运距500公里以上）的煤炭和焦炭中铁路运输比例</t>
        </is>
      </c>
      <c r="C52" s="131" t="inlineStr">
        <is>
          <t>达到</t>
        </is>
      </c>
      <c r="D52" s="131" t="inlineStr">
        <is>
          <t>90%</t>
        </is>
      </c>
      <c r="E52" s="131" t="n"/>
      <c r="F52" s="131" t="inlineStr">
        <is>
          <t>2025</t>
        </is>
      </c>
      <c r="G52" s="135" t="inlineStr">
        <is>
          <t>新目标</t>
        </is>
      </c>
      <c r="H52" s="131" t="inlineStr">
        <is>
          <t>绿色交通</t>
        </is>
      </c>
      <c r="I52" s="131" t="inlineStr">
        <is>
          <t>地区</t>
        </is>
      </c>
      <c r="J52" s="135" t="inlineStr">
        <is>
          <t>到2025年，晋陕蒙新煤炭主产区中长距离运输（运距500公里以上）的煤炭和焦炭中，铁路运输比例力争达到90%</t>
        </is>
      </c>
      <c r="K52" s="136" t="inlineStr">
        <is>
          <t>AP2304.htm</t>
        </is>
      </c>
      <c r="L52" s="131" t="inlineStr">
        <is>
          <t>交通</t>
        </is>
      </c>
    </row>
    <row r="53" ht="18" customHeight="1" s="235">
      <c r="A53" s="131" t="n">
        <v>2025</v>
      </c>
      <c r="B53" s="131" t="inlineStr">
        <is>
          <t>公共电动汽车充电功率容量</t>
        </is>
      </c>
      <c r="C53" s="131" t="inlineStr">
        <is>
          <t>提供</t>
        </is>
      </c>
      <c r="D53" s="131" t="inlineStr">
        <is>
          <t>超过3亿千瓦</t>
        </is>
      </c>
      <c r="E53" s="131" t="n"/>
      <c r="F53" s="134" t="n">
        <v>2027</v>
      </c>
      <c r="G53" s="135" t="inlineStr">
        <is>
          <t>新目标</t>
        </is>
      </c>
      <c r="H53" s="131" t="inlineStr">
        <is>
          <t>绿色交通</t>
        </is>
      </c>
      <c r="I53" s="131" t="inlineStr">
        <is>
          <t>全社会经济</t>
        </is>
      </c>
      <c r="J53" s="135" t="inlineStr">
        <is>
          <t>到2027年底，在全国范围内建成2800万个充电设施，提供超过3亿千瓦的公共充电容量，满足超过8000万辆电动汽车充电需求，实现充电服务能力的翻倍增长。</t>
        </is>
      </c>
      <c r="K53" s="136" t="inlineStr">
        <is>
          <t>AP2506.pdf</t>
        </is>
      </c>
      <c r="L53" s="131" t="inlineStr">
        <is>
          <t>交通</t>
        </is>
      </c>
    </row>
    <row r="54" ht="18" customHeight="1" s="235">
      <c r="A54" s="0" t="n">
        <v>2026</v>
      </c>
      <c r="B54" s="0" t="inlineStr">
        <is>
          <t>高速公路新能源重卡货运量占比</t>
        </is>
      </c>
      <c r="C54" s="0" t="inlineStr">
        <is>
          <t>达到</t>
        </is>
      </c>
      <c r="D54" s="0" t="inlineStr">
        <is>
          <t>18%</t>
        </is>
      </c>
      <c r="F54" s="0" t="n">
        <v>2030</v>
      </c>
      <c r="G54" s="0" t="inlineStr">
        <is>
          <t>新目标</t>
        </is>
      </c>
      <c r="H54" s="0" t="inlineStr">
        <is>
          <t>绿色交通</t>
        </is>
      </c>
      <c r="I54" s="0" t="inlineStr">
        <is>
          <t>行业</t>
        </is>
      </c>
      <c r="J54" s="0" t="inlineStr">
        <is>
          <t>高速公路新能源重卡货运量占比达到18%；</t>
        </is>
      </c>
      <c r="K54" s="0" t="inlineStr">
        <is>
          <t>IP2603.htm</t>
        </is>
      </c>
      <c r="L54" s="0" t="inlineStr">
        <is>
          <t>交通</t>
        </is>
      </c>
    </row>
    <row r="55" ht="18" customHeight="1" s="235">
      <c r="A55" s="0" t="n">
        <v>2026</v>
      </c>
      <c r="B55" s="0" t="inlineStr">
        <is>
          <t>新能源重卡保有量占比</t>
        </is>
      </c>
      <c r="C55" s="0" t="inlineStr">
        <is>
          <t>达到</t>
        </is>
      </c>
      <c r="D55" s="0" t="inlineStr">
        <is>
          <t>20%</t>
        </is>
      </c>
      <c r="E55" s="0" t="inlineStr">
        <is>
          <t>4%（2025）</t>
        </is>
      </c>
      <c r="F55" s="0" t="n">
        <v>2030</v>
      </c>
      <c r="G55" s="0" t="inlineStr">
        <is>
          <t>重申目标</t>
        </is>
      </c>
      <c r="H55" s="0" t="inlineStr">
        <is>
          <t>绿色交通</t>
        </is>
      </c>
      <c r="I55" s="0" t="inlineStr">
        <is>
          <t>行业</t>
        </is>
      </c>
      <c r="J55" s="0" t="inlineStr">
        <is>
          <t>表1：新能源重型卡车保有量占比（%）2025年4，2030年20，预期性</t>
        </is>
      </c>
      <c r="K55" s="0" t="inlineStr">
        <is>
          <t>FYP2604.htm</t>
        </is>
      </c>
      <c r="L55" s="0" t="inlineStr">
        <is>
          <t>交通</t>
        </is>
      </c>
    </row>
    <row r="56" ht="18" customHeight="1" s="235">
      <c r="A56" s="0" t="n">
        <v>2026</v>
      </c>
      <c r="B56" s="0" t="inlineStr">
        <is>
          <t>新能源重卡保有量占比</t>
        </is>
      </c>
      <c r="C56" s="0" t="inlineStr">
        <is>
          <t>达到</t>
        </is>
      </c>
      <c r="D56" s="0" t="inlineStr">
        <is>
          <t>20%左右</t>
        </is>
      </c>
      <c r="F56" s="0" t="n">
        <v>2030</v>
      </c>
      <c r="G56" s="0" t="inlineStr">
        <is>
          <t>新目标</t>
        </is>
      </c>
      <c r="H56" s="0" t="inlineStr">
        <is>
          <t>绿色交通</t>
        </is>
      </c>
      <c r="I56" s="0" t="inlineStr">
        <is>
          <t>行业</t>
        </is>
      </c>
      <c r="J56" s="0" t="inlineStr">
        <is>
          <t>到2030年，新能源重卡渗透率达到40%，保有量突破160万辆、占比达到20%左右；</t>
        </is>
      </c>
      <c r="K56" s="0" t="inlineStr">
        <is>
          <t>IP2603.htm</t>
        </is>
      </c>
      <c r="L56" s="0" t="inlineStr">
        <is>
          <t>交通</t>
        </is>
      </c>
    </row>
    <row r="57" ht="18" customHeight="1" s="235">
      <c r="A57" s="0" t="n">
        <v>2026</v>
      </c>
      <c r="B57" s="0" t="inlineStr">
        <is>
          <t>新能源营运交通工具保有量占比</t>
        </is>
      </c>
      <c r="C57" s="0" t="inlineStr">
        <is>
          <t>达到</t>
        </is>
      </c>
      <c r="D57" s="0" t="inlineStr">
        <is>
          <t>25%</t>
        </is>
      </c>
      <c r="F57" s="0" t="n">
        <v>2030</v>
      </c>
      <c r="G57" s="0" t="inlineStr">
        <is>
          <t>新目标</t>
        </is>
      </c>
      <c r="H57" s="0" t="inlineStr">
        <is>
          <t>绿色交通</t>
        </is>
      </c>
      <c r="I57" s="0" t="inlineStr">
        <is>
          <t>行业</t>
        </is>
      </c>
      <c r="J57" s="0" t="inlineStr">
        <is>
          <t>到2030年，新能源汽车保有量占比力争达到30%，新能源营运交通工具保有量占比达到25%。</t>
        </is>
      </c>
      <c r="K57" s="0" t="inlineStr">
        <is>
          <t>HL2604.htm</t>
        </is>
      </c>
      <c r="L57" s="0" t="inlineStr">
        <is>
          <t>交通</t>
        </is>
      </c>
    </row>
    <row r="58" ht="18" customHeight="1" s="235">
      <c r="A58" s="0" t="n">
        <v>2026</v>
      </c>
      <c r="B58" s="0" t="inlineStr">
        <is>
          <t>新能源汽车保有量占比</t>
        </is>
      </c>
      <c r="C58" s="0" t="inlineStr">
        <is>
          <t>力争达到</t>
        </is>
      </c>
      <c r="D58" s="0" t="inlineStr">
        <is>
          <t>30%</t>
        </is>
      </c>
      <c r="F58" s="0" t="n">
        <v>2030</v>
      </c>
      <c r="G58" s="0" t="inlineStr">
        <is>
          <t>新目标</t>
        </is>
      </c>
      <c r="H58" s="0" t="inlineStr">
        <is>
          <t>绿色交通</t>
        </is>
      </c>
      <c r="I58" s="0" t="inlineStr">
        <is>
          <t>全社会经济</t>
        </is>
      </c>
      <c r="J58" s="0" t="inlineStr">
        <is>
          <t>到2030年，新能源汽车保有量占比力争达到30%，新能源营运交通工具保有量占比达到25%。</t>
        </is>
      </c>
      <c r="K58" s="0" t="inlineStr">
        <is>
          <t>HL2604.htm</t>
        </is>
      </c>
      <c r="L58" s="0" t="inlineStr">
        <is>
          <t>交通</t>
        </is>
      </c>
    </row>
    <row r="59" ht="18" customHeight="1" s="235">
      <c r="A59" s="131" t="n">
        <v>2025</v>
      </c>
      <c r="B59" s="131" t="inlineStr">
        <is>
          <t>充电基础设施总量</t>
        </is>
      </c>
      <c r="C59" s="131" t="inlineStr">
        <is>
          <t>达到</t>
        </is>
      </c>
      <c r="D59" s="131" t="inlineStr">
        <is>
          <t>2800万个</t>
        </is>
      </c>
      <c r="E59" s="131" t="n"/>
      <c r="F59" s="134" t="n">
        <v>2027</v>
      </c>
      <c r="G59" s="131" t="inlineStr">
        <is>
          <t>新目标</t>
        </is>
      </c>
      <c r="H59" s="131" t="inlineStr">
        <is>
          <t>绿色交通</t>
        </is>
      </c>
      <c r="I59" s="131" t="inlineStr">
        <is>
          <t>全社会经济</t>
        </is>
      </c>
      <c r="J59" s="131" t="inlineStr">
        <is>
          <t>到2027年底，在全国范围内建成2800万个充电设施，提供超3亿千瓦的公共充电容量，满足超过8000万辆电动汽车充电需求，实现充电服务能力的翻倍增长。</t>
        </is>
      </c>
      <c r="K59" s="132" t="inlineStr">
        <is>
          <t>AP2506.pdf</t>
        </is>
      </c>
      <c r="L59" s="131" t="inlineStr">
        <is>
          <t>交通</t>
        </is>
      </c>
    </row>
    <row r="60" ht="18" customHeight="1" s="235">
      <c r="A60" s="131" t="n">
        <v>2016</v>
      </c>
      <c r="B60" s="131" t="inlineStr">
        <is>
          <t>大城市公共交通分担率</t>
        </is>
      </c>
      <c r="C60" s="131" t="inlineStr">
        <is>
          <t>达到</t>
        </is>
      </c>
      <c r="D60" s="131" t="inlineStr">
        <is>
          <t>30%</t>
        </is>
      </c>
      <c r="E60" s="131" t="n"/>
      <c r="F60" s="131" t="inlineStr">
        <is>
          <t>2020</t>
        </is>
      </c>
      <c r="G60" s="131" t="inlineStr">
        <is>
          <t>新目标</t>
        </is>
      </c>
      <c r="H60" s="131" t="inlineStr">
        <is>
          <t>绿色交通</t>
        </is>
      </c>
      <c r="I60" s="131" t="inlineStr">
        <is>
          <t>城市</t>
        </is>
      </c>
      <c r="J60" s="131" t="inlineStr">
        <is>
          <t>大力发展公共交通，推进“公交都市”创建活动，到2020年大城市公共交通分担率达到30%。</t>
        </is>
      </c>
      <c r="K60" s="132" t="inlineStr">
        <is>
          <t>FYP1601.htm</t>
        </is>
      </c>
      <c r="L60" s="131" t="inlineStr">
        <is>
          <t>交通</t>
        </is>
      </c>
    </row>
    <row r="61" ht="18" customHeight="1" s="235">
      <c r="A61" s="131" t="n">
        <v>2025</v>
      </c>
      <c r="B61" s="131" t="inlineStr">
        <is>
          <t>长江干线主要港口铁路进港覆盖率</t>
        </is>
      </c>
      <c r="C61" s="131" t="inlineStr">
        <is>
          <t>实现</t>
        </is>
      </c>
      <c r="D61" s="131" t="inlineStr">
        <is>
          <t>100%</t>
        </is>
      </c>
      <c r="E61" s="131" t="n"/>
      <c r="F61" s="134" t="n">
        <v>2030</v>
      </c>
      <c r="G61" s="131" t="inlineStr">
        <is>
          <t>新目标</t>
        </is>
      </c>
      <c r="H61" s="131" t="inlineStr">
        <is>
          <t>绿色交通</t>
        </is>
      </c>
      <c r="I61" s="131" t="inlineStr">
        <is>
          <t>地区</t>
        </is>
      </c>
      <c r="J61" s="131" t="inlineStr">
        <is>
          <t>长江干线主要港口实现铁路进港100%覆盖。</t>
        </is>
      </c>
      <c r="K61" s="132" t="inlineStr">
        <is>
          <t>O2503.htm</t>
        </is>
      </c>
      <c r="L61" s="131" t="inlineStr">
        <is>
          <t>交通</t>
        </is>
      </c>
    </row>
    <row r="62" ht="18" customHeight="1" s="235">
      <c r="A62" s="131" t="n">
        <v>2013</v>
      </c>
      <c r="B62" s="131" t="inlineStr">
        <is>
          <t>节能型内燃机产品占全社会内燃机产品保有量的比例</t>
        </is>
      </c>
      <c r="C62" s="131" t="inlineStr">
        <is>
          <t>占比达到</t>
        </is>
      </c>
      <c r="D62" s="131" t="inlineStr">
        <is>
          <t>60%</t>
        </is>
      </c>
      <c r="E62" s="131" t="n"/>
      <c r="F62" s="131" t="inlineStr">
        <is>
          <t>2015</t>
        </is>
      </c>
      <c r="G62" s="131" t="inlineStr">
        <is>
          <t>新目标</t>
        </is>
      </c>
      <c r="H62" s="131" t="inlineStr">
        <is>
          <t>能源效率</t>
        </is>
      </c>
      <c r="I62" s="131" t="inlineStr">
        <is>
          <t>不明确</t>
        </is>
      </c>
      <c r="J62" s="131" t="inlineStr">
        <is>
          <t>到2015年，节能型内燃机产品占全社会内燃机产品保有量的60%。</t>
        </is>
      </c>
      <c r="K62" s="132" t="inlineStr">
        <is>
          <t>O1301.htm</t>
        </is>
      </c>
      <c r="L62" s="131" t="inlineStr">
        <is>
          <t>交通</t>
        </is>
      </c>
    </row>
    <row r="63" ht="18" customHeight="1" s="235">
      <c r="A63" s="131" t="n">
        <v>2024</v>
      </c>
      <c r="B63" s="131" t="inlineStr">
        <is>
          <t>水泥行业原燃料进出厂清洁运输比例</t>
        </is>
      </c>
      <c r="C63" s="131" t="inlineStr">
        <is>
          <t>提高至</t>
        </is>
      </c>
      <c r="D63" s="131" t="inlineStr">
        <is>
          <t>80%</t>
        </is>
      </c>
      <c r="E63" s="131" t="n"/>
      <c r="F63" s="131" t="n">
        <v>2025</v>
      </c>
      <c r="G63" s="131" t="inlineStr">
        <is>
          <t>新目标</t>
        </is>
      </c>
      <c r="H63" s="131" t="inlineStr">
        <is>
          <t>绿色交通</t>
        </is>
      </c>
      <c r="I63" s="131" t="inlineStr">
        <is>
          <t>行业</t>
        </is>
      </c>
      <c r="J63" s="131" t="inlineStr">
        <is>
          <t>水泥行业进出厂原燃料采用铁路、水路、管道、管状带式输送机、皮带通廊等清洁方式运输比例不低于80%。</t>
        </is>
      </c>
      <c r="K63" s="131" t="inlineStr">
        <is>
          <t>O2406.pdf</t>
        </is>
      </c>
      <c r="L63" s="131" t="inlineStr">
        <is>
          <t>交通</t>
        </is>
      </c>
    </row>
    <row r="64" ht="18" customHeight="1" s="235">
      <c r="A64" s="131" t="n">
        <v>2013</v>
      </c>
      <c r="B64" s="131" t="inlineStr">
        <is>
          <t>新生产车用汽油机采用缸内直喷燃油系统的比例</t>
        </is>
      </c>
      <c r="C64" s="131" t="inlineStr">
        <is>
          <t>达到</t>
        </is>
      </c>
      <c r="D64" s="131" t="inlineStr">
        <is>
          <t>30%-40%</t>
        </is>
      </c>
      <c r="E64" s="131" t="n"/>
      <c r="F64" s="131" t="inlineStr">
        <is>
          <t>2015</t>
        </is>
      </c>
      <c r="G64" s="131" t="inlineStr">
        <is>
          <t>新目标</t>
        </is>
      </c>
      <c r="H64" s="131" t="inlineStr">
        <is>
          <t>能源效率</t>
        </is>
      </c>
      <c r="I64" s="131" t="inlineStr">
        <is>
          <t>不明确</t>
        </is>
      </c>
      <c r="J64" s="131" t="inlineStr">
        <is>
          <t>到2015年，30%－40%新生产的车用汽油机产品应用缸内直喷燃油系统</t>
        </is>
      </c>
      <c r="K64" s="132" t="inlineStr">
        <is>
          <t>O1301.htm</t>
        </is>
      </c>
      <c r="L64" s="131" t="inlineStr">
        <is>
          <t>交通</t>
        </is>
      </c>
    </row>
    <row r="65" ht="18" customHeight="1" s="235">
      <c r="A65" s="131" t="n">
        <v>2013</v>
      </c>
      <c r="B65" s="131" t="inlineStr">
        <is>
          <t>新生产的多功能型（微型）乘用车配套使用小缸径多缸柴油机的比例</t>
        </is>
      </c>
      <c r="C65" s="131" t="inlineStr">
        <is>
          <t>达到</t>
        </is>
      </c>
      <c r="D65" s="131" t="inlineStr">
        <is>
          <t>20%以上</t>
        </is>
      </c>
      <c r="E65" s="131" t="n"/>
      <c r="F65" s="131" t="inlineStr">
        <is>
          <t>2015</t>
        </is>
      </c>
      <c r="G65" s="131" t="inlineStr">
        <is>
          <t>新目标</t>
        </is>
      </c>
      <c r="H65" s="131" t="inlineStr">
        <is>
          <t>能源效率</t>
        </is>
      </c>
      <c r="I65" s="131" t="inlineStr">
        <is>
          <t>不明确</t>
        </is>
      </c>
      <c r="J65" s="131" t="inlineStr">
        <is>
          <t>到2015年，20%以上新生产的多功能型（微型）乘用车配套使用小缸径多缸柴油机，替代高耗能大缸径单缸柴油机50万台。</t>
        </is>
      </c>
      <c r="K65" s="132" t="inlineStr">
        <is>
          <t>O1301.htm</t>
        </is>
      </c>
      <c r="L65" s="131" t="inlineStr">
        <is>
          <t>交通</t>
        </is>
      </c>
    </row>
    <row r="66" ht="18" customHeight="1" s="235">
      <c r="A66" s="131" t="n">
        <v>2024</v>
      </c>
      <c r="B66" s="131" t="inlineStr">
        <is>
          <t>长江经济带港口和水上服务区岸电使用量</t>
        </is>
      </c>
      <c r="C66" s="131" t="inlineStr">
        <is>
          <t>提高</t>
        </is>
      </c>
      <c r="D66" s="131" t="inlineStr">
        <is>
          <t>100%</t>
        </is>
      </c>
      <c r="E66" s="131" t="n">
        <v>2020</v>
      </c>
      <c r="F66" s="131" t="inlineStr">
        <is>
          <t>2025</t>
        </is>
      </c>
      <c r="G66" s="131" t="inlineStr">
        <is>
          <t>新目标</t>
        </is>
      </c>
      <c r="H66" s="131" t="inlineStr">
        <is>
          <t>电气化</t>
        </is>
      </c>
      <c r="I66" s="131" t="inlineStr">
        <is>
          <t>港口</t>
        </is>
      </c>
      <c r="J66" s="131" t="inlineStr">
        <is>
          <t>到2025年，长江经济带港口和水上服务区岸电使用量较2020年增长100%。</t>
        </is>
      </c>
      <c r="K66" s="132" t="inlineStr">
        <is>
          <t>HL2401.pdf</t>
        </is>
      </c>
      <c r="L66" s="131" t="inlineStr">
        <is>
          <t>交通</t>
        </is>
      </c>
    </row>
    <row r="67" ht="18" customHeight="1" s="235">
      <c r="A67" s="131" t="n">
        <v>2023</v>
      </c>
      <c r="B67" s="131" t="inlineStr">
        <is>
          <t>年旅客吞吐量500万人次以上机场的桥电使用率</t>
        </is>
      </c>
      <c r="C67" s="131" t="inlineStr">
        <is>
          <t>达到</t>
        </is>
      </c>
      <c r="D67" s="131" t="inlineStr">
        <is>
          <t>95%</t>
        </is>
      </c>
      <c r="E67" s="131" t="n"/>
      <c r="F67" s="131" t="inlineStr">
        <is>
          <t>2025</t>
        </is>
      </c>
      <c r="G67" s="131" t="inlineStr">
        <is>
          <t>新目标</t>
        </is>
      </c>
      <c r="H67" s="131" t="inlineStr">
        <is>
          <t>电气化</t>
        </is>
      </c>
      <c r="I67" s="131" t="inlineStr">
        <is>
          <t>机场</t>
        </is>
      </c>
      <c r="J67" s="131" t="inlineStr">
        <is>
          <t>到2025年，年旅客吞吐量500万人次以上的机场，桥电使用率达到95%以上。</t>
        </is>
      </c>
      <c r="K67" s="132" t="inlineStr">
        <is>
          <t>AP2304.htm</t>
        </is>
      </c>
      <c r="L67" s="131" t="inlineStr">
        <is>
          <t>交通</t>
        </is>
      </c>
    </row>
    <row r="68" ht="18" customHeight="1" s="235">
      <c r="A68" s="131" t="n">
        <v>2022</v>
      </c>
      <c r="B68" s="131" t="inlineStr">
        <is>
          <t>集装箱铁水联运量</t>
        </is>
      </c>
      <c r="C68" s="131" t="inlineStr">
        <is>
          <t>提高</t>
        </is>
      </c>
      <c r="D68" s="131" t="inlineStr">
        <is>
          <t>15%以上</t>
        </is>
      </c>
      <c r="E68" s="131" t="n">
        <v>2020</v>
      </c>
      <c r="F68" s="131" t="inlineStr">
        <is>
          <t>2025</t>
        </is>
      </c>
      <c r="G68" s="131" t="inlineStr">
        <is>
          <t>重申目标</t>
        </is>
      </c>
      <c r="H68" s="131" t="inlineStr">
        <is>
          <t>绿色交通</t>
        </is>
      </c>
      <c r="I68" s="131" t="inlineStr">
        <is>
          <t>行业</t>
        </is>
      </c>
      <c r="J68" s="131" t="inlineStr">
        <is>
          <t>到2025年，集装箱铁水联运量年均增长15%以上。</t>
        </is>
      </c>
      <c r="K68" s="132" t="inlineStr">
        <is>
          <t>WOP2201.htm</t>
        </is>
      </c>
      <c r="L68" s="131" t="inlineStr">
        <is>
          <t>交通</t>
        </is>
      </c>
    </row>
    <row r="69" ht="18" customHeight="1" s="235">
      <c r="A69" s="131" t="n">
        <v>2024</v>
      </c>
      <c r="B69" s="131" t="inlineStr">
        <is>
          <t>集装箱铁水联运量</t>
        </is>
      </c>
      <c r="C69" s="131" t="inlineStr">
        <is>
          <t>提高</t>
        </is>
      </c>
      <c r="D69" s="131" t="inlineStr">
        <is>
          <t>15%</t>
        </is>
      </c>
      <c r="E69" s="131" t="n"/>
      <c r="F69" s="131" t="inlineStr">
        <is>
          <t>十四五</t>
        </is>
      </c>
      <c r="G69" s="131" t="inlineStr">
        <is>
          <t>新目标</t>
        </is>
      </c>
      <c r="H69" s="131" t="inlineStr">
        <is>
          <t>绿色交通</t>
        </is>
      </c>
      <c r="I69" s="131" t="inlineStr">
        <is>
          <t>行业</t>
        </is>
      </c>
      <c r="J69" s="131" t="inlineStr">
        <is>
          <t>“十四五”期间，集装箱铁水联运量年均增长15%以上。</t>
        </is>
      </c>
      <c r="K69" s="132" t="inlineStr">
        <is>
          <t>HL2401.pdf</t>
        </is>
      </c>
      <c r="L69" s="131" t="inlineStr">
        <is>
          <t>交通</t>
        </is>
      </c>
    </row>
    <row r="70" ht="18" customHeight="1" s="235">
      <c r="A70" s="131" t="n">
        <v>2024</v>
      </c>
      <c r="B70" s="131" t="inlineStr">
        <is>
          <t>全国铁路货运量</t>
        </is>
      </c>
      <c r="C70" s="131" t="inlineStr">
        <is>
          <t>提高</t>
        </is>
      </c>
      <c r="D70" s="131" t="inlineStr">
        <is>
          <t>10%</t>
        </is>
      </c>
      <c r="E70" s="131" t="n">
        <v>2020</v>
      </c>
      <c r="F70" s="131" t="inlineStr">
        <is>
          <t>2025</t>
        </is>
      </c>
      <c r="G70" s="131" t="inlineStr">
        <is>
          <t>重申目标</t>
        </is>
      </c>
      <c r="H70" s="131" t="inlineStr">
        <is>
          <t>绿色交通</t>
        </is>
      </c>
      <c r="I70" s="131" t="inlineStr">
        <is>
          <t>全社会经济</t>
        </is>
      </c>
      <c r="J70" s="131" t="inlineStr">
        <is>
          <t>到2025年底，铁路货运量较2020年增长10%。</t>
        </is>
      </c>
      <c r="K70" s="132" t="inlineStr">
        <is>
          <t>AP2405.htm</t>
        </is>
      </c>
      <c r="L70" s="131" t="inlineStr">
        <is>
          <t>交通</t>
        </is>
      </c>
    </row>
    <row r="71" ht="18" customHeight="1" s="235">
      <c r="A71" s="135" t="n">
        <v>2022</v>
      </c>
      <c r="B71" s="135" t="inlineStr">
        <is>
          <t>全国铁路货运量</t>
        </is>
      </c>
      <c r="C71" s="135" t="inlineStr">
        <is>
          <t>提高</t>
        </is>
      </c>
      <c r="D71" s="135" t="inlineStr">
        <is>
          <t>10%左右</t>
        </is>
      </c>
      <c r="E71" s="135" t="n">
        <v>2020</v>
      </c>
      <c r="F71" s="135" t="inlineStr">
        <is>
          <t>2025</t>
        </is>
      </c>
      <c r="G71" s="135" t="inlineStr">
        <is>
          <t>新目标</t>
        </is>
      </c>
      <c r="H71" s="131" t="inlineStr">
        <is>
          <t>绿色交通</t>
        </is>
      </c>
      <c r="I71" s="135" t="inlineStr">
        <is>
          <t>全社会经济</t>
        </is>
      </c>
      <c r="J71" s="135" t="inlineStr">
        <is>
          <t>到2025年，全国铁路货运量比2020年增长10%左右。</t>
        </is>
      </c>
      <c r="K71" s="136" t="inlineStr">
        <is>
          <t>WOP2201.htm</t>
        </is>
      </c>
      <c r="L71" s="135" t="inlineStr">
        <is>
          <t>交通</t>
        </is>
      </c>
    </row>
    <row r="72" ht="18" customHeight="1" s="235">
      <c r="A72" s="135" t="n">
        <v>2024</v>
      </c>
      <c r="B72" s="135" t="inlineStr">
        <is>
          <t>全国水路货运量</t>
        </is>
      </c>
      <c r="C72" s="135" t="inlineStr">
        <is>
          <t>提高</t>
        </is>
      </c>
      <c r="D72" s="135" t="inlineStr">
        <is>
          <t>12%</t>
        </is>
      </c>
      <c r="E72" s="135" t="n">
        <v>2020</v>
      </c>
      <c r="F72" s="135" t="inlineStr">
        <is>
          <t>2025</t>
        </is>
      </c>
      <c r="G72" s="135" t="inlineStr">
        <is>
          <t>重申目标</t>
        </is>
      </c>
      <c r="H72" s="131" t="inlineStr">
        <is>
          <t>绿色交通</t>
        </is>
      </c>
      <c r="I72" s="135" t="inlineStr">
        <is>
          <t>全社会经济</t>
        </is>
      </c>
      <c r="J72" s="135" t="inlineStr">
        <is>
          <t>到2025年底，水路货运量较2020年增长12%。</t>
        </is>
      </c>
      <c r="K72" s="136" t="inlineStr">
        <is>
          <t>AP2405.htm</t>
        </is>
      </c>
      <c r="L72" s="135" t="inlineStr">
        <is>
          <t>交通</t>
        </is>
      </c>
    </row>
    <row r="73" ht="18" customHeight="1" s="235">
      <c r="A73" s="135" t="n">
        <v>2022</v>
      </c>
      <c r="B73" s="135" t="inlineStr">
        <is>
          <t>全国水路货运量</t>
        </is>
      </c>
      <c r="C73" s="135" t="inlineStr">
        <is>
          <t>提高</t>
        </is>
      </c>
      <c r="D73" s="135" t="inlineStr">
        <is>
          <t>12%</t>
        </is>
      </c>
      <c r="E73" s="135" t="n">
        <v>2020</v>
      </c>
      <c r="F73" s="135" t="inlineStr">
        <is>
          <t>2025</t>
        </is>
      </c>
      <c r="G73" s="135" t="inlineStr">
        <is>
          <t>新目标</t>
        </is>
      </c>
      <c r="H73" s="131" t="inlineStr">
        <is>
          <t>绿色交通</t>
        </is>
      </c>
      <c r="I73" s="131" t="inlineStr">
        <is>
          <t>全社会经济</t>
        </is>
      </c>
      <c r="J73" s="135" t="inlineStr">
        <is>
          <t>到2025年，全国水路货运量比2020年增长12%左右。</t>
        </is>
      </c>
      <c r="K73" s="136" t="inlineStr">
        <is>
          <t>WOP2201.htm</t>
        </is>
      </c>
      <c r="L73" s="135" t="inlineStr">
        <is>
          <t>交通</t>
        </is>
      </c>
    </row>
    <row r="74" ht="18" customHeight="1" s="235">
      <c r="A74" s="135" t="n">
        <v>2013</v>
      </c>
      <c r="B74" s="135" t="inlineStr">
        <is>
          <t>京津冀、长三角、珠三角等区域黄标车</t>
        </is>
      </c>
      <c r="C74" s="135" t="inlineStr">
        <is>
          <t>淘汰</t>
        </is>
      </c>
      <c r="D74" s="135" t="inlineStr">
        <is>
          <t>500万辆</t>
        </is>
      </c>
      <c r="E74" s="135" t="n"/>
      <c r="F74" s="135" t="inlineStr">
        <is>
          <t>2015</t>
        </is>
      </c>
      <c r="G74" s="135" t="inlineStr">
        <is>
          <t>新目标</t>
        </is>
      </c>
      <c r="H74" s="131" t="inlineStr">
        <is>
          <t>污染控制</t>
        </is>
      </c>
      <c r="I74" s="135" t="inlineStr">
        <is>
          <t>地区</t>
        </is>
      </c>
      <c r="J74" s="135" t="inlineStr">
        <is>
          <t>到2015年，基本淘汰京津冀、长三角、珠三角等区域内的500万辆黄标车。</t>
        </is>
      </c>
      <c r="K74" s="136" t="inlineStr">
        <is>
          <t>AP1302.htm</t>
        </is>
      </c>
      <c r="L74" s="135" t="inlineStr">
        <is>
          <t>交通</t>
        </is>
      </c>
    </row>
    <row r="75" ht="18" customHeight="1" s="235">
      <c r="A75" s="135" t="n">
        <v>2014</v>
      </c>
      <c r="B75" s="135" t="inlineStr">
        <is>
          <t>京津冀、长三角、珠三角等区域黄标车</t>
        </is>
      </c>
      <c r="C75" s="135" t="inlineStr">
        <is>
          <t>淘汰</t>
        </is>
      </c>
      <c r="D75" s="135" t="inlineStr">
        <is>
          <t>500万辆</t>
        </is>
      </c>
      <c r="E75" s="135" t="n"/>
      <c r="F75" s="135" t="inlineStr">
        <is>
          <t>2015</t>
        </is>
      </c>
      <c r="G75" s="135" t="inlineStr">
        <is>
          <t>重申目标</t>
        </is>
      </c>
      <c r="H75" s="131" t="inlineStr">
        <is>
          <t>污染控制</t>
        </is>
      </c>
      <c r="I75" s="135" t="inlineStr">
        <is>
          <t>地区</t>
        </is>
      </c>
      <c r="J75" s="135" t="inlineStr">
        <is>
          <t>到2015年底，全国基本淘汰京津冀、长三角、珠三角等区域内的500万辆黄标车。</t>
        </is>
      </c>
      <c r="K75" s="136" t="inlineStr">
        <is>
          <t>AP1404.htm</t>
        </is>
      </c>
      <c r="L75" s="135" t="inlineStr">
        <is>
          <t>交通</t>
        </is>
      </c>
    </row>
    <row r="76" ht="18" customHeight="1" s="235"/>
    <row r="77" ht="18" customHeight="1" s="235"/>
    <row r="78" ht="18" customHeight="1" s="235"/>
    <row r="79" ht="18" customHeight="1" s="235"/>
    <row r="80" ht="18" customHeight="1" s="235"/>
    <row r="81" ht="18" customHeight="1" s="235"/>
    <row r="82" ht="18" customHeight="1" s="235"/>
    <row r="83" ht="18" customHeight="1" s="235"/>
    <row r="84" ht="18" customHeight="1" s="235"/>
    <row r="85" ht="18" customHeight="1" s="235"/>
    <row r="86" ht="18" customHeight="1" s="235"/>
    <row r="87" ht="18" customHeight="1" s="235"/>
    <row r="88" ht="18" customHeight="1" s="235"/>
    <row r="89" ht="18" customHeight="1" s="235"/>
    <row r="90" ht="18" customHeight="1" s="235"/>
    <row r="91" ht="18" customHeight="1" s="235"/>
    <row r="92" ht="18" customHeight="1" s="235"/>
    <row r="93" ht="18" customHeight="1" s="235"/>
    <row r="94" ht="18" customHeight="1" s="235"/>
    <row r="95" ht="18" customHeight="1" s="235"/>
    <row r="96" ht="18" customHeight="1" s="235"/>
    <row r="97" ht="18" customHeight="1" s="235"/>
    <row r="98" ht="18" customHeight="1" s="235"/>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L199"/>
  <sheetViews>
    <sheetView zoomScale="75" workbookViewId="0">
      <selection activeCell="G4" sqref="G4"/>
    </sheetView>
  </sheetViews>
  <sheetFormatPr baseColWidth="8" defaultColWidth="14" defaultRowHeight="13"/>
  <cols>
    <col width="10.89843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3" customWidth="1" style="235" min="16"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row>
    <row r="2" ht="18" customHeight="1" s="235">
      <c r="A2" s="139" t="n">
        <v>2011</v>
      </c>
      <c r="B2" s="139" t="inlineStr">
        <is>
          <t>新增森林面积</t>
        </is>
      </c>
      <c r="C2" s="139" t="inlineStr">
        <is>
          <t>提高</t>
        </is>
      </c>
      <c r="D2" s="139" t="inlineStr">
        <is>
          <t>1250万公顷</t>
        </is>
      </c>
      <c r="E2" s="139" t="n"/>
      <c r="F2" s="140" t="inlineStr">
        <is>
          <t>2015</t>
        </is>
      </c>
      <c r="G2" s="139" t="inlineStr">
        <is>
          <t>新目标</t>
        </is>
      </c>
      <c r="H2" s="139" t="inlineStr">
        <is>
          <t>碳汇</t>
        </is>
      </c>
      <c r="I2" s="139" t="inlineStr">
        <is>
          <t>全社会经济</t>
        </is>
      </c>
      <c r="J2" s="139" t="inlineStr">
        <is>
          <t>到2015年，新增森林面积1250万公顷。</t>
        </is>
      </c>
      <c r="K2" s="141" t="inlineStr">
        <is>
          <t>HL1101.htm</t>
        </is>
      </c>
      <c r="L2" s="139" t="inlineStr">
        <is>
          <t>土地利用、土地利用变化和林业</t>
        </is>
      </c>
    </row>
    <row r="3" ht="18" customHeight="1" s="235">
      <c r="A3" s="139" t="n">
        <v>2016</v>
      </c>
      <c r="B3" s="139" t="inlineStr">
        <is>
          <t>造林面积</t>
        </is>
      </c>
      <c r="C3" s="139" t="inlineStr">
        <is>
          <t>完成</t>
        </is>
      </c>
      <c r="D3" s="139" t="inlineStr">
        <is>
          <t>2108万公顷</t>
        </is>
      </c>
      <c r="E3" s="139" t="n"/>
      <c r="F3" s="140" t="inlineStr">
        <is>
          <t>2020</t>
        </is>
      </c>
      <c r="G3" s="139" t="inlineStr">
        <is>
          <t>新目标</t>
        </is>
      </c>
      <c r="H3" s="139" t="inlineStr">
        <is>
          <t>碳汇</t>
        </is>
      </c>
      <c r="I3" s="139" t="inlineStr">
        <is>
          <t>全社会经济</t>
        </is>
      </c>
      <c r="J3" s="139" t="inlineStr">
        <is>
          <t>到2020年，完成造林2108万公顷</t>
        </is>
      </c>
      <c r="K3" s="141" t="inlineStr">
        <is>
          <t>FYP1611.pdf</t>
        </is>
      </c>
      <c r="L3" s="139" t="inlineStr">
        <is>
          <t>土地利用、土地利用变化和林业</t>
        </is>
      </c>
    </row>
    <row r="4" ht="18" customHeight="1" s="235">
      <c r="A4" s="139" t="n">
        <v>2012</v>
      </c>
      <c r="B4" s="139" t="inlineStr">
        <is>
          <t>造林面积</t>
        </is>
      </c>
      <c r="C4" s="139" t="inlineStr">
        <is>
          <t>提高</t>
        </is>
      </c>
      <c r="D4" s="139" t="inlineStr">
        <is>
          <t>1250万公顷</t>
        </is>
      </c>
      <c r="E4" s="139" t="n"/>
      <c r="F4" s="140" t="inlineStr">
        <is>
          <t>十二五</t>
        </is>
      </c>
      <c r="G4" s="139" t="inlineStr">
        <is>
          <t>重申目标</t>
        </is>
      </c>
      <c r="H4" s="139" t="inlineStr">
        <is>
          <t>碳汇</t>
        </is>
      </c>
      <c r="I4" s="139" t="inlineStr">
        <is>
          <t>全社会经济</t>
        </is>
      </c>
      <c r="J4" s="139" t="inlineStr">
        <is>
          <t>通过大力推进造林和可持续森林经营，在“十二五”规划期间（2011-2015年），森林面积将增加1250万公顷。</t>
        </is>
      </c>
      <c r="K4" s="141" t="inlineStr">
        <is>
          <t>HL1201.pdf</t>
        </is>
      </c>
      <c r="L4" s="139" t="inlineStr">
        <is>
          <t>土地利用、土地利用变化和林业</t>
        </is>
      </c>
    </row>
    <row r="5" ht="18" customHeight="1" s="235">
      <c r="A5" s="139" t="n">
        <v>2016</v>
      </c>
      <c r="B5" s="139" t="inlineStr">
        <is>
          <t>造林面积</t>
        </is>
      </c>
      <c r="C5" s="139" t="inlineStr">
        <is>
          <t>提高</t>
        </is>
      </c>
      <c r="D5" s="139" t="inlineStr">
        <is>
          <t>1250万公顷</t>
        </is>
      </c>
      <c r="E5" s="139" t="n"/>
      <c r="F5" s="140" t="inlineStr">
        <is>
          <t>十二五</t>
        </is>
      </c>
      <c r="G5" s="139" t="inlineStr">
        <is>
          <t>重申目标</t>
        </is>
      </c>
      <c r="H5" s="139" t="inlineStr">
        <is>
          <t>碳汇</t>
        </is>
      </c>
      <c r="I5" s="139" t="inlineStr">
        <is>
          <t>全社会经济</t>
        </is>
      </c>
      <c r="J5" s="139" t="inlineStr">
        <is>
          <t>提出“十二五”期间新增森林面积1250万公顷</t>
        </is>
      </c>
      <c r="K5" s="141" t="inlineStr">
        <is>
          <t>AP1603.htm</t>
        </is>
      </c>
      <c r="L5" s="139" t="inlineStr">
        <is>
          <t>土地利用、土地利用变化和林业</t>
        </is>
      </c>
    </row>
    <row r="6" ht="18" customHeight="1" s="235">
      <c r="A6" s="139" t="n">
        <v>2011</v>
      </c>
      <c r="B6" s="139" t="inlineStr">
        <is>
          <t>造林任务</t>
        </is>
      </c>
      <c r="C6" s="139" t="inlineStr">
        <is>
          <t>完成</t>
        </is>
      </c>
      <c r="D6" s="139" t="inlineStr">
        <is>
          <t>3000万公顷</t>
        </is>
      </c>
      <c r="E6" s="139" t="n"/>
      <c r="F6" s="140" t="inlineStr">
        <is>
          <t>十二五</t>
        </is>
      </c>
      <c r="G6" s="139" t="inlineStr">
        <is>
          <t>新目标</t>
        </is>
      </c>
      <c r="H6" s="139" t="inlineStr">
        <is>
          <t>碳汇</t>
        </is>
      </c>
      <c r="I6" s="139" t="inlineStr">
        <is>
          <t>全社会经济</t>
        </is>
      </c>
      <c r="J6" s="139" t="inlineStr">
        <is>
          <t>“十二五”期间，全国完成造林任务3000万公顷</t>
        </is>
      </c>
      <c r="K6" s="141" t="inlineStr">
        <is>
          <t>AP1101.htm</t>
        </is>
      </c>
      <c r="L6" s="139" t="inlineStr">
        <is>
          <t>土地利用、土地利用变化和林业</t>
        </is>
      </c>
    </row>
    <row r="7" ht="18" customHeight="1" s="235">
      <c r="A7" s="139" t="n">
        <v>2016</v>
      </c>
      <c r="B7" s="139" t="inlineStr">
        <is>
          <t>造林更新</t>
        </is>
      </c>
      <c r="C7" s="139" t="inlineStr">
        <is>
          <t>实现</t>
        </is>
      </c>
      <c r="D7" s="139" t="inlineStr">
        <is>
          <t>2985万公顷</t>
        </is>
      </c>
      <c r="E7" s="139" t="n"/>
      <c r="F7" s="140" t="inlineStr">
        <is>
          <t>十三五</t>
        </is>
      </c>
      <c r="G7" s="139" t="inlineStr">
        <is>
          <t>强化或放宽目标（积极气候影响）</t>
        </is>
      </c>
      <c r="H7" s="139" t="inlineStr">
        <is>
          <t>碳汇</t>
        </is>
      </c>
      <c r="I7" s="139" t="inlineStr">
        <is>
          <t>全社会经济</t>
        </is>
      </c>
      <c r="J7" s="139" t="inlineStr">
        <is>
          <t>“十三五”期间，规划造林更新2985万公顷。</t>
        </is>
      </c>
      <c r="K7" s="141" t="inlineStr">
        <is>
          <t>PF1602.pdf</t>
        </is>
      </c>
      <c r="L7" s="139" t="inlineStr">
        <is>
          <t>土地利用、土地利用变化和林业</t>
        </is>
      </c>
    </row>
    <row r="8" ht="18" customHeight="1" s="235">
      <c r="A8" s="139" t="n">
        <v>2008</v>
      </c>
      <c r="B8" s="139" t="inlineStr">
        <is>
          <t>年度碳汇量增长</t>
        </is>
      </c>
      <c r="C8" s="139" t="inlineStr">
        <is>
          <t>实现</t>
        </is>
      </c>
      <c r="D8" s="139" t="inlineStr">
        <is>
          <t>5000万吨二氧化碳</t>
        </is>
      </c>
      <c r="E8" s="139" t="n">
        <v>2005</v>
      </c>
      <c r="F8" s="140" t="n">
        <v>2010</v>
      </c>
      <c r="G8" s="139" t="inlineStr">
        <is>
          <t>重申目标</t>
        </is>
      </c>
      <c r="H8" s="139" t="inlineStr">
        <is>
          <t>碳汇</t>
        </is>
      </c>
      <c r="I8" s="139" t="inlineStr">
        <is>
          <t>全社会经济</t>
        </is>
      </c>
      <c r="J8" s="139" t="inlineStr">
        <is>
          <t>通过继续实施重点造林工程、退耕还林还草、天然林保护以及基本农田建设等政策，力争到2010年实现年度碳汇量比2005年增加5000万吨二氧化碳。</t>
        </is>
      </c>
      <c r="K8" s="141" t="inlineStr">
        <is>
          <t>HL0801.pdf</t>
        </is>
      </c>
      <c r="L8" s="139" t="inlineStr">
        <is>
          <t>土地利用、土地利用变化和林业</t>
        </is>
      </c>
    </row>
    <row r="9" ht="18" customHeight="1" s="235">
      <c r="A9" s="139" t="n">
        <v>2007</v>
      </c>
      <c r="B9" s="139" t="inlineStr">
        <is>
          <t>碳汇年增量</t>
        </is>
      </c>
      <c r="C9" s="139" t="inlineStr">
        <is>
          <t>实现</t>
        </is>
      </c>
      <c r="D9" s="139" t="inlineStr">
        <is>
          <t>5000万吨二氧化碳当量</t>
        </is>
      </c>
      <c r="E9" s="139" t="n"/>
      <c r="F9" s="140" t="inlineStr">
        <is>
          <t>2005-2010</t>
        </is>
      </c>
      <c r="G9" s="139" t="inlineStr">
        <is>
          <t>新目标</t>
        </is>
      </c>
      <c r="H9" s="139" t="inlineStr">
        <is>
          <t>碳汇</t>
        </is>
      </c>
      <c r="I9" s="139" t="inlineStr">
        <is>
          <t>全社会经济</t>
        </is>
      </c>
      <c r="J9" s="139" t="inlineStr">
        <is>
          <t>到2010年，力争碳汇比2005年增加5000万吨二氧化碳当量。</t>
        </is>
      </c>
      <c r="K9" s="141" t="inlineStr">
        <is>
          <t>HL0701.pdf</t>
        </is>
      </c>
      <c r="L9" s="139" t="inlineStr">
        <is>
          <t>土地利用、土地利用变化和林业</t>
        </is>
      </c>
    </row>
    <row r="10" ht="18" customHeight="1" s="235">
      <c r="A10" s="139" t="n">
        <v>2024</v>
      </c>
      <c r="B10" s="139" t="inlineStr">
        <is>
          <t>高效节水灌溉面积</t>
        </is>
      </c>
      <c r="C10" s="139" t="inlineStr">
        <is>
          <t>提高</t>
        </is>
      </c>
      <c r="D10" s="139" t="inlineStr">
        <is>
          <t>6000万亩</t>
        </is>
      </c>
      <c r="E10" s="139" t="n">
        <v>2025</v>
      </c>
      <c r="F10" s="140" t="n">
        <v>2030</v>
      </c>
      <c r="G10" s="139" t="inlineStr">
        <is>
          <t>新目标</t>
        </is>
      </c>
      <c r="H10" s="139" t="inlineStr">
        <is>
          <t>资源效率</t>
        </is>
      </c>
      <c r="I10" s="139" t="inlineStr">
        <is>
          <t>全社会经济</t>
        </is>
      </c>
      <c r="J10" s="139" t="inlineStr">
        <is>
          <t>2025年至2030年，新增高效节水灌溉面积6000万亩左右。</t>
        </is>
      </c>
      <c r="K10" s="141" t="inlineStr">
        <is>
          <t>GO2404.htm</t>
        </is>
      </c>
      <c r="L10" s="139" t="inlineStr">
        <is>
          <t>土地利用、土地利用变化和林业</t>
        </is>
      </c>
    </row>
    <row r="11" ht="18" customHeight="1" s="235">
      <c r="A11" s="139" t="n">
        <v>2024</v>
      </c>
      <c r="B11" s="139" t="inlineStr">
        <is>
          <t>稻渔综合种养面积</t>
        </is>
      </c>
      <c r="C11" s="139" t="inlineStr">
        <is>
          <t>稳定在</t>
        </is>
      </c>
      <c r="D11" s="139" t="inlineStr">
        <is>
          <t>5000万亩</t>
        </is>
      </c>
      <c r="E11" s="139" t="n"/>
      <c r="F11" s="140" t="inlineStr">
        <is>
          <t>2030</t>
        </is>
      </c>
      <c r="G11" s="139" t="inlineStr">
        <is>
          <t>新目标</t>
        </is>
      </c>
      <c r="H11" s="139" t="inlineStr">
        <is>
          <t>资源效率</t>
        </is>
      </c>
      <c r="I11" s="139" t="inlineStr">
        <is>
          <t>全社会经济</t>
        </is>
      </c>
      <c r="J11" s="139" t="inlineStr">
        <is>
          <t>到2030年，稻渔综合种养面积稳定在5000万亩左右。</t>
        </is>
      </c>
      <c r="K11" s="141" t="inlineStr">
        <is>
          <t>GO2404.htm</t>
        </is>
      </c>
      <c r="L11" s="139" t="inlineStr">
        <is>
          <t>土地利用、土地利用变化和林业</t>
        </is>
      </c>
    </row>
    <row r="12" ht="18" customHeight="1" s="235">
      <c r="A12" s="139" t="n">
        <v>2011</v>
      </c>
      <c r="B12" s="139" t="inlineStr">
        <is>
          <t>林木种质资源保存库面积</t>
        </is>
      </c>
      <c r="C12" s="139" t="inlineStr">
        <is>
          <t>规划建设</t>
        </is>
      </c>
      <c r="D12" s="139" t="inlineStr">
        <is>
          <t>9690公顷</t>
        </is>
      </c>
      <c r="E12" s="139" t="n"/>
      <c r="F12" s="140" t="inlineStr">
        <is>
          <t>2020</t>
        </is>
      </c>
      <c r="G12" s="139" t="inlineStr">
        <is>
          <t>新目标</t>
        </is>
      </c>
      <c r="H12" s="139" t="inlineStr">
        <is>
          <t>环境质量</t>
        </is>
      </c>
      <c r="I12" s="139" t="inlineStr">
        <is>
          <t>地区</t>
        </is>
      </c>
      <c r="J12" s="139" t="inlineStr">
        <is>
          <t>到2020年，规划建设林木种质资源保存库200处、9690公顷。</t>
        </is>
      </c>
      <c r="K12" s="141" t="inlineStr">
        <is>
          <t>PF1101.pdf</t>
        </is>
      </c>
      <c r="L12" s="139" t="inlineStr">
        <is>
          <t>土地利用、土地利用变化和林业</t>
        </is>
      </c>
    </row>
    <row r="13" ht="18" customHeight="1" s="235">
      <c r="A13" s="139" t="n">
        <v>2011</v>
      </c>
      <c r="B13" s="139" t="inlineStr">
        <is>
          <t>林木种质资源保存库面积</t>
        </is>
      </c>
      <c r="C13" s="139" t="inlineStr">
        <is>
          <t>建设</t>
        </is>
      </c>
      <c r="D13" s="139" t="inlineStr">
        <is>
          <t>5000公顷</t>
        </is>
      </c>
      <c r="E13" s="139" t="n"/>
      <c r="F13" s="140" t="inlineStr">
        <is>
          <t>十二五</t>
        </is>
      </c>
      <c r="G13" s="139" t="inlineStr">
        <is>
          <t>新目标</t>
        </is>
      </c>
      <c r="H13" s="139" t="inlineStr">
        <is>
          <t>环境质量</t>
        </is>
      </c>
      <c r="I13" s="139" t="inlineStr">
        <is>
          <t>不明确</t>
        </is>
      </c>
      <c r="J13" s="139" t="inlineStr">
        <is>
          <t>“十二五”期间，建设林木种质资源保存库100处、5000公顷</t>
        </is>
      </c>
      <c r="K13" s="141" t="inlineStr">
        <is>
          <t>PF1101.pdf</t>
        </is>
      </c>
      <c r="L13" s="139" t="inlineStr">
        <is>
          <t>土地利用、土地利用变化和林业</t>
        </is>
      </c>
    </row>
    <row r="14" ht="18" customHeight="1" s="235">
      <c r="A14" s="139" t="n">
        <v>2018</v>
      </c>
      <c r="B14" s="139" t="inlineStr">
        <is>
          <t>国家储备林面积</t>
        </is>
      </c>
      <c r="C14" s="139" t="inlineStr">
        <is>
          <t>建设</t>
        </is>
      </c>
      <c r="D14" s="139" t="inlineStr">
        <is>
          <t>700万公顷</t>
        </is>
      </c>
      <c r="E14" s="139" t="n"/>
      <c r="F14" s="140" t="inlineStr">
        <is>
          <t>2020</t>
        </is>
      </c>
      <c r="G14" s="139" t="inlineStr">
        <is>
          <t>新目标</t>
        </is>
      </c>
      <c r="H14" s="139" t="inlineStr">
        <is>
          <t>碳汇</t>
        </is>
      </c>
      <c r="I14" s="139" t="inlineStr">
        <is>
          <t>全社会经济</t>
        </is>
      </c>
      <c r="J14" s="139" t="inlineStr">
        <is>
          <t>重点实施广西壮族自治区、福建南平、江西吉安等国家储备林示范项目，大力培育和储备珍稀树种及大径级用材等森林资源，到2020年建设国家储备林700万公顷。</t>
        </is>
      </c>
      <c r="K14" s="141" t="inlineStr">
        <is>
          <t>O1801.htm</t>
        </is>
      </c>
      <c r="L14" s="139" t="inlineStr">
        <is>
          <t>土地利用、土地利用变化和林业</t>
        </is>
      </c>
    </row>
    <row r="15" ht="18" customHeight="1" s="235">
      <c r="A15" s="139" t="n">
        <v>2011</v>
      </c>
      <c r="B15" s="139" t="inlineStr">
        <is>
          <t>人工造林更新面积</t>
        </is>
      </c>
      <c r="C15" s="139" t="inlineStr">
        <is>
          <t>更新</t>
        </is>
      </c>
      <c r="D15" s="139" t="inlineStr">
        <is>
          <t>300万公顷</t>
        </is>
      </c>
      <c r="E15" s="139" t="n"/>
      <c r="F15" s="140" t="inlineStr">
        <is>
          <t>十二五</t>
        </is>
      </c>
      <c r="G15" s="139" t="inlineStr">
        <is>
          <t>新目标</t>
        </is>
      </c>
      <c r="H15" s="139" t="inlineStr">
        <is>
          <t>碳汇</t>
        </is>
      </c>
      <c r="I15" s="139" t="inlineStr">
        <is>
          <t>全社会经济</t>
        </is>
      </c>
      <c r="J15" s="139" t="inlineStr">
        <is>
          <t>“十二五”期间，规划人工更新300万公顷。</t>
        </is>
      </c>
      <c r="K15" s="141" t="inlineStr">
        <is>
          <t>PF1101.pdf</t>
        </is>
      </c>
      <c r="L15" s="139" t="inlineStr">
        <is>
          <t>土地利用、土地利用变化和林业</t>
        </is>
      </c>
    </row>
    <row r="16" ht="18" customHeight="1" s="235">
      <c r="A16" s="139" t="n">
        <v>2011</v>
      </c>
      <c r="B16" s="139" t="inlineStr">
        <is>
          <t>人工更新</t>
        </is>
      </c>
      <c r="C16" s="139" t="inlineStr">
        <is>
          <t>完成</t>
        </is>
      </c>
      <c r="D16" s="139" t="inlineStr">
        <is>
          <t>600万公顷</t>
        </is>
      </c>
      <c r="E16" s="139" t="n"/>
      <c r="F16" s="140" t="inlineStr">
        <is>
          <t>2011-2020</t>
        </is>
      </c>
      <c r="G16" s="139" t="inlineStr">
        <is>
          <t>新目标</t>
        </is>
      </c>
      <c r="H16" s="139" t="inlineStr">
        <is>
          <t>碳汇</t>
        </is>
      </c>
      <c r="I16" s="139" t="inlineStr">
        <is>
          <t>全社会经济</t>
        </is>
      </c>
      <c r="J16" s="139" t="inlineStr">
        <is>
          <t>到2020年，规划人工更新600万公顷。</t>
        </is>
      </c>
      <c r="K16" s="141" t="inlineStr">
        <is>
          <t>PF1101.pdf</t>
        </is>
      </c>
      <c r="L16" s="139" t="inlineStr">
        <is>
          <t>土地利用、土地利用变化和林业</t>
        </is>
      </c>
    </row>
    <row r="17" ht="18" customHeight="1" s="235">
      <c r="A17" s="139" t="n">
        <v>2016</v>
      </c>
      <c r="B17" s="139" t="inlineStr">
        <is>
          <t>人工种草保留面积</t>
        </is>
      </c>
      <c r="C17" s="139" t="inlineStr">
        <is>
          <t>规划</t>
        </is>
      </c>
      <c r="D17" s="139" t="inlineStr">
        <is>
          <t>500万公顷</t>
        </is>
      </c>
      <c r="E17" s="139" t="n"/>
      <c r="F17" s="140" t="inlineStr">
        <is>
          <t>十三五</t>
        </is>
      </c>
      <c r="G17" s="139" t="inlineStr">
        <is>
          <t>新目标</t>
        </is>
      </c>
      <c r="H17" s="139" t="inlineStr">
        <is>
          <t>环境质量</t>
        </is>
      </c>
      <c r="I17" s="139" t="inlineStr">
        <is>
          <t>全社会经济</t>
        </is>
      </c>
      <c r="J17" s="139" t="inlineStr">
        <is>
          <t>“十三五”期间，规划人工种草保留面积500万公顷。</t>
        </is>
      </c>
      <c r="K17" s="141" t="inlineStr">
        <is>
          <t>PF1602.pdf</t>
        </is>
      </c>
      <c r="L17" s="139" t="inlineStr">
        <is>
          <t>土地利用、土地利用变化和林业</t>
        </is>
      </c>
    </row>
    <row r="18" ht="18" customHeight="1" s="235">
      <c r="A18" s="139" t="n">
        <v>2011</v>
      </c>
      <c r="B18" s="139" t="inlineStr">
        <is>
          <t>人工种草保留面积</t>
        </is>
      </c>
      <c r="C18" s="139" t="inlineStr">
        <is>
          <t>达到</t>
        </is>
      </c>
      <c r="D18" s="139" t="inlineStr">
        <is>
          <t>1000万公顷</t>
        </is>
      </c>
      <c r="E18" s="139" t="n"/>
      <c r="F18" s="140" t="inlineStr">
        <is>
          <t>十二五</t>
        </is>
      </c>
      <c r="G18" s="139" t="inlineStr">
        <is>
          <t>新目标</t>
        </is>
      </c>
      <c r="H18" s="139" t="inlineStr">
        <is>
          <t>环境质量</t>
        </is>
      </c>
      <c r="I18" s="139" t="inlineStr">
        <is>
          <t>全社会经济</t>
        </is>
      </c>
      <c r="J18" s="139" t="inlineStr">
        <is>
          <t>“十二五”期间，规划人工种草保留面积累计达到1000万公顷。</t>
        </is>
      </c>
      <c r="K18" s="141" t="inlineStr">
        <is>
          <t>PF1101.pdf</t>
        </is>
      </c>
      <c r="L18" s="139" t="inlineStr">
        <is>
          <t>土地利用、土地利用变化和林业</t>
        </is>
      </c>
    </row>
    <row r="19" ht="18" customHeight="1" s="235">
      <c r="A19" s="139" t="n">
        <v>2017</v>
      </c>
      <c r="B19" s="139" t="inlineStr">
        <is>
          <t>基本农田林网控制率</t>
        </is>
      </c>
      <c r="C19" s="139" t="inlineStr">
        <is>
          <t>达到</t>
        </is>
      </c>
      <c r="D19" s="139" t="inlineStr">
        <is>
          <t>95%</t>
        </is>
      </c>
      <c r="E19" s="139" t="n"/>
      <c r="F19" s="140" t="inlineStr">
        <is>
          <t>2020</t>
        </is>
      </c>
      <c r="G19" s="139" t="inlineStr">
        <is>
          <t>新目标</t>
        </is>
      </c>
      <c r="H19" s="139" t="inlineStr">
        <is>
          <t>碳汇</t>
        </is>
      </c>
      <c r="I19" s="139" t="inlineStr">
        <is>
          <t>全社会经济</t>
        </is>
      </c>
      <c r="J19" s="139" t="inlineStr">
        <is>
          <t>到2020年，基本农田林网控制率达到95%以上。</t>
        </is>
      </c>
      <c r="K19" s="141" t="inlineStr">
        <is>
          <t>O1702.htm</t>
        </is>
      </c>
      <c r="L19" s="139" t="inlineStr">
        <is>
          <t>土地利用、土地利用变化和林业</t>
        </is>
      </c>
    </row>
    <row r="20" ht="18" customHeight="1" s="235">
      <c r="A20" s="139" t="n">
        <v>2016</v>
      </c>
      <c r="B20" s="139" t="inlineStr">
        <is>
          <t>城市、乡镇、村屯及军事管理区</t>
        </is>
      </c>
      <c r="C20" s="139" t="inlineStr">
        <is>
          <t>绿化</t>
        </is>
      </c>
      <c r="D20" s="139" t="inlineStr">
        <is>
          <t>138万公顷</t>
        </is>
      </c>
      <c r="E20" s="139" t="n"/>
      <c r="F20" s="140" t="inlineStr">
        <is>
          <t>十三五</t>
        </is>
      </c>
      <c r="G20" s="139" t="inlineStr">
        <is>
          <t>新目标</t>
        </is>
      </c>
      <c r="H20" s="139" t="inlineStr">
        <is>
          <t>环境质量</t>
        </is>
      </c>
      <c r="I20" s="139" t="inlineStr">
        <is>
          <t>城市</t>
        </is>
      </c>
      <c r="J20" s="139" t="inlineStr">
        <is>
          <t>“十三五”期间，规划城市、乡镇、村屯、军事管理区绿化138万公顷。</t>
        </is>
      </c>
      <c r="K20" s="141" t="inlineStr">
        <is>
          <t>PF1602.pdf</t>
        </is>
      </c>
      <c r="L20" s="139" t="inlineStr">
        <is>
          <t>土地利用、土地利用变化和林业</t>
        </is>
      </c>
    </row>
    <row r="21" ht="18" customHeight="1" s="235">
      <c r="A21" s="139" t="n">
        <v>2026</v>
      </c>
      <c r="B21" s="139" t="inlineStr">
        <is>
          <t>滨海湿地恢复</t>
        </is>
      </c>
      <c r="C21" s="139" t="inlineStr">
        <is>
          <t>恢复</t>
        </is>
      </c>
      <c r="D21" s="142" t="inlineStr">
        <is>
          <t>20000公顷</t>
        </is>
      </c>
      <c r="E21" s="139" t="n"/>
      <c r="F21" s="140" t="inlineStr">
        <is>
          <t>十五五</t>
        </is>
      </c>
      <c r="G21" s="140" t="inlineStr">
        <is>
          <t>新目标</t>
        </is>
      </c>
      <c r="H21" s="139" t="inlineStr">
        <is>
          <t>环境质量</t>
        </is>
      </c>
      <c r="I21" s="139" t="inlineStr">
        <is>
          <t>全社会经济</t>
        </is>
      </c>
      <c r="J21" s="139" t="inlineStr">
        <is>
          <t>本规划将全面恢复20000公顷滨海湿地。</t>
        </is>
      </c>
      <c r="K21" s="141" t="inlineStr">
        <is>
          <t>HL2601.pdf</t>
        </is>
      </c>
      <c r="L21" s="139" t="inlineStr">
        <is>
          <t>土地利用、土地利用变化和林业</t>
        </is>
      </c>
    </row>
    <row r="22" ht="18" customHeight="1" s="235">
      <c r="A22" s="139" t="n">
        <v>2026</v>
      </c>
      <c r="B22" s="139" t="inlineStr">
        <is>
          <t>海岸线整治修复长度</t>
        </is>
      </c>
      <c r="C22" s="139" t="inlineStr">
        <is>
          <t>恢复</t>
        </is>
      </c>
      <c r="D22" s="142" t="inlineStr">
        <is>
          <t>400公里</t>
        </is>
      </c>
      <c r="E22" s="139" t="n"/>
      <c r="F22" s="140" t="inlineStr">
        <is>
          <t>十五五</t>
        </is>
      </c>
      <c r="G22" s="140" t="inlineStr">
        <is>
          <t>新目标</t>
        </is>
      </c>
      <c r="H22" s="139" t="inlineStr">
        <is>
          <t>环境质量</t>
        </is>
      </c>
      <c r="I22" s="139" t="inlineStr">
        <is>
          <t>地区</t>
        </is>
      </c>
      <c r="J22" s="139" t="inlineStr">
        <is>
          <t>整治修复海岸线400公里。</t>
        </is>
      </c>
      <c r="K22" s="141" t="inlineStr">
        <is>
          <t>HL2601.pdf</t>
        </is>
      </c>
      <c r="L22" s="139" t="inlineStr">
        <is>
          <t>土地利用、土地利用变化和林业</t>
        </is>
      </c>
    </row>
    <row r="23" ht="18" customHeight="1" s="235">
      <c r="A23" s="139" t="n">
        <v>2021</v>
      </c>
      <c r="B23" s="139" t="inlineStr">
        <is>
          <t>农业绿色防控覆盖率</t>
        </is>
      </c>
      <c r="C23" s="139" t="inlineStr">
        <is>
          <t>达到</t>
        </is>
      </c>
      <c r="D23" s="139" t="inlineStr">
        <is>
          <t>55%</t>
        </is>
      </c>
      <c r="E23" s="139" t="n"/>
      <c r="F23" s="140" t="inlineStr">
        <is>
          <t>2025</t>
        </is>
      </c>
      <c r="G23" s="139" t="inlineStr">
        <is>
          <t>新目标</t>
        </is>
      </c>
      <c r="H23" s="139" t="inlineStr">
        <is>
          <t>环境质量</t>
        </is>
      </c>
      <c r="I23" s="139" t="inlineStr">
        <is>
          <t>全社会经济</t>
        </is>
      </c>
      <c r="J23" s="139" t="inlineStr">
        <is>
          <t>到2025年，农业绿色防控覆盖率达到55%。</t>
        </is>
      </c>
      <c r="K23" s="141" t="inlineStr">
        <is>
          <t>FYP2107.htm</t>
        </is>
      </c>
      <c r="L23" s="139" t="inlineStr">
        <is>
          <t>土地利用、土地利用变化和林业</t>
        </is>
      </c>
    </row>
    <row r="24" ht="18" customHeight="1" s="235">
      <c r="A24" s="139" t="n">
        <v>2021</v>
      </c>
      <c r="B24" s="139" t="inlineStr">
        <is>
          <t>农业统防统治覆盖率</t>
        </is>
      </c>
      <c r="C24" s="139" t="inlineStr">
        <is>
          <t>达到</t>
        </is>
      </c>
      <c r="D24" s="139" t="inlineStr">
        <is>
          <t>45%</t>
        </is>
      </c>
      <c r="E24" s="139" t="n"/>
      <c r="F24" s="140" t="inlineStr">
        <is>
          <t>2025</t>
        </is>
      </c>
      <c r="G24" s="139" t="inlineStr">
        <is>
          <t>新目标</t>
        </is>
      </c>
      <c r="H24" s="139" t="inlineStr">
        <is>
          <t>环境质量</t>
        </is>
      </c>
      <c r="I24" s="139" t="inlineStr">
        <is>
          <t>全社会经济</t>
        </is>
      </c>
      <c r="J24" s="139" t="inlineStr">
        <is>
          <t>到2025年，农业统防统治覆盖率达到45%。</t>
        </is>
      </c>
      <c r="K24" s="141" t="inlineStr">
        <is>
          <t>FYP2107.htm</t>
        </is>
      </c>
      <c r="L24" s="139" t="inlineStr">
        <is>
          <t>土地利用、土地利用变化和林业</t>
        </is>
      </c>
    </row>
    <row r="25" ht="18" customHeight="1" s="235">
      <c r="A25" s="139" t="n">
        <v>2023</v>
      </c>
      <c r="B25" s="139" t="inlineStr">
        <is>
          <t>退化农田</t>
        </is>
      </c>
      <c r="C25" s="139" t="inlineStr">
        <is>
          <t>恢复</t>
        </is>
      </c>
      <c r="D25" s="139" t="inlineStr">
        <is>
          <t>1400万亩</t>
        </is>
      </c>
      <c r="E25" s="139" t="n"/>
      <c r="F25" s="140" t="inlineStr">
        <is>
          <t>2023-2025</t>
        </is>
      </c>
      <c r="G25" s="139" t="inlineStr">
        <is>
          <t>新目标</t>
        </is>
      </c>
      <c r="H25" s="139" t="inlineStr">
        <is>
          <t>环境质量</t>
        </is>
      </c>
      <c r="I25" s="139" t="inlineStr">
        <is>
          <t>全社会经济</t>
        </is>
      </c>
      <c r="J25" s="139" t="inlineStr">
        <is>
          <t>到2025年，恢复退化农田1400万亩。</t>
        </is>
      </c>
      <c r="K25" s="141" t="inlineStr">
        <is>
          <t>HL2302.pdf</t>
        </is>
      </c>
      <c r="L25" s="139" t="inlineStr">
        <is>
          <t>土地利用、土地利用变化和林业</t>
        </is>
      </c>
    </row>
    <row r="26" ht="18" customHeight="1" s="235">
      <c r="A26" s="139" t="n">
        <v>2019</v>
      </c>
      <c r="B26" s="139" t="inlineStr">
        <is>
          <t>荒漠化土地</t>
        </is>
      </c>
      <c r="C26" s="139" t="inlineStr">
        <is>
          <t>修复</t>
        </is>
      </c>
      <c r="D26" s="139" t="inlineStr">
        <is>
          <t>1000万公顷</t>
        </is>
      </c>
      <c r="E26" s="139" t="n"/>
      <c r="F26" s="140" t="inlineStr">
        <is>
          <t>2015</t>
        </is>
      </c>
      <c r="G26" s="139" t="inlineStr">
        <is>
          <t>新目标</t>
        </is>
      </c>
      <c r="H26" s="139" t="inlineStr">
        <is>
          <t>环境质量</t>
        </is>
      </c>
      <c r="I26" s="139" t="inlineStr">
        <is>
          <t>全社会经济</t>
        </is>
      </c>
      <c r="J26" s="139" t="inlineStr">
        <is>
          <t>到2015年，新增治理荒漠化土地面积超过1000万公顷。</t>
        </is>
      </c>
      <c r="K26" s="141" t="inlineStr">
        <is>
          <t>HL1902.pdf</t>
        </is>
      </c>
      <c r="L26" s="139" t="inlineStr">
        <is>
          <t>土地利用、土地利用变化和林业</t>
        </is>
      </c>
    </row>
    <row r="27" ht="18" customHeight="1" s="235">
      <c r="A27" s="139" t="n">
        <v>2008</v>
      </c>
      <c r="B27" s="139" t="inlineStr">
        <is>
          <t>荒漠化土地治理面积</t>
        </is>
      </c>
      <c r="C27" s="139" t="inlineStr">
        <is>
          <t>达到</t>
        </is>
      </c>
      <c r="D27" s="139" t="inlineStr">
        <is>
          <t>2200万公顷</t>
        </is>
      </c>
      <c r="E27" s="139" t="n"/>
      <c r="F27" s="140" t="inlineStr">
        <is>
          <t>2010</t>
        </is>
      </c>
      <c r="G27" s="139" t="inlineStr">
        <is>
          <t>新目标</t>
        </is>
      </c>
      <c r="H27" s="139" t="inlineStr">
        <is>
          <t>环境质量</t>
        </is>
      </c>
      <c r="I27" s="139" t="inlineStr">
        <is>
          <t>全社会经济</t>
        </is>
      </c>
      <c r="J27" s="139" t="inlineStr">
        <is>
          <t>通过加强天然林保护、自然保护区管理、继续实施重点生态修复工程、建立重要生态保护区以及加快自然生态恢复，到2010年，完成2200万公顷荒漠化土地的治理。</t>
        </is>
      </c>
      <c r="K27" s="141" t="inlineStr">
        <is>
          <t>HL0801.pdf</t>
        </is>
      </c>
      <c r="L27" s="139" t="inlineStr">
        <is>
          <t>土地利用、土地利用变化和林业</t>
        </is>
      </c>
    </row>
    <row r="28" ht="18" customHeight="1" s="235">
      <c r="A28" s="139" t="n">
        <v>2019</v>
      </c>
      <c r="B28" s="139" t="inlineStr">
        <is>
          <t>林业有害生物成灾率</t>
        </is>
      </c>
      <c r="C28" s="139" t="inlineStr">
        <is>
          <t>控制在…以下</t>
        </is>
      </c>
      <c r="D28" s="139" t="inlineStr">
        <is>
          <t>4.5‰</t>
        </is>
      </c>
      <c r="E28" s="139" t="n"/>
      <c r="F28" s="140" t="inlineStr">
        <is>
          <t>2015</t>
        </is>
      </c>
      <c r="G28" s="139" t="inlineStr">
        <is>
          <t>重申目标</t>
        </is>
      </c>
      <c r="H28" s="139" t="inlineStr">
        <is>
          <t>环境质量</t>
        </is>
      </c>
      <c r="I28" s="139" t="inlineStr">
        <is>
          <t>行业</t>
        </is>
      </c>
      <c r="J28" s="139" t="inlineStr">
        <is>
          <t>到2015年，将林业有害生物成灾率控制在4.5‰以下。</t>
        </is>
      </c>
      <c r="K28" s="141" t="inlineStr">
        <is>
          <t>HL1902.pdf</t>
        </is>
      </c>
      <c r="L28" s="139" t="inlineStr">
        <is>
          <t>土地利用、土地利用变化和林业</t>
        </is>
      </c>
    </row>
    <row r="29" ht="18" customHeight="1" s="235">
      <c r="A29" s="139" t="n">
        <v>2019</v>
      </c>
      <c r="B29" s="139" t="inlineStr">
        <is>
          <t>林业有害生物成灾率</t>
        </is>
      </c>
      <c r="C29" s="139" t="inlineStr">
        <is>
          <t>降低至</t>
        </is>
      </c>
      <c r="D29" s="139" t="inlineStr">
        <is>
          <t>4‰</t>
        </is>
      </c>
      <c r="E29" s="139" t="n"/>
      <c r="F29" s="140" t="inlineStr">
        <is>
          <t>2020</t>
        </is>
      </c>
      <c r="G29" s="139" t="inlineStr">
        <is>
          <t>新目标</t>
        </is>
      </c>
      <c r="H29" s="139" t="inlineStr">
        <is>
          <t>环境质量</t>
        </is>
      </c>
      <c r="I29" s="139" t="inlineStr">
        <is>
          <t>行业</t>
        </is>
      </c>
      <c r="J29" s="139" t="inlineStr">
        <is>
          <t>到2020年，森林有害生物成灾率控制在4‰以下。</t>
        </is>
      </c>
      <c r="K29" s="141" t="inlineStr">
        <is>
          <t>HL1902.pdf</t>
        </is>
      </c>
      <c r="L29" s="139" t="inlineStr">
        <is>
          <t>土地利用、土地利用变化和林业</t>
        </is>
      </c>
    </row>
    <row r="30" ht="18" customHeight="1" s="235">
      <c r="A30" s="139" t="n">
        <v>2011</v>
      </c>
      <c r="B30" s="139" t="inlineStr">
        <is>
          <t>林业有害生物成灾率</t>
        </is>
      </c>
      <c r="C30" s="139" t="inlineStr">
        <is>
          <t>控制在…以下</t>
        </is>
      </c>
      <c r="D30" s="139" t="inlineStr">
        <is>
          <t>4.5‰以下</t>
        </is>
      </c>
      <c r="E30" s="139" t="n"/>
      <c r="F30" s="140" t="n">
        <v>2015</v>
      </c>
      <c r="G30" s="140" t="inlineStr">
        <is>
          <t>新目标</t>
        </is>
      </c>
      <c r="H30" s="139" t="inlineStr">
        <is>
          <t>环境质量</t>
        </is>
      </c>
      <c r="I30" s="139" t="inlineStr">
        <is>
          <t>行业</t>
        </is>
      </c>
      <c r="J30" s="139" t="inlineStr">
        <is>
          <t>林业有害生物成灾率控制在4.5‰以下</t>
        </is>
      </c>
      <c r="K30" s="141" t="inlineStr">
        <is>
          <t>AP1101.htm</t>
        </is>
      </c>
      <c r="L30" s="139" t="inlineStr">
        <is>
          <t>土地利用、土地利用变化和林业</t>
        </is>
      </c>
    </row>
    <row r="31" ht="18" customHeight="1" s="235">
      <c r="A31" s="139" t="n">
        <v>2008</v>
      </c>
      <c r="B31" s="139" t="inlineStr">
        <is>
          <t>生态恢复土地面积</t>
        </is>
      </c>
      <c r="C31" s="139" t="inlineStr">
        <is>
          <t>达到</t>
        </is>
      </c>
      <c r="D31" s="139" t="inlineStr">
        <is>
          <t>3000万公顷</t>
        </is>
      </c>
      <c r="E31" s="139" t="n"/>
      <c r="F31" s="140" t="inlineStr">
        <is>
          <t>2010</t>
        </is>
      </c>
      <c r="G31" s="139" t="inlineStr">
        <is>
          <t>新目标</t>
        </is>
      </c>
      <c r="H31" s="139" t="inlineStr">
        <is>
          <t>环境质量</t>
        </is>
      </c>
      <c r="I31" s="139" t="inlineStr">
        <is>
          <t>全社会经济</t>
        </is>
      </c>
      <c r="J31" s="139" t="inlineStr">
        <is>
          <t>通过加强天然林保护和自然保护区管理、继续实施重点生态恢复工程、建立重要生态功能区、加大自然生态修复力度，确保到2010年完成3000万公顷土地的生态恢复。</t>
        </is>
      </c>
      <c r="K31" s="141" t="inlineStr">
        <is>
          <t>HL0801.pdf</t>
        </is>
      </c>
      <c r="L31" s="139" t="inlineStr">
        <is>
          <t>土地利用、土地利用变化和林业</t>
        </is>
      </c>
    </row>
    <row r="32" ht="18" customHeight="1" s="235">
      <c r="A32" s="139" t="n">
        <v>2013</v>
      </c>
      <c r="B32" s="139" t="inlineStr">
        <is>
          <t>农业灌溉用水有效利用系数</t>
        </is>
      </c>
      <c r="C32" s="139" t="inlineStr">
        <is>
          <t>达到</t>
        </is>
      </c>
      <c r="D32" s="139" t="inlineStr">
        <is>
          <t>0.53</t>
        </is>
      </c>
      <c r="E32" s="139" t="n"/>
      <c r="F32" s="140" t="inlineStr">
        <is>
          <t>2015</t>
        </is>
      </c>
      <c r="G32" s="139" t="inlineStr">
        <is>
          <t>新目标</t>
        </is>
      </c>
      <c r="H32" s="139" t="inlineStr">
        <is>
          <t>资源效率</t>
        </is>
      </c>
      <c r="I32" s="139" t="inlineStr">
        <is>
          <t>行业</t>
        </is>
      </c>
      <c r="J32" s="139" t="inlineStr">
        <is>
          <t>到2015年，农业灌溉用水有效利用系数达到0.53。</t>
        </is>
      </c>
      <c r="K32" s="141" t="inlineStr">
        <is>
          <t>DP1301.htm</t>
        </is>
      </c>
      <c r="L32" s="139" t="inlineStr">
        <is>
          <t>土地利用、土地利用变化和林业</t>
        </is>
      </c>
    </row>
    <row r="33" ht="18" customHeight="1" s="235">
      <c r="A33" s="139" t="n">
        <v>2015</v>
      </c>
      <c r="B33" s="139" t="inlineStr">
        <is>
          <t>农田灌溉水有效利用系数</t>
        </is>
      </c>
      <c r="C33" s="139" t="inlineStr">
        <is>
          <t>提高至</t>
        </is>
      </c>
      <c r="D33" s="139" t="inlineStr">
        <is>
          <t>0.55以上</t>
        </is>
      </c>
      <c r="E33" s="139" t="n"/>
      <c r="F33" s="140" t="inlineStr">
        <is>
          <t>2020</t>
        </is>
      </c>
      <c r="G33" s="139" t="inlineStr">
        <is>
          <t>新目标</t>
        </is>
      </c>
      <c r="H33" s="139" t="inlineStr">
        <is>
          <t>资源效率</t>
        </is>
      </c>
      <c r="I33" s="139" t="inlineStr">
        <is>
          <t>行业</t>
        </is>
      </c>
      <c r="J33" s="139" t="inlineStr">
        <is>
          <t>到2020年，农田灌溉水有效利用系数提高到0.55以上。</t>
        </is>
      </c>
      <c r="K33" s="141" t="inlineStr">
        <is>
          <t>HL1503.htm</t>
        </is>
      </c>
      <c r="L33" s="139" t="inlineStr">
        <is>
          <t>土地利用、土地利用变化和林业</t>
        </is>
      </c>
    </row>
    <row r="34" ht="18" customHeight="1" s="235">
      <c r="A34" s="139" t="n">
        <v>2024</v>
      </c>
      <c r="B34" s="139" t="inlineStr">
        <is>
          <t>农业灌溉水有效利用系数</t>
        </is>
      </c>
      <c r="C34" s="139" t="inlineStr">
        <is>
          <t>提高至</t>
        </is>
      </c>
      <c r="D34" s="139" t="inlineStr">
        <is>
          <t>0.58</t>
        </is>
      </c>
      <c r="E34" s="139" t="n"/>
      <c r="F34" s="140" t="inlineStr">
        <is>
          <t>2025</t>
        </is>
      </c>
      <c r="G34" s="139" t="inlineStr">
        <is>
          <t>新目标</t>
        </is>
      </c>
      <c r="H34" s="139" t="inlineStr">
        <is>
          <t>资源效率</t>
        </is>
      </c>
      <c r="I34" s="139" t="inlineStr">
        <is>
          <t>行业</t>
        </is>
      </c>
      <c r="J34" s="139" t="inlineStr">
        <is>
          <t>到2025年，将农业灌溉水有效利用系数提高到0.58。</t>
        </is>
      </c>
      <c r="K34" s="141" t="inlineStr">
        <is>
          <t>HL2401.pdf</t>
        </is>
      </c>
      <c r="L34" s="139" t="inlineStr">
        <is>
          <t>土地利用、土地利用变化和林业</t>
        </is>
      </c>
    </row>
    <row r="35" ht="18" customHeight="1" s="235">
      <c r="A35" s="139" t="n">
        <v>2017</v>
      </c>
      <c r="B35" s="139" t="inlineStr">
        <is>
          <t>农田灌溉水有效利用系数</t>
        </is>
      </c>
      <c r="C35" s="139" t="inlineStr">
        <is>
          <t>提高至</t>
        </is>
      </c>
      <c r="D35" s="139" t="inlineStr">
        <is>
          <t>0.55以上</t>
        </is>
      </c>
      <c r="E35" s="139" t="n"/>
      <c r="F35" s="140" t="inlineStr">
        <is>
          <t>2020</t>
        </is>
      </c>
      <c r="G35" s="139" t="inlineStr">
        <is>
          <t>重申目标</t>
        </is>
      </c>
      <c r="H35" s="139" t="inlineStr">
        <is>
          <t>资源效率</t>
        </is>
      </c>
      <c r="I35" s="139" t="inlineStr">
        <is>
          <t>行业</t>
        </is>
      </c>
      <c r="J35" s="139" t="inlineStr">
        <is>
          <t>到2020年，农田灌溉水有效利用系数提高到0.55以上。</t>
        </is>
      </c>
      <c r="K35" s="141" t="inlineStr">
        <is>
          <t>O1702.htm</t>
        </is>
      </c>
      <c r="L35" s="139" t="inlineStr">
        <is>
          <t>土地利用、土地利用变化和林业</t>
        </is>
      </c>
    </row>
    <row r="36" ht="18" customHeight="1" s="235">
      <c r="A36" s="139" t="n">
        <v>2008</v>
      </c>
      <c r="B36" s="139" t="inlineStr">
        <is>
          <t>农业灌溉水有效利用系数</t>
        </is>
      </c>
      <c r="C36" s="139" t="inlineStr">
        <is>
          <t>提高至</t>
        </is>
      </c>
      <c r="D36" s="139" t="inlineStr">
        <is>
          <t>0.5</t>
        </is>
      </c>
      <c r="E36" s="139" t="n"/>
      <c r="F36" s="140" t="inlineStr">
        <is>
          <t>2010</t>
        </is>
      </c>
      <c r="G36" s="139" t="inlineStr">
        <is>
          <t>重申目标</t>
        </is>
      </c>
      <c r="H36" s="139" t="inlineStr">
        <is>
          <t>资源效率</t>
        </is>
      </c>
      <c r="I36" s="139" t="inlineStr">
        <is>
          <t>行业</t>
        </is>
      </c>
      <c r="J36" s="139" t="inlineStr">
        <is>
          <t>通过加强农田基础设施建设、调整种植制度、选育抗逆品种、开发生物技术等适应措施，到2010年，灌溉水利用效率提高至0.5。</t>
        </is>
      </c>
      <c r="K36" s="141" t="inlineStr">
        <is>
          <t>HL0801.pdf</t>
        </is>
      </c>
      <c r="L36" s="139" t="inlineStr">
        <is>
          <t>土地利用、土地利用变化和林业</t>
        </is>
      </c>
    </row>
    <row r="37" ht="18" customHeight="1" s="235">
      <c r="A37" s="139" t="n">
        <v>2007</v>
      </c>
      <c r="B37" s="139" t="inlineStr">
        <is>
          <t>农业灌溉水有效利用系数</t>
        </is>
      </c>
      <c r="C37" s="139" t="inlineStr">
        <is>
          <t>提高至</t>
        </is>
      </c>
      <c r="D37" s="139" t="inlineStr">
        <is>
          <t>0.5</t>
        </is>
      </c>
      <c r="E37" s="139" t="n"/>
      <c r="F37" s="140" t="inlineStr">
        <is>
          <t>2010</t>
        </is>
      </c>
      <c r="G37" s="139" t="inlineStr">
        <is>
          <t>新目标</t>
        </is>
      </c>
      <c r="H37" s="139" t="inlineStr">
        <is>
          <t>资源效率</t>
        </is>
      </c>
      <c r="I37" s="139" t="inlineStr">
        <is>
          <t>行业</t>
        </is>
      </c>
      <c r="J37" s="139" t="inlineStr">
        <is>
          <t>通过加强农田基础设施建设、调整种植制度、选育抗逆品种、发展生物技术等适应性措施，力争到2010年将农业灌溉水有效利用系数提高至0.5。</t>
        </is>
      </c>
      <c r="K37" s="141" t="inlineStr">
        <is>
          <t>HL0701.pdf</t>
        </is>
      </c>
      <c r="L37" s="139" t="inlineStr">
        <is>
          <t>土地利用、土地利用变化和林业</t>
        </is>
      </c>
    </row>
    <row r="38" ht="18" customHeight="1" s="235">
      <c r="A38" s="139" t="n">
        <v>2019</v>
      </c>
      <c r="B38" s="139" t="inlineStr">
        <is>
          <t>农田灌溉水有效利用系数</t>
        </is>
      </c>
      <c r="C38" s="139" t="inlineStr">
        <is>
          <t>提高至</t>
        </is>
      </c>
      <c r="D38" s="139" t="inlineStr">
        <is>
          <t>0.55以上</t>
        </is>
      </c>
      <c r="E38" s="139" t="n"/>
      <c r="F38" s="140" t="inlineStr">
        <is>
          <t>2020</t>
        </is>
      </c>
      <c r="G38" s="140" t="inlineStr">
        <is>
          <t>新目标</t>
        </is>
      </c>
      <c r="H38" s="139" t="inlineStr">
        <is>
          <t>资源效率</t>
        </is>
      </c>
      <c r="I38" s="139" t="inlineStr">
        <is>
          <t>行业</t>
        </is>
      </c>
      <c r="J38" s="139" t="inlineStr">
        <is>
          <t>到2020年，耕地灌溉水有效利用系数提高到0.55以上。</t>
        </is>
      </c>
      <c r="K38" s="141" t="inlineStr">
        <is>
          <t>HL1902.pdf</t>
        </is>
      </c>
      <c r="L38" s="139" t="inlineStr">
        <is>
          <t>土地利用、土地利用变化和林业</t>
        </is>
      </c>
    </row>
    <row r="39" ht="18" customHeight="1" s="235">
      <c r="A39" s="139" t="n">
        <v>2019</v>
      </c>
      <c r="B39" s="139" t="inlineStr">
        <is>
          <t>有效灌溉耕地面积</t>
        </is>
      </c>
      <c r="C39" s="139" t="inlineStr">
        <is>
          <t>超过</t>
        </is>
      </c>
      <c r="D39" s="139" t="inlineStr">
        <is>
          <t>十亿公顷</t>
        </is>
      </c>
      <c r="E39" s="139" t="n"/>
      <c r="F39" s="140" t="inlineStr">
        <is>
          <t>2020</t>
        </is>
      </c>
      <c r="G39" s="139" t="inlineStr">
        <is>
          <t>新目标</t>
        </is>
      </c>
      <c r="H39" s="139" t="inlineStr">
        <is>
          <t>资源效率</t>
        </is>
      </c>
      <c r="I39" s="139" t="inlineStr">
        <is>
          <t>行业</t>
        </is>
      </c>
      <c r="J39" s="139" t="inlineStr">
        <is>
          <t>到2020年，有效灌溉耕地面积将超过十亿公顷。</t>
        </is>
      </c>
      <c r="K39" s="141" t="inlineStr">
        <is>
          <t>HL1902.pdf</t>
        </is>
      </c>
      <c r="L39" s="139" t="inlineStr">
        <is>
          <t>土地利用、土地利用变化和林业</t>
        </is>
      </c>
    </row>
    <row r="40" ht="18" customHeight="1" s="235">
      <c r="A40" s="139" t="n">
        <v>2016</v>
      </c>
      <c r="B40" s="139" t="inlineStr">
        <is>
          <t>森林面积</t>
        </is>
      </c>
      <c r="C40" s="139" t="inlineStr">
        <is>
          <t>培育</t>
        </is>
      </c>
      <c r="D40" s="139" t="inlineStr">
        <is>
          <t>4000万公顷</t>
        </is>
      </c>
      <c r="E40" s="139" t="n"/>
      <c r="F40" s="140" t="inlineStr">
        <is>
          <t>十三五</t>
        </is>
      </c>
      <c r="G40" s="139" t="inlineStr">
        <is>
          <t>重申目标</t>
        </is>
      </c>
      <c r="H40" s="139" t="inlineStr">
        <is>
          <t>碳汇</t>
        </is>
      </c>
      <c r="I40" s="139" t="inlineStr">
        <is>
          <t>全社会经济</t>
        </is>
      </c>
      <c r="J40" s="139" t="inlineStr">
        <is>
          <t>十三五期间，规划森林抚育4000万公顷。</t>
        </is>
      </c>
      <c r="K40" s="141" t="inlineStr">
        <is>
          <t>PF1602.pdf</t>
        </is>
      </c>
      <c r="L40" s="139" t="inlineStr">
        <is>
          <t>土地利用、土地利用变化和林业</t>
        </is>
      </c>
    </row>
    <row r="41" ht="18" customHeight="1" s="235">
      <c r="A41" s="139" t="n">
        <v>2009</v>
      </c>
      <c r="B41" s="139" t="inlineStr">
        <is>
          <t>森林面积</t>
        </is>
      </c>
      <c r="C41" s="139" t="inlineStr">
        <is>
          <t>提高</t>
        </is>
      </c>
      <c r="D41" s="139" t="inlineStr">
        <is>
          <t>4000万公顷</t>
        </is>
      </c>
      <c r="E41" s="139" t="n">
        <v>2005</v>
      </c>
      <c r="F41" s="140" t="n">
        <v>2020</v>
      </c>
      <c r="G41" s="139" t="inlineStr">
        <is>
          <t>重申目标</t>
        </is>
      </c>
      <c r="H41" s="139" t="inlineStr">
        <is>
          <t>碳汇</t>
        </is>
      </c>
      <c r="I41" s="139" t="inlineStr">
        <is>
          <t>全社会经济</t>
        </is>
      </c>
      <c r="J41" s="139" t="inlineStr">
        <is>
          <t>在2009年联合国气候变化峰会上，胡锦涛主席向全世界庄严承诺：“大力增加森林碳汇，争取到2020年森林面积比2005年增加4000万公顷。”</t>
        </is>
      </c>
      <c r="K41" s="141" t="inlineStr">
        <is>
          <t>PF1101.pdf</t>
        </is>
      </c>
      <c r="L41" s="139" t="inlineStr">
        <is>
          <t>土地利用、土地利用变化和林业</t>
        </is>
      </c>
    </row>
    <row r="42" ht="18" customHeight="1" s="235">
      <c r="A42" s="139" t="n">
        <v>2017</v>
      </c>
      <c r="B42" s="139" t="inlineStr">
        <is>
          <t>森林面积</t>
        </is>
      </c>
      <c r="C42" s="139" t="inlineStr">
        <is>
          <t>提高</t>
        </is>
      </c>
      <c r="D42" s="139" t="inlineStr">
        <is>
          <t>4000万公顷</t>
        </is>
      </c>
      <c r="E42" s="139" t="n">
        <v>2005</v>
      </c>
      <c r="F42" s="140" t="n">
        <v>2020</v>
      </c>
      <c r="G42" s="139" t="inlineStr">
        <is>
          <t>重申目标</t>
        </is>
      </c>
      <c r="H42" s="139" t="inlineStr">
        <is>
          <t>碳汇</t>
        </is>
      </c>
      <c r="I42" s="139" t="inlineStr">
        <is>
          <t>全社会经济</t>
        </is>
      </c>
      <c r="J42" s="139" t="inlineStr">
        <is>
          <t>根据中国政府提出的国家适当减缓行动，例如到2020年森林面积比2005年增加4000万公顷。</t>
        </is>
      </c>
      <c r="K42" s="141" t="inlineStr">
        <is>
          <t>HL1701.pdf</t>
        </is>
      </c>
      <c r="L42" s="139" t="inlineStr">
        <is>
          <t>土地利用、土地利用变化和林业</t>
        </is>
      </c>
    </row>
    <row r="43" ht="18" customHeight="1" s="235">
      <c r="A43" s="139" t="n">
        <v>2012</v>
      </c>
      <c r="B43" s="139" t="inlineStr">
        <is>
          <t>森林面积</t>
        </is>
      </c>
      <c r="C43" s="139" t="inlineStr">
        <is>
          <t>提高</t>
        </is>
      </c>
      <c r="D43" s="139" t="inlineStr">
        <is>
          <t>4000万公顷</t>
        </is>
      </c>
      <c r="E43" s="139" t="n">
        <v>2005</v>
      </c>
      <c r="F43" s="140" t="inlineStr">
        <is>
          <t>2020</t>
        </is>
      </c>
      <c r="G43" s="139" t="inlineStr">
        <is>
          <t>重申目标</t>
        </is>
      </c>
      <c r="H43" s="139" t="inlineStr">
        <is>
          <t>碳汇</t>
        </is>
      </c>
      <c r="I43" s="139" t="inlineStr">
        <is>
          <t>全社会经济</t>
        </is>
      </c>
      <c r="J43" s="139" t="inlineStr">
        <is>
          <t>通过大力推进植树造林和可持续森林管理，为到2020年森林面积比2005年增加4000万公顷奠定坚实基础。</t>
        </is>
      </c>
      <c r="K43" s="141" t="inlineStr">
        <is>
          <t>HL1201.pdf</t>
        </is>
      </c>
      <c r="L43" s="139" t="inlineStr">
        <is>
          <t>土地利用、土地利用变化和林业</t>
        </is>
      </c>
    </row>
    <row r="44" ht="18" customHeight="1" s="235">
      <c r="A44" s="139" t="n">
        <v>2019</v>
      </c>
      <c r="B44" s="139" t="inlineStr">
        <is>
          <t>森林面积</t>
        </is>
      </c>
      <c r="C44" s="139" t="inlineStr">
        <is>
          <t>提高</t>
        </is>
      </c>
      <c r="D44" s="139" t="inlineStr">
        <is>
          <t>4000万公顷</t>
        </is>
      </c>
      <c r="E44" s="139" t="n">
        <v>2005</v>
      </c>
      <c r="F44" s="140" t="inlineStr">
        <is>
          <t>2020</t>
        </is>
      </c>
      <c r="G44" s="139" t="inlineStr">
        <is>
          <t>重申目标</t>
        </is>
      </c>
      <c r="H44" s="139" t="inlineStr">
        <is>
          <t>碳汇</t>
        </is>
      </c>
      <c r="I44" s="139" t="inlineStr">
        <is>
          <t>全社会经济</t>
        </is>
      </c>
      <c r="J44" s="139" t="inlineStr">
        <is>
          <t>到2020年，中国将在2005年基础上新增森林面积4000万公顷。</t>
        </is>
      </c>
      <c r="K44" s="141" t="inlineStr">
        <is>
          <t>HL1902.pdf</t>
        </is>
      </c>
      <c r="L44" s="139" t="inlineStr">
        <is>
          <t>土地利用、土地利用变化和林业</t>
        </is>
      </c>
    </row>
    <row r="45" ht="18" customHeight="1" s="235">
      <c r="A45" s="139" t="n">
        <v>2016</v>
      </c>
      <c r="B45" s="139" t="inlineStr">
        <is>
          <t>森林面积</t>
        </is>
      </c>
      <c r="C45" s="139" t="inlineStr">
        <is>
          <t>提高</t>
        </is>
      </c>
      <c r="D45" s="139" t="inlineStr">
        <is>
          <t>4000万公顷</t>
        </is>
      </c>
      <c r="E45" s="139" t="n">
        <v>2005</v>
      </c>
      <c r="F45" s="140" t="n">
        <v>2020</v>
      </c>
      <c r="G45" s="139" t="inlineStr">
        <is>
          <t>重申目标</t>
        </is>
      </c>
      <c r="H45" s="139" t="inlineStr">
        <is>
          <t>碳汇</t>
        </is>
      </c>
      <c r="I45" s="139" t="inlineStr">
        <is>
          <t>全社会经济</t>
        </is>
      </c>
      <c r="J45" s="139" t="inlineStr">
        <is>
          <t>在2005年基础上，到2020年森林面积增加4000万公顷</t>
        </is>
      </c>
      <c r="K45" s="141" t="inlineStr">
        <is>
          <t>AP1603.htm</t>
        </is>
      </c>
      <c r="L45" s="139" t="inlineStr">
        <is>
          <t>土地利用、土地利用变化和林业</t>
        </is>
      </c>
    </row>
    <row r="46" ht="18" customHeight="1" s="235">
      <c r="A46" s="139" t="n">
        <v>2012</v>
      </c>
      <c r="B46" s="139" t="inlineStr">
        <is>
          <t>森林面积</t>
        </is>
      </c>
      <c r="C46" s="139" t="inlineStr">
        <is>
          <t>提高</t>
        </is>
      </c>
      <c r="D46" s="139" t="inlineStr">
        <is>
          <t>4000万公顷</t>
        </is>
      </c>
      <c r="E46" s="139" t="n">
        <v>2005</v>
      </c>
      <c r="F46" s="140" t="inlineStr">
        <is>
          <t>2020</t>
        </is>
      </c>
      <c r="G46" s="139" t="inlineStr">
        <is>
          <t>重申目标</t>
        </is>
      </c>
      <c r="H46" s="139" t="inlineStr">
        <is>
          <t>碳汇</t>
        </is>
      </c>
      <c r="I46" s="139" t="inlineStr">
        <is>
          <t>全社会经济</t>
        </is>
      </c>
      <c r="J46" s="139" t="inlineStr">
        <is>
          <t>中国政府宣布，到2020年，森林面积将比2005年增加4000万公顷。</t>
        </is>
      </c>
      <c r="K46" s="141" t="inlineStr">
        <is>
          <t>HL1201.pdf</t>
        </is>
      </c>
      <c r="L46" s="139" t="inlineStr">
        <is>
          <t>土地利用、土地利用变化和林业</t>
        </is>
      </c>
    </row>
    <row r="47" ht="18" customHeight="1" s="235">
      <c r="A47" s="139" t="n">
        <v>2012</v>
      </c>
      <c r="B47" s="139" t="inlineStr">
        <is>
          <t>森林面积</t>
        </is>
      </c>
      <c r="C47" s="139" t="inlineStr">
        <is>
          <t>提高</t>
        </is>
      </c>
      <c r="D47" s="139" t="inlineStr">
        <is>
          <t>4000万公顷</t>
        </is>
      </c>
      <c r="E47" s="139" t="n">
        <v>2005</v>
      </c>
      <c r="F47" s="140" t="inlineStr">
        <is>
          <t>2020</t>
        </is>
      </c>
      <c r="G47" s="139" t="inlineStr">
        <is>
          <t>重申目标</t>
        </is>
      </c>
      <c r="H47" s="139" t="inlineStr">
        <is>
          <t>碳汇</t>
        </is>
      </c>
      <c r="I47" s="139" t="inlineStr">
        <is>
          <t>全社会经济</t>
        </is>
      </c>
      <c r="J47" s="139" t="inlineStr">
        <is>
          <t>通过造林和加强森林管理，到2020年森林面积将比2005年增加4000万公顷。</t>
        </is>
      </c>
      <c r="K47" s="141" t="inlineStr">
        <is>
          <t>HL1201.pdf</t>
        </is>
      </c>
      <c r="L47" s="139" t="inlineStr">
        <is>
          <t>土地利用、土地利用变化和林业</t>
        </is>
      </c>
    </row>
    <row r="48" ht="18" customHeight="1" s="235">
      <c r="A48" s="139" t="n">
        <v>2019</v>
      </c>
      <c r="B48" s="139" t="inlineStr">
        <is>
          <t>森林面积</t>
        </is>
      </c>
      <c r="C48" s="139" t="inlineStr">
        <is>
          <t>提高</t>
        </is>
      </c>
      <c r="D48" s="139" t="inlineStr">
        <is>
          <t>4000万公顷</t>
        </is>
      </c>
      <c r="E48" s="139" t="n">
        <v>2005</v>
      </c>
      <c r="F48" s="140" t="inlineStr">
        <is>
          <t>2020</t>
        </is>
      </c>
      <c r="G48" s="139" t="inlineStr">
        <is>
          <t>重申目标</t>
        </is>
      </c>
      <c r="H48" s="139" t="inlineStr">
        <is>
          <t>碳汇</t>
        </is>
      </c>
      <c r="I48" s="139" t="inlineStr">
        <is>
          <t>全社会经济</t>
        </is>
      </c>
      <c r="J48" s="139" t="inlineStr">
        <is>
          <t>到2020年，在2005年基础上增加森林面积4000万公顷</t>
        </is>
      </c>
      <c r="K48" s="141" t="inlineStr">
        <is>
          <t>HL1902.pdf</t>
        </is>
      </c>
      <c r="L48" s="139" t="inlineStr">
        <is>
          <t>土地利用、土地利用变化和林业</t>
        </is>
      </c>
    </row>
    <row r="49" ht="18" customHeight="1" s="235">
      <c r="A49" s="139" t="n">
        <v>2014</v>
      </c>
      <c r="B49" s="139" t="inlineStr">
        <is>
          <t>森林面积</t>
        </is>
      </c>
      <c r="C49" s="139" t="inlineStr">
        <is>
          <t>提高</t>
        </is>
      </c>
      <c r="D49" s="139" t="inlineStr">
        <is>
          <t>4000万公顷</t>
        </is>
      </c>
      <c r="E49" s="139" t="n">
        <v>2005</v>
      </c>
      <c r="F49" s="140" t="n">
        <v>2020</v>
      </c>
      <c r="G49" s="139" t="inlineStr">
        <is>
          <t>重申目标</t>
        </is>
      </c>
      <c r="H49" s="139" t="inlineStr">
        <is>
          <t>碳汇</t>
        </is>
      </c>
      <c r="I49" s="139" t="inlineStr">
        <is>
          <t>全社会经济</t>
        </is>
      </c>
      <c r="J49" s="139" t="inlineStr">
        <is>
          <t>在到2020年实现森林面积比2005年净增4000万公顷的目标基础上，国家林业局加快推进《全国造林绿化规划纲要（2011-2020年）》的实施。</t>
        </is>
      </c>
      <c r="K49" s="141" t="inlineStr">
        <is>
          <t>HL1402.pdf</t>
        </is>
      </c>
      <c r="L49" s="139" t="inlineStr">
        <is>
          <t>土地利用、土地利用变化和林业</t>
        </is>
      </c>
    </row>
    <row r="50" ht="18" customHeight="1" s="235">
      <c r="A50" s="139" t="n">
        <v>2018</v>
      </c>
      <c r="B50" s="139" t="inlineStr">
        <is>
          <t>森林城市</t>
        </is>
      </c>
      <c r="C50" s="139" t="inlineStr">
        <is>
          <t>建设</t>
        </is>
      </c>
      <c r="D50" s="139" t="inlineStr">
        <is>
          <t>200个</t>
        </is>
      </c>
      <c r="E50" s="139" t="n"/>
      <c r="F50" s="140" t="inlineStr">
        <is>
          <t>2020</t>
        </is>
      </c>
      <c r="G50" s="139" t="inlineStr">
        <is>
          <t>新目标</t>
        </is>
      </c>
      <c r="H50" s="139" t="inlineStr">
        <is>
          <t>环境质量</t>
        </is>
      </c>
      <c r="I50" s="139" t="inlineStr">
        <is>
          <t>城市</t>
        </is>
      </c>
      <c r="J50" s="139" t="inlineStr">
        <is>
          <t>到2020年，建成200个国家森林城市。</t>
        </is>
      </c>
      <c r="K50" s="141" t="inlineStr">
        <is>
          <t>O1801.htm</t>
        </is>
      </c>
      <c r="L50" s="139" t="inlineStr">
        <is>
          <t>土地利用、土地利用变化和林业</t>
        </is>
      </c>
    </row>
    <row r="51" ht="18" customHeight="1" s="235">
      <c r="A51" s="139" t="n">
        <v>2018</v>
      </c>
      <c r="B51" s="139" t="inlineStr">
        <is>
          <t>国家级森林城市群</t>
        </is>
      </c>
      <c r="C51" s="139" t="inlineStr">
        <is>
          <t>建设</t>
        </is>
      </c>
      <c r="D51" s="139" t="inlineStr">
        <is>
          <t>6个</t>
        </is>
      </c>
      <c r="E51" s="139" t="n"/>
      <c r="F51" s="140" t="inlineStr">
        <is>
          <t>2020</t>
        </is>
      </c>
      <c r="G51" s="139" t="inlineStr">
        <is>
          <t>新目标</t>
        </is>
      </c>
      <c r="H51" s="139" t="inlineStr">
        <is>
          <t>环境质量</t>
        </is>
      </c>
      <c r="I51" s="139" t="inlineStr">
        <is>
          <t>城市</t>
        </is>
      </c>
      <c r="J51" s="139" t="inlineStr">
        <is>
          <t>到2020年，建成6个国家级森林城市群。</t>
        </is>
      </c>
      <c r="K51" s="141" t="inlineStr">
        <is>
          <t>O1801.htm</t>
        </is>
      </c>
      <c r="L51" s="139" t="inlineStr">
        <is>
          <t>土地利用、土地利用变化和林业</t>
        </is>
      </c>
    </row>
    <row r="52" ht="18" customHeight="1" s="235">
      <c r="A52" s="139" t="n">
        <v>2026</v>
      </c>
      <c r="B52" s="139" t="inlineStr">
        <is>
          <t>森林覆盖率</t>
        </is>
      </c>
      <c r="C52" s="139" t="inlineStr">
        <is>
          <t>达到</t>
        </is>
      </c>
      <c r="D52" s="143" t="inlineStr">
        <is>
          <t>25.8%</t>
        </is>
      </c>
      <c r="E52" s="139" t="n"/>
      <c r="F52" s="140" t="n">
        <v>2030</v>
      </c>
      <c r="G52" s="139" t="inlineStr">
        <is>
          <t>新目标</t>
        </is>
      </c>
      <c r="H52" s="139" t="inlineStr">
        <is>
          <t>碳汇</t>
        </is>
      </c>
      <c r="I52" s="139" t="inlineStr">
        <is>
          <t>全社会经济</t>
        </is>
      </c>
      <c r="J52" s="139" t="inlineStr">
        <is>
          <t>到2030年，森林覆盖率达到25.8%。</t>
        </is>
      </c>
      <c r="K52" s="141" t="inlineStr">
        <is>
          <t>HL2601.pdf</t>
        </is>
      </c>
      <c r="L52" s="139" t="inlineStr">
        <is>
          <t>土地利用、土地利用变化和林业</t>
        </is>
      </c>
    </row>
    <row r="53" ht="18" customHeight="1" s="235">
      <c r="A53" s="139" t="n">
        <v>2008</v>
      </c>
      <c r="B53" s="139" t="inlineStr">
        <is>
          <t>森林覆盖率</t>
        </is>
      </c>
      <c r="C53" s="139" t="inlineStr">
        <is>
          <t>提高至</t>
        </is>
      </c>
      <c r="D53" s="139" t="inlineStr">
        <is>
          <t>20%</t>
        </is>
      </c>
      <c r="E53" s="139" t="n">
        <v>2005</v>
      </c>
      <c r="F53" s="140" t="n">
        <v>2010</v>
      </c>
      <c r="G53" s="139" t="inlineStr">
        <is>
          <t>重申目标</t>
        </is>
      </c>
      <c r="H53" s="139" t="inlineStr">
        <is>
          <t>碳汇</t>
        </is>
      </c>
      <c r="I53" s="139" t="inlineStr">
        <is>
          <t>全社会经济</t>
        </is>
      </c>
      <c r="J53" s="139" t="inlineStr">
        <is>
          <t>努力使森林覆盖率达到20%（较2005年水平），于2010年实现该目标。</t>
        </is>
      </c>
      <c r="K53" s="141" t="inlineStr">
        <is>
          <t>HL0801.pdf</t>
        </is>
      </c>
      <c r="L53" s="139" t="inlineStr">
        <is>
          <t>土地利用、土地利用变化和林业</t>
        </is>
      </c>
    </row>
    <row r="54" ht="18" customHeight="1" s="235">
      <c r="A54" s="139" t="n">
        <v>2009</v>
      </c>
      <c r="B54" s="139" t="inlineStr">
        <is>
          <t>森林面积</t>
        </is>
      </c>
      <c r="C54" s="139" t="inlineStr">
        <is>
          <t>提高</t>
        </is>
      </c>
      <c r="D54" s="139" t="inlineStr">
        <is>
          <t>4000万公顷</t>
        </is>
      </c>
      <c r="E54" s="139" t="n">
        <v>2005</v>
      </c>
      <c r="F54" s="140" t="inlineStr">
        <is>
          <t>2020</t>
        </is>
      </c>
      <c r="G54" s="139" t="inlineStr">
        <is>
          <t>新目标</t>
        </is>
      </c>
      <c r="H54" s="139" t="inlineStr">
        <is>
          <t>碳汇</t>
        </is>
      </c>
      <c r="I54" s="139" t="inlineStr">
        <is>
          <t>全社会经济</t>
        </is>
      </c>
      <c r="J54" s="139" t="inlineStr">
        <is>
          <t>我们将努力到2020年，使森林面积比2005年增加4000万公顷。</t>
        </is>
      </c>
      <c r="K54" s="141" t="inlineStr">
        <is>
          <t>HL0901.pdf</t>
        </is>
      </c>
      <c r="L54" s="139" t="inlineStr">
        <is>
          <t>土地利用、土地利用变化和林业</t>
        </is>
      </c>
    </row>
    <row r="55" ht="18" customHeight="1" s="235">
      <c r="A55" s="139" t="n">
        <v>2007</v>
      </c>
      <c r="B55" s="139" t="inlineStr">
        <is>
          <t>森林覆盖率</t>
        </is>
      </c>
      <c r="C55" s="139" t="inlineStr">
        <is>
          <t>提高至</t>
        </is>
      </c>
      <c r="D55" s="139" t="inlineStr">
        <is>
          <t>20%</t>
        </is>
      </c>
      <c r="E55" s="139" t="n"/>
      <c r="F55" s="140" t="inlineStr">
        <is>
          <t>2010</t>
        </is>
      </c>
      <c r="G55" s="139" t="inlineStr">
        <is>
          <t>新目标</t>
        </is>
      </c>
      <c r="H55" s="139" t="inlineStr">
        <is>
          <t>碳汇</t>
        </is>
      </c>
      <c r="I55" s="139" t="inlineStr">
        <is>
          <t>全社会经济</t>
        </is>
      </c>
      <c r="J55" s="139" t="inlineStr">
        <is>
          <t>到2010年，将森林覆盖率提高至20%。</t>
        </is>
      </c>
      <c r="K55" s="141" t="inlineStr">
        <is>
          <t>HL0701.pdf</t>
        </is>
      </c>
      <c r="L55" s="139" t="inlineStr">
        <is>
          <t>土地利用、土地利用变化和林业</t>
        </is>
      </c>
    </row>
    <row r="56" ht="18" customHeight="1" s="235">
      <c r="A56" s="139" t="n">
        <v>2012</v>
      </c>
      <c r="B56" s="139" t="inlineStr">
        <is>
          <t>森林覆盖率</t>
        </is>
      </c>
      <c r="C56" s="139" t="inlineStr">
        <is>
          <t>提高至</t>
        </is>
      </c>
      <c r="D56" s="139" t="inlineStr">
        <is>
          <t>21.66%</t>
        </is>
      </c>
      <c r="E56" s="139" t="n"/>
      <c r="F56" s="140" t="inlineStr">
        <is>
          <t>十二五</t>
        </is>
      </c>
      <c r="G56" s="139" t="inlineStr">
        <is>
          <t>重申目标</t>
        </is>
      </c>
      <c r="H56" s="139" t="inlineStr">
        <is>
          <t>碳汇</t>
        </is>
      </c>
      <c r="I56" s="139" t="inlineStr">
        <is>
          <t>全社会经济</t>
        </is>
      </c>
      <c r="J56" s="139" t="inlineStr">
        <is>
          <t>“十二五”规划设定了将森林覆盖率提高至21.66%的目标。</t>
        </is>
      </c>
      <c r="K56" s="141" t="inlineStr">
        <is>
          <t>HL1201.pdf</t>
        </is>
      </c>
      <c r="L56" s="139" t="inlineStr">
        <is>
          <t>土地利用、土地利用变化和林业</t>
        </is>
      </c>
    </row>
    <row r="57" ht="18" customHeight="1" s="235">
      <c r="A57" s="139" t="n">
        <v>2012</v>
      </c>
      <c r="B57" s="139" t="inlineStr">
        <is>
          <t>森林覆盖率</t>
        </is>
      </c>
      <c r="C57" s="139" t="inlineStr">
        <is>
          <t>提高至</t>
        </is>
      </c>
      <c r="D57" s="139" t="inlineStr">
        <is>
          <t>21.66%</t>
        </is>
      </c>
      <c r="E57" s="139" t="n"/>
      <c r="F57" s="140" t="inlineStr">
        <is>
          <t>十二五</t>
        </is>
      </c>
      <c r="G57" s="139" t="inlineStr">
        <is>
          <t>重申目标</t>
        </is>
      </c>
      <c r="H57" s="139" t="inlineStr">
        <is>
          <t>碳汇</t>
        </is>
      </c>
      <c r="I57" s="139" t="inlineStr">
        <is>
          <t>全社会经济</t>
        </is>
      </c>
      <c r="J57" s="139" t="inlineStr">
        <is>
          <t>《中华人民共和国国民经济和社会发展第十二个五年规划纲要》首次将森林覆盖率提高到21.66%作为约束性目标。</t>
        </is>
      </c>
      <c r="K57" s="141" t="inlineStr">
        <is>
          <t>HL1201.pdf</t>
        </is>
      </c>
      <c r="L57" s="139" t="inlineStr">
        <is>
          <t>土地利用、土地利用变化和林业</t>
        </is>
      </c>
    </row>
    <row r="58" ht="18" customHeight="1" s="235">
      <c r="A58" s="139" t="n">
        <v>2012</v>
      </c>
      <c r="B58" s="139" t="inlineStr">
        <is>
          <t>森林覆盖率</t>
        </is>
      </c>
      <c r="C58" s="139" t="inlineStr">
        <is>
          <t>实现</t>
        </is>
      </c>
      <c r="D58" s="139" t="inlineStr">
        <is>
          <t>21.66%</t>
        </is>
      </c>
      <c r="E58" s="139" t="n"/>
      <c r="F58" s="140" t="inlineStr">
        <is>
          <t>十二五</t>
        </is>
      </c>
      <c r="G58" s="139" t="inlineStr">
        <is>
          <t>重申目标</t>
        </is>
      </c>
      <c r="H58" s="139" t="inlineStr">
        <is>
          <t>碳汇</t>
        </is>
      </c>
      <c r="I58" s="139" t="inlineStr">
        <is>
          <t>全社会经济</t>
        </is>
      </c>
      <c r="J58" s="139" t="inlineStr">
        <is>
          <t>通过大力开展植树造林和可持续森林管理，在第十二个五年规划期间（2011-2015年），力争森林覆盖率达到21.66%。</t>
        </is>
      </c>
      <c r="K58" s="141" t="inlineStr">
        <is>
          <t>HL1201.pdf</t>
        </is>
      </c>
      <c r="L58" s="139" t="inlineStr">
        <is>
          <t>土地利用、土地利用变化和林业</t>
        </is>
      </c>
    </row>
    <row r="59" ht="18" customHeight="1" s="235">
      <c r="A59" s="139" t="n">
        <v>2016</v>
      </c>
      <c r="B59" s="139" t="inlineStr">
        <is>
          <t>森林覆盖率</t>
        </is>
      </c>
      <c r="C59" s="139" t="inlineStr">
        <is>
          <t>提高至</t>
        </is>
      </c>
      <c r="D59" s="139" t="inlineStr">
        <is>
          <t>21.66%</t>
        </is>
      </c>
      <c r="E59" s="139" t="n"/>
      <c r="F59" s="140" t="inlineStr">
        <is>
          <t>十二五</t>
        </is>
      </c>
      <c r="G59" s="139" t="inlineStr">
        <is>
          <t>重申目标</t>
        </is>
      </c>
      <c r="H59" s="139" t="inlineStr">
        <is>
          <t>碳汇</t>
        </is>
      </c>
      <c r="I59" s="139" t="inlineStr">
        <is>
          <t>全社会经济</t>
        </is>
      </c>
      <c r="J59" s="139" t="inlineStr">
        <is>
          <t>提出“十二五”期间森林覆盖率提高到21.66%</t>
        </is>
      </c>
      <c r="K59" s="141" t="inlineStr">
        <is>
          <t>AP1603.htm</t>
        </is>
      </c>
      <c r="L59" s="139" t="inlineStr">
        <is>
          <t>土地利用、土地利用变化和林业</t>
        </is>
      </c>
    </row>
    <row r="60" ht="18" customHeight="1" s="235">
      <c r="A60" s="139" t="n">
        <v>2011</v>
      </c>
      <c r="B60" s="139" t="inlineStr">
        <is>
          <t>森林覆盖率</t>
        </is>
      </c>
      <c r="C60" s="139" t="inlineStr">
        <is>
          <t>提高至</t>
        </is>
      </c>
      <c r="D60" s="139" t="inlineStr">
        <is>
          <t>21.66%</t>
        </is>
      </c>
      <c r="E60" s="139" t="n"/>
      <c r="F60" s="140" t="inlineStr">
        <is>
          <t>2015</t>
        </is>
      </c>
      <c r="G60" s="139" t="inlineStr">
        <is>
          <t>新目标</t>
        </is>
      </c>
      <c r="H60" s="139" t="inlineStr">
        <is>
          <t>碳汇</t>
        </is>
      </c>
      <c r="I60" s="139" t="inlineStr">
        <is>
          <t>全社会经济</t>
        </is>
      </c>
      <c r="J60" s="139" t="inlineStr">
        <is>
          <t>到2015年，森林覆盖率提高到21.66%。</t>
        </is>
      </c>
      <c r="K60" s="141" t="inlineStr">
        <is>
          <t>HL1101.pdf</t>
        </is>
      </c>
      <c r="L60" s="139" t="inlineStr">
        <is>
          <t>土地利用、土地利用变化和林业</t>
        </is>
      </c>
    </row>
    <row r="61" ht="18" customHeight="1" s="235">
      <c r="A61" s="139" t="n">
        <v>2016</v>
      </c>
      <c r="B61" s="139" t="inlineStr">
        <is>
          <t>森林覆盖率</t>
        </is>
      </c>
      <c r="C61" s="139" t="inlineStr">
        <is>
          <t>达到</t>
        </is>
      </c>
      <c r="D61" s="139" t="inlineStr">
        <is>
          <t>23.04%</t>
        </is>
      </c>
      <c r="E61" s="139" t="n"/>
      <c r="F61" s="140" t="inlineStr">
        <is>
          <t>2020</t>
        </is>
      </c>
      <c r="G61" s="139" t="inlineStr">
        <is>
          <t>新目标</t>
        </is>
      </c>
      <c r="H61" s="139" t="inlineStr">
        <is>
          <t>碳汇</t>
        </is>
      </c>
      <c r="I61" s="139" t="inlineStr">
        <is>
          <t>全社会经济</t>
        </is>
      </c>
      <c r="J61" s="139" t="inlineStr">
        <is>
          <t>到2020年，森林覆盖率达到23.04%。</t>
        </is>
      </c>
      <c r="K61" s="141" t="inlineStr">
        <is>
          <t>FYP1615.htm</t>
        </is>
      </c>
      <c r="L61" s="139" t="inlineStr">
        <is>
          <t>土地利用、土地利用变化和林业</t>
        </is>
      </c>
    </row>
    <row r="62" ht="18" customHeight="1" s="235">
      <c r="A62" s="139" t="n">
        <v>2019</v>
      </c>
      <c r="B62" s="139" t="inlineStr">
        <is>
          <t>森林覆盖率</t>
        </is>
      </c>
      <c r="C62" s="139" t="inlineStr">
        <is>
          <t>提高至</t>
        </is>
      </c>
      <c r="D62" s="139" t="inlineStr">
        <is>
          <t>23.04%</t>
        </is>
      </c>
      <c r="E62" s="139" t="n"/>
      <c r="F62" s="140" t="inlineStr">
        <is>
          <t>2020</t>
        </is>
      </c>
      <c r="G62" s="139" t="inlineStr">
        <is>
          <t>重申目标</t>
        </is>
      </c>
      <c r="H62" s="139" t="inlineStr">
        <is>
          <t>碳汇</t>
        </is>
      </c>
      <c r="I62" s="139" t="inlineStr">
        <is>
          <t>全社会经济</t>
        </is>
      </c>
      <c r="J62" s="139" t="inlineStr">
        <is>
          <t>到2020年，森林覆盖率提高到23.04%。</t>
        </is>
      </c>
      <c r="K62" s="141" t="inlineStr">
        <is>
          <t>HL1902.pdf</t>
        </is>
      </c>
      <c r="L62" s="139" t="inlineStr">
        <is>
          <t>土地利用、土地利用变化和林业</t>
        </is>
      </c>
    </row>
    <row r="63" ht="18" customHeight="1" s="235">
      <c r="A63" s="139" t="n">
        <v>2019</v>
      </c>
      <c r="B63" s="139" t="inlineStr">
        <is>
          <t>森林覆盖率</t>
        </is>
      </c>
      <c r="C63" s="139" t="inlineStr">
        <is>
          <t>提高至</t>
        </is>
      </c>
      <c r="D63" s="139" t="inlineStr">
        <is>
          <t>21.66%</t>
        </is>
      </c>
      <c r="E63" s="139" t="n"/>
      <c r="F63" s="140" t="inlineStr">
        <is>
          <t>2015</t>
        </is>
      </c>
      <c r="G63" s="139" t="inlineStr">
        <is>
          <t>重申目标</t>
        </is>
      </c>
      <c r="H63" s="139" t="inlineStr">
        <is>
          <t>碳汇</t>
        </is>
      </c>
      <c r="I63" s="139" t="inlineStr">
        <is>
          <t>全社会经济</t>
        </is>
      </c>
      <c r="J63" s="139" t="inlineStr">
        <is>
          <t>到2015年，将森林覆盖率提高到21.66%</t>
        </is>
      </c>
      <c r="K63" s="141" t="inlineStr">
        <is>
          <t>HL1902.pdf</t>
        </is>
      </c>
      <c r="L63" s="139" t="inlineStr">
        <is>
          <t>土地利用、土地利用变化和林业</t>
        </is>
      </c>
    </row>
    <row r="64" ht="18" customHeight="1" s="235">
      <c r="A64" s="139" t="n">
        <v>2019</v>
      </c>
      <c r="B64" s="139" t="inlineStr">
        <is>
          <t>森林覆盖率</t>
        </is>
      </c>
      <c r="C64" s="139" t="inlineStr">
        <is>
          <t>实现</t>
        </is>
      </c>
      <c r="D64" s="139" t="inlineStr">
        <is>
          <t>超过23%</t>
        </is>
      </c>
      <c r="E64" s="139" t="n"/>
      <c r="F64" s="140" t="inlineStr">
        <is>
          <t>2020</t>
        </is>
      </c>
      <c r="G64" s="139" t="inlineStr">
        <is>
          <t>重申目标</t>
        </is>
      </c>
      <c r="H64" s="139" t="inlineStr">
        <is>
          <t>碳汇</t>
        </is>
      </c>
      <c r="I64" s="139" t="inlineStr">
        <is>
          <t>全社会经济</t>
        </is>
      </c>
      <c r="J64" s="139" t="inlineStr">
        <is>
          <t>到2020年，中国森林覆盖率超过23%。</t>
        </is>
      </c>
      <c r="K64" s="141" t="inlineStr">
        <is>
          <t>HL1902.pdf</t>
        </is>
      </c>
      <c r="L64" s="139" t="inlineStr">
        <is>
          <t>土地利用、土地利用变化和林业</t>
        </is>
      </c>
    </row>
    <row r="65" ht="18" customHeight="1" s="235">
      <c r="A65" s="139" t="n">
        <v>2019</v>
      </c>
      <c r="B65" s="139" t="inlineStr">
        <is>
          <t>森林覆盖率</t>
        </is>
      </c>
      <c r="C65" s="139" t="inlineStr">
        <is>
          <t>达到</t>
        </is>
      </c>
      <c r="D65" s="139" t="inlineStr">
        <is>
          <t>23.04%</t>
        </is>
      </c>
      <c r="E65" s="139" t="n"/>
      <c r="F65" s="140" t="inlineStr">
        <is>
          <t>2020</t>
        </is>
      </c>
      <c r="G65" s="139" t="inlineStr">
        <is>
          <t>重申目标</t>
        </is>
      </c>
      <c r="H65" s="139" t="inlineStr">
        <is>
          <t>碳汇</t>
        </is>
      </c>
      <c r="I65" s="139" t="inlineStr">
        <is>
          <t>全社会经济</t>
        </is>
      </c>
      <c r="J65" s="139" t="inlineStr">
        <is>
          <t>到2020年，森林覆盖率将达到23.04%。</t>
        </is>
      </c>
      <c r="K65" s="141" t="inlineStr">
        <is>
          <t>HL1902.pdf</t>
        </is>
      </c>
      <c r="L65" s="139" t="inlineStr">
        <is>
          <t>土地利用、土地利用变化和林业</t>
        </is>
      </c>
    </row>
    <row r="66" ht="18" customHeight="1" s="235">
      <c r="A66" s="139" t="n">
        <v>2017</v>
      </c>
      <c r="B66" s="139" t="inlineStr">
        <is>
          <t>森林覆盖率</t>
        </is>
      </c>
      <c r="C66" s="139" t="inlineStr">
        <is>
          <t>达到</t>
        </is>
      </c>
      <c r="D66" s="139" t="inlineStr">
        <is>
          <t>23%以上</t>
        </is>
      </c>
      <c r="E66" s="139" t="n"/>
      <c r="F66" s="140" t="inlineStr">
        <is>
          <t>2020</t>
        </is>
      </c>
      <c r="G66" s="139" t="inlineStr">
        <is>
          <t>新目标</t>
        </is>
      </c>
      <c r="H66" s="139" t="inlineStr">
        <is>
          <t>碳汇</t>
        </is>
      </c>
      <c r="I66" s="139" t="inlineStr">
        <is>
          <t>全社会经济</t>
        </is>
      </c>
      <c r="J66" s="139" t="inlineStr">
        <is>
          <t>到2020年，全国森林覆盖率达到23%以上</t>
        </is>
      </c>
      <c r="K66" s="141" t="inlineStr">
        <is>
          <t>WP1701.pdf</t>
        </is>
      </c>
      <c r="L66" s="139" t="inlineStr">
        <is>
          <t>土地利用、土地利用变化和林业</t>
        </is>
      </c>
    </row>
    <row r="67" ht="18" customHeight="1" s="235">
      <c r="A67" s="139" t="n">
        <v>2021</v>
      </c>
      <c r="B67" s="139" t="inlineStr">
        <is>
          <t>森林覆盖率</t>
        </is>
      </c>
      <c r="C67" s="139" t="inlineStr">
        <is>
          <t>提高至</t>
        </is>
      </c>
      <c r="D67" s="139" t="inlineStr">
        <is>
          <t>25%</t>
        </is>
      </c>
      <c r="E67" s="139" t="n"/>
      <c r="F67" s="140" t="inlineStr">
        <is>
          <t>2030</t>
        </is>
      </c>
      <c r="G67" s="139" t="inlineStr">
        <is>
          <t>重申目标</t>
        </is>
      </c>
      <c r="H67" s="139" t="inlineStr">
        <is>
          <t>碳汇</t>
        </is>
      </c>
      <c r="I67" s="139" t="inlineStr">
        <is>
          <t>全社会经济</t>
        </is>
      </c>
      <c r="J67" s="139" t="inlineStr">
        <is>
          <t>到2030年，森林覆盖率将达到25%左右，森林蓄积量将达到190亿立方米。</t>
        </is>
      </c>
      <c r="K67" s="141" t="inlineStr">
        <is>
          <t>HL2102.pdf</t>
        </is>
      </c>
      <c r="L67" s="139" t="inlineStr">
        <is>
          <t>土地利用、土地利用变化和林业</t>
        </is>
      </c>
    </row>
    <row r="68" ht="18" customHeight="1" s="235">
      <c r="A68" s="139" t="n">
        <v>2021</v>
      </c>
      <c r="B68" s="139" t="inlineStr">
        <is>
          <t>森林覆盖率</t>
        </is>
      </c>
      <c r="C68" s="139" t="inlineStr">
        <is>
          <t>达到</t>
        </is>
      </c>
      <c r="D68" s="139" t="inlineStr">
        <is>
          <t>约25%</t>
        </is>
      </c>
      <c r="E68" s="139" t="n"/>
      <c r="F68" s="140" t="inlineStr">
        <is>
          <t>2030</t>
        </is>
      </c>
      <c r="G68" s="139" t="inlineStr">
        <is>
          <t>新目标</t>
        </is>
      </c>
      <c r="H68" s="139" t="inlineStr">
        <is>
          <t>碳汇</t>
        </is>
      </c>
      <c r="I68" s="139" t="inlineStr">
        <is>
          <t>全社会经济</t>
        </is>
      </c>
      <c r="J68" s="139" t="inlineStr">
        <is>
          <t>到2030年，中国森林覆盖率将达到约25%，森林蓄积量将比2005年增加60亿立方米。</t>
        </is>
      </c>
      <c r="K68" s="141" t="inlineStr">
        <is>
          <t>HL2104.pdf</t>
        </is>
      </c>
      <c r="L68" s="139" t="inlineStr">
        <is>
          <t>土地利用、土地利用变化和林业</t>
        </is>
      </c>
    </row>
    <row r="69" ht="18" customHeight="1" s="235">
      <c r="A69" s="139" t="n">
        <v>2021</v>
      </c>
      <c r="B69" s="139" t="inlineStr">
        <is>
          <t>森林覆盖率</t>
        </is>
      </c>
      <c r="C69" s="139" t="inlineStr">
        <is>
          <t>达到</t>
        </is>
      </c>
      <c r="D69" s="139" t="inlineStr">
        <is>
          <t>25%</t>
        </is>
      </c>
      <c r="E69" s="139" t="n"/>
      <c r="F69" s="140" t="inlineStr">
        <is>
          <t>2030</t>
        </is>
      </c>
      <c r="G69" s="139" t="inlineStr">
        <is>
          <t>重申目标</t>
        </is>
      </c>
      <c r="H69" s="139" t="inlineStr">
        <is>
          <t>碳汇</t>
        </is>
      </c>
      <c r="I69" s="139" t="inlineStr">
        <is>
          <t>全社会经济</t>
        </is>
      </c>
      <c r="J69" s="139" t="inlineStr">
        <is>
          <t>到2030年，森林覆盖率达到25%左右。</t>
        </is>
      </c>
      <c r="K69" s="141" t="inlineStr">
        <is>
          <t>HL2101.htm</t>
        </is>
      </c>
      <c r="L69" s="139" t="inlineStr">
        <is>
          <t>土地利用、土地利用变化和林业</t>
        </is>
      </c>
    </row>
    <row r="70" ht="18" customHeight="1" s="235">
      <c r="A70" s="139" t="n">
        <v>2023</v>
      </c>
      <c r="B70" s="139" t="inlineStr">
        <is>
          <t>森林覆盖率</t>
        </is>
      </c>
      <c r="C70" s="139" t="inlineStr">
        <is>
          <t>达到</t>
        </is>
      </c>
      <c r="D70" s="139" t="inlineStr">
        <is>
          <t>25%</t>
        </is>
      </c>
      <c r="E70" s="139" t="n"/>
      <c r="F70" s="140" t="inlineStr">
        <is>
          <t>2030</t>
        </is>
      </c>
      <c r="G70" s="139" t="inlineStr">
        <is>
          <t>重申目标</t>
        </is>
      </c>
      <c r="H70" s="139" t="inlineStr">
        <is>
          <t>碳汇</t>
        </is>
      </c>
      <c r="I70" s="139" t="inlineStr">
        <is>
          <t>全社会经济</t>
        </is>
      </c>
      <c r="J70" s="139" t="inlineStr">
        <is>
          <t>到2030年，森林覆盖率将达到全国总面积的约25%。</t>
        </is>
      </c>
      <c r="K70" s="141" t="inlineStr">
        <is>
          <t>HL2302.pdf</t>
        </is>
      </c>
      <c r="L70" s="139" t="inlineStr">
        <is>
          <t>土地利用、土地利用变化和林业</t>
        </is>
      </c>
    </row>
    <row r="71" ht="18" customHeight="1" s="235">
      <c r="A71" s="139" t="n">
        <v>2023</v>
      </c>
      <c r="B71" s="139" t="inlineStr">
        <is>
          <t>森林覆盖率</t>
        </is>
      </c>
      <c r="C71" s="139" t="inlineStr">
        <is>
          <t>达到</t>
        </is>
      </c>
      <c r="D71" s="139" t="inlineStr">
        <is>
          <t>24.1%</t>
        </is>
      </c>
      <c r="E71" s="139" t="n"/>
      <c r="F71" s="140" t="inlineStr">
        <is>
          <t>2025</t>
        </is>
      </c>
      <c r="G71" s="139" t="inlineStr">
        <is>
          <t>重申目标</t>
        </is>
      </c>
      <c r="H71" s="139" t="inlineStr">
        <is>
          <t>碳汇</t>
        </is>
      </c>
      <c r="I71" s="139" t="inlineStr">
        <is>
          <t>全社会经济</t>
        </is>
      </c>
      <c r="J71" s="139" t="inlineStr">
        <is>
          <t>到2025年，中国森林覆盖率达到24.1%，森林蓄积量达到190亿立方米。</t>
        </is>
      </c>
      <c r="K71" s="141" t="inlineStr">
        <is>
          <t>HL2302.pdf</t>
        </is>
      </c>
      <c r="L71" s="139" t="inlineStr">
        <is>
          <t>土地利用、土地利用变化和林业</t>
        </is>
      </c>
    </row>
    <row r="72" ht="18" customHeight="1" s="235">
      <c r="A72" s="139" t="n">
        <v>2024</v>
      </c>
      <c r="B72" s="139" t="inlineStr">
        <is>
          <t>森林覆盖率</t>
        </is>
      </c>
      <c r="C72" s="139" t="inlineStr">
        <is>
          <t>达到</t>
        </is>
      </c>
      <c r="D72" s="139" t="inlineStr">
        <is>
          <t>24.1%</t>
        </is>
      </c>
      <c r="E72" s="139" t="n"/>
      <c r="F72" s="140" t="inlineStr">
        <is>
          <t>2025</t>
        </is>
      </c>
      <c r="G72" s="139" t="inlineStr">
        <is>
          <t>重申目标</t>
        </is>
      </c>
      <c r="H72" s="139" t="inlineStr">
        <is>
          <t>碳汇</t>
        </is>
      </c>
      <c r="I72" s="139" t="inlineStr">
        <is>
          <t>全社会经济</t>
        </is>
      </c>
      <c r="J72" s="139" t="inlineStr">
        <is>
          <t>到2025年，森林覆盖率达到24.1%</t>
        </is>
      </c>
      <c r="K72" s="141" t="inlineStr">
        <is>
          <t>HL2401.pdf</t>
        </is>
      </c>
      <c r="L72" s="139" t="inlineStr">
        <is>
          <t>土地利用、土地利用变化和林业</t>
        </is>
      </c>
    </row>
    <row r="73" ht="18" customHeight="1" s="235">
      <c r="A73" s="139" t="n">
        <v>2024</v>
      </c>
      <c r="B73" s="139" t="inlineStr">
        <is>
          <t>森林覆盖率</t>
        </is>
      </c>
      <c r="C73" s="139" t="inlineStr">
        <is>
          <t>提高至</t>
        </is>
      </c>
      <c r="D73" s="139" t="inlineStr">
        <is>
          <t>24.1%</t>
        </is>
      </c>
      <c r="E73" s="139" t="n"/>
      <c r="F73" s="140" t="inlineStr">
        <is>
          <t>2025</t>
        </is>
      </c>
      <c r="G73" s="139" t="inlineStr">
        <is>
          <t>重申目标</t>
        </is>
      </c>
      <c r="H73" s="139" t="inlineStr">
        <is>
          <t>碳汇</t>
        </is>
      </c>
      <c r="I73" s="139" t="inlineStr">
        <is>
          <t>全社会经济</t>
        </is>
      </c>
      <c r="J73" s="139" t="inlineStr">
        <is>
          <t>《中华人民共和国国民经济和社会发展第十四个五年规划和2035年远景目标纲要》明确提出，到2025年，森林覆盖率提高到24.1%的量化目标。</t>
        </is>
      </c>
      <c r="K73" s="141" t="inlineStr">
        <is>
          <t>HL2401.pdf</t>
        </is>
      </c>
      <c r="L73" s="139" t="inlineStr">
        <is>
          <t>土地利用、土地利用变化和林业</t>
        </is>
      </c>
    </row>
    <row r="74" ht="18" customHeight="1" s="235">
      <c r="A74" s="139" t="n">
        <v>2023</v>
      </c>
      <c r="B74" s="139" t="inlineStr">
        <is>
          <t>森林覆盖率</t>
        </is>
      </c>
      <c r="C74" s="139" t="inlineStr">
        <is>
          <t>提高至</t>
        </is>
      </c>
      <c r="D74" s="139" t="inlineStr">
        <is>
          <t>23.04%</t>
        </is>
      </c>
      <c r="E74" s="139" t="n"/>
      <c r="F74" s="140" t="inlineStr">
        <is>
          <t>2020</t>
        </is>
      </c>
      <c r="G74" s="139" t="inlineStr">
        <is>
          <t>重申目标</t>
        </is>
      </c>
      <c r="H74" s="139" t="inlineStr">
        <is>
          <t>碳汇</t>
        </is>
      </c>
      <c r="I74" s="139" t="inlineStr">
        <is>
          <t>全社会经济</t>
        </is>
      </c>
      <c r="J74" s="139" t="inlineStr">
        <is>
          <t>到2020年，森林覆盖率提高到23.04%</t>
        </is>
      </c>
      <c r="K74" s="141" t="inlineStr">
        <is>
          <t>HL2302.pdf</t>
        </is>
      </c>
      <c r="L74" s="139" t="inlineStr">
        <is>
          <t>土地利用、土地利用变化和林业</t>
        </is>
      </c>
    </row>
    <row r="75" ht="18" customHeight="1" s="235">
      <c r="A75" s="139" t="n">
        <v>2017</v>
      </c>
      <c r="B75" s="139" t="inlineStr">
        <is>
          <t>森林覆盖率</t>
        </is>
      </c>
      <c r="C75" s="139" t="inlineStr">
        <is>
          <t>达到</t>
        </is>
      </c>
      <c r="D75" s="139" t="inlineStr">
        <is>
          <t>23%</t>
        </is>
      </c>
      <c r="E75" s="139" t="n"/>
      <c r="F75" s="140" t="inlineStr">
        <is>
          <t>2020</t>
        </is>
      </c>
      <c r="G75" s="139" t="inlineStr">
        <is>
          <t>重申目标</t>
        </is>
      </c>
      <c r="H75" s="139" t="inlineStr">
        <is>
          <t>碳汇</t>
        </is>
      </c>
      <c r="I75" s="139" t="inlineStr">
        <is>
          <t>全社会经济</t>
        </is>
      </c>
      <c r="J75" s="139" t="inlineStr">
        <is>
          <t>到2020年，全国森林覆盖率达到23%以上</t>
        </is>
      </c>
      <c r="K75" s="141" t="inlineStr">
        <is>
          <t>O1702.htm</t>
        </is>
      </c>
      <c r="L75" s="139" t="inlineStr">
        <is>
          <t>土地利用、土地利用变化和林业</t>
        </is>
      </c>
    </row>
    <row r="76" ht="18" customHeight="1" s="235">
      <c r="A76" s="139" t="n">
        <v>2021</v>
      </c>
      <c r="B76" s="139" t="inlineStr">
        <is>
          <t>森林覆盖率</t>
        </is>
      </c>
      <c r="C76" s="139" t="inlineStr">
        <is>
          <t>达到</t>
        </is>
      </c>
      <c r="D76" s="139" t="inlineStr">
        <is>
          <t>24.1%</t>
        </is>
      </c>
      <c r="E76" s="139" t="n"/>
      <c r="F76" s="140" t="inlineStr">
        <is>
          <t>2025</t>
        </is>
      </c>
      <c r="G76" s="139" t="inlineStr">
        <is>
          <t>新目标</t>
        </is>
      </c>
      <c r="H76" s="139" t="inlineStr">
        <is>
          <t>碳汇</t>
        </is>
      </c>
      <c r="I76" s="139" t="inlineStr">
        <is>
          <t>全社会经济</t>
        </is>
      </c>
      <c r="J76" s="139" t="inlineStr">
        <is>
          <t>到2025年，森林覆盖率达到24.1%。</t>
        </is>
      </c>
      <c r="K76" s="141" t="inlineStr">
        <is>
          <t>HL2101.htm</t>
        </is>
      </c>
      <c r="L76" s="139" t="inlineStr">
        <is>
          <t>土地利用、土地利用变化和林业</t>
        </is>
      </c>
    </row>
    <row r="77" ht="18" customHeight="1" s="235">
      <c r="A77" s="139" t="n">
        <v>2024</v>
      </c>
      <c r="B77" s="139" t="inlineStr">
        <is>
          <t>森林覆盖率</t>
        </is>
      </c>
      <c r="C77" s="139" t="inlineStr">
        <is>
          <t>提高至</t>
        </is>
      </c>
      <c r="D77" s="139" t="inlineStr">
        <is>
          <t>26%</t>
        </is>
      </c>
      <c r="E77" s="139" t="n"/>
      <c r="F77" s="140" t="inlineStr">
        <is>
          <t>2035</t>
        </is>
      </c>
      <c r="G77" s="139" t="inlineStr">
        <is>
          <t>新目标</t>
        </is>
      </c>
      <c r="H77" s="139" t="inlineStr">
        <is>
          <t>碳汇</t>
        </is>
      </c>
      <c r="I77" s="139" t="inlineStr">
        <is>
          <t>全社会经济</t>
        </is>
      </c>
      <c r="J77" s="139" t="inlineStr">
        <is>
          <t>到2035年，全国森林覆盖率提高至26%。</t>
        </is>
      </c>
      <c r="K77" s="141" t="inlineStr">
        <is>
          <t>O2405.htm</t>
        </is>
      </c>
      <c r="L77" s="139" t="inlineStr">
        <is>
          <t>土地利用、土地利用变化和林业</t>
        </is>
      </c>
    </row>
    <row r="78" ht="18" customHeight="1" s="235">
      <c r="A78" s="139" t="n">
        <v>2011</v>
      </c>
      <c r="B78" s="139" t="inlineStr">
        <is>
          <t>森林覆盖率</t>
        </is>
      </c>
      <c r="C78" s="139" t="inlineStr">
        <is>
          <t>达到</t>
        </is>
      </c>
      <c r="D78" s="143" t="inlineStr">
        <is>
          <t>21.66%</t>
        </is>
      </c>
      <c r="E78" s="139" t="n"/>
      <c r="F78" s="140" t="n">
        <v>2015</v>
      </c>
      <c r="G78" s="140" t="inlineStr">
        <is>
          <t>重申目标</t>
        </is>
      </c>
      <c r="H78" s="139" t="inlineStr">
        <is>
          <t>碳汇</t>
        </is>
      </c>
      <c r="I78" s="139" t="inlineStr">
        <is>
          <t>全社会经济</t>
        </is>
      </c>
      <c r="J78" s="139" t="inlineStr">
        <is>
          <t>到2015年森林覆盖率达21.66%</t>
        </is>
      </c>
      <c r="K78" s="141" t="inlineStr">
        <is>
          <t>AP1101.htm</t>
        </is>
      </c>
      <c r="L78" s="139" t="inlineStr">
        <is>
          <t>土地利用、土地利用变化和林业</t>
        </is>
      </c>
    </row>
    <row r="79" ht="18" customHeight="1" s="235">
      <c r="A79" s="0" t="n">
        <v>2026</v>
      </c>
      <c r="B79" s="0" t="inlineStr">
        <is>
          <t>森林覆盖率</t>
        </is>
      </c>
      <c r="C79" s="0" t="inlineStr">
        <is>
          <t>达到</t>
        </is>
      </c>
      <c r="D79" s="0" t="inlineStr">
        <is>
          <t>25.8%</t>
        </is>
      </c>
      <c r="F79" s="0" t="n">
        <v>2030</v>
      </c>
      <c r="G79" s="0" t="inlineStr">
        <is>
          <t>重申目标</t>
        </is>
      </c>
      <c r="H79" s="0" t="inlineStr">
        <is>
          <t>碳汇</t>
        </is>
      </c>
      <c r="I79" s="0" t="inlineStr">
        <is>
          <t>全社会经济</t>
        </is>
      </c>
      <c r="J79" s="0" t="inlineStr">
        <is>
          <t>——森林覆盖率达到 25.8%。</t>
        </is>
      </c>
      <c r="K79" s="0" t="inlineStr">
        <is>
          <t>FYP2610.pdf</t>
        </is>
      </c>
      <c r="L79" s="0" t="inlineStr">
        <is>
          <t>土地利用、土地利用变化和林业</t>
        </is>
      </c>
    </row>
    <row r="80" ht="18" customHeight="1" s="235">
      <c r="A80" s="139" t="n">
        <v>2011</v>
      </c>
      <c r="B80" s="139" t="inlineStr">
        <is>
          <t>森林抚育经营</t>
        </is>
      </c>
      <c r="C80" s="139" t="inlineStr">
        <is>
          <t>规划</t>
        </is>
      </c>
      <c r="D80" s="139" t="inlineStr">
        <is>
          <t>7500万公顷</t>
        </is>
      </c>
      <c r="E80" s="139" t="n"/>
      <c r="F80" s="140" t="inlineStr">
        <is>
          <t>2020</t>
        </is>
      </c>
      <c r="G80" s="139" t="inlineStr">
        <is>
          <t>新目标</t>
        </is>
      </c>
      <c r="H80" s="139" t="inlineStr">
        <is>
          <t>碳汇</t>
        </is>
      </c>
      <c r="I80" s="139" t="inlineStr">
        <is>
          <t>不明确</t>
        </is>
      </c>
      <c r="J80" s="139" t="inlineStr">
        <is>
          <t>到2020年，规划森林抚育经营（含低产林改造）7500万公顷。</t>
        </is>
      </c>
      <c r="K80" s="141" t="inlineStr">
        <is>
          <t>PF1101.pdf</t>
        </is>
      </c>
      <c r="L80" s="139" t="inlineStr">
        <is>
          <t>土地利用、土地利用变化和林业</t>
        </is>
      </c>
    </row>
    <row r="81" ht="18" customHeight="1" s="235">
      <c r="A81" s="139" t="n">
        <v>2011</v>
      </c>
      <c r="B81" s="139" t="inlineStr">
        <is>
          <t>森林抚育经营</t>
        </is>
      </c>
      <c r="C81" s="139" t="inlineStr">
        <is>
          <t>规划</t>
        </is>
      </c>
      <c r="D81" s="139" t="inlineStr">
        <is>
          <t>3500万公顷</t>
        </is>
      </c>
      <c r="E81" s="139" t="n"/>
      <c r="F81" s="140" t="inlineStr">
        <is>
          <t>十二五</t>
        </is>
      </c>
      <c r="G81" s="139" t="inlineStr">
        <is>
          <t>新目标</t>
        </is>
      </c>
      <c r="H81" s="139" t="inlineStr">
        <is>
          <t>碳汇</t>
        </is>
      </c>
      <c r="I81" s="139" t="inlineStr">
        <is>
          <t>不明确</t>
        </is>
      </c>
      <c r="J81" s="139" t="inlineStr">
        <is>
          <t>“十二五”期间规划森林抚育经营(含低产林改造)3500万公顷。</t>
        </is>
      </c>
      <c r="K81" s="141" t="inlineStr">
        <is>
          <t>PF1101.pdf</t>
        </is>
      </c>
      <c r="L81" s="139" t="inlineStr">
        <is>
          <t>土地利用、土地利用变化和林业</t>
        </is>
      </c>
    </row>
    <row r="82" ht="18" customHeight="1" s="235">
      <c r="A82" s="139" t="n">
        <v>2011</v>
      </c>
      <c r="B82" s="139" t="inlineStr">
        <is>
          <t>森林抚育经营</t>
        </is>
      </c>
      <c r="C82" s="139" t="inlineStr">
        <is>
          <t>完成</t>
        </is>
      </c>
      <c r="D82" s="139" t="inlineStr">
        <is>
          <t>3500万公顷</t>
        </is>
      </c>
      <c r="E82" s="139" t="n"/>
      <c r="F82" s="140" t="inlineStr">
        <is>
          <t>十二五</t>
        </is>
      </c>
      <c r="G82" s="140" t="inlineStr">
        <is>
          <t>重申目标</t>
        </is>
      </c>
      <c r="H82" s="139" t="inlineStr">
        <is>
          <t>碳汇</t>
        </is>
      </c>
      <c r="I82" s="139" t="inlineStr">
        <is>
          <t>全社会经济</t>
        </is>
      </c>
      <c r="J82" s="139" t="inlineStr">
        <is>
          <t>完成森林抚育经营任务3500万公顷</t>
        </is>
      </c>
      <c r="K82" s="141" t="inlineStr">
        <is>
          <t>AP1101.htm</t>
        </is>
      </c>
      <c r="L82" s="139" t="inlineStr">
        <is>
          <t>土地利用、土地利用变化和林业</t>
        </is>
      </c>
    </row>
    <row r="83" ht="18" customHeight="1" s="235">
      <c r="A83" s="139" t="n">
        <v>2019</v>
      </c>
      <c r="B83" s="139" t="inlineStr">
        <is>
          <t>森林火灾受害率</t>
        </is>
      </c>
      <c r="C83" s="139" t="inlineStr">
        <is>
          <t>控制在…以下</t>
        </is>
      </c>
      <c r="D83" s="139" t="inlineStr">
        <is>
          <t>千分之一</t>
        </is>
      </c>
      <c r="E83" s="139" t="n"/>
      <c r="F83" s="140" t="inlineStr">
        <is>
          <t>2015</t>
        </is>
      </c>
      <c r="G83" s="139" t="inlineStr">
        <is>
          <t>新目标</t>
        </is>
      </c>
      <c r="H83" s="139" t="inlineStr">
        <is>
          <t>碳汇</t>
        </is>
      </c>
      <c r="I83" s="139" t="inlineStr">
        <is>
          <t>不明确</t>
        </is>
      </c>
      <c r="J83" s="139" t="inlineStr">
        <is>
          <t>到2015年，将森林火灾受害率稳定控制在千分之一以下</t>
        </is>
      </c>
      <c r="K83" s="141" t="inlineStr">
        <is>
          <t>HL1902.pdf</t>
        </is>
      </c>
      <c r="L83" s="139" t="inlineStr">
        <is>
          <t>土地利用、土地利用变化和林业</t>
        </is>
      </c>
    </row>
    <row r="84" ht="18" customHeight="1" s="235">
      <c r="A84" s="139" t="n">
        <v>2019</v>
      </c>
      <c r="B84" s="139" t="inlineStr">
        <is>
          <t>森林火灾受害率</t>
        </is>
      </c>
      <c r="C84" s="139" t="inlineStr">
        <is>
          <t>降低至</t>
        </is>
      </c>
      <c r="D84" s="139" t="inlineStr">
        <is>
          <t>1‰（千分之一）</t>
        </is>
      </c>
      <c r="E84" s="139" t="n"/>
      <c r="F84" s="140" t="inlineStr">
        <is>
          <t>2020</t>
        </is>
      </c>
      <c r="G84" s="139" t="inlineStr">
        <is>
          <t>新目标</t>
        </is>
      </c>
      <c r="H84" s="139" t="inlineStr">
        <is>
          <t>碳汇</t>
        </is>
      </c>
      <c r="I84" s="139" t="inlineStr">
        <is>
          <t>不明确</t>
        </is>
      </c>
      <c r="J84" s="139" t="inlineStr">
        <is>
          <t>到2020年，森林火灾受害率控制在1‰以下。</t>
        </is>
      </c>
      <c r="K84" s="141" t="inlineStr">
        <is>
          <t>HL1902.pdf</t>
        </is>
      </c>
      <c r="L84" s="139" t="inlineStr">
        <is>
          <t>土地利用、土地利用变化和林业</t>
        </is>
      </c>
    </row>
    <row r="85" ht="18" customHeight="1" s="235">
      <c r="A85" s="139" t="n">
        <v>2011</v>
      </c>
      <c r="B85" s="139" t="inlineStr">
        <is>
          <t>森林火灾受害率</t>
        </is>
      </c>
      <c r="C85" s="139" t="inlineStr">
        <is>
          <t>控制在…以下</t>
        </is>
      </c>
      <c r="D85" s="139" t="inlineStr">
        <is>
          <t>千分之一</t>
        </is>
      </c>
      <c r="E85" s="139" t="n"/>
      <c r="F85" s="140" t="n">
        <v>2015</v>
      </c>
      <c r="G85" s="140" t="inlineStr">
        <is>
          <t>重申目标</t>
        </is>
      </c>
      <c r="H85" s="139" t="inlineStr">
        <is>
          <t>碳汇</t>
        </is>
      </c>
      <c r="I85" s="139" t="inlineStr">
        <is>
          <t>全社会经济</t>
        </is>
      </c>
      <c r="J85" s="139" t="inlineStr">
        <is>
          <t>森林火灾受害率稳定控制在1‰以下。</t>
        </is>
      </c>
      <c r="K85" s="141" t="inlineStr">
        <is>
          <t>AP1101.htm</t>
        </is>
      </c>
      <c r="L85" s="139" t="inlineStr">
        <is>
          <t>土地利用、土地利用变化和林业</t>
        </is>
      </c>
    </row>
    <row r="86" ht="18" customHeight="1" s="235">
      <c r="A86" s="139" t="n">
        <v>2009</v>
      </c>
      <c r="B86" s="139" t="inlineStr">
        <is>
          <t>森林蓄积量</t>
        </is>
      </c>
      <c r="C86" s="139" t="inlineStr">
        <is>
          <t>提高</t>
        </is>
      </c>
      <c r="D86" s="139" t="inlineStr">
        <is>
          <t>13亿立方米</t>
        </is>
      </c>
      <c r="E86" s="139" t="n">
        <v>2005</v>
      </c>
      <c r="F86" s="140" t="n">
        <v>2020</v>
      </c>
      <c r="G86" s="139" t="inlineStr">
        <is>
          <t>新目标</t>
        </is>
      </c>
      <c r="H86" s="139" t="inlineStr">
        <is>
          <t>碳汇</t>
        </is>
      </c>
      <c r="I86" s="139" t="inlineStr">
        <is>
          <t>全社会经济</t>
        </is>
      </c>
      <c r="J86" s="139" t="inlineStr">
        <is>
          <t>在2009年联合国气候变化峰会上，胡锦涛主席向全世界庄严承诺，“大力增加森林碳汇，争取到2020年森林面积比2005年增加4000万公顷，森林蓄积量比2005年增加13亿立方米”。</t>
        </is>
      </c>
      <c r="K86" s="141" t="inlineStr">
        <is>
          <t>PF1101.pdf</t>
        </is>
      </c>
      <c r="L86" s="139" t="inlineStr">
        <is>
          <t>土地利用、土地利用变化和林业</t>
        </is>
      </c>
    </row>
    <row r="87" ht="18" customHeight="1" s="235">
      <c r="A87" s="139" t="n">
        <v>2017</v>
      </c>
      <c r="B87" s="139" t="inlineStr">
        <is>
          <t>森林蓄积量</t>
        </is>
      </c>
      <c r="C87" s="139" t="inlineStr">
        <is>
          <t>提高</t>
        </is>
      </c>
      <c r="D87" s="139" t="inlineStr">
        <is>
          <t>13亿立方米</t>
        </is>
      </c>
      <c r="E87" s="139" t="n">
        <v>2005</v>
      </c>
      <c r="F87" s="140" t="n">
        <v>2020</v>
      </c>
      <c r="G87" s="139" t="inlineStr">
        <is>
          <t>重申目标</t>
        </is>
      </c>
      <c r="H87" s="139" t="inlineStr">
        <is>
          <t>碳汇</t>
        </is>
      </c>
      <c r="I87" s="139" t="inlineStr">
        <is>
          <t>全社会经济</t>
        </is>
      </c>
      <c r="J87" s="139" t="inlineStr">
        <is>
          <t>根据中国政府提出的国家适当减缓行动，例如到2020年森林蓄积量比2005年增加13亿立方米。</t>
        </is>
      </c>
      <c r="K87" s="141" t="inlineStr">
        <is>
          <t>HL1701.pdf</t>
        </is>
      </c>
      <c r="L87" s="139" t="inlineStr">
        <is>
          <t>土地利用、土地利用变化和林业</t>
        </is>
      </c>
    </row>
    <row r="88" ht="18" customHeight="1" s="235">
      <c r="A88" s="139" t="n">
        <v>2016</v>
      </c>
      <c r="B88" s="139" t="inlineStr">
        <is>
          <t>森林蓄积量</t>
        </is>
      </c>
      <c r="C88" s="139" t="inlineStr">
        <is>
          <t>提高</t>
        </is>
      </c>
      <c r="D88" s="139" t="inlineStr">
        <is>
          <t>45亿立方米</t>
        </is>
      </c>
      <c r="E88" s="139" t="n">
        <v>2005</v>
      </c>
      <c r="F88" s="140" t="n">
        <v>2030</v>
      </c>
      <c r="G88" s="139" t="inlineStr">
        <is>
          <t>新目标</t>
        </is>
      </c>
      <c r="H88" s="139" t="inlineStr">
        <is>
          <t>碳汇</t>
        </is>
      </c>
      <c r="I88" s="139" t="inlineStr">
        <is>
          <t>全社会经济</t>
        </is>
      </c>
      <c r="J88" s="139" t="inlineStr">
        <is>
          <t>目标包括：到2030年，森林蓄积量比2005年增加45亿立方米左右。</t>
        </is>
      </c>
      <c r="K88" s="141" t="inlineStr">
        <is>
          <t>HL1601.pdf</t>
        </is>
      </c>
      <c r="L88" s="139" t="inlineStr">
        <is>
          <t>土地利用、土地利用变化和林业</t>
        </is>
      </c>
    </row>
    <row r="89" ht="18" customHeight="1" s="235">
      <c r="A89" s="139" t="n">
        <v>2016</v>
      </c>
      <c r="B89" s="139" t="inlineStr">
        <is>
          <t>森林蓄积量</t>
        </is>
      </c>
      <c r="C89" s="139" t="inlineStr">
        <is>
          <t>提高</t>
        </is>
      </c>
      <c r="D89" s="139" t="inlineStr">
        <is>
          <t>13亿立方米</t>
        </is>
      </c>
      <c r="E89" s="139" t="n">
        <v>2005</v>
      </c>
      <c r="F89" s="140" t="n">
        <v>2020</v>
      </c>
      <c r="G89" s="139" t="inlineStr">
        <is>
          <t>重申目标</t>
        </is>
      </c>
      <c r="H89" s="139" t="inlineStr">
        <is>
          <t>碳汇</t>
        </is>
      </c>
      <c r="I89" s="139" t="inlineStr">
        <is>
          <t>全社会经济</t>
        </is>
      </c>
      <c r="J89" s="139" t="inlineStr">
        <is>
          <t>在2005年基础上，到2020年，森林蓄积量增加13亿立方米</t>
        </is>
      </c>
      <c r="K89" s="141" t="inlineStr">
        <is>
          <t>AP1603.htm</t>
        </is>
      </c>
      <c r="L89" s="139" t="inlineStr">
        <is>
          <t>土地利用、土地利用变化和林业</t>
        </is>
      </c>
    </row>
    <row r="90" ht="18" customHeight="1" s="235">
      <c r="A90" s="139" t="n">
        <v>2016</v>
      </c>
      <c r="B90" s="139" t="inlineStr">
        <is>
          <t>森林蓄积量</t>
        </is>
      </c>
      <c r="C90" s="139" t="inlineStr">
        <is>
          <t>提高</t>
        </is>
      </c>
      <c r="D90" s="139" t="inlineStr">
        <is>
          <t>45亿立方米</t>
        </is>
      </c>
      <c r="E90" s="139" t="n">
        <v>2005</v>
      </c>
      <c r="F90" s="140" t="n">
        <v>2030</v>
      </c>
      <c r="G90" s="139" t="inlineStr">
        <is>
          <t>重申目标</t>
        </is>
      </c>
      <c r="H90" s="139" t="inlineStr">
        <is>
          <t>碳汇</t>
        </is>
      </c>
      <c r="I90" s="139" t="inlineStr">
        <is>
          <t>全社会经济</t>
        </is>
      </c>
      <c r="J90" s="139" t="inlineStr">
        <is>
          <t>在2005年基础上，到2030年森林蓄积量增加约45亿立方米</t>
        </is>
      </c>
      <c r="K90" s="141" t="inlineStr">
        <is>
          <t>AP1603.htm</t>
        </is>
      </c>
      <c r="L90" s="139" t="inlineStr">
        <is>
          <t>土地利用、土地利用变化和林业</t>
        </is>
      </c>
    </row>
    <row r="91" ht="18" customHeight="1" s="235">
      <c r="A91" s="139" t="n">
        <v>2021</v>
      </c>
      <c r="B91" s="139" t="inlineStr">
        <is>
          <t>森林蓄积量</t>
        </is>
      </c>
      <c r="C91" s="139" t="inlineStr">
        <is>
          <t>达到</t>
        </is>
      </c>
      <c r="D91" s="139" t="inlineStr">
        <is>
          <t>180亿立方米</t>
        </is>
      </c>
      <c r="E91" s="139" t="n"/>
      <c r="F91" s="140" t="inlineStr">
        <is>
          <t>2025</t>
        </is>
      </c>
      <c r="G91" s="139" t="inlineStr">
        <is>
          <t>新目标</t>
        </is>
      </c>
      <c r="H91" s="139" t="inlineStr">
        <is>
          <t>碳汇</t>
        </is>
      </c>
      <c r="I91" s="139" t="inlineStr">
        <is>
          <t>全社会经济</t>
        </is>
      </c>
      <c r="J91" s="139" t="inlineStr">
        <is>
          <t>到2025年，森林蓄积量达到180亿立方米，为实现碳达峰、碳中和奠定坚实基础。</t>
        </is>
      </c>
      <c r="K91" s="141" t="inlineStr">
        <is>
          <t>HL2101.htm</t>
        </is>
      </c>
      <c r="L91" s="139" t="inlineStr">
        <is>
          <t>土地利用、土地利用变化和林业</t>
        </is>
      </c>
    </row>
    <row r="92" ht="18" customHeight="1" s="235">
      <c r="A92" s="139" t="n">
        <v>2016</v>
      </c>
      <c r="B92" s="139" t="inlineStr">
        <is>
          <t>森林蓄积量</t>
        </is>
      </c>
      <c r="C92" s="139" t="inlineStr">
        <is>
          <t>提高</t>
        </is>
      </c>
      <c r="D92" s="139" t="inlineStr">
        <is>
          <t>6亿立方米</t>
        </is>
      </c>
      <c r="E92" s="139" t="n"/>
      <c r="F92" s="140" t="inlineStr">
        <is>
          <t>十二五</t>
        </is>
      </c>
      <c r="G92" s="139" t="inlineStr">
        <is>
          <t>新目标</t>
        </is>
      </c>
      <c r="H92" s="139" t="inlineStr">
        <is>
          <t>碳汇</t>
        </is>
      </c>
      <c r="I92" s="139" t="inlineStr">
        <is>
          <t>全社会经济</t>
        </is>
      </c>
      <c r="J92" s="139" t="inlineStr">
        <is>
          <t>提出“十二五”期间森林蓄积量增加6亿立方米</t>
        </is>
      </c>
      <c r="K92" s="141" t="inlineStr">
        <is>
          <t>AP1603.htm</t>
        </is>
      </c>
      <c r="L92" s="139" t="inlineStr">
        <is>
          <t>土地利用、土地利用变化和林业</t>
        </is>
      </c>
    </row>
    <row r="93" ht="18" customHeight="1" s="235">
      <c r="A93" s="139" t="n">
        <v>2016</v>
      </c>
      <c r="B93" s="139" t="inlineStr">
        <is>
          <t>森林蓄积量</t>
        </is>
      </c>
      <c r="C93" s="139" t="inlineStr">
        <is>
          <t>达到</t>
        </is>
      </c>
      <c r="D93" s="139" t="inlineStr">
        <is>
          <t>165亿立方米</t>
        </is>
      </c>
      <c r="E93" s="139" t="n"/>
      <c r="F93" s="140" t="inlineStr">
        <is>
          <t>2020</t>
        </is>
      </c>
      <c r="G93" s="139" t="inlineStr">
        <is>
          <t>新目标</t>
        </is>
      </c>
      <c r="H93" s="139" t="inlineStr">
        <is>
          <t>碳汇</t>
        </is>
      </c>
      <c r="I93" s="139" t="inlineStr">
        <is>
          <t>全社会经济</t>
        </is>
      </c>
      <c r="J93" s="139" t="inlineStr">
        <is>
          <t>到2020年，森林蓄积量达到165亿立方米。</t>
        </is>
      </c>
      <c r="K93" s="141" t="inlineStr">
        <is>
          <t>FYP1615.htm</t>
        </is>
      </c>
      <c r="L93" s="139" t="inlineStr">
        <is>
          <t>土地利用、土地利用变化和林业</t>
        </is>
      </c>
    </row>
    <row r="94" ht="18" customHeight="1" s="235">
      <c r="A94" s="139" t="n">
        <v>2017</v>
      </c>
      <c r="B94" s="139" t="inlineStr">
        <is>
          <t>森林蓄积量</t>
        </is>
      </c>
      <c r="C94" s="139" t="inlineStr">
        <is>
          <t>达到</t>
        </is>
      </c>
      <c r="D94" s="139" t="inlineStr">
        <is>
          <t>165亿立方米</t>
        </is>
      </c>
      <c r="E94" s="139" t="n"/>
      <c r="F94" s="140" t="inlineStr">
        <is>
          <t>2020</t>
        </is>
      </c>
      <c r="G94" s="139" t="inlineStr">
        <is>
          <t>重申目标</t>
        </is>
      </c>
      <c r="H94" s="139" t="inlineStr">
        <is>
          <t>碳汇</t>
        </is>
      </c>
      <c r="I94" s="139" t="inlineStr">
        <is>
          <t>全社会经济</t>
        </is>
      </c>
      <c r="J94" s="139" t="inlineStr">
        <is>
          <t>到2020年，全国森林蓄积量达到165亿立方米以上</t>
        </is>
      </c>
      <c r="K94" s="141" t="inlineStr">
        <is>
          <t>WP1701.pdf</t>
        </is>
      </c>
      <c r="L94" s="139" t="inlineStr">
        <is>
          <t>土地利用、土地利用变化和林业</t>
        </is>
      </c>
    </row>
    <row r="95" ht="18" customHeight="1" s="235">
      <c r="A95" s="139" t="n">
        <v>2009</v>
      </c>
      <c r="B95" s="139" t="inlineStr">
        <is>
          <t>森林蓄积量</t>
        </is>
      </c>
      <c r="C95" s="139" t="inlineStr">
        <is>
          <t>提高</t>
        </is>
      </c>
      <c r="D95" s="139" t="inlineStr">
        <is>
          <t>13亿立方米</t>
        </is>
      </c>
      <c r="E95" s="139" t="n">
        <v>2005</v>
      </c>
      <c r="F95" s="140" t="inlineStr">
        <is>
          <t>2020</t>
        </is>
      </c>
      <c r="G95" s="139" t="inlineStr">
        <is>
          <t>重申目标</t>
        </is>
      </c>
      <c r="H95" s="139" t="inlineStr">
        <is>
          <t>碳汇</t>
        </is>
      </c>
      <c r="I95" s="139" t="inlineStr">
        <is>
          <t>全社会经济</t>
        </is>
      </c>
      <c r="J95" s="139" t="inlineStr">
        <is>
          <t>努力使森林蓄积量到2020年比2005年增加13亿立方米。</t>
        </is>
      </c>
      <c r="K95" s="141" t="inlineStr">
        <is>
          <t>HL0901.pdf</t>
        </is>
      </c>
      <c r="L95" s="139" t="inlineStr">
        <is>
          <t>土地利用、土地利用变化和林业</t>
        </is>
      </c>
    </row>
    <row r="96" ht="18" customHeight="1" s="235">
      <c r="A96" s="139" t="n">
        <v>2011</v>
      </c>
      <c r="B96" s="139" t="inlineStr">
        <is>
          <t>森林蓄积量</t>
        </is>
      </c>
      <c r="C96" s="139" t="inlineStr">
        <is>
          <t>提高</t>
        </is>
      </c>
      <c r="D96" s="139" t="inlineStr">
        <is>
          <t>6亿立方米</t>
        </is>
      </c>
      <c r="E96" s="139" t="n">
        <v>2010</v>
      </c>
      <c r="F96" s="140" t="inlineStr">
        <is>
          <t>2015</t>
        </is>
      </c>
      <c r="G96" s="139" t="inlineStr">
        <is>
          <t>重申目标</t>
        </is>
      </c>
      <c r="H96" s="139" t="inlineStr">
        <is>
          <t>碳汇</t>
        </is>
      </c>
      <c r="I96" s="139" t="inlineStr">
        <is>
          <t>全社会经济</t>
        </is>
      </c>
      <c r="J96" s="139" t="inlineStr">
        <is>
          <t>到2015年，森林蓄积量比2010年增加6亿立方米。</t>
        </is>
      </c>
      <c r="K96" s="141" t="inlineStr">
        <is>
          <t>HL1101.pdf</t>
        </is>
      </c>
      <c r="L96" s="139" t="inlineStr">
        <is>
          <t>土地利用、土地利用变化和林业</t>
        </is>
      </c>
    </row>
    <row r="97" ht="18" customHeight="1" s="235">
      <c r="A97" s="139" t="n">
        <v>2012</v>
      </c>
      <c r="B97" s="139" t="inlineStr">
        <is>
          <t>森林蓄积量</t>
        </is>
      </c>
      <c r="C97" s="139" t="inlineStr">
        <is>
          <t>提高</t>
        </is>
      </c>
      <c r="D97" s="139" t="inlineStr">
        <is>
          <t>6亿立方米</t>
        </is>
      </c>
      <c r="E97" s="139" t="n"/>
      <c r="F97" s="140" t="inlineStr">
        <is>
          <t>十二五</t>
        </is>
      </c>
      <c r="G97" s="139" t="inlineStr">
        <is>
          <t>重申目标</t>
        </is>
      </c>
      <c r="H97" s="139" t="inlineStr">
        <is>
          <t>碳汇</t>
        </is>
      </c>
      <c r="I97" s="139" t="inlineStr">
        <is>
          <t>全社会经济</t>
        </is>
      </c>
      <c r="J97" s="139" t="inlineStr">
        <is>
          <t>“十二五”规划设定了增加森林蓄积量6亿立方米的目标。</t>
        </is>
      </c>
      <c r="K97" s="141" t="inlineStr">
        <is>
          <t>HL1201.pdf</t>
        </is>
      </c>
      <c r="L97" s="139" t="inlineStr">
        <is>
          <t>土地利用、土地利用变化和林业</t>
        </is>
      </c>
    </row>
    <row r="98" ht="18" customHeight="1" s="235">
      <c r="A98" s="139" t="n">
        <v>2012</v>
      </c>
      <c r="B98" s="139" t="inlineStr">
        <is>
          <t>森林蓄积量</t>
        </is>
      </c>
      <c r="C98" s="139" t="inlineStr">
        <is>
          <t>提高</t>
        </is>
      </c>
      <c r="D98" s="139" t="inlineStr">
        <is>
          <t>6亿立方米</t>
        </is>
      </c>
      <c r="E98" s="139" t="n"/>
      <c r="F98" s="140" t="n"/>
      <c r="G98" s="139" t="inlineStr">
        <is>
          <t>重申目标</t>
        </is>
      </c>
      <c r="H98" s="139" t="inlineStr">
        <is>
          <t>碳汇</t>
        </is>
      </c>
      <c r="I98" s="139" t="inlineStr">
        <is>
          <t>全社会经济</t>
        </is>
      </c>
      <c r="J98" s="139" t="inlineStr">
        <is>
          <t>在第十二个五年规划期间（2011-2015年），通过大力推进造林和可持续森林经营，森林蓄积量将增加6亿立方米。</t>
        </is>
      </c>
      <c r="K98" s="141" t="inlineStr">
        <is>
          <t>HL1201.pdf</t>
        </is>
      </c>
      <c r="L98" s="139" t="inlineStr">
        <is>
          <t>土地利用、土地利用变化和林业</t>
        </is>
      </c>
    </row>
    <row r="99" ht="18" customHeight="1" s="235">
      <c r="A99" s="139" t="n">
        <v>2012</v>
      </c>
      <c r="B99" s="139" t="inlineStr">
        <is>
          <t>森林蓄积量</t>
        </is>
      </c>
      <c r="C99" s="139" t="inlineStr">
        <is>
          <t>提高</t>
        </is>
      </c>
      <c r="D99" s="139" t="inlineStr">
        <is>
          <t>13亿立方米</t>
        </is>
      </c>
      <c r="E99" s="139" t="n">
        <v>2005</v>
      </c>
      <c r="F99" s="140" t="inlineStr">
        <is>
          <t>2020</t>
        </is>
      </c>
      <c r="G99" s="139" t="inlineStr">
        <is>
          <t>重申目标</t>
        </is>
      </c>
      <c r="H99" s="139" t="inlineStr">
        <is>
          <t>碳汇</t>
        </is>
      </c>
      <c r="I99" s="139" t="inlineStr">
        <is>
          <t>全社会经济</t>
        </is>
      </c>
      <c r="J99" s="139" t="inlineStr">
        <is>
          <t>通过大力开展造林和可持续森林经营，为到2020年森林蓄积量比2005年增加13亿立方米奠定坚实基础。</t>
        </is>
      </c>
      <c r="K99" s="141" t="inlineStr">
        <is>
          <t>HL1201.pdf</t>
        </is>
      </c>
      <c r="L99" s="139" t="inlineStr">
        <is>
          <t>土地利用、土地利用变化和林业</t>
        </is>
      </c>
    </row>
    <row r="100" ht="18" customHeight="1" s="235">
      <c r="A100" s="139" t="n">
        <v>2012</v>
      </c>
      <c r="B100" s="139" t="inlineStr">
        <is>
          <t>森林蓄积量</t>
        </is>
      </c>
      <c r="C100" s="139" t="inlineStr">
        <is>
          <t>提高</t>
        </is>
      </c>
      <c r="D100" s="139" t="inlineStr">
        <is>
          <t>13亿立方米</t>
        </is>
      </c>
      <c r="E100" s="139" t="n">
        <v>2005</v>
      </c>
      <c r="F100" s="140" t="inlineStr">
        <is>
          <t>2020</t>
        </is>
      </c>
      <c r="G100" s="139" t="inlineStr">
        <is>
          <t>重申目标</t>
        </is>
      </c>
      <c r="H100" s="139" t="inlineStr">
        <is>
          <t>碳汇</t>
        </is>
      </c>
      <c r="I100" s="139" t="inlineStr">
        <is>
          <t>全社会经济</t>
        </is>
      </c>
      <c r="J100" s="139" t="inlineStr">
        <is>
          <t>中国政府宣布，到2020年，森林蓄积量将在2005年基础上增加13亿立方米。</t>
        </is>
      </c>
      <c r="K100" s="141" t="inlineStr">
        <is>
          <t>HL1201.pdf</t>
        </is>
      </c>
      <c r="L100" s="139" t="inlineStr">
        <is>
          <t>土地利用、土地利用变化和林业</t>
        </is>
      </c>
    </row>
    <row r="101" ht="18" customHeight="1" s="235">
      <c r="A101" s="139" t="n">
        <v>2012</v>
      </c>
      <c r="B101" s="139" t="inlineStr">
        <is>
          <t>森林蓄积量</t>
        </is>
      </c>
      <c r="C101" s="139" t="inlineStr">
        <is>
          <t>提高</t>
        </is>
      </c>
      <c r="D101" s="139" t="inlineStr">
        <is>
          <t>13亿立方米</t>
        </is>
      </c>
      <c r="E101" s="139" t="n">
        <v>2005</v>
      </c>
      <c r="F101" s="140" t="inlineStr">
        <is>
          <t>2020</t>
        </is>
      </c>
      <c r="G101" s="139" t="inlineStr">
        <is>
          <t>重申目标</t>
        </is>
      </c>
      <c r="H101" s="139" t="inlineStr">
        <is>
          <t>碳汇</t>
        </is>
      </c>
      <c r="I101" s="139" t="inlineStr">
        <is>
          <t>全社会经济</t>
        </is>
      </c>
      <c r="J101" s="139" t="inlineStr">
        <is>
          <t>到2020年，森林蓄积量将在2005年基础上增加13亿立方米。</t>
        </is>
      </c>
      <c r="K101" s="141" t="inlineStr">
        <is>
          <t>HL1201.pdf</t>
        </is>
      </c>
      <c r="L101" s="139" t="inlineStr">
        <is>
          <t>土地利用、土地利用变化和林业</t>
        </is>
      </c>
    </row>
    <row r="102" ht="18" customHeight="1" s="235">
      <c r="A102" s="139" t="n">
        <v>2012</v>
      </c>
      <c r="B102" s="139" t="inlineStr">
        <is>
          <t>森林蓄积量</t>
        </is>
      </c>
      <c r="C102" s="139" t="inlineStr">
        <is>
          <t>提高至</t>
        </is>
      </c>
      <c r="D102" s="139" t="inlineStr">
        <is>
          <t>6亿立方米</t>
        </is>
      </c>
      <c r="E102" s="139" t="n"/>
      <c r="F102" s="140" t="inlineStr">
        <is>
          <t>十二五</t>
        </is>
      </c>
      <c r="G102" s="139" t="inlineStr">
        <is>
          <t>重申目标</t>
        </is>
      </c>
      <c r="H102" s="139" t="inlineStr">
        <is>
          <t>碳汇</t>
        </is>
      </c>
      <c r="I102" s="139" t="inlineStr">
        <is>
          <t>全社会经济</t>
        </is>
      </c>
      <c r="J102" s="139" t="inlineStr">
        <is>
          <t>《中华人民共和国国民经济和社会发展第十二个五年规划纲要》首次将森林蓄积量增加6亿立方米作为约束性指标。</t>
        </is>
      </c>
      <c r="K102" s="141" t="inlineStr">
        <is>
          <t>HL1201.pdf</t>
        </is>
      </c>
      <c r="L102" s="139" t="inlineStr">
        <is>
          <t>土地利用、土地利用变化和林业</t>
        </is>
      </c>
    </row>
    <row r="103" ht="18" customHeight="1" s="235">
      <c r="A103" s="139" t="n">
        <v>2019</v>
      </c>
      <c r="B103" s="139" t="inlineStr">
        <is>
          <t>森林蓄积量</t>
        </is>
      </c>
      <c r="C103" s="139" t="inlineStr">
        <is>
          <t>实现</t>
        </is>
      </c>
      <c r="D103" s="139" t="inlineStr">
        <is>
          <t>超过165亿立方米</t>
        </is>
      </c>
      <c r="E103" s="139" t="n"/>
      <c r="F103" s="140" t="inlineStr">
        <is>
          <t>2020</t>
        </is>
      </c>
      <c r="G103" s="139" t="inlineStr">
        <is>
          <t>重申目标</t>
        </is>
      </c>
      <c r="H103" s="139" t="inlineStr">
        <is>
          <t>碳汇</t>
        </is>
      </c>
      <c r="I103" s="139" t="inlineStr">
        <is>
          <t>全社会经济</t>
        </is>
      </c>
      <c r="J103" s="139" t="inlineStr">
        <is>
          <t>到2020年，中国森林蓄积量达到超过165亿立方米</t>
        </is>
      </c>
      <c r="K103" s="141" t="inlineStr">
        <is>
          <t>HL1902.pdf</t>
        </is>
      </c>
      <c r="L103" s="139" t="inlineStr">
        <is>
          <t>土地利用、土地利用变化和林业</t>
        </is>
      </c>
    </row>
    <row r="104" ht="18" customHeight="1" s="235">
      <c r="A104" s="139" t="n">
        <v>2021</v>
      </c>
      <c r="B104" s="139" t="inlineStr">
        <is>
          <t>森林蓄积量</t>
        </is>
      </c>
      <c r="C104" s="139" t="inlineStr">
        <is>
          <t>达到</t>
        </is>
      </c>
      <c r="D104" s="139" t="inlineStr">
        <is>
          <t>190亿立方米</t>
        </is>
      </c>
      <c r="E104" s="139" t="n"/>
      <c r="F104" s="140" t="inlineStr">
        <is>
          <t>2030</t>
        </is>
      </c>
      <c r="G104" s="139" t="inlineStr">
        <is>
          <t>新目标</t>
        </is>
      </c>
      <c r="H104" s="139" t="inlineStr">
        <is>
          <t>碳汇</t>
        </is>
      </c>
      <c r="I104" s="139" t="inlineStr">
        <is>
          <t>全社会经济</t>
        </is>
      </c>
      <c r="J104" s="139" t="inlineStr">
        <is>
          <t>到2030年，森林蓄积量达到190亿立方米。</t>
        </is>
      </c>
      <c r="K104" s="141" t="inlineStr">
        <is>
          <t>HL2101.htm</t>
        </is>
      </c>
      <c r="L104" s="139" t="inlineStr">
        <is>
          <t>土地利用、土地利用变化和林业</t>
        </is>
      </c>
    </row>
    <row r="105" ht="18" customHeight="1" s="235">
      <c r="A105" s="139" t="n">
        <v>2019</v>
      </c>
      <c r="B105" s="139" t="inlineStr">
        <is>
          <t>森林蓄积量</t>
        </is>
      </c>
      <c r="C105" s="139" t="inlineStr">
        <is>
          <t>提高</t>
        </is>
      </c>
      <c r="D105" s="139" t="inlineStr">
        <is>
          <t>13亿立方米</t>
        </is>
      </c>
      <c r="E105" s="139" t="n">
        <v>2005</v>
      </c>
      <c r="F105" s="140" t="inlineStr">
        <is>
          <t>2020</t>
        </is>
      </c>
      <c r="G105" s="139" t="inlineStr">
        <is>
          <t>重申目标</t>
        </is>
      </c>
      <c r="H105" s="139" t="inlineStr">
        <is>
          <t>碳汇</t>
        </is>
      </c>
      <c r="I105" s="139" t="inlineStr">
        <is>
          <t>全社会经济</t>
        </is>
      </c>
      <c r="J105" s="139" t="inlineStr">
        <is>
          <t>到2020年，森林蓄积量将在2005年基础上增加13亿立方米。</t>
        </is>
      </c>
      <c r="K105" s="141" t="inlineStr">
        <is>
          <t>HL1902.pdf</t>
        </is>
      </c>
      <c r="L105" s="139" t="inlineStr">
        <is>
          <t>土地利用、土地利用变化和林业</t>
        </is>
      </c>
    </row>
    <row r="106" ht="18" customHeight="1" s="235">
      <c r="A106" s="139" t="n">
        <v>2019</v>
      </c>
      <c r="B106" s="139" t="inlineStr">
        <is>
          <t>森林蓄积量</t>
        </is>
      </c>
      <c r="C106" s="139" t="inlineStr">
        <is>
          <t>提高</t>
        </is>
      </c>
      <c r="D106" s="139" t="inlineStr">
        <is>
          <t>45亿立方米</t>
        </is>
      </c>
      <c r="E106" s="139" t="n">
        <v>2005</v>
      </c>
      <c r="F106" s="140" t="inlineStr">
        <is>
          <t>2030</t>
        </is>
      </c>
      <c r="G106" s="139" t="inlineStr">
        <is>
          <t>重申目标</t>
        </is>
      </c>
      <c r="H106" s="139" t="inlineStr">
        <is>
          <t>碳汇</t>
        </is>
      </c>
      <c r="I106" s="139" t="inlineStr">
        <is>
          <t>全社会经济</t>
        </is>
      </c>
      <c r="J106" s="139" t="inlineStr">
        <is>
          <t>到2030年，森林蓄积量将比2005年增加45亿立方米。</t>
        </is>
      </c>
      <c r="K106" s="141" t="inlineStr">
        <is>
          <t>HL1902.pdf</t>
        </is>
      </c>
      <c r="L106" s="139" t="inlineStr">
        <is>
          <t>土地利用、土地利用变化和林业</t>
        </is>
      </c>
    </row>
    <row r="107" ht="18" customHeight="1" s="235">
      <c r="A107" s="139" t="n">
        <v>2019</v>
      </c>
      <c r="B107" s="139" t="inlineStr">
        <is>
          <t>森林蓄积量</t>
        </is>
      </c>
      <c r="C107" s="139" t="inlineStr">
        <is>
          <t>提高至</t>
        </is>
      </c>
      <c r="D107" s="139" t="inlineStr">
        <is>
          <t>165亿立方米</t>
        </is>
      </c>
      <c r="E107" s="139" t="n"/>
      <c r="F107" s="140" t="inlineStr">
        <is>
          <t>2020</t>
        </is>
      </c>
      <c r="G107" s="139" t="inlineStr">
        <is>
          <t>重申目标</t>
        </is>
      </c>
      <c r="H107" s="139" t="inlineStr">
        <is>
          <t>碳汇</t>
        </is>
      </c>
      <c r="I107" s="139" t="inlineStr">
        <is>
          <t>全社会经济</t>
        </is>
      </c>
      <c r="J107" s="139" t="inlineStr">
        <is>
          <t>到2020年，森林蓄积量将增加到165亿立方米。</t>
        </is>
      </c>
      <c r="K107" s="141" t="inlineStr">
        <is>
          <t>HL1902.pdf</t>
        </is>
      </c>
      <c r="L107" s="139" t="inlineStr">
        <is>
          <t>土地利用、土地利用变化和林业</t>
        </is>
      </c>
    </row>
    <row r="108" ht="18" customHeight="1" s="235">
      <c r="A108" s="139" t="n">
        <v>2019</v>
      </c>
      <c r="B108" s="139" t="inlineStr">
        <is>
          <t>森林蓄积量</t>
        </is>
      </c>
      <c r="C108" s="139" t="inlineStr">
        <is>
          <t>提高至</t>
        </is>
      </c>
      <c r="D108" s="139" t="inlineStr">
        <is>
          <t>超过165亿立方米</t>
        </is>
      </c>
      <c r="E108" s="139" t="n"/>
      <c r="F108" s="140" t="inlineStr">
        <is>
          <t>2020</t>
        </is>
      </c>
      <c r="G108" s="139" t="inlineStr">
        <is>
          <t>重申目标</t>
        </is>
      </c>
      <c r="H108" s="139" t="inlineStr">
        <is>
          <t>碳汇</t>
        </is>
      </c>
      <c r="I108" s="139" t="inlineStr">
        <is>
          <t>全社会经济</t>
        </is>
      </c>
      <c r="J108" s="139" t="inlineStr">
        <is>
          <t>到2020年，森林蓄积量将增加到超过165亿立方米。</t>
        </is>
      </c>
      <c r="K108" s="141" t="inlineStr">
        <is>
          <t>HL1902.pdf</t>
        </is>
      </c>
      <c r="L108" s="139" t="inlineStr">
        <is>
          <t>土地利用、土地利用变化和林业</t>
        </is>
      </c>
    </row>
    <row r="109" ht="18" customHeight="1" s="235">
      <c r="A109" s="139" t="n">
        <v>2021</v>
      </c>
      <c r="B109" s="139" t="inlineStr">
        <is>
          <t>森林蓄积量</t>
        </is>
      </c>
      <c r="C109" s="139" t="inlineStr">
        <is>
          <t>提高至</t>
        </is>
      </c>
      <c r="D109" s="139" t="inlineStr">
        <is>
          <t>190亿立方米</t>
        </is>
      </c>
      <c r="E109" s="139" t="n"/>
      <c r="F109" s="140" t="inlineStr">
        <is>
          <t>2030</t>
        </is>
      </c>
      <c r="G109" s="139" t="inlineStr">
        <is>
          <t>重申目标</t>
        </is>
      </c>
      <c r="H109" s="139" t="inlineStr">
        <is>
          <t>碳汇</t>
        </is>
      </c>
      <c r="I109" s="139" t="inlineStr">
        <is>
          <t>全社会经济</t>
        </is>
      </c>
      <c r="J109" s="139" t="inlineStr">
        <is>
          <t>到2030年，全国森林覆盖率将达到约25%，森林蓄积量将提高到190亿立方米。</t>
        </is>
      </c>
      <c r="K109" s="141" t="inlineStr">
        <is>
          <t>HL2102.pdf</t>
        </is>
      </c>
      <c r="L109" s="139" t="inlineStr">
        <is>
          <t>土地利用、土地利用变化和林业</t>
        </is>
      </c>
    </row>
    <row r="110" ht="18" customHeight="1" s="235">
      <c r="A110" s="139" t="n">
        <v>2019</v>
      </c>
      <c r="B110" s="139" t="inlineStr">
        <is>
          <t>森林蓄积量</t>
        </is>
      </c>
      <c r="C110" s="139" t="inlineStr">
        <is>
          <t>提高至</t>
        </is>
      </c>
      <c r="D110" s="139" t="inlineStr">
        <is>
          <t>超过143亿立方米</t>
        </is>
      </c>
      <c r="E110" s="139" t="n"/>
      <c r="F110" s="140" t="inlineStr">
        <is>
          <t>2015</t>
        </is>
      </c>
      <c r="G110" s="139" t="inlineStr">
        <is>
          <t>新目标</t>
        </is>
      </c>
      <c r="H110" s="139" t="inlineStr">
        <is>
          <t>碳汇</t>
        </is>
      </c>
      <c r="I110" s="139" t="inlineStr">
        <is>
          <t>全社会经济</t>
        </is>
      </c>
      <c r="J110" s="139" t="inlineStr">
        <is>
          <t>到2015年，森林蓄积量超过143亿立方米</t>
        </is>
      </c>
      <c r="K110" s="141" t="inlineStr">
        <is>
          <t>HL1902.pdf</t>
        </is>
      </c>
      <c r="L110" s="139" t="inlineStr">
        <is>
          <t>土地利用、土地利用变化和林业</t>
        </is>
      </c>
    </row>
    <row r="111" ht="18" customHeight="1" s="235">
      <c r="A111" s="139" t="n">
        <v>2021</v>
      </c>
      <c r="B111" s="139" t="inlineStr">
        <is>
          <t>森林蓄积量</t>
        </is>
      </c>
      <c r="C111" s="139" t="inlineStr">
        <is>
          <t>提高</t>
        </is>
      </c>
      <c r="D111" s="139" t="inlineStr">
        <is>
          <t>60亿立方米</t>
        </is>
      </c>
      <c r="E111" s="139" t="n">
        <v>2005</v>
      </c>
      <c r="F111" s="140" t="inlineStr">
        <is>
          <t>2030</t>
        </is>
      </c>
      <c r="G111" s="139" t="inlineStr">
        <is>
          <t>重申目标</t>
        </is>
      </c>
      <c r="H111" s="139" t="inlineStr">
        <is>
          <t>碳汇</t>
        </is>
      </c>
      <c r="I111" s="139" t="inlineStr">
        <is>
          <t>全社会经济</t>
        </is>
      </c>
      <c r="J111" s="139" t="inlineStr">
        <is>
          <t>中国更新的国家自主贡献目标如下：到2030年，森林蓄积量较2005年增加60亿立方米。</t>
        </is>
      </c>
      <c r="K111" s="141" t="inlineStr">
        <is>
          <t>HL2105.pdf</t>
        </is>
      </c>
      <c r="L111" s="139" t="inlineStr">
        <is>
          <t>土地利用、土地利用变化和林业</t>
        </is>
      </c>
    </row>
    <row r="112" ht="18" customHeight="1" s="235">
      <c r="A112" s="139" t="n">
        <v>2021</v>
      </c>
      <c r="B112" s="139" t="inlineStr">
        <is>
          <t>森林蓄积量</t>
        </is>
      </c>
      <c r="C112" s="139" t="inlineStr">
        <is>
          <t>提高</t>
        </is>
      </c>
      <c r="D112" s="139" t="inlineStr">
        <is>
          <t>60亿立方米</t>
        </is>
      </c>
      <c r="E112" s="139" t="n">
        <v>2005</v>
      </c>
      <c r="F112" s="140" t="inlineStr">
        <is>
          <t>2030</t>
        </is>
      </c>
      <c r="G112" s="139" t="inlineStr">
        <is>
          <t>重申目标</t>
        </is>
      </c>
      <c r="H112" s="139" t="inlineStr">
        <is>
          <t>碳汇</t>
        </is>
      </c>
      <c r="I112" s="139" t="inlineStr">
        <is>
          <t>全社会经济</t>
        </is>
      </c>
      <c r="J112" s="139" t="inlineStr">
        <is>
          <t>中国力争到2030年，森林蓄积量比2005年增加60亿立方米。</t>
        </is>
      </c>
      <c r="K112" s="141" t="inlineStr">
        <is>
          <t>HL2107.htm</t>
        </is>
      </c>
      <c r="L112" s="139" t="inlineStr">
        <is>
          <t>土地利用、土地利用变化和林业</t>
        </is>
      </c>
    </row>
    <row r="113" ht="18" customHeight="1" s="235">
      <c r="A113" s="139" t="n">
        <v>2023</v>
      </c>
      <c r="B113" s="139" t="inlineStr">
        <is>
          <t>森林蓄积量</t>
        </is>
      </c>
      <c r="C113" s="139" t="inlineStr">
        <is>
          <t>提高至</t>
        </is>
      </c>
      <c r="D113" s="139" t="inlineStr">
        <is>
          <t>165亿立方米</t>
        </is>
      </c>
      <c r="E113" s="139" t="n"/>
      <c r="F113" s="140" t="inlineStr">
        <is>
          <t>2020</t>
        </is>
      </c>
      <c r="G113" s="139" t="inlineStr">
        <is>
          <t>重申目标</t>
        </is>
      </c>
      <c r="H113" s="139" t="inlineStr">
        <is>
          <t>碳汇</t>
        </is>
      </c>
      <c r="I113" s="139" t="inlineStr">
        <is>
          <t>全社会经济</t>
        </is>
      </c>
      <c r="J113" s="139" t="inlineStr">
        <is>
          <t>到2020年，森林蓄积量将跃升至165亿立方米。</t>
        </is>
      </c>
      <c r="K113" s="141" t="inlineStr">
        <is>
          <t>HL2302.pdf</t>
        </is>
      </c>
      <c r="L113" s="139" t="inlineStr">
        <is>
          <t>土地利用、土地利用变化和林业</t>
        </is>
      </c>
    </row>
    <row r="114" ht="18" customHeight="1" s="235">
      <c r="A114" s="139" t="n">
        <v>2024</v>
      </c>
      <c r="B114" s="139" t="inlineStr">
        <is>
          <t>森林蓄积量</t>
        </is>
      </c>
      <c r="C114" s="139" t="inlineStr">
        <is>
          <t>达到</t>
        </is>
      </c>
      <c r="D114" s="139" t="inlineStr">
        <is>
          <t>190亿立方米</t>
        </is>
      </c>
      <c r="E114" s="139" t="n"/>
      <c r="F114" s="140" t="inlineStr">
        <is>
          <t>2025</t>
        </is>
      </c>
      <c r="G114" s="139" t="inlineStr">
        <is>
          <t>重申目标</t>
        </is>
      </c>
      <c r="H114" s="139" t="inlineStr">
        <is>
          <t>碳汇</t>
        </is>
      </c>
      <c r="I114" s="139" t="inlineStr">
        <is>
          <t>全社会经济</t>
        </is>
      </c>
      <c r="J114" s="139" t="inlineStr">
        <is>
          <t>到2025年，森林蓄积量将达到190亿立方米。</t>
        </is>
      </c>
      <c r="K114" s="141" t="inlineStr">
        <is>
          <t>HL2401.pdf</t>
        </is>
      </c>
      <c r="L114" s="139" t="inlineStr">
        <is>
          <t>土地利用、土地利用变化和林业</t>
        </is>
      </c>
    </row>
    <row r="115" ht="18" customHeight="1" s="235">
      <c r="A115" s="139" t="n">
        <v>2023</v>
      </c>
      <c r="B115" s="139" t="inlineStr">
        <is>
          <t>森林蓄积量</t>
        </is>
      </c>
      <c r="C115" s="139" t="inlineStr">
        <is>
          <t>达到</t>
        </is>
      </c>
      <c r="D115" s="139" t="inlineStr">
        <is>
          <t>190亿立方米</t>
        </is>
      </c>
      <c r="E115" s="139" t="n"/>
      <c r="F115" s="140" t="inlineStr">
        <is>
          <t>2025</t>
        </is>
      </c>
      <c r="G115" s="139" t="inlineStr">
        <is>
          <t>重申目标</t>
        </is>
      </c>
      <c r="H115" s="139" t="inlineStr">
        <is>
          <t>碳汇</t>
        </is>
      </c>
      <c r="I115" s="139" t="inlineStr">
        <is>
          <t>全社会经济</t>
        </is>
      </c>
      <c r="J115" s="139" t="inlineStr">
        <is>
          <t>到2025年，我国森林覆盖率达到24.1%，森林蓄积量达到190亿立方米</t>
        </is>
      </c>
      <c r="K115" s="141" t="inlineStr">
        <is>
          <t>HL2302.pdf</t>
        </is>
      </c>
      <c r="L115" s="139" t="inlineStr">
        <is>
          <t>土地利用、土地利用变化和林业</t>
        </is>
      </c>
    </row>
    <row r="116" ht="18" customHeight="1" s="235">
      <c r="A116" s="139" t="n">
        <v>2017</v>
      </c>
      <c r="B116" s="139" t="inlineStr">
        <is>
          <t>森林蓄积量</t>
        </is>
      </c>
      <c r="C116" s="139" t="inlineStr">
        <is>
          <t>提高</t>
        </is>
      </c>
      <c r="D116" s="139" t="inlineStr">
        <is>
          <t>6亿亩</t>
        </is>
      </c>
      <c r="E116" s="139" t="n">
        <v>2005</v>
      </c>
      <c r="F116" s="140" t="inlineStr">
        <is>
          <t>2020</t>
        </is>
      </c>
      <c r="G116" s="139" t="inlineStr">
        <is>
          <t>重申目标</t>
        </is>
      </c>
      <c r="H116" s="139" t="inlineStr">
        <is>
          <t>碳汇</t>
        </is>
      </c>
      <c r="I116" s="139" t="inlineStr">
        <is>
          <t>全社会经济</t>
        </is>
      </c>
      <c r="J116" s="139" t="inlineStr">
        <is>
          <t>到2020年，全国森林面积在2005年基础上增加6亿亩。</t>
        </is>
      </c>
      <c r="K116" s="141" t="inlineStr">
        <is>
          <t>WP1701.pdf</t>
        </is>
      </c>
      <c r="L116" s="139" t="inlineStr">
        <is>
          <t>土地利用、土地利用变化和林业</t>
        </is>
      </c>
    </row>
    <row r="117" ht="18" customHeight="1" s="235">
      <c r="A117" s="139" t="n">
        <v>2021</v>
      </c>
      <c r="B117" s="139" t="inlineStr">
        <is>
          <t>森林蓄积量</t>
        </is>
      </c>
      <c r="C117" s="139" t="inlineStr">
        <is>
          <t>提高</t>
        </is>
      </c>
      <c r="D117" s="139" t="inlineStr">
        <is>
          <t>60亿立方米</t>
        </is>
      </c>
      <c r="E117" s="139" t="n">
        <v>2005</v>
      </c>
      <c r="F117" s="140" t="inlineStr">
        <is>
          <t>2030</t>
        </is>
      </c>
      <c r="G117" s="139" t="inlineStr">
        <is>
          <t>新目标</t>
        </is>
      </c>
      <c r="H117" s="139" t="inlineStr">
        <is>
          <t>碳汇</t>
        </is>
      </c>
      <c r="I117" s="139" t="inlineStr">
        <is>
          <t>全社会经济</t>
        </is>
      </c>
      <c r="J117" s="139" t="inlineStr">
        <is>
          <t>到2030年，中国森林覆盖率将达到约25%，森林蓄积量将比2005年增加60亿立方米。</t>
        </is>
      </c>
      <c r="K117" s="141" t="inlineStr">
        <is>
          <t>HL2104.pdf</t>
        </is>
      </c>
      <c r="L117" s="139" t="inlineStr">
        <is>
          <t>土地利用、土地利用变化和林业</t>
        </is>
      </c>
    </row>
    <row r="118" ht="18" customHeight="1" s="235">
      <c r="A118" s="139" t="n">
        <v>2025</v>
      </c>
      <c r="B118" s="139" t="inlineStr">
        <is>
          <t>森林蓄积量</t>
        </is>
      </c>
      <c r="C118" s="139" t="inlineStr">
        <is>
          <t>提高至</t>
        </is>
      </c>
      <c r="D118" s="139" t="inlineStr">
        <is>
          <t>超过240亿立方米</t>
        </is>
      </c>
      <c r="E118" s="139" t="n"/>
      <c r="F118" s="140" t="n">
        <v>2035</v>
      </c>
      <c r="G118" s="140" t="inlineStr">
        <is>
          <t>新目标</t>
        </is>
      </c>
      <c r="H118" s="139" t="inlineStr">
        <is>
          <t>碳汇</t>
        </is>
      </c>
      <c r="I118" s="139" t="inlineStr">
        <is>
          <t>全社会经济</t>
        </is>
      </c>
      <c r="J118" s="139" t="inlineStr">
        <is>
          <t>到2035年，中国将森林蓄积总量提升至超过240亿立方米</t>
        </is>
      </c>
      <c r="K118" s="141" t="inlineStr">
        <is>
          <t>PA2501.htm</t>
        </is>
      </c>
      <c r="L118" s="139" t="inlineStr">
        <is>
          <t>土地利用、土地利用变化和林业</t>
        </is>
      </c>
    </row>
    <row r="119" ht="18" customHeight="1" s="235">
      <c r="A119" s="139" t="n">
        <v>2026</v>
      </c>
      <c r="B119" s="139" t="inlineStr">
        <is>
          <t>森林蓄积量</t>
        </is>
      </c>
      <c r="C119" s="139" t="inlineStr">
        <is>
          <t>达到</t>
        </is>
      </c>
      <c r="D119" s="139" t="inlineStr">
        <is>
          <t>二百二十四亿立方米</t>
        </is>
      </c>
      <c r="E119" s="139" t="n"/>
      <c r="F119" s="140" t="n">
        <v>2030</v>
      </c>
      <c r="G119" s="140" t="inlineStr">
        <is>
          <t>新目标</t>
        </is>
      </c>
      <c r="H119" s="139" t="inlineStr">
        <is>
          <t>碳汇</t>
        </is>
      </c>
      <c r="I119" s="139" t="inlineStr">
        <is>
          <t>全社会经济</t>
        </is>
      </c>
      <c r="J119" s="139" t="inlineStr">
        <is>
          <t>科学开展大规模国土绿化行动，推进森林质量精准提升，森林蓄积量达到224亿立方米。</t>
        </is>
      </c>
      <c r="K119" s="141" t="inlineStr">
        <is>
          <t>HL2601.pdf</t>
        </is>
      </c>
      <c r="L119" s="139" t="inlineStr">
        <is>
          <t>土地利用、土地利用变化和林业</t>
        </is>
      </c>
    </row>
    <row r="120" ht="18" customHeight="1" s="235">
      <c r="A120" s="139" t="n">
        <v>2011</v>
      </c>
      <c r="B120" s="139" t="inlineStr">
        <is>
          <t>森林蓄积量</t>
        </is>
      </c>
      <c r="C120" s="139" t="inlineStr">
        <is>
          <t>达到</t>
        </is>
      </c>
      <c r="D120" s="139" t="inlineStr">
        <is>
          <t>143亿立方米以上</t>
        </is>
      </c>
      <c r="E120" s="139" t="n"/>
      <c r="F120" s="140" t="n">
        <v>2015</v>
      </c>
      <c r="G120" s="140" t="inlineStr">
        <is>
          <t>重申目标</t>
        </is>
      </c>
      <c r="H120" s="139" t="inlineStr">
        <is>
          <t>碳汇</t>
        </is>
      </c>
      <c r="I120" s="139" t="inlineStr">
        <is>
          <t>全社会经济</t>
        </is>
      </c>
      <c r="J120" s="139" t="inlineStr">
        <is>
          <t>……森林蓄积量达到143亿立方米以上……</t>
        </is>
      </c>
      <c r="K120" s="141" t="inlineStr">
        <is>
          <t>AP1101.htm</t>
        </is>
      </c>
      <c r="L120" s="139" t="inlineStr">
        <is>
          <t>土地利用、土地利用变化和林业</t>
        </is>
      </c>
    </row>
    <row r="121" ht="18" customHeight="1" s="235">
      <c r="A121" s="0" t="n">
        <v>2026</v>
      </c>
      <c r="B121" s="0" t="inlineStr">
        <is>
          <t>森林蓄积量</t>
        </is>
      </c>
      <c r="C121" s="0" t="inlineStr">
        <is>
          <t>达到</t>
        </is>
      </c>
      <c r="D121" s="0" t="inlineStr">
        <is>
          <t>224亿立方米</t>
        </is>
      </c>
      <c r="F121" s="0" t="n">
        <v>2030</v>
      </c>
      <c r="G121" s="0" t="inlineStr">
        <is>
          <t>重申目标</t>
        </is>
      </c>
      <c r="H121" s="0" t="inlineStr">
        <is>
          <t>碳汇</t>
        </is>
      </c>
      <c r="I121" s="0" t="inlineStr">
        <is>
          <t>全社会经济</t>
        </is>
      </c>
      <c r="J121" s="0" t="inlineStr">
        <is>
          <t>科学开展大规模国土绿化行动，……森林蓄积量达到224亿立方米。</t>
        </is>
      </c>
      <c r="K121" s="0" t="inlineStr">
        <is>
          <t>FYP2609.htm</t>
        </is>
      </c>
      <c r="L121" s="0" t="inlineStr">
        <is>
          <t>土地利用、土地利用变化和林业</t>
        </is>
      </c>
    </row>
    <row r="122" ht="18" customHeight="1" s="235">
      <c r="A122" s="0" t="n">
        <v>2026</v>
      </c>
      <c r="B122" s="0" t="inlineStr">
        <is>
          <t>森林蓄积量</t>
        </is>
      </c>
      <c r="C122" s="0" t="inlineStr">
        <is>
          <t>达到</t>
        </is>
      </c>
      <c r="D122" s="0" t="inlineStr">
        <is>
          <t>224亿立方米</t>
        </is>
      </c>
      <c r="F122" s="0" t="n">
        <v>2030</v>
      </c>
      <c r="G122" s="0" t="inlineStr">
        <is>
          <t>新目标</t>
        </is>
      </c>
      <c r="H122" s="0" t="inlineStr">
        <is>
          <t>碳汇</t>
        </is>
      </c>
      <c r="I122" s="0" t="inlineStr">
        <is>
          <t>全社会经济</t>
        </is>
      </c>
      <c r="J122" s="0" t="inlineStr">
        <is>
          <t>到2030年，全国森林蓄积量达到224亿立方米。</t>
        </is>
      </c>
      <c r="K122" s="0" t="inlineStr">
        <is>
          <t>HL2604.htm</t>
        </is>
      </c>
      <c r="L122" s="0" t="inlineStr">
        <is>
          <t>土地利用、土地利用变化和林业</t>
        </is>
      </c>
    </row>
    <row r="123" ht="18" customHeight="1" s="235">
      <c r="A123" s="139" t="n">
        <v>2011</v>
      </c>
      <c r="B123" s="139" t="inlineStr">
        <is>
          <t>林业自然保护区面积占国土面积比例</t>
        </is>
      </c>
      <c r="C123" s="139" t="inlineStr">
        <is>
          <t>稳定在</t>
        </is>
      </c>
      <c r="D123" s="139" t="inlineStr">
        <is>
          <t>13%左右</t>
        </is>
      </c>
      <c r="E123" s="139" t="n"/>
      <c r="F123" s="140" t="n">
        <v>2015</v>
      </c>
      <c r="G123" s="140" t="inlineStr">
        <is>
          <t>新目标</t>
        </is>
      </c>
      <c r="H123" s="139" t="inlineStr">
        <is>
          <t>环境质量</t>
        </is>
      </c>
      <c r="I123" s="139" t="inlineStr">
        <is>
          <t>全社会经济</t>
        </is>
      </c>
      <c r="J123" s="139" t="inlineStr">
        <is>
          <t>林业自然保护区面积占国土面积比例稳定在13%左右……</t>
        </is>
      </c>
      <c r="K123" s="141" t="inlineStr">
        <is>
          <t>AP1101.htm</t>
        </is>
      </c>
      <c r="L123" s="139" t="inlineStr">
        <is>
          <t>土地利用、土地利用变化和林业</t>
        </is>
      </c>
    </row>
    <row r="124" ht="18" customHeight="1" s="235">
      <c r="A124" s="139" t="n">
        <v>2011</v>
      </c>
      <c r="B124" s="139" t="inlineStr">
        <is>
          <t>草原改良面积</t>
        </is>
      </c>
      <c r="C124" s="139" t="inlineStr">
        <is>
          <t>修复</t>
        </is>
      </c>
      <c r="D124" s="139" t="inlineStr">
        <is>
          <t>2000万公顷</t>
        </is>
      </c>
      <c r="E124" s="139" t="n"/>
      <c r="F124" s="140" t="inlineStr">
        <is>
          <t>十二五</t>
        </is>
      </c>
      <c r="G124" s="139" t="inlineStr">
        <is>
          <t>新目标</t>
        </is>
      </c>
      <c r="H124" s="139" t="inlineStr">
        <is>
          <t>环境质量</t>
        </is>
      </c>
      <c r="I124" s="139" t="inlineStr">
        <is>
          <t>全社会经济</t>
        </is>
      </c>
      <c r="J124" s="139" t="inlineStr">
        <is>
          <t>“十二五”期间，规划改良草原面积2000万公顷。</t>
        </is>
      </c>
      <c r="K124" s="141" t="inlineStr">
        <is>
          <t>PF1101.pdf</t>
        </is>
      </c>
      <c r="L124" s="139" t="inlineStr">
        <is>
          <t>土地利用、土地利用变化和林业</t>
        </is>
      </c>
    </row>
    <row r="125" ht="18" customHeight="1" s="235">
      <c r="A125" s="139" t="n">
        <v>2011</v>
      </c>
      <c r="B125" s="139" t="inlineStr">
        <is>
          <t>草原</t>
        </is>
      </c>
      <c r="C125" s="139" t="inlineStr">
        <is>
          <t>围栏封育</t>
        </is>
      </c>
      <c r="D125" s="139" t="inlineStr">
        <is>
          <t>5000万公顷</t>
        </is>
      </c>
      <c r="E125" s="139" t="n"/>
      <c r="F125" s="140" t="inlineStr">
        <is>
          <t>十二五</t>
        </is>
      </c>
      <c r="G125" s="139" t="inlineStr">
        <is>
          <t>新目标</t>
        </is>
      </c>
      <c r="H125" s="139" t="inlineStr">
        <is>
          <t>环境质量</t>
        </is>
      </c>
      <c r="I125" s="139" t="inlineStr">
        <is>
          <t>全社会经济</t>
        </is>
      </c>
      <c r="J125" s="139" t="inlineStr">
        <is>
          <t>“十二五”期间，规划草原围栏面积达到5000万公顷。</t>
        </is>
      </c>
      <c r="K125" s="141" t="inlineStr">
        <is>
          <t>PF1101.pdf</t>
        </is>
      </c>
      <c r="L125" s="139" t="inlineStr">
        <is>
          <t>土地利用、土地利用变化和林业</t>
        </is>
      </c>
    </row>
    <row r="126" ht="18" customHeight="1" s="235">
      <c r="A126" s="139" t="n">
        <v>2007</v>
      </c>
      <c r="B126" s="139" t="inlineStr">
        <is>
          <t>草地</t>
        </is>
      </c>
      <c r="C126" s="139" t="inlineStr">
        <is>
          <t>提高</t>
        </is>
      </c>
      <c r="D126" s="139" t="inlineStr">
        <is>
          <t>2400万公顷</t>
        </is>
      </c>
      <c r="E126" s="139" t="n"/>
      <c r="F126" s="140" t="inlineStr">
        <is>
          <t>2010</t>
        </is>
      </c>
      <c r="G126" s="139" t="inlineStr">
        <is>
          <t>重申目标</t>
        </is>
      </c>
      <c r="H126" s="139" t="inlineStr">
        <is>
          <t>环境质量</t>
        </is>
      </c>
      <c r="I126" s="139" t="inlineStr">
        <is>
          <t>全社会经济</t>
        </is>
      </c>
      <c r="J126" s="139" t="inlineStr">
        <is>
          <t>通过加强农田基础设施建设、调整耕作制度、选育抗逆品种、发展生物技术及其他适应性措施，到2010年的目标是新增改良草地2400万公顷。</t>
        </is>
      </c>
      <c r="K126" s="141" t="inlineStr">
        <is>
          <t>HL0701.pdf</t>
        </is>
      </c>
      <c r="L126" s="139" t="inlineStr">
        <is>
          <t>土地利用、土地利用变化和林业</t>
        </is>
      </c>
    </row>
    <row r="127" ht="18" customHeight="1" s="235">
      <c r="A127" s="139" t="n">
        <v>2016</v>
      </c>
      <c r="B127" s="139" t="inlineStr">
        <is>
          <t>草原</t>
        </is>
      </c>
      <c r="C127" s="139" t="inlineStr">
        <is>
          <t>修复</t>
        </is>
      </c>
      <c r="D127" s="139" t="inlineStr">
        <is>
          <t>1500万公顷</t>
        </is>
      </c>
      <c r="E127" s="139" t="n"/>
      <c r="F127" s="140" t="inlineStr">
        <is>
          <t>十三五</t>
        </is>
      </c>
      <c r="G127" s="139" t="inlineStr">
        <is>
          <t>新目标</t>
        </is>
      </c>
      <c r="H127" s="139" t="inlineStr">
        <is>
          <t>环境质量</t>
        </is>
      </c>
      <c r="I127" s="139" t="inlineStr">
        <is>
          <t>全社会经济</t>
        </is>
      </c>
      <c r="J127" s="139" t="inlineStr">
        <is>
          <t>“十三五”期间，规划改良草原1500万公顷。</t>
        </is>
      </c>
      <c r="K127" s="141" t="inlineStr">
        <is>
          <t>PF1602.pdf</t>
        </is>
      </c>
      <c r="L127" s="139" t="inlineStr">
        <is>
          <t>土地利用、土地利用变化和林业</t>
        </is>
      </c>
    </row>
    <row r="128" ht="18" customHeight="1" s="235">
      <c r="A128" s="139" t="n">
        <v>2016</v>
      </c>
      <c r="B128" s="139" t="inlineStr">
        <is>
          <t>草地</t>
        </is>
      </c>
      <c r="C128" s="139" t="inlineStr">
        <is>
          <t>围栏封育</t>
        </is>
      </c>
      <c r="D128" s="139" t="inlineStr">
        <is>
          <t>5000万公顷</t>
        </is>
      </c>
      <c r="E128" s="139" t="n"/>
      <c r="F128" s="140" t="inlineStr">
        <is>
          <t>十三五</t>
        </is>
      </c>
      <c r="G128" s="139" t="inlineStr">
        <is>
          <t>新目标</t>
        </is>
      </c>
      <c r="H128" s="139" t="inlineStr">
        <is>
          <t>环境质量</t>
        </is>
      </c>
      <c r="I128" s="139" t="inlineStr">
        <is>
          <t>全社会经济</t>
        </is>
      </c>
      <c r="J128" s="139" t="inlineStr">
        <is>
          <t>“十三五”期间，规划草原围栏5000万公顷。</t>
        </is>
      </c>
      <c r="K128" s="141" t="inlineStr">
        <is>
          <t>PF1602.pdf</t>
        </is>
      </c>
      <c r="L128" s="139" t="inlineStr">
        <is>
          <t>土地利用、土地利用变化和林业</t>
        </is>
      </c>
    </row>
    <row r="129" ht="18" customHeight="1" s="235">
      <c r="A129" s="139" t="n">
        <v>2008</v>
      </c>
      <c r="B129" s="139" t="inlineStr">
        <is>
          <t>草原</t>
        </is>
      </c>
      <c r="C129" s="139" t="inlineStr">
        <is>
          <t>提高</t>
        </is>
      </c>
      <c r="D129" s="139" t="inlineStr">
        <is>
          <t>2400万公顷</t>
        </is>
      </c>
      <c r="E129" s="139" t="n">
        <v>2005</v>
      </c>
      <c r="F129" s="140" t="inlineStr">
        <is>
          <t>2010</t>
        </is>
      </c>
      <c r="G129" s="139" t="inlineStr">
        <is>
          <t>新目标</t>
        </is>
      </c>
      <c r="H129" s="139" t="inlineStr">
        <is>
          <t>环境质量</t>
        </is>
      </c>
      <c r="I129" s="139" t="inlineStr">
        <is>
          <t>全社会经济</t>
        </is>
      </c>
      <c r="J129" s="139" t="inlineStr">
        <is>
          <t>通过加强农田基础设施建设、调整种植制度、选育抗逆品种、开发生物技术等适应措施，到2010年，改良草原面积较2005年增加2400万公顷。</t>
        </is>
      </c>
      <c r="K129" s="141" t="inlineStr">
        <is>
          <t>HL0801.pdf</t>
        </is>
      </c>
      <c r="L129" s="139" t="inlineStr">
        <is>
          <t>土地利用、土地利用变化和林业</t>
        </is>
      </c>
    </row>
    <row r="130" ht="18" customHeight="1" s="235">
      <c r="A130" s="139" t="n">
        <v>2017</v>
      </c>
      <c r="B130" s="139" t="inlineStr">
        <is>
          <t>草原综合植被盖度</t>
        </is>
      </c>
      <c r="C130" s="139" t="inlineStr">
        <is>
          <t>达到</t>
        </is>
      </c>
      <c r="D130" s="139" t="inlineStr">
        <is>
          <t>56%</t>
        </is>
      </c>
      <c r="E130" s="139" t="n"/>
      <c r="F130" s="140" t="inlineStr">
        <is>
          <t>2020</t>
        </is>
      </c>
      <c r="G130" s="139" t="inlineStr">
        <is>
          <t>重申目标</t>
        </is>
      </c>
      <c r="H130" s="139" t="inlineStr">
        <is>
          <t>环境质量</t>
        </is>
      </c>
      <c r="I130" s="139" t="inlineStr">
        <is>
          <t>全社会经济</t>
        </is>
      </c>
      <c r="J130" s="139" t="inlineStr">
        <is>
          <t>到2020年，全国草原综合植被盖度达到56%。</t>
        </is>
      </c>
      <c r="K130" s="141" t="inlineStr">
        <is>
          <t>O1702.htm</t>
        </is>
      </c>
      <c r="L130" s="139" t="inlineStr">
        <is>
          <t>土地利用、土地利用变化和林业</t>
        </is>
      </c>
    </row>
    <row r="131" ht="18" customHeight="1" s="235">
      <c r="A131" s="139" t="n">
        <v>2016</v>
      </c>
      <c r="B131" s="139" t="inlineStr">
        <is>
          <t>草原综合植被盖度</t>
        </is>
      </c>
      <c r="C131" s="139" t="inlineStr">
        <is>
          <t>达到</t>
        </is>
      </c>
      <c r="D131" s="139" t="inlineStr">
        <is>
          <t>56%</t>
        </is>
      </c>
      <c r="E131" s="139" t="n"/>
      <c r="F131" s="140" t="inlineStr">
        <is>
          <t>2020</t>
        </is>
      </c>
      <c r="G131" s="139" t="inlineStr">
        <is>
          <t>新目标</t>
        </is>
      </c>
      <c r="H131" s="139" t="inlineStr">
        <is>
          <t>环境质量</t>
        </is>
      </c>
      <c r="I131" s="139" t="inlineStr">
        <is>
          <t>全社会经济</t>
        </is>
      </c>
      <c r="J131" s="139" t="inlineStr">
        <is>
          <t>推进退牧还草等草原生态保护建设工程，推行禁牧休牧轮牧和草畜平衡制度，加强草原灾害防治，积极增加草原碳汇，到2020年草原综合植被盖度达到56%。</t>
        </is>
      </c>
      <c r="K131" s="141" t="inlineStr">
        <is>
          <t>FYP1615.htm</t>
        </is>
      </c>
      <c r="L131" s="139" t="inlineStr">
        <is>
          <t>土地利用、土地利用变化和林业</t>
        </is>
      </c>
    </row>
    <row r="132" ht="18" customHeight="1" s="235">
      <c r="A132" s="139" t="n">
        <v>2024</v>
      </c>
      <c r="B132" s="139" t="inlineStr">
        <is>
          <t>草原综合植被盖度</t>
        </is>
      </c>
      <c r="C132" s="139" t="inlineStr">
        <is>
          <t>达到</t>
        </is>
      </c>
      <c r="D132" s="139" t="inlineStr">
        <is>
          <t>57%</t>
        </is>
      </c>
      <c r="E132" s="139" t="n"/>
      <c r="F132" s="140" t="inlineStr">
        <is>
          <t>2025</t>
        </is>
      </c>
      <c r="G132" s="139" t="inlineStr">
        <is>
          <t>新目标</t>
        </is>
      </c>
      <c r="H132" s="139" t="inlineStr">
        <is>
          <t>环境质量</t>
        </is>
      </c>
      <c r="I132" s="139" t="inlineStr">
        <is>
          <t>全社会经济</t>
        </is>
      </c>
      <c r="J132" s="139" t="inlineStr">
        <is>
          <t>到2025年，草原综合植被盖度达到57%。</t>
        </is>
      </c>
      <c r="K132" s="141" t="inlineStr">
        <is>
          <t>HL2401.pdf</t>
        </is>
      </c>
      <c r="L132" s="139" t="inlineStr">
        <is>
          <t>土地利用、土地利用变化和林业</t>
        </is>
      </c>
    </row>
    <row r="133" ht="18" customHeight="1" s="235">
      <c r="A133" s="139" t="n">
        <v>2018</v>
      </c>
      <c r="B133" s="139" t="inlineStr">
        <is>
          <t>草原</t>
        </is>
      </c>
      <c r="C133" s="139" t="inlineStr">
        <is>
          <t>管理</t>
        </is>
      </c>
      <c r="D133" s="139" t="inlineStr">
        <is>
          <t>1750万亩</t>
        </is>
      </c>
      <c r="E133" s="139" t="n"/>
      <c r="F133" s="140" t="inlineStr">
        <is>
          <t>2020</t>
        </is>
      </c>
      <c r="G133" s="139" t="inlineStr">
        <is>
          <t>新目标</t>
        </is>
      </c>
      <c r="H133" s="139" t="inlineStr">
        <is>
          <t>环境质量</t>
        </is>
      </c>
      <c r="I133" s="139" t="inlineStr">
        <is>
          <t>全社会经济</t>
        </is>
      </c>
      <c r="J133" s="139" t="inlineStr">
        <is>
          <t>继续实施农牧交错带已垦草原治理工程，力争2020年前完成1750万亩已垦草原治理任务。</t>
        </is>
      </c>
      <c r="K133" s="141" t="inlineStr">
        <is>
          <t>O1801.htm</t>
        </is>
      </c>
      <c r="L133" s="139" t="inlineStr">
        <is>
          <t>土地利用、土地利用变化和林业</t>
        </is>
      </c>
    </row>
    <row r="134" ht="18" customHeight="1" s="235">
      <c r="A134" s="139" t="n">
        <v>2024</v>
      </c>
      <c r="B134" s="139" t="inlineStr">
        <is>
          <t>主要农作物绿色防控覆盖率</t>
        </is>
      </c>
      <c r="C134" s="139" t="inlineStr">
        <is>
          <t>达到</t>
        </is>
      </c>
      <c r="D134" s="139" t="inlineStr">
        <is>
          <t>60%</t>
        </is>
      </c>
      <c r="E134" s="139" t="n"/>
      <c r="F134" s="140" t="inlineStr">
        <is>
          <t>2030</t>
        </is>
      </c>
      <c r="G134" s="139" t="inlineStr">
        <is>
          <t>新目标</t>
        </is>
      </c>
      <c r="H134" s="139" t="inlineStr">
        <is>
          <t>环境质量</t>
        </is>
      </c>
      <c r="I134" s="139" t="inlineStr">
        <is>
          <t>不明确</t>
        </is>
      </c>
      <c r="J134" s="139" t="inlineStr">
        <is>
          <t>到2030年，主要农作物绿色防控覆盖率达到60%以上。</t>
        </is>
      </c>
      <c r="K134" s="141" t="inlineStr">
        <is>
          <t>GO2404.htm</t>
        </is>
      </c>
      <c r="L134" s="139" t="inlineStr">
        <is>
          <t>土地利用、土地利用变化和林业</t>
        </is>
      </c>
    </row>
    <row r="135" ht="18" customHeight="1" s="235">
      <c r="A135" s="139" t="n">
        <v>2011</v>
      </c>
      <c r="B135" s="139" t="inlineStr">
        <is>
          <t>城市、乡镇、村屯、军事管理区绿化面积</t>
        </is>
      </c>
      <c r="C135" s="139" t="inlineStr">
        <is>
          <t>完成</t>
        </is>
      </c>
      <c r="D135" s="139" t="inlineStr">
        <is>
          <t>295.4万公顷</t>
        </is>
      </c>
      <c r="E135" s="139" t="n"/>
      <c r="F135" s="140" t="inlineStr">
        <is>
          <t>2011-2020</t>
        </is>
      </c>
      <c r="G135" s="139" t="inlineStr">
        <is>
          <t>新目标</t>
        </is>
      </c>
      <c r="H135" s="139" t="inlineStr">
        <is>
          <t>环境质量</t>
        </is>
      </c>
      <c r="I135" s="139" t="inlineStr">
        <is>
          <t>城市</t>
        </is>
      </c>
      <c r="J135" s="139" t="inlineStr">
        <is>
          <t>到2020年，规划城市、乡镇、村屯、军事管理区绿化295.4万公顷。</t>
        </is>
      </c>
      <c r="K135" s="141" t="inlineStr">
        <is>
          <t>PF1101.pdf</t>
        </is>
      </c>
      <c r="L135" s="139" t="inlineStr">
        <is>
          <t>土地利用、土地利用变化和林业</t>
        </is>
      </c>
    </row>
    <row r="136" ht="18" customHeight="1" s="235">
      <c r="A136" s="139" t="n">
        <v>2016</v>
      </c>
      <c r="B136" s="139" t="inlineStr">
        <is>
          <t>绿色通道、河渠湖库周边绿化</t>
        </is>
      </c>
      <c r="C136" s="139" t="inlineStr">
        <is>
          <t>达到</t>
        </is>
      </c>
      <c r="D136" s="139" t="inlineStr">
        <is>
          <t>72万公顷</t>
        </is>
      </c>
      <c r="E136" s="139" t="n"/>
      <c r="F136" s="140" t="inlineStr">
        <is>
          <t>十三五</t>
        </is>
      </c>
      <c r="G136" s="139" t="inlineStr">
        <is>
          <t>新目标</t>
        </is>
      </c>
      <c r="H136" s="139" t="inlineStr">
        <is>
          <t>环境质量</t>
        </is>
      </c>
      <c r="I136" s="139" t="inlineStr">
        <is>
          <t>不明确</t>
        </is>
      </c>
      <c r="J136" s="139" t="inlineStr">
        <is>
          <t>“十三五”期间，规划公路、铁路、河渠湖库周边绿化72万公顷，农田林网建设86万公顷，矿区植被恢复造林52万公顷。</t>
        </is>
      </c>
      <c r="K136" s="141" t="inlineStr">
        <is>
          <t>PF1602.pdf</t>
        </is>
      </c>
      <c r="L136" s="139" t="inlineStr">
        <is>
          <t>土地利用、土地利用变化和林业</t>
        </is>
      </c>
    </row>
    <row r="137" ht="18" customHeight="1" s="235">
      <c r="A137" s="139" t="n">
        <v>2007</v>
      </c>
      <c r="B137" s="139" t="inlineStr">
        <is>
          <t>沙化土地治理面积</t>
        </is>
      </c>
      <c r="C137" s="139" t="inlineStr">
        <is>
          <t>达到</t>
        </is>
      </c>
      <c r="D137" s="139" t="inlineStr">
        <is>
          <t>2200万公顷</t>
        </is>
      </c>
      <c r="E137" s="139" t="n"/>
      <c r="F137" s="140" t="inlineStr">
        <is>
          <t>2010</t>
        </is>
      </c>
      <c r="G137" s="139" t="inlineStr">
        <is>
          <t>新目标</t>
        </is>
      </c>
      <c r="H137" s="139" t="inlineStr">
        <is>
          <t>环境质量</t>
        </is>
      </c>
      <c r="I137" s="139" t="inlineStr">
        <is>
          <t>全社会经济</t>
        </is>
      </c>
      <c r="J137" s="139" t="inlineStr">
        <is>
          <t>到2010年，使2200万公顷沙化土地得到有效治理。</t>
        </is>
      </c>
      <c r="K137" s="141" t="inlineStr">
        <is>
          <t>HL0701.pdf</t>
        </is>
      </c>
      <c r="L137" s="139" t="inlineStr">
        <is>
          <t>土地利用、土地利用变化和林业</t>
        </is>
      </c>
    </row>
    <row r="138" ht="18" customHeight="1" s="235">
      <c r="A138" s="139" t="n">
        <v>2011</v>
      </c>
      <c r="B138" s="139" t="inlineStr">
        <is>
          <t>林冠下造林面积</t>
        </is>
      </c>
      <c r="C138" s="139" t="inlineStr">
        <is>
          <t>种植</t>
        </is>
      </c>
      <c r="D138" s="139" t="inlineStr">
        <is>
          <t>700万公顷</t>
        </is>
      </c>
      <c r="E138" s="139" t="n"/>
      <c r="F138" s="140" t="inlineStr">
        <is>
          <t>2011-2020</t>
        </is>
      </c>
      <c r="G138" s="139" t="inlineStr">
        <is>
          <t>新目标</t>
        </is>
      </c>
      <c r="H138" s="139" t="inlineStr">
        <is>
          <t>碳汇</t>
        </is>
      </c>
      <c r="I138" s="139" t="inlineStr">
        <is>
          <t>全社会经济</t>
        </is>
      </c>
      <c r="J138" s="139" t="inlineStr">
        <is>
          <t>到2020年，规划林冠下造林700万公顷。</t>
        </is>
      </c>
      <c r="K138" s="141" t="inlineStr">
        <is>
          <t>PF1101.pdf</t>
        </is>
      </c>
      <c r="L138" s="139" t="inlineStr">
        <is>
          <t>土地利用、土地利用变化和林业</t>
        </is>
      </c>
    </row>
    <row r="139" ht="18" customHeight="1" s="235">
      <c r="A139" s="139" t="n">
        <v>2011</v>
      </c>
      <c r="B139" s="139" t="inlineStr">
        <is>
          <t>林冠下造林面积</t>
        </is>
      </c>
      <c r="C139" s="139" t="inlineStr">
        <is>
          <t>种植</t>
        </is>
      </c>
      <c r="D139" s="139" t="inlineStr">
        <is>
          <t>350万公顷</t>
        </is>
      </c>
      <c r="E139" s="139" t="n"/>
      <c r="F139" s="140" t="inlineStr">
        <is>
          <t>十二五</t>
        </is>
      </c>
      <c r="G139" s="139" t="inlineStr">
        <is>
          <t>新目标</t>
        </is>
      </c>
      <c r="H139" s="139" t="inlineStr">
        <is>
          <t>碳汇</t>
        </is>
      </c>
      <c r="I139" s="139" t="inlineStr">
        <is>
          <t>全社会经济</t>
        </is>
      </c>
      <c r="J139" s="139" t="inlineStr">
        <is>
          <t>“十二五”期间，规划林冠下造林350万公顷。</t>
        </is>
      </c>
      <c r="K139" s="141" t="inlineStr">
        <is>
          <t>PF1101.pdf</t>
        </is>
      </c>
      <c r="L139" s="139" t="inlineStr">
        <is>
          <t>土地利用、土地利用变化和林业</t>
        </is>
      </c>
    </row>
    <row r="140" ht="18" customHeight="1" s="235">
      <c r="A140" s="139" t="n">
        <v>2011</v>
      </c>
      <c r="B140" s="139" t="inlineStr">
        <is>
          <t>新增造林面积</t>
        </is>
      </c>
      <c r="C140" s="139" t="inlineStr">
        <is>
          <t>种植</t>
        </is>
      </c>
      <c r="D140" s="139" t="inlineStr">
        <is>
          <t>5700万公顷</t>
        </is>
      </c>
      <c r="E140" s="139" t="n"/>
      <c r="F140" s="140" t="inlineStr">
        <is>
          <t>2011-2020</t>
        </is>
      </c>
      <c r="G140" s="139" t="inlineStr">
        <is>
          <t>新目标</t>
        </is>
      </c>
      <c r="H140" s="139" t="inlineStr">
        <is>
          <t>碳汇</t>
        </is>
      </c>
      <c r="I140" s="139" t="inlineStr">
        <is>
          <t>全社会经济</t>
        </is>
      </c>
      <c r="J140" s="139" t="inlineStr">
        <is>
          <t>到2020年，规划通过人工造林、飞播造林、封山育林等方式，新增造林面积5700万公顷。</t>
        </is>
      </c>
      <c r="K140" s="141" t="inlineStr">
        <is>
          <t>PF1101.pdf</t>
        </is>
      </c>
      <c r="L140" s="139" t="inlineStr">
        <is>
          <t>土地利用、土地利用变化和林业</t>
        </is>
      </c>
    </row>
    <row r="141" ht="18" customHeight="1" s="235">
      <c r="A141" s="139" t="n">
        <v>2011</v>
      </c>
      <c r="B141" s="139" t="inlineStr">
        <is>
          <t>新增造林面积</t>
        </is>
      </c>
      <c r="C141" s="139" t="inlineStr">
        <is>
          <t>种植</t>
        </is>
      </c>
      <c r="D141" s="139" t="inlineStr">
        <is>
          <t>3000万公顷</t>
        </is>
      </c>
      <c r="E141" s="139" t="n"/>
      <c r="F141" s="140" t="inlineStr">
        <is>
          <t>十二五</t>
        </is>
      </c>
      <c r="G141" s="139" t="inlineStr">
        <is>
          <t>新目标</t>
        </is>
      </c>
      <c r="H141" s="139" t="inlineStr">
        <is>
          <t>碳汇</t>
        </is>
      </c>
      <c r="I141" s="139" t="inlineStr">
        <is>
          <t>全社会经济</t>
        </is>
      </c>
      <c r="J141" s="139" t="inlineStr">
        <is>
          <t>“十二五”期间，通过人工造林、飞播造林、封山育林完成3000万公顷造林任务。</t>
        </is>
      </c>
      <c r="K141" s="141" t="inlineStr">
        <is>
          <t>PF1101.pdf</t>
        </is>
      </c>
      <c r="L141" s="139" t="inlineStr">
        <is>
          <t>土地利用、土地利用变化和林业</t>
        </is>
      </c>
    </row>
    <row r="142" ht="18" customHeight="1" s="235">
      <c r="A142" s="139" t="n">
        <v>2008</v>
      </c>
      <c r="B142" s="139" t="inlineStr">
        <is>
          <t>水土流失治理面积</t>
        </is>
      </c>
      <c r="C142" s="139" t="inlineStr">
        <is>
          <t>实现</t>
        </is>
      </c>
      <c r="D142" s="139" t="inlineStr">
        <is>
          <t>2500万公顷</t>
        </is>
      </c>
      <c r="E142" s="139" t="n"/>
      <c r="F142" s="140" t="inlineStr">
        <is>
          <t>2010</t>
        </is>
      </c>
      <c r="G142" s="139" t="inlineStr">
        <is>
          <t>新目标</t>
        </is>
      </c>
      <c r="H142" s="139" t="inlineStr">
        <is>
          <t>环境质量</t>
        </is>
      </c>
      <c r="I142" s="139" t="inlineStr">
        <is>
          <t>全社会经济</t>
        </is>
      </c>
      <c r="J142" s="139" t="inlineStr">
        <is>
          <t>通过加强天然林保护和自然保护区管理，继续实施重点生态修复工程，建立重要生态保护区，加快自然生态恢复，至2010年，使2500万公顷水土流失土地得到治理。</t>
        </is>
      </c>
      <c r="K142" s="141" t="inlineStr">
        <is>
          <t>HL0801.pdf</t>
        </is>
      </c>
      <c r="L142" s="139" t="inlineStr">
        <is>
          <t>土地利用、土地利用变化和林业</t>
        </is>
      </c>
    </row>
    <row r="143" ht="18" customHeight="1" s="235">
      <c r="A143" s="139" t="n">
        <v>2016</v>
      </c>
      <c r="B143" s="139" t="inlineStr">
        <is>
          <t>区域重点生态保护修复项目</t>
        </is>
      </c>
      <c r="C143" s="139" t="inlineStr">
        <is>
          <t>规划</t>
        </is>
      </c>
      <c r="D143" s="139" t="inlineStr">
        <is>
          <t>100个</t>
        </is>
      </c>
      <c r="E143" s="139" t="n"/>
      <c r="F143" s="140" t="inlineStr">
        <is>
          <t>十三五</t>
        </is>
      </c>
      <c r="G143" s="139" t="inlineStr">
        <is>
          <t>新目标</t>
        </is>
      </c>
      <c r="H143" s="139" t="inlineStr">
        <is>
          <t>环境质量</t>
        </is>
      </c>
      <c r="I143" s="139" t="inlineStr">
        <is>
          <t>全社会经济</t>
        </is>
      </c>
      <c r="J143" s="139" t="inlineStr">
        <is>
          <t>“十三五”期间，全国规划区域重点生态保护修复项目100个。</t>
        </is>
      </c>
      <c r="K143" s="141" t="inlineStr">
        <is>
          <t>FYP1611.pdf</t>
        </is>
      </c>
      <c r="L143" s="139" t="inlineStr">
        <is>
          <t>土地利用、土地利用变化和林业</t>
        </is>
      </c>
    </row>
    <row r="144" ht="18" customHeight="1" s="235">
      <c r="A144" s="139" t="n">
        <v>2017</v>
      </c>
      <c r="B144" s="139" t="inlineStr">
        <is>
          <t>可治理沙化土地面积</t>
        </is>
      </c>
      <c r="C144" s="139" t="inlineStr">
        <is>
          <t>治理或修复</t>
        </is>
      </c>
      <c r="D144" s="139" t="inlineStr">
        <is>
          <t>50%以上</t>
        </is>
      </c>
      <c r="E144" s="139" t="n"/>
      <c r="F144" s="140" t="inlineStr">
        <is>
          <t>2020</t>
        </is>
      </c>
      <c r="G144" s="139" t="inlineStr">
        <is>
          <t>新目标</t>
        </is>
      </c>
      <c r="H144" s="139" t="inlineStr">
        <is>
          <t>环境质量</t>
        </is>
      </c>
      <c r="I144" s="139" t="inlineStr">
        <is>
          <t>全社会经济</t>
        </is>
      </c>
      <c r="J144" s="139" t="inlineStr">
        <is>
          <t>到2020年，全国50%以上可治理的沙化土地得到治理或修复</t>
        </is>
      </c>
      <c r="K144" s="141" t="inlineStr">
        <is>
          <t>WP1701.pdf</t>
        </is>
      </c>
      <c r="L144" s="139" t="inlineStr">
        <is>
          <t>土地利用、土地利用变化和林业</t>
        </is>
      </c>
    </row>
    <row r="145" ht="18" customHeight="1" s="235">
      <c r="A145" s="139" t="n">
        <v>2013</v>
      </c>
      <c r="B145" s="139" t="inlineStr">
        <is>
          <t>土地复垦率</t>
        </is>
      </c>
      <c r="C145" s="139" t="inlineStr">
        <is>
          <t>达到</t>
        </is>
      </c>
      <c r="D145" s="139" t="inlineStr">
        <is>
          <t>60%</t>
        </is>
      </c>
      <c r="E145" s="139" t="n"/>
      <c r="F145" s="139" t="inlineStr">
        <is>
          <t>2015</t>
        </is>
      </c>
      <c r="G145" s="139" t="inlineStr">
        <is>
          <t>新目标</t>
        </is>
      </c>
      <c r="H145" s="139" t="inlineStr">
        <is>
          <t>环境质量</t>
        </is>
      </c>
      <c r="I145" s="139" t="inlineStr">
        <is>
          <t>全社会经济</t>
        </is>
      </c>
      <c r="J145" s="139" t="inlineStr">
        <is>
          <t>到2015年，土地复垦率达到60%。</t>
        </is>
      </c>
      <c r="K145" s="141" t="inlineStr">
        <is>
          <t>DP1301.htm</t>
        </is>
      </c>
      <c r="L145" s="139" t="inlineStr">
        <is>
          <t>土地利用、土地利用变化和林业</t>
        </is>
      </c>
    </row>
    <row r="146" ht="18" customHeight="1" s="235">
      <c r="A146" s="139" t="n">
        <v>2023</v>
      </c>
      <c r="B146" s="139" t="inlineStr">
        <is>
          <t>修复海岸线长度</t>
        </is>
      </c>
      <c r="C146" s="139" t="inlineStr">
        <is>
          <t>超过</t>
        </is>
      </c>
      <c r="D146" s="139" t="inlineStr">
        <is>
          <t>400公里</t>
        </is>
      </c>
      <c r="E146" s="139" t="n"/>
      <c r="F146" s="140" t="inlineStr">
        <is>
          <t>2025</t>
        </is>
      </c>
      <c r="G146" s="139" t="inlineStr">
        <is>
          <t>新目标</t>
        </is>
      </c>
      <c r="H146" s="139" t="inlineStr">
        <is>
          <t>环境质量</t>
        </is>
      </c>
      <c r="I146" s="139" t="inlineStr">
        <is>
          <t>全社会经济</t>
        </is>
      </c>
      <c r="J146" s="139" t="inlineStr">
        <is>
          <t>海洋生态系统：到2025年，修复海岸线长度不少于400公里。</t>
        </is>
      </c>
      <c r="K146" s="141" t="inlineStr">
        <is>
          <t>HL2302.pdf</t>
        </is>
      </c>
      <c r="L146" s="139" t="inlineStr">
        <is>
          <t>土地利用、土地利用变化和林业</t>
        </is>
      </c>
    </row>
    <row r="147" ht="18" customHeight="1" s="235">
      <c r="A147" s="139" t="n">
        <v>2020</v>
      </c>
      <c r="B147" s="139" t="inlineStr">
        <is>
          <t>红树林面积</t>
        </is>
      </c>
      <c r="C147" s="139" t="inlineStr">
        <is>
          <t>营造和修复</t>
        </is>
      </c>
      <c r="D147" s="139" t="inlineStr">
        <is>
          <t>不低于18800公顷</t>
        </is>
      </c>
      <c r="E147" s="139" t="n"/>
      <c r="F147" s="140" t="inlineStr">
        <is>
          <t>2025</t>
        </is>
      </c>
      <c r="G147" s="139" t="inlineStr">
        <is>
          <t>重申目标</t>
        </is>
      </c>
      <c r="H147" s="139" t="inlineStr">
        <is>
          <t>碳汇</t>
        </is>
      </c>
      <c r="I147" s="139" t="inlineStr">
        <is>
          <t>全社会经济</t>
        </is>
      </c>
      <c r="J147" s="139" t="inlineStr">
        <is>
          <t>到2025年，营造和修复红树林面积18800公顷</t>
        </is>
      </c>
      <c r="K147" s="141" t="inlineStr">
        <is>
          <t>AP2005.htm</t>
        </is>
      </c>
      <c r="L147" s="139" t="inlineStr">
        <is>
          <t>土地利用、土地利用变化和林业</t>
        </is>
      </c>
    </row>
    <row r="148" ht="18" customHeight="1" s="235">
      <c r="A148" s="139" t="n">
        <v>2020</v>
      </c>
      <c r="B148" s="139" t="inlineStr">
        <is>
          <t>红树林</t>
        </is>
      </c>
      <c r="C148" s="139" t="inlineStr">
        <is>
          <t>创建</t>
        </is>
      </c>
      <c r="D148" s="139" t="inlineStr">
        <is>
          <t>9050 公顷</t>
        </is>
      </c>
      <c r="E148" s="139" t="n"/>
      <c r="F148" s="140" t="inlineStr">
        <is>
          <t>2020-2025</t>
        </is>
      </c>
      <c r="G148" s="139" t="inlineStr">
        <is>
          <t>新目标</t>
        </is>
      </c>
      <c r="H148" s="139" t="inlineStr">
        <is>
          <t>碳汇</t>
        </is>
      </c>
      <c r="I148" s="139" t="inlineStr">
        <is>
          <t>全社会经济</t>
        </is>
      </c>
      <c r="J148" s="139" t="inlineStr">
        <is>
          <t>到2025年，营造红树林9050公顷。</t>
        </is>
      </c>
      <c r="K148" s="141" t="inlineStr">
        <is>
          <t>AP2005.htm</t>
        </is>
      </c>
      <c r="L148" s="139" t="inlineStr">
        <is>
          <t>土地利用、土地利用变化和林业</t>
        </is>
      </c>
    </row>
    <row r="149" ht="18" customHeight="1" s="235">
      <c r="A149" s="139" t="n">
        <v>2020</v>
      </c>
      <c r="B149" s="139" t="inlineStr">
        <is>
          <t>红树林</t>
        </is>
      </c>
      <c r="C149" s="139" t="inlineStr">
        <is>
          <t>恢复</t>
        </is>
      </c>
      <c r="D149" s="139" t="inlineStr">
        <is>
          <t>9750 公顷</t>
        </is>
      </c>
      <c r="E149" s="139" t="n"/>
      <c r="F149" s="140" t="inlineStr">
        <is>
          <t>2020-2025</t>
        </is>
      </c>
      <c r="G149" s="139" t="inlineStr">
        <is>
          <t>新目标</t>
        </is>
      </c>
      <c r="H149" s="139" t="inlineStr">
        <is>
          <t>碳汇</t>
        </is>
      </c>
      <c r="I149" s="139" t="inlineStr">
        <is>
          <t>全社会经济</t>
        </is>
      </c>
      <c r="J149" s="139" t="inlineStr">
        <is>
          <t>到2025年，修复现有红树林面积9750公顷。</t>
        </is>
      </c>
      <c r="K149" s="141" t="inlineStr">
        <is>
          <t>AP2005.htm</t>
        </is>
      </c>
      <c r="L149" s="139" t="inlineStr">
        <is>
          <t>土地利用、土地利用变化和林业</t>
        </is>
      </c>
    </row>
    <row r="150" ht="18" customHeight="1" s="235">
      <c r="A150" s="139" t="n">
        <v>2018</v>
      </c>
      <c r="B150" s="139" t="inlineStr">
        <is>
          <t>国家园林城市</t>
        </is>
      </c>
      <c r="C150" s="139" t="inlineStr">
        <is>
          <t>建设</t>
        </is>
      </c>
      <c r="D150" s="139" t="inlineStr">
        <is>
          <t>360个</t>
        </is>
      </c>
      <c r="E150" s="139" t="n"/>
      <c r="F150" s="140" t="inlineStr">
        <is>
          <t>2020</t>
        </is>
      </c>
      <c r="G150" s="139" t="inlineStr">
        <is>
          <t>新目标</t>
        </is>
      </c>
      <c r="H150" s="139" t="inlineStr">
        <is>
          <t>环境质量</t>
        </is>
      </c>
      <c r="I150" s="139" t="inlineStr">
        <is>
          <t>城市</t>
        </is>
      </c>
      <c r="J150" s="139" t="inlineStr">
        <is>
          <t>到2020年，建成360个国家园林城市。</t>
        </is>
      </c>
      <c r="K150" s="141" t="inlineStr">
        <is>
          <t>O1801.htm</t>
        </is>
      </c>
      <c r="L150" s="139" t="inlineStr">
        <is>
          <t>土地利用、土地利用变化和林业</t>
        </is>
      </c>
    </row>
    <row r="151" ht="18" customHeight="1" s="235">
      <c r="A151" s="139" t="n">
        <v>2019</v>
      </c>
      <c r="B151" s="139" t="inlineStr">
        <is>
          <t>自然湿地保护率</t>
        </is>
      </c>
      <c r="C151" s="139" t="inlineStr">
        <is>
          <t>提高至</t>
        </is>
      </c>
      <c r="D151" s="139" t="inlineStr">
        <is>
          <t>超过55%</t>
        </is>
      </c>
      <c r="E151" s="139" t="n"/>
      <c r="F151" s="140" t="inlineStr">
        <is>
          <t>2015</t>
        </is>
      </c>
      <c r="G151" s="139" t="inlineStr">
        <is>
          <t>新目标</t>
        </is>
      </c>
      <c r="H151" s="139" t="inlineStr">
        <is>
          <t>环境质量</t>
        </is>
      </c>
      <c r="I151" s="139" t="inlineStr">
        <is>
          <t>全社会经济</t>
        </is>
      </c>
      <c r="J151" s="139" t="inlineStr">
        <is>
          <t>到2015年，将自然湿地保护率提高到百分之五十五以上</t>
        </is>
      </c>
      <c r="K151" s="141" t="inlineStr">
        <is>
          <t>HL1902.pdf</t>
        </is>
      </c>
      <c r="L151" s="139" t="inlineStr">
        <is>
          <t>土地利用、土地利用变化和林业</t>
        </is>
      </c>
    </row>
    <row r="152" ht="18" customHeight="1" s="235">
      <c r="A152" s="139" t="n">
        <v>2011</v>
      </c>
      <c r="B152" s="139" t="inlineStr">
        <is>
          <t>自然湿地保护率</t>
        </is>
      </c>
      <c r="C152" s="139" t="inlineStr">
        <is>
          <t>超过</t>
        </is>
      </c>
      <c r="D152" s="142" t="inlineStr">
        <is>
          <t>55%</t>
        </is>
      </c>
      <c r="E152" s="139" t="n"/>
      <c r="F152" s="140" t="n">
        <v>2015</v>
      </c>
      <c r="G152" s="140" t="inlineStr">
        <is>
          <t>重申目标</t>
        </is>
      </c>
      <c r="H152" s="139" t="inlineStr">
        <is>
          <t>环境质量</t>
        </is>
      </c>
      <c r="I152" s="139" t="inlineStr">
        <is>
          <t>全社会经济</t>
        </is>
      </c>
      <c r="J152" s="139" t="inlineStr">
        <is>
          <t>自然湿地保护率超过55%</t>
        </is>
      </c>
      <c r="K152" s="141" t="inlineStr">
        <is>
          <t>AP1101.htm</t>
        </is>
      </c>
      <c r="L152" s="139" t="inlineStr">
        <is>
          <t>土地利用、土地利用变化和林业</t>
        </is>
      </c>
    </row>
    <row r="153" ht="18" customHeight="1" s="235">
      <c r="A153" s="139" t="n">
        <v>2007</v>
      </c>
      <c r="B153" s="139" t="inlineStr">
        <is>
          <t>自然保护区面积占辖区总面积比例</t>
        </is>
      </c>
      <c r="C153" s="139" t="inlineStr">
        <is>
          <t>占比达到</t>
        </is>
      </c>
      <c r="D153" s="139" t="inlineStr">
        <is>
          <t>16%</t>
        </is>
      </c>
      <c r="E153" s="139" t="n"/>
      <c r="F153" s="140" t="inlineStr">
        <is>
          <t>2010</t>
        </is>
      </c>
      <c r="G153" s="139" t="inlineStr">
        <is>
          <t>重申目标</t>
        </is>
      </c>
      <c r="H153" s="139" t="inlineStr">
        <is>
          <t>环境质量</t>
        </is>
      </c>
      <c r="I153" s="139" t="inlineStr">
        <is>
          <t>地区</t>
        </is>
      </c>
      <c r="J153" s="139" t="inlineStr">
        <is>
          <t>到2010年，自然保护区面积占辖区总面积的比重达到16%。</t>
        </is>
      </c>
      <c r="K153" s="141" t="inlineStr">
        <is>
          <t>HL0701.pdf</t>
        </is>
      </c>
      <c r="L153" s="139" t="inlineStr">
        <is>
          <t>土地利用、土地利用变化和林业</t>
        </is>
      </c>
    </row>
    <row r="154" ht="18" customHeight="1" s="235">
      <c r="A154" s="139" t="n">
        <v>2008</v>
      </c>
      <c r="B154" s="139" t="inlineStr">
        <is>
          <t>自然保护区面积占国土总面积比例</t>
        </is>
      </c>
      <c r="C154" s="139" t="inlineStr">
        <is>
          <t>占比达到</t>
        </is>
      </c>
      <c r="D154" s="139" t="inlineStr">
        <is>
          <t>16%</t>
        </is>
      </c>
      <c r="E154" s="139" t="n"/>
      <c r="F154" s="140" t="inlineStr">
        <is>
          <t>2010</t>
        </is>
      </c>
      <c r="G154" s="139" t="inlineStr">
        <is>
          <t>新目标</t>
        </is>
      </c>
      <c r="H154" s="139" t="inlineStr">
        <is>
          <t>环境质量</t>
        </is>
      </c>
      <c r="I154" s="139" t="inlineStr">
        <is>
          <t>地区</t>
        </is>
      </c>
      <c r="J154" s="139" t="inlineStr">
        <is>
          <t>通过加强天然林保护、自然保护区管理，继续实施重点生态修复工程，建立重要生态功能区，加大自然生态修复力度，到2010年，自然保护区面积将占国土面积的16%。</t>
        </is>
      </c>
      <c r="K154" s="141" t="inlineStr">
        <is>
          <t>HL0801.pdf</t>
        </is>
      </c>
      <c r="L154" s="139" t="inlineStr">
        <is>
          <t>土地利用、土地利用变化和林业</t>
        </is>
      </c>
    </row>
    <row r="155" ht="18" customHeight="1" s="235">
      <c r="A155" s="139" t="n">
        <v>2016</v>
      </c>
      <c r="B155" s="139" t="inlineStr">
        <is>
          <t>农田林网建设面积</t>
        </is>
      </c>
      <c r="C155" s="139" t="inlineStr">
        <is>
          <t>建设</t>
        </is>
      </c>
      <c r="D155" s="139" t="inlineStr">
        <is>
          <t>86万公顷</t>
        </is>
      </c>
      <c r="E155" s="139" t="n"/>
      <c r="F155" s="140" t="inlineStr">
        <is>
          <t>十三五</t>
        </is>
      </c>
      <c r="G155" s="139" t="inlineStr">
        <is>
          <t>新目标</t>
        </is>
      </c>
      <c r="H155" s="139" t="inlineStr">
        <is>
          <t>碳汇</t>
        </is>
      </c>
      <c r="I155" s="139" t="inlineStr">
        <is>
          <t>不明确</t>
        </is>
      </c>
      <c r="J155" s="139" t="inlineStr">
        <is>
          <t>“十三五”期间，规划公路、铁路、河渠湖库周边绿化72万公顷，农田林网建设86万公顷，矿区植被恢复造林52万公顷。</t>
        </is>
      </c>
      <c r="K155" s="141" t="inlineStr">
        <is>
          <t>PF1602.pdf</t>
        </is>
      </c>
      <c r="L155" s="139" t="inlineStr">
        <is>
          <t>土地利用、土地利用变化和林业</t>
        </is>
      </c>
    </row>
    <row r="156" ht="18" customHeight="1" s="235">
      <c r="A156" s="139" t="n">
        <v>2018</v>
      </c>
      <c r="B156" s="139" t="inlineStr">
        <is>
          <t>地级及以上城市建成区黑臭水体消除比例</t>
        </is>
      </c>
      <c r="C156" s="139" t="inlineStr">
        <is>
          <t>达到</t>
        </is>
      </c>
      <c r="D156" s="139" t="inlineStr">
        <is>
          <t>90%以上</t>
        </is>
      </c>
      <c r="E156" s="139" t="n"/>
      <c r="F156" s="140" t="inlineStr">
        <is>
          <t>2020</t>
        </is>
      </c>
      <c r="G156" s="139" t="inlineStr">
        <is>
          <t>新目标</t>
        </is>
      </c>
      <c r="H156" s="139" t="inlineStr">
        <is>
          <t>环境质量</t>
        </is>
      </c>
      <c r="I156" s="139" t="inlineStr">
        <is>
          <t>城市</t>
        </is>
      </c>
      <c r="J156" s="139" t="inlineStr">
        <is>
          <t>到2020年，地级及以上城市建成区黑臭水体消除比例达90%以上。</t>
        </is>
      </c>
      <c r="K156" s="141" t="inlineStr">
        <is>
          <t>O1802.htm</t>
        </is>
      </c>
      <c r="L156" s="139" t="inlineStr">
        <is>
          <t>土地利用、土地利用变化和林业</t>
        </is>
      </c>
    </row>
    <row r="157" ht="18" customHeight="1" s="235">
      <c r="A157" s="139" t="n">
        <v>2024</v>
      </c>
      <c r="B157" s="139" t="inlineStr">
        <is>
          <t>地下水国控点位Ⅰ－Ⅳ类水比例</t>
        </is>
      </c>
      <c r="C157" s="139" t="inlineStr">
        <is>
          <t>达到</t>
        </is>
      </c>
      <c r="D157" s="139" t="inlineStr">
        <is>
          <t>80%以上</t>
        </is>
      </c>
      <c r="E157" s="139" t="n"/>
      <c r="F157" s="140" t="inlineStr">
        <is>
          <t>2035</t>
        </is>
      </c>
      <c r="G157" s="139" t="inlineStr">
        <is>
          <t>新目标</t>
        </is>
      </c>
      <c r="H157" s="139" t="inlineStr">
        <is>
          <t>环境质量</t>
        </is>
      </c>
      <c r="I157" s="139" t="inlineStr">
        <is>
          <t>全社会经济</t>
        </is>
      </c>
      <c r="J157" s="139" t="inlineStr">
        <is>
          <t>到2035年，地下水国控点位Ⅰ－Ⅳ类水比例达到80%以上，土壤环境风险得到全面管控。</t>
        </is>
      </c>
      <c r="K157" s="141" t="inlineStr">
        <is>
          <t>O2405.htm</t>
        </is>
      </c>
      <c r="L157" s="139" t="inlineStr">
        <is>
          <t>土地利用、土地利用变化和林业</t>
        </is>
      </c>
    </row>
    <row r="158" ht="18" customHeight="1" s="235">
      <c r="A158" s="139" t="n">
        <v>2019</v>
      </c>
      <c r="B158" s="139" t="inlineStr">
        <is>
          <t>农作物病虫害统防统治覆盖率</t>
        </is>
      </c>
      <c r="C158" s="139" t="inlineStr">
        <is>
          <t>超过</t>
        </is>
      </c>
      <c r="D158" s="139" t="inlineStr">
        <is>
          <t>40%</t>
        </is>
      </c>
      <c r="E158" s="139" t="n"/>
      <c r="F158" s="140" t="inlineStr">
        <is>
          <t>2020</t>
        </is>
      </c>
      <c r="G158" s="139" t="inlineStr">
        <is>
          <t>新目标</t>
        </is>
      </c>
      <c r="H158" s="139" t="inlineStr">
        <is>
          <t>环境质量</t>
        </is>
      </c>
      <c r="I158" s="139" t="inlineStr">
        <is>
          <t>行业</t>
        </is>
      </c>
      <c r="J158" s="139" t="inlineStr">
        <is>
          <t>到2020年，主要农作物病虫害统防统治覆盖率超过40%。</t>
        </is>
      </c>
      <c r="K158" s="141" t="inlineStr">
        <is>
          <t>HL1902.pdf</t>
        </is>
      </c>
      <c r="L158" s="139" t="inlineStr">
        <is>
          <t>土地利用、土地利用变化和林业</t>
        </is>
      </c>
    </row>
    <row r="159" ht="18" customHeight="1" s="235">
      <c r="A159" s="139" t="n">
        <v>2016</v>
      </c>
      <c r="B159" s="139" t="inlineStr">
        <is>
          <t>规模化养殖场、养殖小区配套建设废弃物处理设施的比例</t>
        </is>
      </c>
      <c r="C159" s="139" t="inlineStr">
        <is>
          <t>达到</t>
        </is>
      </c>
      <c r="D159" s="139" t="inlineStr">
        <is>
          <t>75%</t>
        </is>
      </c>
      <c r="E159" s="139" t="n"/>
      <c r="F159" s="140" t="inlineStr">
        <is>
          <t>2020</t>
        </is>
      </c>
      <c r="G159" s="139" t="inlineStr">
        <is>
          <t>新目标</t>
        </is>
      </c>
      <c r="H159" s="139" t="inlineStr">
        <is>
          <t>环境质量</t>
        </is>
      </c>
      <c r="I159" s="139" t="inlineStr">
        <is>
          <t>行业</t>
        </is>
      </c>
      <c r="J159" s="139" t="inlineStr">
        <is>
          <t>控制畜禽温室气体排放，推进标准化规模养殖，推进畜禽废弃物综合利用，到2020年规模化养殖场、养殖小区配套建设废弃物处理设施比例达到75%以上。</t>
        </is>
      </c>
      <c r="K159" s="141" t="inlineStr">
        <is>
          <t>FYP1615.htm</t>
        </is>
      </c>
      <c r="L159" s="139" t="inlineStr">
        <is>
          <t>土地利用、土地利用变化和林业</t>
        </is>
      </c>
    </row>
    <row r="160" ht="18" customHeight="1" s="235">
      <c r="A160" s="139" t="n">
        <v>2007</v>
      </c>
      <c r="B160" s="139" t="inlineStr">
        <is>
          <t>退化、沙化和盐碱化草原恢复面积</t>
        </is>
      </c>
      <c r="C160" s="139" t="inlineStr">
        <is>
          <t>达到</t>
        </is>
      </c>
      <c r="D160" s="139" t="inlineStr">
        <is>
          <t>5200万公顷</t>
        </is>
      </c>
      <c r="E160" s="139" t="n"/>
      <c r="F160" s="140" t="inlineStr">
        <is>
          <t>2010</t>
        </is>
      </c>
      <c r="G160" s="139" t="inlineStr">
        <is>
          <t>重申目标</t>
        </is>
      </c>
      <c r="H160" s="139" t="inlineStr">
        <is>
          <t>环境质量</t>
        </is>
      </c>
      <c r="I160" s="139" t="inlineStr">
        <is>
          <t>全社会经济</t>
        </is>
      </c>
      <c r="J160" s="139" t="inlineStr">
        <is>
          <t>通过加强农田基础设施建设、调整种植结构、选育抗逆品种以及发展生物技术等适应性对策，到2010年，目标为恢复退化、沙化和盐碱化草原5200万公顷。</t>
        </is>
      </c>
      <c r="K160" s="141" t="inlineStr">
        <is>
          <t>HL0701.pdf</t>
        </is>
      </c>
      <c r="L160" s="139" t="inlineStr">
        <is>
          <t>土地利用、土地利用变化和林业</t>
        </is>
      </c>
    </row>
    <row r="161" ht="18" customHeight="1" s="235">
      <c r="A161" s="139" t="n">
        <v>2008</v>
      </c>
      <c r="B161" s="139" t="inlineStr">
        <is>
          <t>退化、沙化、盐碱化草原恢复面积</t>
        </is>
      </c>
      <c r="C161" s="139" t="inlineStr">
        <is>
          <t>提高</t>
        </is>
      </c>
      <c r="D161" s="139" t="inlineStr">
        <is>
          <t>5200万公顷</t>
        </is>
      </c>
      <c r="E161" s="139" t="n">
        <v>2005</v>
      </c>
      <c r="F161" s="140" t="inlineStr">
        <is>
          <t>2010</t>
        </is>
      </c>
      <c r="G161" s="139" t="inlineStr">
        <is>
          <t>新目标</t>
        </is>
      </c>
      <c r="H161" s="139" t="inlineStr">
        <is>
          <t>环境质量</t>
        </is>
      </c>
      <c r="I161" s="139" t="inlineStr">
        <is>
          <t>全社会经济</t>
        </is>
      </c>
      <c r="J161" s="139" t="inlineStr">
        <is>
          <t>通过加强农田基础设施，调整种植制度，选育抗逆品种，与2005年相比，恢复退化、沙化、盐碱化草原5200万公顷。</t>
        </is>
      </c>
      <c r="K161" s="141" t="inlineStr">
        <is>
          <t>HL0801.pdf</t>
        </is>
      </c>
      <c r="L161" s="139" t="inlineStr">
        <is>
          <t>土地利用、土地利用变化和林业</t>
        </is>
      </c>
    </row>
    <row r="162" ht="18" customHeight="1" s="235">
      <c r="A162" s="139" t="n">
        <v>2024</v>
      </c>
      <c r="B162" s="139" t="inlineStr">
        <is>
          <t>大陆自然岸线保有率</t>
        </is>
      </c>
      <c r="C162" s="139" t="inlineStr">
        <is>
          <t>达到</t>
        </is>
      </c>
      <c r="D162" s="139" t="inlineStr">
        <is>
          <t>35%</t>
        </is>
      </c>
      <c r="E162" s="139" t="n"/>
      <c r="F162" s="140" t="inlineStr">
        <is>
          <t>2035</t>
        </is>
      </c>
      <c r="G162" s="139" t="inlineStr">
        <is>
          <t>重申目标</t>
        </is>
      </c>
      <c r="H162" s="139" t="inlineStr">
        <is>
          <t>环境质量</t>
        </is>
      </c>
      <c r="I162" s="139" t="inlineStr">
        <is>
          <t>全社会经济</t>
        </is>
      </c>
      <c r="J162" s="139" t="inlineStr">
        <is>
          <t>到2035年，大陆自然岸线保有率不低于35%，生态保护红线生态功能不降低、性质不改变。</t>
        </is>
      </c>
      <c r="K162" s="141" t="inlineStr">
        <is>
          <t>O2405.htm</t>
        </is>
      </c>
      <c r="L162" s="139" t="inlineStr">
        <is>
          <t>土地利用、土地利用变化和林业</t>
        </is>
      </c>
    </row>
    <row r="163" ht="18" customHeight="1" s="235">
      <c r="A163" s="139" t="n">
        <v>2023</v>
      </c>
      <c r="B163" s="139" t="inlineStr">
        <is>
          <t>中国大陆自然岸线保有率</t>
        </is>
      </c>
      <c r="C163" s="139" t="inlineStr">
        <is>
          <t>超过</t>
        </is>
      </c>
      <c r="D163" s="139" t="inlineStr">
        <is>
          <t>不低于35%</t>
        </is>
      </c>
      <c r="E163" s="139" t="n"/>
      <c r="F163" s="140" t="inlineStr">
        <is>
          <t>2025</t>
        </is>
      </c>
      <c r="G163" s="139" t="inlineStr">
        <is>
          <t>新目标</t>
        </is>
      </c>
      <c r="H163" s="139" t="inlineStr">
        <is>
          <t>环境质量</t>
        </is>
      </c>
      <c r="I163" s="139" t="inlineStr">
        <is>
          <t>全社会经济</t>
        </is>
      </c>
      <c r="J163" s="139" t="inlineStr">
        <is>
          <t>海洋生态系统：到2025年，中国大陆自然岸线长度不低于中国大陆岸线总长度的35%。</t>
        </is>
      </c>
      <c r="K163" s="141" t="inlineStr">
        <is>
          <t>HL2302.pdf</t>
        </is>
      </c>
      <c r="L163" s="139" t="inlineStr">
        <is>
          <t>土地利用、土地利用变化和林业</t>
        </is>
      </c>
    </row>
    <row r="164" ht="18" customHeight="1" s="235">
      <c r="A164" s="0" t="n">
        <v>2026</v>
      </c>
      <c r="B164" s="0" t="inlineStr">
        <is>
          <t>受污染耕地安全利用率</t>
        </is>
      </c>
      <c r="C164" s="0" t="inlineStr">
        <is>
          <t>达到</t>
        </is>
      </c>
      <c r="D164" s="0" t="inlineStr">
        <is>
          <t>95%以上</t>
        </is>
      </c>
      <c r="F164" s="0" t="n">
        <v>2030</v>
      </c>
      <c r="G164" s="0" t="inlineStr">
        <is>
          <t>重申目标</t>
        </is>
      </c>
      <c r="H164" s="0" t="inlineStr">
        <is>
          <t>污染控制</t>
        </is>
      </c>
      <c r="I164" s="0" t="inlineStr">
        <is>
          <t>全社会经济</t>
        </is>
      </c>
      <c r="J164" s="0" t="inlineStr">
        <is>
          <t>基本完成重点县农用地土壤重金属污染源整治，受污染耕地安全利用率达到95%以上。</t>
        </is>
      </c>
      <c r="K164" s="0" t="inlineStr">
        <is>
          <t>FYP2609.htm</t>
        </is>
      </c>
      <c r="L164" s="0" t="inlineStr">
        <is>
          <t>土地利用、土地利用变化和林业</t>
        </is>
      </c>
    </row>
    <row r="165" ht="18" customHeight="1" s="235">
      <c r="A165" s="0" t="n">
        <v>2026</v>
      </c>
      <c r="B165" s="0" t="inlineStr">
        <is>
          <t>受污染耕地安全利用率</t>
        </is>
      </c>
      <c r="C165" s="0" t="inlineStr">
        <is>
          <t>达到</t>
        </is>
      </c>
      <c r="D165" s="0" t="inlineStr">
        <is>
          <t>95%以上</t>
        </is>
      </c>
      <c r="E165" s="0" t="inlineStr">
        <is>
          <t>93%左右（2025）</t>
        </is>
      </c>
      <c r="F165" s="0" t="n">
        <v>2030</v>
      </c>
      <c r="G165" s="0" t="inlineStr">
        <is>
          <t>新目标</t>
        </is>
      </c>
      <c r="H165" s="0" t="inlineStr">
        <is>
          <t>污染控制</t>
        </is>
      </c>
      <c r="I165" s="0" t="inlineStr">
        <is>
          <t>全社会经济</t>
        </is>
      </c>
      <c r="J165" s="0" t="inlineStr">
        <is>
          <t>专栏1“十五五”各项指标：受污染耕地安全利用率（%）2025年基准值93左右，2030年目标值95以上</t>
        </is>
      </c>
      <c r="K165" s="0" t="inlineStr">
        <is>
          <t>FYP2606.pdf</t>
        </is>
      </c>
      <c r="L165" s="0" t="inlineStr">
        <is>
          <t>土地利用、土地利用变化和林业</t>
        </is>
      </c>
    </row>
    <row r="166" ht="18" customHeight="1" s="235">
      <c r="A166" s="139" t="n">
        <v>2024</v>
      </c>
      <c r="B166" s="139" t="inlineStr">
        <is>
          <t>受污染耕地安全利用率</t>
        </is>
      </c>
      <c r="C166" s="139" t="inlineStr">
        <is>
          <t>达到</t>
        </is>
      </c>
      <c r="D166" s="139" t="inlineStr">
        <is>
          <t>94%</t>
        </is>
      </c>
      <c r="E166" s="139" t="n"/>
      <c r="F166" s="140" t="inlineStr">
        <is>
          <t>2027</t>
        </is>
      </c>
      <c r="G166" s="139" t="inlineStr">
        <is>
          <t>新目标</t>
        </is>
      </c>
      <c r="H166" s="139" t="inlineStr">
        <is>
          <t>污染控制</t>
        </is>
      </c>
      <c r="I166" s="139" t="inlineStr">
        <is>
          <t>行业</t>
        </is>
      </c>
      <c r="J166" s="139" t="inlineStr">
        <is>
          <t>到2027年，受污染耕地安全利用率达到94%以上。</t>
        </is>
      </c>
      <c r="K166" s="141" t="inlineStr">
        <is>
          <t>O2405.htm</t>
        </is>
      </c>
      <c r="L166" s="139" t="inlineStr">
        <is>
          <t>土地利用、土地利用变化和林业</t>
        </is>
      </c>
    </row>
    <row r="167" ht="18" customHeight="1" s="235">
      <c r="A167" s="139" t="n">
        <v>2023</v>
      </c>
      <c r="B167" s="139" t="inlineStr">
        <is>
          <t>化肥农药使用耕地面积占比</t>
        </is>
      </c>
      <c r="C167" s="139" t="inlineStr">
        <is>
          <t>占比达到</t>
        </is>
      </c>
      <c r="D167" s="139" t="inlineStr">
        <is>
          <t>43%</t>
        </is>
      </c>
      <c r="E167" s="139" t="n"/>
      <c r="F167" s="140" t="inlineStr">
        <is>
          <t>2025</t>
        </is>
      </c>
      <c r="G167" s="139" t="inlineStr">
        <is>
          <t>重申目标</t>
        </is>
      </c>
      <c r="H167" s="139" t="inlineStr">
        <is>
          <t>环境质量</t>
        </is>
      </c>
      <c r="I167" s="139" t="inlineStr">
        <is>
          <t>行业</t>
        </is>
      </c>
      <c r="J167" s="139" t="inlineStr">
        <is>
          <t>到2025年，43%的耕地将使用化肥和农药。</t>
        </is>
      </c>
      <c r="K167" s="141" t="inlineStr">
        <is>
          <t>HL2302.pdf</t>
        </is>
      </c>
      <c r="L167" s="139" t="inlineStr">
        <is>
          <t>土地利用、土地利用变化和林业</t>
        </is>
      </c>
    </row>
    <row r="168" ht="18" customHeight="1" s="235">
      <c r="A168" s="139" t="n">
        <v>2008</v>
      </c>
      <c r="B168" s="139" t="inlineStr">
        <is>
          <t>典型森林生态系统和国家重点保护野生动植物物种有效保护率</t>
        </is>
      </c>
      <c r="C168" s="139" t="inlineStr">
        <is>
          <t>达到</t>
        </is>
      </c>
      <c r="D168" s="139" t="inlineStr">
        <is>
          <t>90%</t>
        </is>
      </c>
      <c r="E168" s="139" t="n"/>
      <c r="F168" s="140" t="inlineStr">
        <is>
          <t>2010</t>
        </is>
      </c>
      <c r="G168" s="139" t="inlineStr">
        <is>
          <t>重申目标</t>
        </is>
      </c>
      <c r="H168" s="139" t="inlineStr">
        <is>
          <t>环境质量</t>
        </is>
      </c>
      <c r="I168" s="139" t="inlineStr">
        <is>
          <t>全社会经济</t>
        </is>
      </c>
      <c r="J168" s="139" t="inlineStr">
        <is>
          <t>通过加强天然林保护、自然保护区管理，继续实施重点生态修复工程，建立重要生态功能保护区，加快自然生态恢复，到2010年，90%的典型森林生态系统和国家重点保护野生动植物物种得到有效保护。</t>
        </is>
      </c>
      <c r="K168" s="141" t="inlineStr">
        <is>
          <t>HL0801.pdf</t>
        </is>
      </c>
      <c r="L168" s="139" t="inlineStr">
        <is>
          <t>土地利用、土地利用变化和林业</t>
        </is>
      </c>
    </row>
    <row r="169" ht="18" customHeight="1" s="235">
      <c r="A169" s="139" t="n">
        <v>2007</v>
      </c>
      <c r="B169" s="139" t="inlineStr">
        <is>
          <t>典型森林生态系统和国家重点保护野生动物的有效保护比例</t>
        </is>
      </c>
      <c r="C169" s="139" t="inlineStr">
        <is>
          <t>达到</t>
        </is>
      </c>
      <c r="D169" s="139" t="inlineStr">
        <is>
          <t>90%</t>
        </is>
      </c>
      <c r="E169" s="139" t="n"/>
      <c r="F169" s="140" t="inlineStr">
        <is>
          <t>2010</t>
        </is>
      </c>
      <c r="G169" s="139" t="inlineStr">
        <is>
          <t>新目标</t>
        </is>
      </c>
      <c r="H169" s="139" t="inlineStr">
        <is>
          <t>环境质量</t>
        </is>
      </c>
      <c r="I169" s="139" t="inlineStr">
        <is>
          <t>全社会经济</t>
        </is>
      </c>
      <c r="J169" s="139" t="inlineStr">
        <is>
          <t>到2010年，90%的典型森林生态系统和国家重点保护野生动植物得到有效保护。</t>
        </is>
      </c>
      <c r="K169" s="141" t="inlineStr">
        <is>
          <t>HL0701.pdf</t>
        </is>
      </c>
      <c r="L169" s="139" t="inlineStr">
        <is>
          <t>土地利用、土地利用变化和林业</t>
        </is>
      </c>
    </row>
    <row r="170" ht="18" customHeight="1" s="235">
      <c r="A170" s="139" t="n">
        <v>2011</v>
      </c>
      <c r="B170" s="139" t="inlineStr">
        <is>
          <t>森林生态系统和国家重点保护野生动植物物种有效保护率</t>
        </is>
      </c>
      <c r="C170" s="139" t="inlineStr">
        <is>
          <t>保护</t>
        </is>
      </c>
      <c r="D170" s="139" t="inlineStr">
        <is>
          <t>超过90%</t>
        </is>
      </c>
      <c r="E170" s="139" t="n"/>
      <c r="F170" s="140" t="n">
        <v>2015</v>
      </c>
      <c r="G170" s="140" t="inlineStr">
        <is>
          <t>新目标</t>
        </is>
      </c>
      <c r="H170" s="139" t="inlineStr">
        <is>
          <t>环境质量</t>
        </is>
      </c>
      <c r="I170" s="139" t="inlineStr">
        <is>
          <t>全社会经济</t>
        </is>
      </c>
      <c r="J170" s="139" t="inlineStr">
        <is>
          <t>……使90%以上国家重点保护野生动植物……得到有效保护。</t>
        </is>
      </c>
      <c r="K170" s="141" t="inlineStr">
        <is>
          <t>AP1101.htm</t>
        </is>
      </c>
      <c r="L170" s="139" t="inlineStr">
        <is>
          <t>土地利用、土地利用变化和林业</t>
        </is>
      </c>
    </row>
    <row r="171" ht="18" customHeight="1" s="235">
      <c r="A171" s="0" t="n">
        <v>2026</v>
      </c>
      <c r="B171" s="0" t="inlineStr">
        <is>
          <t>自然保护地陆域面积占陆域国土面积比例</t>
        </is>
      </c>
      <c r="C171" s="0" t="inlineStr">
        <is>
          <t>达到</t>
        </is>
      </c>
      <c r="D171" s="0" t="inlineStr">
        <is>
          <t>不低于18%</t>
        </is>
      </c>
      <c r="F171" s="0" t="n">
        <v>2030</v>
      </c>
      <c r="G171" s="0" t="inlineStr">
        <is>
          <t>重申目标</t>
        </is>
      </c>
      <c r="H171" s="0" t="inlineStr">
        <is>
          <t>环境质量</t>
        </is>
      </c>
      <c r="I171" s="0" t="inlineStr">
        <is>
          <t>全社会经济</t>
        </is>
      </c>
      <c r="J171" s="0" t="inlineStr">
        <is>
          <t>具体目标是：——自然保护地陆域面积占陆域国土面积比例不低于 18%；</t>
        </is>
      </c>
      <c r="K171" s="0" t="inlineStr">
        <is>
          <t>FYP2610.pdf</t>
        </is>
      </c>
      <c r="L171" s="0" t="inlineStr">
        <is>
          <t>土地利用、土地利用变化和林业</t>
        </is>
      </c>
    </row>
    <row r="172" ht="18" customHeight="1" s="235">
      <c r="A172" s="0" t="n">
        <v>2026</v>
      </c>
      <c r="B172" s="0" t="inlineStr">
        <is>
          <t>自然保护地陆域面积占陆域国土面积比例</t>
        </is>
      </c>
      <c r="C172" s="0" t="inlineStr">
        <is>
          <t>达到</t>
        </is>
      </c>
      <c r="D172" s="0" t="inlineStr">
        <is>
          <t>不低于18%</t>
        </is>
      </c>
      <c r="F172" s="0" t="n">
        <v>2030</v>
      </c>
      <c r="G172" s="0" t="inlineStr">
        <is>
          <t>新目标</t>
        </is>
      </c>
      <c r="H172" s="0" t="inlineStr">
        <is>
          <t>环境质量</t>
        </is>
      </c>
      <c r="I172" s="0" t="inlineStr">
        <is>
          <t>全社会经济</t>
        </is>
      </c>
      <c r="J172" s="0" t="inlineStr">
        <is>
          <t>……自然保护地面积占陆域国土面积比例不低于18%。</t>
        </is>
      </c>
      <c r="K172" s="0" t="inlineStr">
        <is>
          <t>FYP2609.htm</t>
        </is>
      </c>
      <c r="L172" s="0" t="inlineStr">
        <is>
          <t>土地利用、土地利用变化和林业</t>
        </is>
      </c>
    </row>
    <row r="173" ht="18" customHeight="1" s="235">
      <c r="A173" s="139" t="n">
        <v>2024</v>
      </c>
      <c r="B173" s="139" t="inlineStr">
        <is>
          <t>水土保持率</t>
        </is>
      </c>
      <c r="C173" s="139" t="inlineStr">
        <is>
          <t>提高至</t>
        </is>
      </c>
      <c r="D173" s="139" t="inlineStr">
        <is>
          <t>75%</t>
        </is>
      </c>
      <c r="E173" s="139" t="n"/>
      <c r="F173" s="140" t="inlineStr">
        <is>
          <t>2035</t>
        </is>
      </c>
      <c r="G173" s="139" t="inlineStr">
        <is>
          <t>新目标</t>
        </is>
      </c>
      <c r="H173" s="139" t="inlineStr">
        <is>
          <t>环境质量</t>
        </is>
      </c>
      <c r="I173" s="139" t="inlineStr">
        <is>
          <t>全社会经济</t>
        </is>
      </c>
      <c r="J173" s="139" t="inlineStr">
        <is>
          <t>到2035年，全国水土保持率提高至75%。</t>
        </is>
      </c>
      <c r="K173" s="141" t="inlineStr">
        <is>
          <t>O2405.htm</t>
        </is>
      </c>
      <c r="L173" s="139" t="inlineStr">
        <is>
          <t>土地利用、土地利用变化和林业</t>
        </is>
      </c>
    </row>
    <row r="174" ht="18" customHeight="1" s="235">
      <c r="A174" s="139" t="n">
        <v>2011</v>
      </c>
      <c r="B174" s="139" t="inlineStr">
        <is>
          <t>森林植被总碳储量</t>
        </is>
      </c>
      <c r="C174" s="139" t="inlineStr">
        <is>
          <t>达到</t>
        </is>
      </c>
      <c r="D174" s="139" t="inlineStr">
        <is>
          <t>84亿吨碳</t>
        </is>
      </c>
      <c r="E174" s="139" t="n"/>
      <c r="F174" s="140" t="n">
        <v>2015</v>
      </c>
      <c r="G174" s="140" t="inlineStr">
        <is>
          <t>新目标</t>
        </is>
      </c>
      <c r="H174" s="139" t="inlineStr">
        <is>
          <t>碳汇</t>
        </is>
      </c>
      <c r="I174" s="139" t="inlineStr">
        <is>
          <t>全社会经济</t>
        </is>
      </c>
      <c r="J174" s="139" t="inlineStr">
        <is>
          <t>森林植被总碳储量达到84亿吨</t>
        </is>
      </c>
      <c r="K174" s="141" t="inlineStr">
        <is>
          <t>AP1101.htm</t>
        </is>
      </c>
      <c r="L174" s="139" t="inlineStr">
        <is>
          <t>土地利用、土地利用变化和林业</t>
        </is>
      </c>
    </row>
    <row r="175" ht="18" customHeight="1" s="235">
      <c r="A175" s="139" t="n">
        <v>2017</v>
      </c>
      <c r="B175" s="139" t="inlineStr">
        <is>
          <t>森林植被碳储量</t>
        </is>
      </c>
      <c r="C175" s="139" t="inlineStr">
        <is>
          <t>达到</t>
        </is>
      </c>
      <c r="D175" s="139" t="inlineStr">
        <is>
          <t>95亿吨二氧化碳当量</t>
        </is>
      </c>
      <c r="E175" s="139" t="n"/>
      <c r="F175" s="140" t="inlineStr">
        <is>
          <t>2020</t>
        </is>
      </c>
      <c r="G175" s="140" t="inlineStr">
        <is>
          <t>新目标</t>
        </is>
      </c>
      <c r="H175" s="139" t="inlineStr">
        <is>
          <t>碳汇</t>
        </is>
      </c>
      <c r="I175" s="139" t="inlineStr">
        <is>
          <t>全社会经济</t>
        </is>
      </c>
      <c r="J175" s="139" t="inlineStr">
        <is>
          <t>到2020年，森林植被碳储量达到95亿吨左右</t>
        </is>
      </c>
      <c r="K175" s="141" t="inlineStr">
        <is>
          <t>WP1701.pdf</t>
        </is>
      </c>
      <c r="L175" s="139" t="inlineStr">
        <is>
          <t>土地利用、土地利用变化和林业</t>
        </is>
      </c>
    </row>
    <row r="176" ht="18" customHeight="1" s="235">
      <c r="A176" s="139" t="n">
        <v>2019</v>
      </c>
      <c r="B176" s="139" t="inlineStr">
        <is>
          <t>森林植被碳储量</t>
        </is>
      </c>
      <c r="C176" s="139" t="inlineStr">
        <is>
          <t>达到</t>
        </is>
      </c>
      <c r="D176" s="139" t="inlineStr">
        <is>
          <t>95亿吨</t>
        </is>
      </c>
      <c r="E176" s="139" t="n"/>
      <c r="F176" s="140" t="inlineStr">
        <is>
          <t>2020</t>
        </is>
      </c>
      <c r="G176" s="139" t="inlineStr">
        <is>
          <t>重申目标</t>
        </is>
      </c>
      <c r="H176" s="139" t="inlineStr">
        <is>
          <t>碳汇</t>
        </is>
      </c>
      <c r="I176" s="139" t="inlineStr">
        <is>
          <t>全社会经济</t>
        </is>
      </c>
      <c r="J176" s="139" t="inlineStr">
        <is>
          <t>到2020年，中国将实现森林植被碳储量达到约95亿吨的目标。</t>
        </is>
      </c>
      <c r="K176" s="141" t="inlineStr">
        <is>
          <t>HL1902.pdf</t>
        </is>
      </c>
      <c r="L176" s="139" t="inlineStr">
        <is>
          <t>土地利用、土地利用变化和林业</t>
        </is>
      </c>
    </row>
    <row r="177" ht="18" customHeight="1" s="235">
      <c r="A177" s="139" t="n">
        <v>2009</v>
      </c>
      <c r="B177" s="139" t="inlineStr">
        <is>
          <t>森林植被碳储量</t>
        </is>
      </c>
      <c r="C177" s="139" t="inlineStr">
        <is>
          <t>提高至</t>
        </is>
      </c>
      <c r="D177" s="139" t="inlineStr">
        <is>
          <t>84亿吨二氧化碳（8400 MtCO₂）</t>
        </is>
      </c>
      <c r="E177" s="139" t="n"/>
      <c r="F177" s="140" t="inlineStr">
        <is>
          <t>2015</t>
        </is>
      </c>
      <c r="G177" s="139" t="inlineStr">
        <is>
          <t>重申目标</t>
        </is>
      </c>
      <c r="H177" s="139" t="inlineStr">
        <is>
          <t>碳汇</t>
        </is>
      </c>
      <c r="I177" s="139" t="inlineStr">
        <is>
          <t>全社会经济</t>
        </is>
      </c>
      <c r="J177" s="139" t="inlineStr">
        <is>
          <t>到2015年，将森林植被碳储量提高到84亿吨二氧化碳</t>
        </is>
      </c>
      <c r="K177" s="141" t="inlineStr">
        <is>
          <t>HL1902.pdf</t>
        </is>
      </c>
      <c r="L177" s="139" t="inlineStr">
        <is>
          <t>土地利用、土地利用变化和林业</t>
        </is>
      </c>
    </row>
    <row r="178" ht="18" customHeight="1" s="235">
      <c r="A178" s="139" t="n">
        <v>2019</v>
      </c>
      <c r="B178" s="139" t="inlineStr">
        <is>
          <t>可控荒漠化土地治理率</t>
        </is>
      </c>
      <c r="C178" s="139" t="inlineStr">
        <is>
          <t>实现</t>
        </is>
      </c>
      <c r="D178" s="139" t="inlineStr">
        <is>
          <t>50%</t>
        </is>
      </c>
      <c r="E178" s="139" t="n"/>
      <c r="F178" s="140" t="inlineStr">
        <is>
          <t>2020</t>
        </is>
      </c>
      <c r="G178" s="139" t="inlineStr">
        <is>
          <t>重申目标</t>
        </is>
      </c>
      <c r="H178" s="139" t="inlineStr">
        <is>
          <t>环境质量</t>
        </is>
      </c>
      <c r="I178" s="139" t="inlineStr">
        <is>
          <t>全社会经济</t>
        </is>
      </c>
      <c r="J178" s="139" t="inlineStr">
        <is>
          <t>到2020年，中国实现超过50%的可控荒漠化土地得到治理和管理。</t>
        </is>
      </c>
      <c r="K178" s="141" t="inlineStr">
        <is>
          <t>HL1902.pdf</t>
        </is>
      </c>
      <c r="L178" s="139" t="inlineStr">
        <is>
          <t>土地利用、土地利用变化和林业</t>
        </is>
      </c>
    </row>
    <row r="179" ht="18" customHeight="1" s="235">
      <c r="A179" s="139" t="n">
        <v>2011</v>
      </c>
      <c r="B179" s="139" t="inlineStr">
        <is>
          <t>新增沙化土地治理面积</t>
        </is>
      </c>
      <c r="C179" s="139" t="inlineStr">
        <is>
          <t>治理</t>
        </is>
      </c>
      <c r="D179" s="139" t="inlineStr">
        <is>
          <t>1000万公顷以上</t>
        </is>
      </c>
      <c r="E179" s="139" t="n"/>
      <c r="F179" s="140" t="n">
        <v>2015</v>
      </c>
      <c r="G179" s="140" t="inlineStr">
        <is>
          <t>重申目标</t>
        </is>
      </c>
      <c r="H179" s="139" t="inlineStr">
        <is>
          <t>环境质量</t>
        </is>
      </c>
      <c r="I179" s="139" t="inlineStr">
        <is>
          <t>全社会经济</t>
        </is>
      </c>
      <c r="J179" s="139" t="inlineStr">
        <is>
          <t>新增沙化土地治理面积达1000万公顷以上</t>
        </is>
      </c>
      <c r="K179" s="141" t="inlineStr">
        <is>
          <t>AP1101.htm</t>
        </is>
      </c>
      <c r="L179" s="139" t="inlineStr">
        <is>
          <t>土地利用、土地利用变化和林业</t>
        </is>
      </c>
    </row>
    <row r="180" ht="18" customHeight="1" s="235">
      <c r="A180" s="139" t="n">
        <v>2011</v>
      </c>
      <c r="B180" s="139" t="inlineStr">
        <is>
          <t>植树</t>
        </is>
      </c>
      <c r="C180" s="139" t="inlineStr">
        <is>
          <t>种植</t>
        </is>
      </c>
      <c r="D180" s="139" t="inlineStr">
        <is>
          <t>260亿株</t>
        </is>
      </c>
      <c r="E180" s="139" t="n"/>
      <c r="F180" s="140" t="inlineStr">
        <is>
          <t>2011-2020</t>
        </is>
      </c>
      <c r="G180" s="140" t="inlineStr">
        <is>
          <t>新目标</t>
        </is>
      </c>
      <c r="H180" s="139" t="inlineStr">
        <is>
          <t>碳汇</t>
        </is>
      </c>
      <c r="I180" s="139" t="inlineStr">
        <is>
          <t>全社会经济</t>
        </is>
      </c>
      <c r="J180" s="139" t="inlineStr">
        <is>
          <t>2011年至2020年，规划植树260亿株以上。</t>
        </is>
      </c>
      <c r="K180" s="141" t="inlineStr">
        <is>
          <t>PF1101.pdf</t>
        </is>
      </c>
      <c r="L180" s="139" t="inlineStr">
        <is>
          <t>土地利用、土地利用变化和林业</t>
        </is>
      </c>
    </row>
    <row r="181" ht="18" customHeight="1" s="235">
      <c r="A181" s="139" t="n">
        <v>2011</v>
      </c>
      <c r="B181" s="139" t="inlineStr">
        <is>
          <t>植树数量</t>
        </is>
      </c>
      <c r="C181" s="139" t="inlineStr">
        <is>
          <t>种植</t>
        </is>
      </c>
      <c r="D181" s="139" t="inlineStr">
        <is>
          <t>120亿株</t>
        </is>
      </c>
      <c r="E181" s="139" t="n"/>
      <c r="F181" s="140" t="inlineStr">
        <is>
          <t>十二五</t>
        </is>
      </c>
      <c r="G181" s="140" t="inlineStr">
        <is>
          <t>新目标</t>
        </is>
      </c>
      <c r="H181" s="139" t="inlineStr">
        <is>
          <t>碳汇</t>
        </is>
      </c>
      <c r="I181" s="139" t="inlineStr">
        <is>
          <t>全社会经济</t>
        </is>
      </c>
      <c r="J181" s="139" t="inlineStr">
        <is>
          <t>“十二五”期间，规划植树120亿株以上。</t>
        </is>
      </c>
      <c r="K181" s="141" t="inlineStr">
        <is>
          <t>PF1101.pdf</t>
        </is>
      </c>
      <c r="L181" s="139" t="inlineStr">
        <is>
          <t>土地利用、土地利用变化和林业</t>
        </is>
      </c>
    </row>
    <row r="182" ht="18" customHeight="1" s="235">
      <c r="A182" s="139" t="n">
        <v>2026</v>
      </c>
      <c r="B182" s="139" t="inlineStr">
        <is>
          <t>城市公园绿地改造提升面积</t>
        </is>
      </c>
      <c r="C182" s="139" t="inlineStr">
        <is>
          <t>改造提升</t>
        </is>
      </c>
      <c r="D182" s="139" t="inlineStr">
        <is>
          <t>20000公顷</t>
        </is>
      </c>
      <c r="E182" s="139" t="n"/>
      <c r="F182" s="140" t="n">
        <v>2030</v>
      </c>
      <c r="G182" s="140" t="inlineStr">
        <is>
          <t>新目标</t>
        </is>
      </c>
      <c r="H182" s="139" t="inlineStr">
        <is>
          <t>环境质量</t>
        </is>
      </c>
      <c r="I182" s="139" t="inlineStr">
        <is>
          <t>地区</t>
        </is>
      </c>
      <c r="J182" s="139" t="inlineStr">
        <is>
          <t>本规划设定了到2030年改造提升20000公顷城市公园绿地的目标。</t>
        </is>
      </c>
      <c r="K182" s="141" t="inlineStr">
        <is>
          <t>FYP2601.htm</t>
        </is>
      </c>
      <c r="L182" s="139" t="inlineStr">
        <is>
          <t>土地利用、土地利用变化和林业</t>
        </is>
      </c>
    </row>
    <row r="183" ht="18" customHeight="1" s="235">
      <c r="A183" s="139" t="n">
        <v>2017</v>
      </c>
      <c r="B183" s="139" t="inlineStr">
        <is>
          <t>主要农作物化肥利用率</t>
        </is>
      </c>
      <c r="C183" s="139" t="inlineStr">
        <is>
          <t>达到</t>
        </is>
      </c>
      <c r="D183" s="139" t="inlineStr">
        <is>
          <t>40%</t>
        </is>
      </c>
      <c r="E183" s="139" t="n"/>
      <c r="F183" s="140" t="inlineStr">
        <is>
          <t>2020</t>
        </is>
      </c>
      <c r="G183" s="140" t="inlineStr">
        <is>
          <t>新目标</t>
        </is>
      </c>
      <c r="H183" s="139" t="inlineStr">
        <is>
          <t>环境质量</t>
        </is>
      </c>
      <c r="I183" s="139" t="inlineStr">
        <is>
          <t>行业</t>
        </is>
      </c>
      <c r="J183" s="139" t="inlineStr">
        <is>
          <t>到2020年，主要农作物化肥、农药使用量实现零增长，化肥、农药利用率达到40%；秸秆综合利用率达到85%，养殖废弃物综合利用率达到75%，农膜回收率达到80%。</t>
        </is>
      </c>
      <c r="K183" s="141" t="inlineStr">
        <is>
          <t>O1702.htm</t>
        </is>
      </c>
      <c r="L183" s="139" t="inlineStr">
        <is>
          <t>土地利用、土地利用变化和林业</t>
        </is>
      </c>
    </row>
    <row r="184" ht="18" customHeight="1" s="235">
      <c r="A184" s="139" t="n">
        <v>2016</v>
      </c>
      <c r="B184" s="139" t="inlineStr">
        <is>
          <t>主要农作物化肥利用率</t>
        </is>
      </c>
      <c r="C184" s="139" t="inlineStr">
        <is>
          <t>提高</t>
        </is>
      </c>
      <c r="D184" s="139" t="inlineStr">
        <is>
          <t>40%以上</t>
        </is>
      </c>
      <c r="E184" s="139" t="n"/>
      <c r="F184" s="140" t="inlineStr">
        <is>
          <t>2020</t>
        </is>
      </c>
      <c r="G184" s="140" t="inlineStr">
        <is>
          <t>强化或放宽目标（积极气候影响）</t>
        </is>
      </c>
      <c r="H184" s="139" t="inlineStr">
        <is>
          <t>环境质量</t>
        </is>
      </c>
      <c r="I184" s="139" t="inlineStr">
        <is>
          <t>行业</t>
        </is>
      </c>
      <c r="J184" s="139" t="inlineStr">
        <is>
          <t>到2020年，主要农作物化肥利用率提高到40%以上。</t>
        </is>
      </c>
      <c r="K184" s="141" t="inlineStr">
        <is>
          <t>FYP1601.htm</t>
        </is>
      </c>
      <c r="L184" s="139" t="inlineStr">
        <is>
          <t>土地利用、土地利用变化和林业</t>
        </is>
      </c>
    </row>
    <row r="185" ht="18" customHeight="1" s="235">
      <c r="A185" s="139" t="n">
        <v>2021</v>
      </c>
      <c r="B185" s="139" t="inlineStr">
        <is>
          <t>主要农作物化肥利用率</t>
        </is>
      </c>
      <c r="C185" s="139" t="inlineStr">
        <is>
          <t>达到</t>
        </is>
      </c>
      <c r="D185" s="139" t="inlineStr">
        <is>
          <t>43%</t>
        </is>
      </c>
      <c r="E185" s="139" t="n"/>
      <c r="F185" s="140" t="inlineStr">
        <is>
          <t>2025</t>
        </is>
      </c>
      <c r="G185" s="140" t="inlineStr">
        <is>
          <t>重申目标</t>
        </is>
      </c>
      <c r="H185" s="139" t="inlineStr">
        <is>
          <t>环境质量</t>
        </is>
      </c>
      <c r="I185" s="139" t="inlineStr">
        <is>
          <t>行业</t>
        </is>
      </c>
      <c r="J185" s="139" t="inlineStr">
        <is>
          <t>到2025年，主要农作物化肥利用率达到43%以上。</t>
        </is>
      </c>
      <c r="K185" s="141" t="inlineStr">
        <is>
          <t>FYP2107.htm</t>
        </is>
      </c>
      <c r="L185" s="139" t="inlineStr">
        <is>
          <t>土地利用、土地利用变化和林业</t>
        </is>
      </c>
    </row>
    <row r="186" ht="18" customHeight="1" s="235">
      <c r="A186" s="139" t="n">
        <v>2021</v>
      </c>
      <c r="B186" s="139" t="inlineStr">
        <is>
          <t>主要农作物化肥利用率</t>
        </is>
      </c>
      <c r="C186" s="139" t="inlineStr">
        <is>
          <t>达到</t>
        </is>
      </c>
      <c r="D186" s="139" t="inlineStr">
        <is>
          <t>43%</t>
        </is>
      </c>
      <c r="E186" s="139" t="n"/>
      <c r="F186" s="140" t="inlineStr">
        <is>
          <t>2025</t>
        </is>
      </c>
      <c r="G186" s="140" t="inlineStr">
        <is>
          <t>重申目标</t>
        </is>
      </c>
      <c r="H186" s="139" t="inlineStr">
        <is>
          <t>环境质量</t>
        </is>
      </c>
      <c r="I186" s="139" t="inlineStr">
        <is>
          <t>行业</t>
        </is>
      </c>
      <c r="J186" s="139" t="inlineStr">
        <is>
          <t>到2025年，主要农作物农药利用率达到43%以上。</t>
        </is>
      </c>
      <c r="K186" s="141" t="inlineStr">
        <is>
          <t>FYP2107.htm</t>
        </is>
      </c>
      <c r="L186" s="139" t="inlineStr">
        <is>
          <t>土地利用、土地利用变化和林业</t>
        </is>
      </c>
    </row>
    <row r="187" ht="18" customHeight="1" s="235">
      <c r="A187" s="139" t="n">
        <v>2022</v>
      </c>
      <c r="B187" s="139" t="inlineStr">
        <is>
          <t>三大粮食作物化肥利用率</t>
        </is>
      </c>
      <c r="C187" s="139" t="inlineStr">
        <is>
          <t>提高至</t>
        </is>
      </c>
      <c r="D187" s="139" t="inlineStr">
        <is>
          <t>43%</t>
        </is>
      </c>
      <c r="E187" s="139" t="n"/>
      <c r="F187" s="140" t="inlineStr">
        <is>
          <t>2025</t>
        </is>
      </c>
      <c r="G187" s="140" t="inlineStr">
        <is>
          <t>重申目标</t>
        </is>
      </c>
      <c r="H187" s="139" t="inlineStr">
        <is>
          <t>环境质量</t>
        </is>
      </c>
      <c r="I187" s="139" t="inlineStr">
        <is>
          <t>行业</t>
        </is>
      </c>
      <c r="J187" s="139" t="inlineStr">
        <is>
          <t>到2025年，三大粮食作物化肥、农药利用率均提高到43%。</t>
        </is>
      </c>
      <c r="K187" s="141" t="inlineStr">
        <is>
          <t>IP2201.htm</t>
        </is>
      </c>
      <c r="L187" s="139" t="inlineStr">
        <is>
          <t>土地利用、土地利用变化和林业</t>
        </is>
      </c>
    </row>
    <row r="188" ht="18" customHeight="1" s="235">
      <c r="A188" s="139" t="n">
        <v>2022</v>
      </c>
      <c r="B188" s="139" t="inlineStr">
        <is>
          <t>主要农作物化肥利用率</t>
        </is>
      </c>
      <c r="C188" s="139" t="inlineStr">
        <is>
          <t>达到</t>
        </is>
      </c>
      <c r="D188" s="139" t="inlineStr">
        <is>
          <t>43%</t>
        </is>
      </c>
      <c r="E188" s="139" t="n"/>
      <c r="F188" s="140" t="inlineStr">
        <is>
          <t>2025</t>
        </is>
      </c>
      <c r="G188" s="140" t="inlineStr">
        <is>
          <t>新目标</t>
        </is>
      </c>
      <c r="H188" s="139" t="inlineStr">
        <is>
          <t>环境质量</t>
        </is>
      </c>
      <c r="I188" s="139" t="inlineStr">
        <is>
          <t>行业</t>
        </is>
      </c>
      <c r="J188" s="139" t="inlineStr">
        <is>
          <t>到2025年，主要农作物化肥、农药利用率均达到43%以上。</t>
        </is>
      </c>
      <c r="K188" s="141" t="inlineStr">
        <is>
          <t>FYP2203.htm</t>
        </is>
      </c>
      <c r="L188" s="139" t="inlineStr">
        <is>
          <t>土地利用、土地利用变化和林业</t>
        </is>
      </c>
    </row>
    <row r="189" ht="18" customHeight="1" s="235">
      <c r="A189" s="139" t="n">
        <v>2018</v>
      </c>
      <c r="B189" s="139" t="inlineStr">
        <is>
          <t>京津冀及周边地区、长三角地区化肥利用率</t>
        </is>
      </c>
      <c r="C189" s="139" t="inlineStr">
        <is>
          <t>达到</t>
        </is>
      </c>
      <c r="D189" s="139" t="inlineStr">
        <is>
          <t>40%</t>
        </is>
      </c>
      <c r="E189" s="139" t="n"/>
      <c r="F189" s="140" t="inlineStr">
        <is>
          <t>2020</t>
        </is>
      </c>
      <c r="G189" s="140" t="inlineStr">
        <is>
          <t>重申目标</t>
        </is>
      </c>
      <c r="H189" s="139" t="inlineStr">
        <is>
          <t>环境质量</t>
        </is>
      </c>
      <c r="I189" s="139" t="inlineStr">
        <is>
          <t>地区</t>
        </is>
      </c>
      <c r="J189" s="139" t="inlineStr">
        <is>
          <t>到2020年，京津冀及周边地区、长三角地区化肥利用率达到40%以上。</t>
        </is>
      </c>
      <c r="K189" s="141" t="inlineStr">
        <is>
          <t>AP1802.htm</t>
        </is>
      </c>
      <c r="L189" s="139" t="inlineStr">
        <is>
          <t>土地利用、土地利用变化和林业</t>
        </is>
      </c>
    </row>
    <row r="190" ht="18" customHeight="1" s="235">
      <c r="A190" s="139" t="n">
        <v>2024</v>
      </c>
      <c r="B190" s="139" t="inlineStr">
        <is>
          <t>全国三大粮食作物化肥利用率</t>
        </is>
      </c>
      <c r="C190" s="139" t="inlineStr">
        <is>
          <t>达到</t>
        </is>
      </c>
      <c r="D190" s="139" t="inlineStr">
        <is>
          <t>43%以上</t>
        </is>
      </c>
      <c r="E190" s="139" t="n"/>
      <c r="F190" s="140" t="inlineStr">
        <is>
          <t>2030</t>
        </is>
      </c>
      <c r="G190" s="140" t="inlineStr">
        <is>
          <t>新目标</t>
        </is>
      </c>
      <c r="H190" s="139" t="inlineStr">
        <is>
          <t>环境质量</t>
        </is>
      </c>
      <c r="I190" s="139" t="inlineStr">
        <is>
          <t>行业</t>
        </is>
      </c>
      <c r="J190" s="139" t="inlineStr">
        <is>
          <t>到2030年，全国三大粮食作物化肥利用率达到43%以上。</t>
        </is>
      </c>
      <c r="K190" s="141" t="inlineStr">
        <is>
          <t>GO2404.htm</t>
        </is>
      </c>
      <c r="L190" s="139" t="inlineStr">
        <is>
          <t>土地利用、土地利用变化和林业</t>
        </is>
      </c>
    </row>
    <row r="191" ht="18" customHeight="1" s="235">
      <c r="A191" s="139" t="n">
        <v>2016</v>
      </c>
      <c r="B191" s="139" t="inlineStr">
        <is>
          <t>矿区植被恢复面积</t>
        </is>
      </c>
      <c r="C191" s="139" t="inlineStr">
        <is>
          <t>恢复</t>
        </is>
      </c>
      <c r="D191" s="139" t="inlineStr">
        <is>
          <t>52万公顷</t>
        </is>
      </c>
      <c r="E191" s="139" t="n"/>
      <c r="F191" s="140" t="inlineStr">
        <is>
          <t>十三五</t>
        </is>
      </c>
      <c r="G191" s="140" t="inlineStr">
        <is>
          <t>重申目标</t>
        </is>
      </c>
      <c r="H191" s="139" t="inlineStr">
        <is>
          <t>环境质量</t>
        </is>
      </c>
      <c r="I191" s="139" t="inlineStr">
        <is>
          <t>地区</t>
        </is>
      </c>
      <c r="J191" s="139" t="inlineStr">
        <is>
          <t>“十三五”期间，规划公路、铁路、河渠湖库周边绿化72万公顷，农田林网建设86万公顷，矿区植被恢复造林52万公顷。</t>
        </is>
      </c>
      <c r="K191" s="141" t="inlineStr">
        <is>
          <t>PF1602.pdf</t>
        </is>
      </c>
      <c r="L191" s="139" t="inlineStr">
        <is>
          <t>土地利用、土地利用变化和林业</t>
        </is>
      </c>
    </row>
    <row r="192" ht="18" customHeight="1" s="235">
      <c r="A192" s="0" t="n">
        <v>2026</v>
      </c>
      <c r="B192" s="0" t="inlineStr">
        <is>
          <t>水土保持率</t>
        </is>
      </c>
      <c r="C192" s="0" t="inlineStr">
        <is>
          <t>达到</t>
        </is>
      </c>
      <c r="D192" s="0" t="inlineStr">
        <is>
          <t>74%以上</t>
        </is>
      </c>
      <c r="F192" s="0" t="n">
        <v>2030</v>
      </c>
      <c r="G192" s="0" t="inlineStr">
        <is>
          <t>重申目标</t>
        </is>
      </c>
      <c r="H192" s="0" t="inlineStr">
        <is>
          <t>环境质量</t>
        </is>
      </c>
      <c r="I192" s="0" t="inlineStr">
        <is>
          <t>全社会经济</t>
        </is>
      </c>
      <c r="J192" s="0" t="inlineStr">
        <is>
          <t>——水土保持率达到 74%以上；</t>
        </is>
      </c>
      <c r="K192" s="0" t="inlineStr">
        <is>
          <t>FYP2610.pdf</t>
        </is>
      </c>
      <c r="L192" s="0" t="inlineStr">
        <is>
          <t>土地利用、土地利用变化和林业</t>
        </is>
      </c>
    </row>
    <row r="193" ht="18" customHeight="1" s="235">
      <c r="A193" s="0" t="n">
        <v>2026</v>
      </c>
      <c r="B193" s="0" t="inlineStr">
        <is>
          <t>水土保持率</t>
        </is>
      </c>
      <c r="C193" s="0" t="inlineStr">
        <is>
          <t>达到</t>
        </is>
      </c>
      <c r="D193" s="0" t="inlineStr">
        <is>
          <t>74%以上</t>
        </is>
      </c>
      <c r="F193" s="0" t="n">
        <v>2030</v>
      </c>
      <c r="G193" s="0" t="inlineStr">
        <is>
          <t>新目标</t>
        </is>
      </c>
      <c r="H193" s="0" t="inlineStr">
        <is>
          <t>环境质量</t>
        </is>
      </c>
      <c r="I193" s="0" t="inlineStr">
        <is>
          <t>全社会经济</t>
        </is>
      </c>
      <c r="J193" s="0" t="inlineStr">
        <is>
          <t>加强重点区域水土流失治理和石漠化治理，建设生态清洁小流域，水土保持率达到74%以上。</t>
        </is>
      </c>
      <c r="K193" s="0" t="inlineStr">
        <is>
          <t>FYP2609.htm</t>
        </is>
      </c>
      <c r="L193" s="0" t="inlineStr">
        <is>
          <t>土地利用、土地利用变化和林业</t>
        </is>
      </c>
    </row>
    <row r="194" ht="18" customHeight="1" s="235">
      <c r="A194" s="139" t="n">
        <v>2019</v>
      </c>
      <c r="B194" s="139" t="inlineStr">
        <is>
          <t>农作物水分利用效率</t>
        </is>
      </c>
      <c r="C194" s="139" t="inlineStr">
        <is>
          <t>提高至</t>
        </is>
      </c>
      <c r="D194" s="139" t="inlineStr">
        <is>
          <t>1.1千克/立方米</t>
        </is>
      </c>
      <c r="E194" s="139" t="n"/>
      <c r="F194" s="140" t="inlineStr">
        <is>
          <t>2020</t>
        </is>
      </c>
      <c r="G194" s="140" t="inlineStr">
        <is>
          <t>新目标</t>
        </is>
      </c>
      <c r="H194" s="139" t="inlineStr">
        <is>
          <t>资源效率</t>
        </is>
      </c>
      <c r="I194" s="139" t="inlineStr">
        <is>
          <t>行业</t>
        </is>
      </c>
      <c r="J194" s="139" t="inlineStr">
        <is>
          <t>到2020年，农作物水分利用效率将提高至1.1千克/立方米以上。</t>
        </is>
      </c>
      <c r="K194" s="141" t="inlineStr">
        <is>
          <t>HL1902.pdf</t>
        </is>
      </c>
      <c r="L194" s="139" t="inlineStr">
        <is>
          <t>土地利用、土地利用变化和林业</t>
        </is>
      </c>
    </row>
    <row r="195" ht="18" customHeight="1" s="235">
      <c r="A195" s="139" t="n">
        <v>2011</v>
      </c>
      <c r="B195" s="139" t="inlineStr">
        <is>
          <t>湿地面积</t>
        </is>
      </c>
      <c r="C195" s="139" t="inlineStr">
        <is>
          <t>达到</t>
        </is>
      </c>
      <c r="D195" s="139" t="inlineStr">
        <is>
          <t>4248万公顷</t>
        </is>
      </c>
      <c r="E195" s="139" t="n"/>
      <c r="F195" s="140" t="n">
        <v>2015</v>
      </c>
      <c r="G195" s="140" t="inlineStr">
        <is>
          <t>重申目标</t>
        </is>
      </c>
      <c r="H195" s="139" t="inlineStr">
        <is>
          <t>环境质量</t>
        </is>
      </c>
      <c r="I195" s="139" t="inlineStr">
        <is>
          <t>全社会经济</t>
        </is>
      </c>
      <c r="J195" s="139" t="inlineStr">
        <is>
          <t>湿地面积达到4248万公顷</t>
        </is>
      </c>
      <c r="K195" s="141" t="inlineStr">
        <is>
          <t>AP1101.htm</t>
        </is>
      </c>
      <c r="L195" s="139" t="inlineStr">
        <is>
          <t>土地利用、土地利用变化和林业</t>
        </is>
      </c>
    </row>
    <row r="196" ht="18" customHeight="1" s="235">
      <c r="A196" s="139" t="n">
        <v>2017</v>
      </c>
      <c r="B196" s="139" t="inlineStr">
        <is>
          <t>湿地面积</t>
        </is>
      </c>
      <c r="C196" s="139" t="inlineStr">
        <is>
          <t>达到</t>
        </is>
      </c>
      <c r="D196" s="139" t="inlineStr">
        <is>
          <t>8亿亩</t>
        </is>
      </c>
      <c r="E196" s="139" t="n"/>
      <c r="F196" s="140" t="inlineStr">
        <is>
          <t>2020</t>
        </is>
      </c>
      <c r="G196" s="140" t="inlineStr">
        <is>
          <t>新目标</t>
        </is>
      </c>
      <c r="H196" s="139" t="inlineStr">
        <is>
          <t>环境质量</t>
        </is>
      </c>
      <c r="I196" s="139" t="inlineStr">
        <is>
          <t>地区</t>
        </is>
      </c>
      <c r="J196" s="139" t="inlineStr">
        <is>
          <t>到2020年，湿地面积不低于8亿亩。</t>
        </is>
      </c>
      <c r="K196" s="141" t="inlineStr">
        <is>
          <t>O1702.htm</t>
        </is>
      </c>
      <c r="L196" s="139" t="inlineStr">
        <is>
          <t>土地利用、土地利用变化和林业</t>
        </is>
      </c>
    </row>
    <row r="197" ht="18" customHeight="1" s="235">
      <c r="A197" s="139" t="n">
        <v>2019</v>
      </c>
      <c r="B197" s="139" t="inlineStr">
        <is>
          <t>湿地面积</t>
        </is>
      </c>
      <c r="C197" s="139" t="inlineStr">
        <is>
          <t>实现</t>
        </is>
      </c>
      <c r="D197" s="139" t="inlineStr">
        <is>
          <t>8亿亩</t>
        </is>
      </c>
      <c r="E197" s="139" t="n"/>
      <c r="F197" s="140" t="inlineStr">
        <is>
          <t>2020</t>
        </is>
      </c>
      <c r="G197" s="140" t="inlineStr">
        <is>
          <t>重申目标</t>
        </is>
      </c>
      <c r="H197" s="139" t="inlineStr">
        <is>
          <t>环境质量</t>
        </is>
      </c>
      <c r="I197" s="139" t="inlineStr">
        <is>
          <t>地区</t>
        </is>
      </c>
      <c r="J197" s="139" t="inlineStr">
        <is>
          <t>到2020年，中国湿地面积不低于8亿亩</t>
        </is>
      </c>
      <c r="K197" s="141" t="inlineStr">
        <is>
          <t>HL1902.pdf</t>
        </is>
      </c>
      <c r="L197" s="139" t="inlineStr">
        <is>
          <t>土地利用、土地利用变化和林业</t>
        </is>
      </c>
    </row>
    <row r="198" ht="18" customHeight="1" s="235">
      <c r="A198" s="139" t="n">
        <v>2019</v>
      </c>
      <c r="B198" s="139" t="inlineStr">
        <is>
          <t>湿地面积</t>
        </is>
      </c>
      <c r="C198" s="139" t="inlineStr">
        <is>
          <t>提高至</t>
        </is>
      </c>
      <c r="D198" s="139" t="inlineStr">
        <is>
          <t>4248万公顷</t>
        </is>
      </c>
      <c r="E198" s="139" t="n"/>
      <c r="F198" s="140" t="inlineStr">
        <is>
          <t>2015</t>
        </is>
      </c>
      <c r="G198" s="140" t="inlineStr">
        <is>
          <t>新目标</t>
        </is>
      </c>
      <c r="H198" s="139" t="inlineStr">
        <is>
          <t>环境质量</t>
        </is>
      </c>
      <c r="I198" s="139" t="inlineStr">
        <is>
          <t>地区</t>
        </is>
      </c>
      <c r="J198" s="139" t="inlineStr">
        <is>
          <t>到2015年，湿地面积增加至4248万公顷</t>
        </is>
      </c>
      <c r="K198" s="141" t="inlineStr">
        <is>
          <t>HL1902.pdf</t>
        </is>
      </c>
      <c r="L198" s="139" t="inlineStr">
        <is>
          <t>土地利用、土地利用变化和林业</t>
        </is>
      </c>
    </row>
    <row r="199" ht="18" customHeight="1" s="235">
      <c r="A199" s="139" t="n">
        <v>2023</v>
      </c>
      <c r="B199" s="139" t="inlineStr">
        <is>
          <t>湿地面积（沿海）</t>
        </is>
      </c>
      <c r="C199" s="139" t="inlineStr">
        <is>
          <t>超过</t>
        </is>
      </c>
      <c r="D199" s="139" t="inlineStr">
        <is>
          <t>20,000 公顷</t>
        </is>
      </c>
      <c r="E199" s="139" t="n"/>
      <c r="F199" s="140" t="inlineStr">
        <is>
          <t>2025</t>
        </is>
      </c>
      <c r="G199" s="140" t="inlineStr">
        <is>
          <t>新目标</t>
        </is>
      </c>
      <c r="H199" s="139" t="inlineStr">
        <is>
          <t>环境质量</t>
        </is>
      </c>
      <c r="I199" s="139" t="inlineStr">
        <is>
          <t>地区</t>
        </is>
      </c>
      <c r="J199" s="139" t="inlineStr">
        <is>
          <t>海洋生态系统：到2025年，沿海湿地总面积不低于2万公顷；</t>
        </is>
      </c>
      <c r="K199" s="141" t="inlineStr">
        <is>
          <t>HL2302.pdf</t>
        </is>
      </c>
      <c r="L199" s="139" t="inlineStr">
        <is>
          <t>土地利用、土地利用变化和林业</t>
        </is>
      </c>
    </row>
    <row r="200" ht="18" customHeight="1" s="235"/>
    <row r="201" ht="18" customHeight="1" s="235"/>
    <row r="202" ht="18" customHeight="1" s="235"/>
    <row r="203" ht="18" customHeight="1" s="235"/>
    <row r="204" ht="18" customHeight="1" s="235"/>
    <row r="205"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0" summaryRight="0"/>
    <pageSetUpPr/>
  </sheetPr>
  <dimension ref="A1:L198"/>
  <sheetViews>
    <sheetView topLeftCell="A48" zoomScale="75" workbookViewId="0">
      <selection activeCell="F28" sqref="F28"/>
    </sheetView>
  </sheetViews>
  <sheetFormatPr baseColWidth="8" defaultColWidth="14" defaultRowHeight="13"/>
  <cols>
    <col width="8.09765625" customWidth="1" style="235" min="1" max="1"/>
    <col width="110" customWidth="1" style="235" min="2" max="2"/>
    <col width="12" customWidth="1" style="235" min="3" max="3"/>
    <col width="23" customWidth="1" style="235" min="4" max="4"/>
    <col width="11.09765625" customWidth="1" style="235" min="5" max="5"/>
    <col width="24.09765625" customWidth="1" style="235" min="6" max="6"/>
    <col width="9" customWidth="1" style="235" min="7" max="7"/>
    <col width="24" customWidth="1" style="235" min="8" max="9"/>
    <col width="118" customWidth="1" style="235" min="10" max="10"/>
    <col width="13" customWidth="1" style="235" min="11" max="11"/>
    <col width="14.59765625" customWidth="1" style="235" min="12" max="12"/>
    <col width="14" customWidth="1" style="235" min="13" max="13"/>
    <col width="17" customWidth="1" style="235" min="14" max="15"/>
    <col width="13" customWidth="1" style="235" min="16"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row>
    <row r="2" ht="18" customHeight="1" s="235">
      <c r="A2" s="147" t="n">
        <v>2016</v>
      </c>
      <c r="B2" s="148" t="inlineStr">
        <is>
          <t>新增再生水利用设施规模</t>
        </is>
      </c>
      <c r="C2" s="147" t="inlineStr">
        <is>
          <t>完成</t>
        </is>
      </c>
      <c r="D2" s="147" t="inlineStr">
        <is>
          <t>1505万立方米/日</t>
        </is>
      </c>
      <c r="E2" s="147" t="n"/>
      <c r="F2" s="147" t="inlineStr">
        <is>
          <t>十三五</t>
        </is>
      </c>
      <c r="G2" s="147" t="inlineStr">
        <is>
          <t>新目标</t>
        </is>
      </c>
      <c r="H2" s="147" t="inlineStr">
        <is>
          <t>循环利用</t>
        </is>
      </c>
      <c r="I2" s="147" t="inlineStr">
        <is>
          <t>不明确</t>
        </is>
      </c>
      <c r="J2" s="147" t="inlineStr">
        <is>
          <t>“十三五”期间，规划新增再生水利用设施规模1505万立方米/日。</t>
        </is>
      </c>
      <c r="K2" s="149" t="inlineStr">
        <is>
          <t>FYP1612.pdf</t>
        </is>
      </c>
      <c r="L2" s="147" t="inlineStr">
        <is>
          <t>循环经济</t>
        </is>
      </c>
    </row>
    <row r="3" ht="18" customHeight="1" s="235">
      <c r="A3" s="147" t="n">
        <v>2016</v>
      </c>
      <c r="B3" s="148" t="inlineStr">
        <is>
          <t>新增再生水利用设施规模</t>
        </is>
      </c>
      <c r="C3" s="147" t="inlineStr">
        <is>
          <t>达到</t>
        </is>
      </c>
      <c r="D3" s="147" t="inlineStr">
        <is>
          <t>1505万立方米/日</t>
        </is>
      </c>
      <c r="E3" s="147" t="n"/>
      <c r="F3" s="147" t="inlineStr">
        <is>
          <t>十三五</t>
        </is>
      </c>
      <c r="G3" s="147" t="inlineStr">
        <is>
          <t>重申目标</t>
        </is>
      </c>
      <c r="H3" s="147" t="inlineStr">
        <is>
          <t>循环利用</t>
        </is>
      </c>
      <c r="I3" s="147" t="inlineStr">
        <is>
          <t>不明确</t>
        </is>
      </c>
      <c r="J3" s="147" t="inlineStr">
        <is>
          <t>“十三五”期间，新增再生水利用设施规模1505万立方米/日。</t>
        </is>
      </c>
      <c r="K3" s="149" t="inlineStr">
        <is>
          <t>FYP1612.pdf</t>
        </is>
      </c>
      <c r="L3" s="147" t="inlineStr">
        <is>
          <t>循环经济</t>
        </is>
      </c>
    </row>
    <row r="4" ht="18" customHeight="1" s="235">
      <c r="A4" s="147" t="n">
        <v>2021</v>
      </c>
      <c r="B4" s="148" t="inlineStr">
        <is>
          <t>新增污水处理能力</t>
        </is>
      </c>
      <c r="C4" s="147" t="inlineStr">
        <is>
          <t>完成</t>
        </is>
      </c>
      <c r="D4" s="147" t="inlineStr">
        <is>
          <t>2000万立方米/日</t>
        </is>
      </c>
      <c r="E4" s="147" t="n"/>
      <c r="F4" s="147" t="inlineStr">
        <is>
          <t>十四五</t>
        </is>
      </c>
      <c r="G4" s="147" t="inlineStr">
        <is>
          <t>新目标</t>
        </is>
      </c>
      <c r="H4" s="147" t="inlineStr">
        <is>
          <t>污染控制</t>
        </is>
      </c>
      <c r="I4" s="147" t="inlineStr">
        <is>
          <t>不明确</t>
        </is>
      </c>
      <c r="J4" s="147" t="inlineStr">
        <is>
          <t>到2025年，新增污水处理能力2000万立方米/日。</t>
        </is>
      </c>
      <c r="K4" s="149" t="inlineStr">
        <is>
          <t>FYP2107.htm</t>
        </is>
      </c>
      <c r="L4" s="147" t="inlineStr">
        <is>
          <t>循环经济</t>
        </is>
      </c>
    </row>
    <row r="5" ht="18" customHeight="1" s="235">
      <c r="A5" s="148" t="n">
        <v>2016</v>
      </c>
      <c r="B5" s="148" t="inlineStr">
        <is>
          <t>新增污泥无害化处置能力</t>
        </is>
      </c>
      <c r="C5" s="148" t="inlineStr">
        <is>
          <t>完成</t>
        </is>
      </c>
      <c r="D5" s="148" t="inlineStr">
        <is>
          <t>6.01万吨/日</t>
        </is>
      </c>
      <c r="E5" s="148" t="n"/>
      <c r="F5" s="148" t="inlineStr">
        <is>
          <t>十三五</t>
        </is>
      </c>
      <c r="G5" s="148" t="inlineStr">
        <is>
          <t>新目标</t>
        </is>
      </c>
      <c r="H5" s="147" t="inlineStr">
        <is>
          <t>污染控制</t>
        </is>
      </c>
      <c r="I5" s="148" t="inlineStr">
        <is>
          <t>全社会经济</t>
        </is>
      </c>
      <c r="J5" s="148" t="inlineStr">
        <is>
          <t>“十三五”期间，新增或改造污泥无害化处理处置设施能力为6.01万吨/日。</t>
        </is>
      </c>
      <c r="K5" s="150" t="inlineStr">
        <is>
          <t>FYP1612.pdf</t>
        </is>
      </c>
      <c r="L5" s="147" t="inlineStr">
        <is>
          <t>循环经济</t>
        </is>
      </c>
    </row>
    <row r="6" ht="18" customHeight="1" s="235">
      <c r="A6" s="147" t="n">
        <v>2016</v>
      </c>
      <c r="B6" s="147" t="inlineStr">
        <is>
          <t>新增污泥无害化处置能力</t>
        </is>
      </c>
      <c r="C6" s="147" t="inlineStr">
        <is>
          <t>完成</t>
        </is>
      </c>
      <c r="D6" s="147" t="inlineStr">
        <is>
          <t>60100 吨/日</t>
        </is>
      </c>
      <c r="E6" s="147" t="n"/>
      <c r="F6" s="151" t="inlineStr">
        <is>
          <t>十三五</t>
        </is>
      </c>
      <c r="G6" s="147" t="inlineStr">
        <is>
          <t>重申目标</t>
        </is>
      </c>
      <c r="H6" s="147" t="inlineStr">
        <is>
          <t>污染控制</t>
        </is>
      </c>
      <c r="I6" s="147" t="inlineStr">
        <is>
          <t>不明确</t>
        </is>
      </c>
      <c r="J6" s="152" t="inlineStr">
        <is>
          <t>“十三五”期间，规划新增污泥（以含水80%湿污泥计）无害化处置设施规模6.01万吨/日。</t>
        </is>
      </c>
      <c r="K6" s="153" t="inlineStr">
        <is>
          <t>FYP1612.pdf</t>
        </is>
      </c>
      <c r="L6" s="147" t="inlineStr">
        <is>
          <t>循环经济</t>
        </is>
      </c>
    </row>
    <row r="7" ht="18" customHeight="1" s="235">
      <c r="A7" s="147" t="n">
        <v>2022</v>
      </c>
      <c r="B7" s="147" t="inlineStr">
        <is>
          <t>焦化废水产生量</t>
        </is>
      </c>
      <c r="C7" s="147" t="inlineStr">
        <is>
          <t>降低</t>
        </is>
      </c>
      <c r="D7" s="147" t="inlineStr">
        <is>
          <t>30%</t>
        </is>
      </c>
      <c r="E7" s="147" t="n"/>
      <c r="F7" s="147" t="inlineStr">
        <is>
          <t>十四五</t>
        </is>
      </c>
      <c r="G7" s="147" t="inlineStr">
        <is>
          <t>新目标</t>
        </is>
      </c>
      <c r="H7" s="147" t="inlineStr">
        <is>
          <t>污染控制</t>
        </is>
      </c>
      <c r="I7" s="147" t="inlineStr">
        <is>
          <t>行业</t>
        </is>
      </c>
      <c r="J7" s="147" t="inlineStr">
        <is>
          <t>《焦化行业“十四五”规划纲要》提出：到2025年焦化废水产生量减少30%。</t>
        </is>
      </c>
      <c r="K7" s="149" t="inlineStr">
        <is>
          <t>AP2206.pdf</t>
        </is>
      </c>
      <c r="L7" s="147" t="inlineStr">
        <is>
          <t>循环经济</t>
        </is>
      </c>
    </row>
    <row r="8" ht="18" customHeight="1" s="235">
      <c r="A8" s="147" t="n">
        <v>2016</v>
      </c>
      <c r="B8" s="147" t="inlineStr">
        <is>
          <t>再生资源替代原生资源量</t>
        </is>
      </c>
      <c r="C8" s="147" t="inlineStr">
        <is>
          <t>达到</t>
        </is>
      </c>
      <c r="D8" s="147" t="inlineStr">
        <is>
          <t>13亿吨</t>
        </is>
      </c>
      <c r="E8" s="147" t="n"/>
      <c r="F8" s="147" t="inlineStr">
        <is>
          <t>2020</t>
        </is>
      </c>
      <c r="G8" s="147" t="inlineStr">
        <is>
          <t>新目标</t>
        </is>
      </c>
      <c r="H8" s="147" t="inlineStr">
        <is>
          <t>循环利用</t>
        </is>
      </c>
      <c r="I8" s="147" t="inlineStr">
        <is>
          <t>全社会经济</t>
        </is>
      </c>
      <c r="J8" s="147" t="inlineStr">
        <is>
          <t>到2020年，再生资源替代原生资源量达到13亿吨。</t>
        </is>
      </c>
      <c r="K8" s="149" t="inlineStr">
        <is>
          <t>FYP1601.htm</t>
        </is>
      </c>
      <c r="L8" s="147" t="inlineStr">
        <is>
          <t>循环经济</t>
        </is>
      </c>
    </row>
    <row r="9" ht="18" customHeight="1" s="235">
      <c r="A9" s="147" t="n">
        <v>2016</v>
      </c>
      <c r="B9" s="147" t="inlineStr">
        <is>
          <t>资源循环利用替代原生资源量</t>
        </is>
      </c>
      <c r="C9" s="147" t="inlineStr">
        <is>
          <t>达到</t>
        </is>
      </c>
      <c r="D9" s="147" t="inlineStr">
        <is>
          <t>13亿吨</t>
        </is>
      </c>
      <c r="E9" s="147" t="n"/>
      <c r="F9" s="147" t="inlineStr">
        <is>
          <t>2020</t>
        </is>
      </c>
      <c r="G9" s="147" t="inlineStr">
        <is>
          <t>重申目标</t>
        </is>
      </c>
      <c r="H9" s="147" t="inlineStr">
        <is>
          <t>循环利用</t>
        </is>
      </c>
      <c r="I9" s="147" t="inlineStr">
        <is>
          <t>全社会经济</t>
        </is>
      </c>
      <c r="J9" s="147" t="inlineStr">
        <is>
          <t>到2020年，力争当年替代原生资源13亿吨。</t>
        </is>
      </c>
      <c r="K9" s="149" t="inlineStr">
        <is>
          <t>FYP1613.htm</t>
        </is>
      </c>
      <c r="L9" s="147" t="inlineStr">
        <is>
          <t>循环经济</t>
        </is>
      </c>
    </row>
    <row r="10" ht="18" customHeight="1" s="235">
      <c r="A10" s="147" t="n">
        <v>2024</v>
      </c>
      <c r="B10" s="147" t="inlineStr">
        <is>
          <t>报废汽车回收量</t>
        </is>
      </c>
      <c r="C10" s="147" t="inlineStr">
        <is>
          <t>提高</t>
        </is>
      </c>
      <c r="D10" s="147" t="inlineStr">
        <is>
          <t>50%</t>
        </is>
      </c>
      <c r="E10" s="147" t="n">
        <v>2023</v>
      </c>
      <c r="F10" s="147" t="inlineStr">
        <is>
          <t>2025</t>
        </is>
      </c>
      <c r="G10" s="147" t="inlineStr">
        <is>
          <t>新目标</t>
        </is>
      </c>
      <c r="H10" s="147" t="inlineStr">
        <is>
          <t>循环利用</t>
        </is>
      </c>
      <c r="I10" s="147" t="inlineStr">
        <is>
          <t>行业</t>
        </is>
      </c>
      <c r="J10" s="147" t="inlineStr">
        <is>
          <t>到2025年，报废汽车回收量较2023年增长50%</t>
        </is>
      </c>
      <c r="K10" s="149" t="inlineStr">
        <is>
          <t>AP2403.htm</t>
        </is>
      </c>
      <c r="L10" s="147" t="inlineStr">
        <is>
          <t>循环经济</t>
        </is>
      </c>
    </row>
    <row r="11" ht="18" customHeight="1" s="235">
      <c r="A11" s="147" t="n">
        <v>2024</v>
      </c>
      <c r="B11" s="147" t="inlineStr">
        <is>
          <t>废旧家电回收量</t>
        </is>
      </c>
      <c r="C11" s="147" t="inlineStr">
        <is>
          <t>提高</t>
        </is>
      </c>
      <c r="D11" s="147" t="inlineStr">
        <is>
          <t>15%</t>
        </is>
      </c>
      <c r="E11" s="147" t="n">
        <v>2023</v>
      </c>
      <c r="F11" s="147" t="inlineStr">
        <is>
          <t>2025</t>
        </is>
      </c>
      <c r="G11" s="147" t="inlineStr">
        <is>
          <t>新目标</t>
        </is>
      </c>
      <c r="H11" s="147" t="inlineStr">
        <is>
          <t>循环利用</t>
        </is>
      </c>
      <c r="I11" s="147" t="inlineStr">
        <is>
          <t>全社会经济</t>
        </is>
      </c>
      <c r="J11" s="147" t="inlineStr">
        <is>
          <t>到2025年，废旧家电回收量较2023年增长15%</t>
        </is>
      </c>
      <c r="K11" s="149" t="inlineStr">
        <is>
          <t>AP2403.htm</t>
        </is>
      </c>
      <c r="L11" s="147" t="inlineStr">
        <is>
          <t>循环经济</t>
        </is>
      </c>
    </row>
    <row r="12" ht="18" customHeight="1" s="235">
      <c r="A12" s="147" t="n">
        <v>2024</v>
      </c>
      <c r="B12" s="147" t="inlineStr">
        <is>
          <t>废旧家电回收量</t>
        </is>
      </c>
      <c r="C12" s="147" t="inlineStr">
        <is>
          <t>提高</t>
        </is>
      </c>
      <c r="D12" s="147" t="inlineStr">
        <is>
          <t>30%</t>
        </is>
      </c>
      <c r="E12" s="147" t="n">
        <v>2023</v>
      </c>
      <c r="F12" s="147" t="inlineStr">
        <is>
          <t>2027</t>
        </is>
      </c>
      <c r="G12" s="147" t="inlineStr">
        <is>
          <t>新目标</t>
        </is>
      </c>
      <c r="H12" s="147" t="inlineStr">
        <is>
          <t>循环利用</t>
        </is>
      </c>
      <c r="I12" s="147" t="inlineStr">
        <is>
          <t>全社会经济</t>
        </is>
      </c>
      <c r="J12" s="147" t="inlineStr">
        <is>
          <t>到2027年，废旧家电回收量较2023年增长30%。</t>
        </is>
      </c>
      <c r="K12" s="149" t="inlineStr">
        <is>
          <t>AP2403.htm</t>
        </is>
      </c>
      <c r="L12" s="147" t="inlineStr">
        <is>
          <t>循环经济</t>
        </is>
      </c>
    </row>
    <row r="13" ht="18" customHeight="1" s="235">
      <c r="A13" s="0" t="n">
        <v>2026</v>
      </c>
      <c r="B13" s="0" t="inlineStr">
        <is>
          <t>废光伏组件年综合利用量</t>
        </is>
      </c>
      <c r="C13" s="0" t="inlineStr">
        <is>
          <t>达到</t>
        </is>
      </c>
      <c r="D13" s="0" t="inlineStr">
        <is>
          <t>8万吨左右</t>
        </is>
      </c>
      <c r="F13" s="0" t="n">
        <v>2030</v>
      </c>
      <c r="G13" s="0" t="inlineStr">
        <is>
          <t>新目标</t>
        </is>
      </c>
      <c r="H13" s="0" t="inlineStr">
        <is>
          <t>循环利用</t>
        </is>
      </c>
      <c r="I13" s="0" t="inlineStr">
        <is>
          <t>行业</t>
        </is>
      </c>
      <c r="J13" s="0" t="inlineStr">
        <is>
          <t>到2030年，废光伏组件年综合利用量达到8万吨左右。</t>
        </is>
      </c>
      <c r="K13" s="0" t="inlineStr">
        <is>
          <t>FYP2605.htm</t>
        </is>
      </c>
      <c r="L13" s="0" t="inlineStr">
        <is>
          <t>循环经济</t>
        </is>
      </c>
    </row>
    <row r="14" ht="18" customHeight="1" s="235">
      <c r="A14" s="0" t="n">
        <v>2026</v>
      </c>
      <c r="B14" s="0" t="inlineStr">
        <is>
          <t>废风机叶片年综合利用量</t>
        </is>
      </c>
      <c r="C14" s="0" t="inlineStr">
        <is>
          <t>达到</t>
        </is>
      </c>
      <c r="D14" s="0" t="inlineStr">
        <is>
          <t>17万吨左右</t>
        </is>
      </c>
      <c r="F14" s="0" t="n">
        <v>2030</v>
      </c>
      <c r="G14" s="0" t="inlineStr">
        <is>
          <t>新目标</t>
        </is>
      </c>
      <c r="H14" s="0" t="inlineStr">
        <is>
          <t>循环利用</t>
        </is>
      </c>
      <c r="I14" s="0" t="inlineStr">
        <is>
          <t>行业</t>
        </is>
      </c>
      <c r="J14" s="0" t="inlineStr">
        <is>
          <t>到2030年，废风机叶片年综合利用量达到17万吨左右。</t>
        </is>
      </c>
      <c r="K14" s="0" t="inlineStr">
        <is>
          <t>FYP2605.htm</t>
        </is>
      </c>
      <c r="L14" s="0" t="inlineStr">
        <is>
          <t>循环经济</t>
        </is>
      </c>
    </row>
    <row r="15" ht="18" customHeight="1" s="235">
      <c r="A15" s="147" t="n">
        <v>2016</v>
      </c>
      <c r="B15" s="147" t="inlineStr">
        <is>
          <t>年度工业废水排放量</t>
        </is>
      </c>
      <c r="C15" s="147" t="inlineStr">
        <is>
          <t>降低</t>
        </is>
      </c>
      <c r="D15" s="147" t="inlineStr">
        <is>
          <t>4亿吨/年</t>
        </is>
      </c>
      <c r="E15" s="147" t="n">
        <v>2015</v>
      </c>
      <c r="F15" s="147" t="inlineStr">
        <is>
          <t>2020</t>
        </is>
      </c>
      <c r="G15" s="147" t="inlineStr">
        <is>
          <t>新目标</t>
        </is>
      </c>
      <c r="H15" s="147" t="inlineStr">
        <is>
          <t>污染控制</t>
        </is>
      </c>
      <c r="I15" s="147" t="inlineStr">
        <is>
          <t>行业</t>
        </is>
      </c>
      <c r="J15" s="147" t="inlineStr">
        <is>
          <t>到2020年，全国工业废水减排量达到4亿吨/年。</t>
        </is>
      </c>
      <c r="K15" s="149" t="inlineStr">
        <is>
          <t>DP1601.htm</t>
        </is>
      </c>
      <c r="L15" s="147" t="inlineStr">
        <is>
          <t>循环经济</t>
        </is>
      </c>
    </row>
    <row r="16" ht="18" customHeight="1" s="235">
      <c r="A16" s="152" t="n">
        <v>2021</v>
      </c>
      <c r="B16" s="147" t="inlineStr">
        <is>
          <t>再生铝年产量</t>
        </is>
      </c>
      <c r="C16" s="147" t="inlineStr">
        <is>
          <t>达到</t>
        </is>
      </c>
      <c r="D16" s="152" t="inlineStr">
        <is>
          <t>1150万吨</t>
        </is>
      </c>
      <c r="E16" s="152" t="n"/>
      <c r="F16" s="151" t="inlineStr">
        <is>
          <t>2025</t>
        </is>
      </c>
      <c r="G16" s="152" t="inlineStr">
        <is>
          <t>重申目标</t>
        </is>
      </c>
      <c r="H16" s="147" t="inlineStr">
        <is>
          <t>循环利用</t>
        </is>
      </c>
      <c r="I16" s="147" t="inlineStr">
        <is>
          <t>全社会经济</t>
        </is>
      </c>
      <c r="J16" s="152" t="inlineStr">
        <is>
          <t>到2025年，再生铝产量达到1150万吨。</t>
        </is>
      </c>
      <c r="K16" s="153" t="inlineStr">
        <is>
          <t>FYP2115.pdf</t>
        </is>
      </c>
      <c r="L16" s="147" t="inlineStr">
        <is>
          <t>循环经济</t>
        </is>
      </c>
    </row>
    <row r="17" ht="18" customHeight="1" s="235">
      <c r="A17" s="147" t="n">
        <v>2021</v>
      </c>
      <c r="B17" s="147" t="inlineStr">
        <is>
          <t>再生铝年产量</t>
        </is>
      </c>
      <c r="C17" s="147" t="inlineStr">
        <is>
          <t>达到</t>
        </is>
      </c>
      <c r="D17" s="147" t="inlineStr">
        <is>
          <t>1150万吨</t>
        </is>
      </c>
      <c r="E17" s="147" t="n"/>
      <c r="F17" s="147" t="inlineStr">
        <is>
          <t>2025</t>
        </is>
      </c>
      <c r="G17" s="147" t="inlineStr">
        <is>
          <t>新目标</t>
        </is>
      </c>
      <c r="H17" s="147" t="inlineStr">
        <is>
          <t>循环利用</t>
        </is>
      </c>
      <c r="I17" s="147" t="inlineStr">
        <is>
          <t>行业</t>
        </is>
      </c>
      <c r="J17" s="147" t="inlineStr">
        <is>
          <t>到2025年，力争再生铝产量达到1150万吨。</t>
        </is>
      </c>
      <c r="K17" s="149" t="inlineStr">
        <is>
          <t>FYP2101.pdf</t>
        </is>
      </c>
      <c r="L17" s="147" t="inlineStr">
        <is>
          <t>循环经济</t>
        </is>
      </c>
    </row>
    <row r="18" ht="18" customHeight="1" s="235">
      <c r="A18" s="147" t="n">
        <v>2022</v>
      </c>
      <c r="B18" s="147" t="inlineStr">
        <is>
          <t>再生铝年产量</t>
        </is>
      </c>
      <c r="C18" s="147" t="inlineStr">
        <is>
          <t>达到</t>
        </is>
      </c>
      <c r="D18" s="147" t="inlineStr">
        <is>
          <t>1150万吨</t>
        </is>
      </c>
      <c r="E18" s="147" t="n"/>
      <c r="F18" s="147" t="inlineStr">
        <is>
          <t>2025</t>
        </is>
      </c>
      <c r="G18" s="147" t="inlineStr">
        <is>
          <t>重申目标</t>
        </is>
      </c>
      <c r="H18" s="147" t="inlineStr">
        <is>
          <t>循环利用</t>
        </is>
      </c>
      <c r="I18" s="147" t="inlineStr">
        <is>
          <t>全社会经济</t>
        </is>
      </c>
      <c r="J18" s="147" t="inlineStr">
        <is>
          <t>到2025年，再生铝产量达到1150万吨。</t>
        </is>
      </c>
      <c r="K18" s="149" t="inlineStr">
        <is>
          <t>IP2221.htm</t>
        </is>
      </c>
      <c r="L18" s="147" t="inlineStr">
        <is>
          <t>循环经济</t>
        </is>
      </c>
    </row>
    <row r="19" ht="18" customHeight="1" s="235">
      <c r="A19" s="147" t="n">
        <v>2021</v>
      </c>
      <c r="B19" s="147" t="inlineStr">
        <is>
          <t>再生铜年度产量</t>
        </is>
      </c>
      <c r="C19" s="147" t="inlineStr">
        <is>
          <t>力争达到</t>
        </is>
      </c>
      <c r="D19" s="147" t="inlineStr">
        <is>
          <t>400万吨</t>
        </is>
      </c>
      <c r="E19" s="147" t="n"/>
      <c r="F19" s="147" t="inlineStr">
        <is>
          <t>2025</t>
        </is>
      </c>
      <c r="G19" s="147" t="inlineStr">
        <is>
          <t>重申目标</t>
        </is>
      </c>
      <c r="H19" s="147" t="inlineStr">
        <is>
          <t>循环利用</t>
        </is>
      </c>
      <c r="I19" s="147" t="inlineStr">
        <is>
          <t>全社会经济</t>
        </is>
      </c>
      <c r="J19" s="147" t="inlineStr">
        <is>
          <t>到2025年，力争再生铜产量达到400万吨。</t>
        </is>
      </c>
      <c r="K19" s="149" t="inlineStr">
        <is>
          <t>FYP2101.pdf</t>
        </is>
      </c>
      <c r="L19" s="147" t="inlineStr">
        <is>
          <t>循环经济</t>
        </is>
      </c>
    </row>
    <row r="20" ht="18" customHeight="1" s="235">
      <c r="A20" s="152" t="n">
        <v>2021</v>
      </c>
      <c r="B20" s="147" t="inlineStr">
        <is>
          <t>再生铜年产量</t>
        </is>
      </c>
      <c r="C20" s="147" t="inlineStr">
        <is>
          <t>达到</t>
        </is>
      </c>
      <c r="D20" s="152" t="inlineStr">
        <is>
          <t>400万吨</t>
        </is>
      </c>
      <c r="E20" s="152" t="n"/>
      <c r="F20" s="151" t="inlineStr">
        <is>
          <t>2025</t>
        </is>
      </c>
      <c r="G20" s="152" t="inlineStr">
        <is>
          <t>新目标</t>
        </is>
      </c>
      <c r="H20" s="147" t="inlineStr">
        <is>
          <t>循环利用</t>
        </is>
      </c>
      <c r="I20" s="147" t="inlineStr">
        <is>
          <t>全社会经济</t>
        </is>
      </c>
      <c r="J20" s="152" t="inlineStr">
        <is>
          <t>到2025年，再生铜产量达到400万吨</t>
        </is>
      </c>
      <c r="K20" s="153" t="inlineStr">
        <is>
          <t>FYP2115.pdf</t>
        </is>
      </c>
      <c r="L20" s="147" t="inlineStr">
        <is>
          <t>循环经济</t>
        </is>
      </c>
    </row>
    <row r="21" ht="18" customHeight="1" s="235">
      <c r="A21" s="147" t="n">
        <v>2022</v>
      </c>
      <c r="B21" s="147" t="inlineStr">
        <is>
          <t>再生铜年产量</t>
        </is>
      </c>
      <c r="C21" s="147" t="inlineStr">
        <is>
          <t>达到</t>
        </is>
      </c>
      <c r="D21" s="147" t="inlineStr">
        <is>
          <t>400万吨</t>
        </is>
      </c>
      <c r="E21" s="147" t="n"/>
      <c r="F21" s="147" t="inlineStr">
        <is>
          <t>2025</t>
        </is>
      </c>
      <c r="G21" s="147" t="inlineStr">
        <is>
          <t>重申目标</t>
        </is>
      </c>
      <c r="H21" s="147" t="inlineStr">
        <is>
          <t>循环利用</t>
        </is>
      </c>
      <c r="I21" s="147" t="inlineStr">
        <is>
          <t>全社会经济</t>
        </is>
      </c>
      <c r="J21" s="147" t="inlineStr">
        <is>
          <t>到2025年，再生铜产量达到400万吨。</t>
        </is>
      </c>
      <c r="K21" s="149" t="inlineStr">
        <is>
          <t>IP2221.htm</t>
        </is>
      </c>
      <c r="L21" s="147" t="inlineStr">
        <is>
          <t>循环经济</t>
        </is>
      </c>
    </row>
    <row r="22" ht="18" customHeight="1" s="235">
      <c r="A22" s="147" t="n">
        <v>2021</v>
      </c>
      <c r="B22" s="147" t="inlineStr">
        <is>
          <t>再生铅年产量</t>
        </is>
      </c>
      <c r="C22" s="147" t="inlineStr">
        <is>
          <t>达到</t>
        </is>
      </c>
      <c r="D22" s="147" t="inlineStr">
        <is>
          <t>290万吨</t>
        </is>
      </c>
      <c r="E22" s="147" t="n"/>
      <c r="F22" s="147" t="inlineStr">
        <is>
          <t>2025</t>
        </is>
      </c>
      <c r="G22" s="147" t="inlineStr">
        <is>
          <t>新目标</t>
        </is>
      </c>
      <c r="H22" s="147" t="inlineStr">
        <is>
          <t>循环利用</t>
        </is>
      </c>
      <c r="I22" s="147" t="inlineStr">
        <is>
          <t>行业</t>
        </is>
      </c>
      <c r="J22" s="147" t="inlineStr">
        <is>
          <t>到2025年，力争再生铅产量达到290万吨。</t>
        </is>
      </c>
      <c r="K22" s="149" t="inlineStr">
        <is>
          <t>FYP2101.pdf</t>
        </is>
      </c>
      <c r="L22" s="147" t="inlineStr">
        <is>
          <t>循环经济</t>
        </is>
      </c>
    </row>
    <row r="23" ht="18" customHeight="1" s="235">
      <c r="A23" s="152" t="n">
        <v>2021</v>
      </c>
      <c r="B23" s="147" t="inlineStr">
        <is>
          <t>再生铅年产量</t>
        </is>
      </c>
      <c r="C23" s="147" t="inlineStr">
        <is>
          <t>达到</t>
        </is>
      </c>
      <c r="D23" s="152" t="inlineStr">
        <is>
          <t>290万吨</t>
        </is>
      </c>
      <c r="E23" s="152" t="n"/>
      <c r="F23" s="151" t="inlineStr">
        <is>
          <t>2025</t>
        </is>
      </c>
      <c r="G23" s="152" t="inlineStr">
        <is>
          <t>重申目标</t>
        </is>
      </c>
      <c r="H23" s="147" t="inlineStr">
        <is>
          <t>循环利用</t>
        </is>
      </c>
      <c r="I23" s="147" t="inlineStr">
        <is>
          <t>全社会经济</t>
        </is>
      </c>
      <c r="J23" s="152" t="inlineStr">
        <is>
          <t>到2025年，再生铅产量达到290万吨。</t>
        </is>
      </c>
      <c r="K23" s="153" t="inlineStr">
        <is>
          <t>FYP2115.pdf</t>
        </is>
      </c>
      <c r="L23" s="147" t="inlineStr">
        <is>
          <t>循环经济</t>
        </is>
      </c>
    </row>
    <row r="24" ht="18" customHeight="1" s="235">
      <c r="A24" s="152" t="n">
        <v>2025</v>
      </c>
      <c r="B24" s="147" t="inlineStr">
        <is>
          <t>再生金属年产量</t>
        </is>
      </c>
      <c r="C24" s="147" t="inlineStr">
        <is>
          <t>超过</t>
        </is>
      </c>
      <c r="D24" s="152" t="inlineStr">
        <is>
          <t>2000万吨</t>
        </is>
      </c>
      <c r="E24" s="152" t="n"/>
      <c r="F24" s="151" t="inlineStr">
        <is>
          <t>2025-2026</t>
        </is>
      </c>
      <c r="G24" s="152" t="inlineStr">
        <is>
          <t>新目标</t>
        </is>
      </c>
      <c r="H24" s="147" t="inlineStr">
        <is>
          <t>循环利用</t>
        </is>
      </c>
      <c r="I24" s="147" t="inlineStr">
        <is>
          <t>行业</t>
        </is>
      </c>
      <c r="J24" s="152" t="inlineStr">
        <is>
          <t>再生金属产量突破2000万吨，高端产品供给能力不断增强，绿色低碳、数字化发展水平持续提升。</t>
        </is>
      </c>
      <c r="K24" s="153" t="inlineStr">
        <is>
          <t>WOP2503.pdf</t>
        </is>
      </c>
      <c r="L24" s="147" t="inlineStr">
        <is>
          <t>循环经济</t>
        </is>
      </c>
    </row>
    <row r="25" ht="18" customHeight="1" s="235">
      <c r="A25" s="147" t="n">
        <v>2021</v>
      </c>
      <c r="B25" s="147" t="inlineStr">
        <is>
          <t>废纸回收利用量年度指标</t>
        </is>
      </c>
      <c r="C25" s="147" t="inlineStr">
        <is>
          <t>达到</t>
        </is>
      </c>
      <c r="D25" s="147" t="inlineStr">
        <is>
          <t>6000万吨</t>
        </is>
      </c>
      <c r="E25" s="147" t="n"/>
      <c r="F25" s="147" t="inlineStr">
        <is>
          <t>2025</t>
        </is>
      </c>
      <c r="G25" s="147" t="inlineStr">
        <is>
          <t>重申目标</t>
        </is>
      </c>
      <c r="H25" s="147" t="inlineStr">
        <is>
          <t>循环利用</t>
        </is>
      </c>
      <c r="I25" s="147" t="inlineStr">
        <is>
          <t>行业</t>
        </is>
      </c>
      <c r="J25" s="147" t="inlineStr">
        <is>
          <t>到2025年，力争废纸回收利用量达到6000万吨。</t>
        </is>
      </c>
      <c r="K25" s="149" t="inlineStr">
        <is>
          <t>FYP2101.pdf</t>
        </is>
      </c>
      <c r="L25" s="147" t="inlineStr">
        <is>
          <t>循环经济</t>
        </is>
      </c>
    </row>
    <row r="26" ht="18" customHeight="1" s="235">
      <c r="A26" s="152" t="n">
        <v>2021</v>
      </c>
      <c r="B26" s="147" t="inlineStr">
        <is>
          <t>废纸年利用量</t>
        </is>
      </c>
      <c r="C26" s="147" t="inlineStr">
        <is>
          <t>达到</t>
        </is>
      </c>
      <c r="D26" s="152" t="inlineStr">
        <is>
          <t>6000万吨</t>
        </is>
      </c>
      <c r="E26" s="152" t="n"/>
      <c r="F26" s="151" t="inlineStr">
        <is>
          <t>2025</t>
        </is>
      </c>
      <c r="G26" s="152" t="inlineStr">
        <is>
          <t>新目标</t>
        </is>
      </c>
      <c r="H26" s="147" t="inlineStr">
        <is>
          <t>循环利用</t>
        </is>
      </c>
      <c r="I26" s="147" t="inlineStr">
        <is>
          <t>行业</t>
        </is>
      </c>
      <c r="J26" s="152" t="inlineStr">
        <is>
          <t>到2025年，废纸利用量达到6000万吨</t>
        </is>
      </c>
      <c r="K26" s="153" t="inlineStr">
        <is>
          <t>FYP2115.pdf</t>
        </is>
      </c>
      <c r="L26" s="147" t="inlineStr">
        <is>
          <t>循环经济</t>
        </is>
      </c>
    </row>
    <row r="27" ht="18" customHeight="1" s="235">
      <c r="A27" s="0" t="n">
        <v>2026</v>
      </c>
      <c r="B27" s="0" t="inlineStr">
        <is>
          <t>再生有色金属年产量</t>
        </is>
      </c>
      <c r="C27" s="0" t="inlineStr">
        <is>
          <t>达到</t>
        </is>
      </c>
      <c r="D27" s="0" t="inlineStr">
        <is>
          <t>2500万吨</t>
        </is>
      </c>
      <c r="F27" s="0" t="n">
        <v>2030</v>
      </c>
      <c r="G27" s="0" t="inlineStr">
        <is>
          <t>重申目标</t>
        </is>
      </c>
      <c r="H27" s="0" t="inlineStr">
        <is>
          <t>循环利用</t>
        </is>
      </c>
      <c r="I27" s="0" t="inlineStr">
        <is>
          <t>行业</t>
        </is>
      </c>
      <c r="J27" s="0" t="inlineStr">
        <is>
          <t>到2030年，再生有色金属年产量达到2500万吨。</t>
        </is>
      </c>
      <c r="K27" s="0" t="inlineStr">
        <is>
          <t>FYP2605.htm</t>
        </is>
      </c>
      <c r="L27" s="0" t="inlineStr">
        <is>
          <t>循环经济</t>
        </is>
      </c>
    </row>
    <row r="28" ht="18" customHeight="1" s="235">
      <c r="A28" s="0" t="n">
        <v>2026</v>
      </c>
      <c r="B28" s="0" t="inlineStr">
        <is>
          <t>“无废城市”建设城市数量</t>
        </is>
      </c>
      <c r="C28" s="0" t="inlineStr">
        <is>
          <t>建设</t>
        </is>
      </c>
      <c r="D28" s="0" t="inlineStr">
        <is>
          <t>200个左右</t>
        </is>
      </c>
      <c r="F28" s="0" t="n">
        <v>2030</v>
      </c>
      <c r="G28" s="0" t="inlineStr">
        <is>
          <t>新目标</t>
        </is>
      </c>
      <c r="H28" s="0" t="inlineStr">
        <is>
          <t>循环利用</t>
        </is>
      </c>
      <c r="I28" s="0" t="inlineStr">
        <is>
          <t>城市与地区</t>
        </is>
      </c>
      <c r="J28" s="0" t="inlineStr">
        <is>
          <t>专栏3 “无废城市”建设工程：支持 200个左右城市开展“无废城市”建设，推动京津冀、长三角、粤港澳大湾区、成渝地区全域共建“无废城市”。</t>
        </is>
      </c>
      <c r="K28" s="0" t="inlineStr">
        <is>
          <t>FYP2608.pdf</t>
        </is>
      </c>
      <c r="L28" s="0" t="inlineStr">
        <is>
          <t>循环经济</t>
        </is>
      </c>
    </row>
    <row r="29" ht="18" customHeight="1" s="235">
      <c r="A29" s="0" t="n">
        <v>2026</v>
      </c>
      <c r="B29" s="0" t="inlineStr">
        <is>
          <t>主要再生资源循环利用量</t>
        </is>
      </c>
      <c r="C29" s="0" t="inlineStr">
        <is>
          <t>达到</t>
        </is>
      </c>
      <c r="D29" s="0" t="inlineStr">
        <is>
          <t>5.1亿吨</t>
        </is>
      </c>
      <c r="E29" s="0" t="inlineStr">
        <is>
          <t>3.8亿吨（2025）</t>
        </is>
      </c>
      <c r="F29" s="0" t="n">
        <v>2030</v>
      </c>
      <c r="G29" s="0" t="inlineStr">
        <is>
          <t>重申目标</t>
        </is>
      </c>
      <c r="H29" s="0" t="inlineStr">
        <is>
          <t>循环利用</t>
        </is>
      </c>
      <c r="I29" s="0" t="inlineStr">
        <is>
          <t>全社会经济</t>
        </is>
      </c>
      <c r="J29" s="0" t="inlineStr">
        <is>
          <t>专栏1：主要再生资源年循环利用量（亿吨）2025年3.8，2030年5.1</t>
        </is>
      </c>
      <c r="K29" s="0" t="inlineStr">
        <is>
          <t>FYP2605.htm</t>
        </is>
      </c>
      <c r="L29" s="0" t="inlineStr">
        <is>
          <t>循环经济</t>
        </is>
      </c>
    </row>
    <row r="30" ht="18" customHeight="1" s="235">
      <c r="A30" s="0" t="n">
        <v>2026</v>
      </c>
      <c r="B30" s="0" t="inlineStr">
        <is>
          <t>废钢铁年回收利用量</t>
        </is>
      </c>
      <c r="C30" s="0" t="inlineStr">
        <is>
          <t>达到</t>
        </is>
      </c>
      <c r="D30" s="0" t="inlineStr">
        <is>
          <t>3亿吨</t>
        </is>
      </c>
      <c r="F30" s="0" t="n">
        <v>2030</v>
      </c>
      <c r="G30" s="0" t="inlineStr">
        <is>
          <t>重申目标</t>
        </is>
      </c>
      <c r="H30" s="0" t="inlineStr">
        <is>
          <t>循环利用</t>
        </is>
      </c>
      <c r="I30" s="0" t="inlineStr">
        <is>
          <t>全社会经济</t>
        </is>
      </c>
      <c r="J30" s="0" t="inlineStr">
        <is>
          <t>到2030年，废钢铁年回收利用量达到3亿吨。</t>
        </is>
      </c>
      <c r="K30" s="0" t="inlineStr">
        <is>
          <t>FYP2605.htm</t>
        </is>
      </c>
      <c r="L30" s="0" t="inlineStr">
        <is>
          <t>循环经济</t>
        </is>
      </c>
    </row>
    <row r="31" ht="18" customHeight="1" s="235">
      <c r="A31" s="0" t="n">
        <v>2026</v>
      </c>
      <c r="B31" s="0" t="inlineStr">
        <is>
          <t>黄河流域煤矸石堆场整治完成比例</t>
        </is>
      </c>
      <c r="C31" s="0" t="inlineStr">
        <is>
          <t>完成</t>
        </is>
      </c>
      <c r="D31" s="0" t="inlineStr">
        <is>
          <t>60%以上</t>
        </is>
      </c>
      <c r="F31" s="0" t="n">
        <v>2030</v>
      </c>
      <c r="G31" s="0" t="inlineStr">
        <is>
          <t>新目标</t>
        </is>
      </c>
      <c r="H31" s="0" t="inlineStr">
        <is>
          <t>污染控制</t>
        </is>
      </c>
      <c r="I31" s="0" t="inlineStr">
        <is>
          <t>城市与地区</t>
        </is>
      </c>
      <c r="J31" s="0" t="inlineStr">
        <is>
          <t>以山西、内蒙古、陕西、宁夏、贵州、河南等省份为重点，推动煤矸石、粉煤灰充填回填，完成黄河流域60%以上煤矸石堆场整治。</t>
        </is>
      </c>
      <c r="K31" s="0" t="inlineStr">
        <is>
          <t>FYP2608.pdf</t>
        </is>
      </c>
      <c r="L31" s="0" t="inlineStr">
        <is>
          <t>循环经济</t>
        </is>
      </c>
    </row>
    <row r="32" ht="18" customHeight="1" s="235">
      <c r="A32" s="0" t="n">
        <v>2026</v>
      </c>
      <c r="B32" s="0" t="inlineStr">
        <is>
          <t>危险废物填埋处置量占比</t>
        </is>
      </c>
      <c r="C32" s="0" t="inlineStr">
        <is>
          <t>控制在…以内</t>
        </is>
      </c>
      <c r="D32" s="0" t="inlineStr">
        <is>
          <t>10%</t>
        </is>
      </c>
      <c r="F32" s="0" t="n">
        <v>2030</v>
      </c>
      <c r="G32" s="0" t="inlineStr">
        <is>
          <t>新目标</t>
        </is>
      </c>
      <c r="H32" s="0" t="inlineStr">
        <is>
          <t>污染控制</t>
        </is>
      </c>
      <c r="I32" s="0" t="inlineStr">
        <is>
          <t>行业</t>
        </is>
      </c>
      <c r="J32" s="0" t="inlineStr">
        <is>
          <t>……危险废物填埋处置量占比控制在10%以内。</t>
        </is>
      </c>
      <c r="K32" s="0" t="inlineStr">
        <is>
          <t>FYP2609.htm</t>
        </is>
      </c>
      <c r="L32" s="0" t="inlineStr">
        <is>
          <t>循环经济</t>
        </is>
      </c>
    </row>
    <row r="33" ht="18" customHeight="1" s="235">
      <c r="A33" s="0" t="n">
        <v>2026</v>
      </c>
      <c r="B33" s="0" t="inlineStr">
        <is>
          <t>历史遗留固体废物堆存场所治理完成比例</t>
        </is>
      </c>
      <c r="C33" s="0" t="inlineStr">
        <is>
          <t>完成</t>
        </is>
      </c>
      <c r="D33" s="0" t="inlineStr">
        <is>
          <t>60%以上</t>
        </is>
      </c>
      <c r="F33" s="0" t="n">
        <v>2030</v>
      </c>
      <c r="G33" s="0" t="inlineStr">
        <is>
          <t>重申目标</t>
        </is>
      </c>
      <c r="H33" s="0" t="inlineStr">
        <is>
          <t>污染控制</t>
        </is>
      </c>
      <c r="I33" s="0" t="inlineStr">
        <is>
          <t>全社会经济</t>
        </is>
      </c>
      <c r="J33" s="0" t="inlineStr">
        <is>
          <t>实施堆（渣）场、危险废物填埋场、磷石膏库等环境风险隐患排查整治，完成60%以上的历史遗留固体废物堆存场所治理，……</t>
        </is>
      </c>
      <c r="K33" s="0" t="inlineStr">
        <is>
          <t>FYP2609.htm</t>
        </is>
      </c>
      <c r="L33" s="0" t="inlineStr">
        <is>
          <t>循环经济</t>
        </is>
      </c>
    </row>
    <row r="34" ht="18" customHeight="1" s="235">
      <c r="A34" s="0" t="n">
        <v>2026</v>
      </c>
      <c r="B34" s="0" t="inlineStr">
        <is>
          <t>历史遗留固体废物堆存场所治理完成比例</t>
        </is>
      </c>
      <c r="C34" s="0" t="inlineStr">
        <is>
          <t>完成</t>
        </is>
      </c>
      <c r="D34" s="0" t="inlineStr">
        <is>
          <t>60%以上</t>
        </is>
      </c>
      <c r="F34" s="0" t="n">
        <v>2030</v>
      </c>
      <c r="G34" s="0" t="inlineStr">
        <is>
          <t>重申目标</t>
        </is>
      </c>
      <c r="H34" s="0" t="inlineStr">
        <is>
          <t>污染控制</t>
        </is>
      </c>
      <c r="I34" s="0" t="inlineStr">
        <is>
          <t>全社会经济</t>
        </is>
      </c>
      <c r="J34" s="0" t="inlineStr">
        <is>
          <t>长江流域聚焦锰渣、锑渣等，黄河流域聚焦煤矸石、粉煤灰、赤泥等，实施分区域系统治理，完成 60%以上的历史遗留固体废物堆存场所治理。</t>
        </is>
      </c>
      <c r="K34" s="0" t="inlineStr">
        <is>
          <t>FYP2608.pdf</t>
        </is>
      </c>
      <c r="L34" s="0" t="inlineStr">
        <is>
          <t>循环经济</t>
        </is>
      </c>
    </row>
    <row r="35" ht="18" customHeight="1" s="235">
      <c r="A35" s="0" t="n">
        <v>2026</v>
      </c>
      <c r="B35" s="0" t="inlineStr">
        <is>
          <t>废动力电池中提取的锂、钴、镍等金属占同期动力电池生产所需资源比例</t>
        </is>
      </c>
      <c r="C35" s="0" t="inlineStr">
        <is>
          <t>达到</t>
        </is>
      </c>
      <c r="D35" s="0" t="inlineStr">
        <is>
          <t>10%—15%</t>
        </is>
      </c>
      <c r="F35" s="0" t="n">
        <v>2030</v>
      </c>
      <c r="G35" s="0" t="inlineStr">
        <is>
          <t>新目标</t>
        </is>
      </c>
      <c r="H35" s="0" t="inlineStr">
        <is>
          <t>循环利用</t>
        </is>
      </c>
      <c r="I35" s="0" t="inlineStr">
        <is>
          <t>行业</t>
        </is>
      </c>
      <c r="J35" s="0" t="inlineStr">
        <is>
          <t>到2030年，废动力电池中提取的锂、钴、镍等金属占同期动力电池生产所需资源的10%—15%。</t>
        </is>
      </c>
      <c r="K35" s="0" t="inlineStr">
        <is>
          <t>FYP2605.htm</t>
        </is>
      </c>
      <c r="L35" s="0" t="inlineStr">
        <is>
          <t>循环经济</t>
        </is>
      </c>
    </row>
    <row r="36" ht="18" customHeight="1" s="235">
      <c r="A36" s="0" t="n">
        <v>2026</v>
      </c>
      <c r="B36" s="0" t="inlineStr">
        <is>
          <t>大宗工业固废综合利用率</t>
        </is>
      </c>
      <c r="C36" s="0" t="inlineStr">
        <is>
          <t>达到</t>
        </is>
      </c>
      <c r="D36" s="0" t="inlineStr">
        <is>
          <t>62%</t>
        </is>
      </c>
      <c r="E36" s="0" t="inlineStr">
        <is>
          <t>57%（2025）</t>
        </is>
      </c>
      <c r="F36" s="0" t="n">
        <v>2030</v>
      </c>
      <c r="G36" s="0" t="inlineStr">
        <is>
          <t>重申目标</t>
        </is>
      </c>
      <c r="H36" s="0" t="inlineStr">
        <is>
          <t>循环利用</t>
        </is>
      </c>
      <c r="I36" s="0" t="inlineStr">
        <is>
          <t>行业</t>
        </is>
      </c>
      <c r="J36" s="0" t="inlineStr">
        <is>
          <t>专栏1：大宗工业固废综合利用率（%）2025年57，2030年62</t>
        </is>
      </c>
      <c r="K36" s="0" t="inlineStr">
        <is>
          <t>FYP2605.htm</t>
        </is>
      </c>
      <c r="L36" s="0" t="inlineStr">
        <is>
          <t>循环经济</t>
        </is>
      </c>
    </row>
    <row r="37" ht="18" customHeight="1" s="235">
      <c r="A37" s="0" t="n">
        <v>2026</v>
      </c>
      <c r="B37" s="0" t="inlineStr">
        <is>
          <t>畜禽粪污综合利用率</t>
        </is>
      </c>
      <c r="C37" s="0" t="inlineStr">
        <is>
          <t>达到</t>
        </is>
      </c>
      <c r="D37" s="0" t="inlineStr">
        <is>
          <t>85%以上</t>
        </is>
      </c>
      <c r="F37" s="0" t="n">
        <v>2030</v>
      </c>
      <c r="G37" s="0" t="inlineStr">
        <is>
          <t>重申目标</t>
        </is>
      </c>
      <c r="H37" s="0" t="inlineStr">
        <is>
          <t>循环利用</t>
        </is>
      </c>
      <c r="I37" s="0" t="inlineStr">
        <is>
          <t>全社会经济</t>
        </is>
      </c>
      <c r="J37" s="0" t="inlineStr">
        <is>
          <t>加强畜禽粪污收集处理利用，畜禽粪污综合利用率达到85%以上。</t>
        </is>
      </c>
      <c r="K37" s="0" t="inlineStr">
        <is>
          <t>FYP2609.htm</t>
        </is>
      </c>
      <c r="L37" s="0" t="inlineStr">
        <is>
          <t>循环经济</t>
        </is>
      </c>
    </row>
    <row r="38" ht="18" customHeight="1" s="235">
      <c r="A38" s="0" t="n">
        <v>2026</v>
      </c>
      <c r="B38" s="0" t="inlineStr">
        <is>
          <t>锰渣综合利用率</t>
        </is>
      </c>
      <c r="C38" s="0" t="inlineStr">
        <is>
          <t>达到</t>
        </is>
      </c>
      <c r="D38" s="0" t="inlineStr">
        <is>
          <t>30%</t>
        </is>
      </c>
      <c r="F38" s="0" t="n">
        <v>2030</v>
      </c>
      <c r="G38" s="0" t="inlineStr">
        <is>
          <t>新目标</t>
        </is>
      </c>
      <c r="H38" s="0" t="inlineStr">
        <is>
          <t>循环利用</t>
        </is>
      </c>
      <c r="I38" s="0" t="inlineStr">
        <is>
          <t>行业</t>
        </is>
      </c>
      <c r="J38" s="0" t="inlineStr">
        <is>
          <t>到2030年，锰渣综合利用率达到30%。</t>
        </is>
      </c>
      <c r="K38" s="0" t="inlineStr">
        <is>
          <t>FYP2605.htm</t>
        </is>
      </c>
      <c r="L38" s="0" t="inlineStr">
        <is>
          <t>循环经济</t>
        </is>
      </c>
    </row>
    <row r="39" ht="18" customHeight="1" s="235">
      <c r="A39" s="0" t="n">
        <v>2026</v>
      </c>
      <c r="B39" s="0" t="inlineStr">
        <is>
          <t>磷石膏综合利用率</t>
        </is>
      </c>
      <c r="C39" s="0" t="inlineStr">
        <is>
          <t>达到</t>
        </is>
      </c>
      <c r="D39" s="0" t="inlineStr">
        <is>
          <t>75%</t>
        </is>
      </c>
      <c r="F39" s="0" t="n">
        <v>2030</v>
      </c>
      <c r="G39" s="0" t="inlineStr">
        <is>
          <t>强化或放宽目标（积极气候影响）</t>
        </is>
      </c>
      <c r="H39" s="0" t="inlineStr">
        <is>
          <t>循环利用</t>
        </is>
      </c>
      <c r="I39" s="0" t="inlineStr">
        <is>
          <t>行业</t>
        </is>
      </c>
      <c r="J39" s="0" t="inlineStr">
        <is>
          <t>到2030年，磷石膏综合利用率达到75%，综合消纳量（包括综合利用量和无害化处理量）与产生量实现动态平衡。</t>
        </is>
      </c>
      <c r="K39" s="0" t="inlineStr">
        <is>
          <t>FYP2605.htm</t>
        </is>
      </c>
      <c r="L39" s="0" t="inlineStr">
        <is>
          <t>循环经济</t>
        </is>
      </c>
    </row>
    <row r="40" ht="18" customHeight="1" s="235">
      <c r="A40" s="0" t="n">
        <v>2026</v>
      </c>
      <c r="B40" s="0" t="inlineStr">
        <is>
          <t>赤泥综合利用率</t>
        </is>
      </c>
      <c r="C40" s="0" t="inlineStr">
        <is>
          <t>达到</t>
        </is>
      </c>
      <c r="D40" s="0" t="inlineStr">
        <is>
          <t>25%</t>
        </is>
      </c>
      <c r="F40" s="0" t="n">
        <v>2030</v>
      </c>
      <c r="G40" s="0" t="inlineStr">
        <is>
          <t>强化或放宽目标（积极气候影响）</t>
        </is>
      </c>
      <c r="H40" s="0" t="inlineStr">
        <is>
          <t>循环利用</t>
        </is>
      </c>
      <c r="I40" s="0" t="inlineStr">
        <is>
          <t>行业</t>
        </is>
      </c>
      <c r="J40" s="0" t="inlineStr">
        <is>
          <t>到2030年，赤泥综合利用率达到25%。</t>
        </is>
      </c>
      <c r="K40" s="0" t="inlineStr">
        <is>
          <t>FYP2605.htm</t>
        </is>
      </c>
      <c r="L40" s="0" t="inlineStr">
        <is>
          <t>循环经济</t>
        </is>
      </c>
    </row>
    <row r="41" ht="18" customHeight="1" s="235">
      <c r="A41" s="0" t="n">
        <v>2026</v>
      </c>
      <c r="B41" s="0" t="inlineStr">
        <is>
          <t>秸秆综合利用率</t>
        </is>
      </c>
      <c r="C41" s="0" t="inlineStr">
        <is>
          <t>稳定在</t>
        </is>
      </c>
      <c r="D41" s="0" t="inlineStr">
        <is>
          <t>88%以上</t>
        </is>
      </c>
      <c r="F41" s="0" t="n">
        <v>2030</v>
      </c>
      <c r="G41" s="0" t="inlineStr">
        <is>
          <t>重申目标</t>
        </is>
      </c>
      <c r="H41" s="0" t="inlineStr">
        <is>
          <t>循环利用</t>
        </is>
      </c>
      <c r="I41" s="0" t="inlineStr">
        <is>
          <t>全社会经济</t>
        </is>
      </c>
      <c r="J41" s="0" t="inlineStr">
        <is>
          <t>……全国秸秆综合利用率稳定在 88%以上。</t>
        </is>
      </c>
      <c r="K41" s="0" t="inlineStr">
        <is>
          <t>FYP2606.pdf</t>
        </is>
      </c>
      <c r="L41" s="0" t="inlineStr">
        <is>
          <t>循环经济</t>
        </is>
      </c>
    </row>
    <row r="42" ht="18" customHeight="1" s="235">
      <c r="A42" s="152" t="n">
        <v>2026</v>
      </c>
      <c r="B42" s="147" t="inlineStr">
        <is>
          <t>废纸年回收利用量</t>
        </is>
      </c>
      <c r="C42" s="147" t="inlineStr">
        <is>
          <t>超过</t>
        </is>
      </c>
      <c r="D42" s="152" t="inlineStr">
        <is>
          <t>8000万吨</t>
        </is>
      </c>
      <c r="E42" s="152" t="n"/>
      <c r="F42" s="151" t="n">
        <v>2030</v>
      </c>
      <c r="G42" s="152" t="inlineStr">
        <is>
          <t>新目标</t>
        </is>
      </c>
      <c r="H42" s="147" t="inlineStr">
        <is>
          <t>循环利用</t>
        </is>
      </c>
      <c r="I42" s="147" t="inlineStr">
        <is>
          <t>全社会经济</t>
        </is>
      </c>
      <c r="J42" s="152" t="inlineStr">
        <is>
          <t>到2030年，废纸年回收利用量超过8000万吨。</t>
        </is>
      </c>
      <c r="K42" s="153" t="inlineStr">
        <is>
          <t>AP2601.htm</t>
        </is>
      </c>
      <c r="L42" s="147" t="inlineStr">
        <is>
          <t>循环经济</t>
        </is>
      </c>
    </row>
    <row r="43" ht="18" customHeight="1" s="235">
      <c r="A43" s="147" t="n">
        <v>2013</v>
      </c>
      <c r="B43" s="147" t="inlineStr">
        <is>
          <t>年度再制造能力</t>
        </is>
      </c>
      <c r="C43" s="147" t="inlineStr">
        <is>
          <t>达到</t>
        </is>
      </c>
      <c r="D43" s="147" t="inlineStr">
        <is>
          <t>80万台</t>
        </is>
      </c>
      <c r="E43" s="147" t="n"/>
      <c r="F43" s="147" t="inlineStr">
        <is>
          <t>2015</t>
        </is>
      </c>
      <c r="G43" s="147" t="inlineStr">
        <is>
          <t>新目标</t>
        </is>
      </c>
      <c r="H43" s="147" t="inlineStr">
        <is>
          <t>生产导向</t>
        </is>
      </c>
      <c r="I43" s="147" t="inlineStr">
        <is>
          <t>行业</t>
        </is>
      </c>
      <c r="J43" s="147" t="inlineStr">
        <is>
          <t>到2015年，实现年再制造发动机80万台。</t>
        </is>
      </c>
      <c r="K43" s="149" t="inlineStr">
        <is>
          <t>DP1301.htm</t>
        </is>
      </c>
      <c r="L43" s="147" t="inlineStr">
        <is>
          <t>循环经济</t>
        </is>
      </c>
    </row>
    <row r="44" ht="18" customHeight="1" s="235">
      <c r="A44" s="147" t="n">
        <v>2013</v>
      </c>
      <c r="B44" s="147" t="inlineStr">
        <is>
          <t>年再制造能力</t>
        </is>
      </c>
      <c r="C44" s="147" t="inlineStr">
        <is>
          <t>达到</t>
        </is>
      </c>
      <c r="D44" s="147" t="inlineStr">
        <is>
          <t>800万件（变速箱、起动机、发电机等）</t>
        </is>
      </c>
      <c r="E44" s="147" t="n"/>
      <c r="F44" s="147" t="inlineStr">
        <is>
          <t>2015</t>
        </is>
      </c>
      <c r="G44" s="147" t="inlineStr">
        <is>
          <t>新目标</t>
        </is>
      </c>
      <c r="H44" s="147" t="inlineStr">
        <is>
          <t>生产导向</t>
        </is>
      </c>
      <c r="I44" s="147" t="inlineStr">
        <is>
          <t>行业</t>
        </is>
      </c>
      <c r="J44" s="147" t="inlineStr">
        <is>
          <t>到2015年，实现年再制造发动机80万台，变速箱、起动机、发电机等800万件，工程机械、矿山机械、农用机械等20万台套，再制造产业年产值达500亿元左右。</t>
        </is>
      </c>
      <c r="K44" s="149" t="inlineStr">
        <is>
          <t>DP1301.htm</t>
        </is>
      </c>
      <c r="L44" s="147" t="inlineStr">
        <is>
          <t>循环经济</t>
        </is>
      </c>
    </row>
    <row r="45" ht="18" customHeight="1" s="235">
      <c r="A45" s="147" t="n">
        <v>2013</v>
      </c>
      <c r="B45" s="147" t="inlineStr">
        <is>
          <t>年再制造能力</t>
        </is>
      </c>
      <c r="C45" s="147" t="inlineStr">
        <is>
          <t>达到</t>
        </is>
      </c>
      <c r="D45" s="147" t="inlineStr">
        <is>
          <t>工程机械、矿山机械、农用机械等20万台套</t>
        </is>
      </c>
      <c r="E45" s="147" t="n"/>
      <c r="F45" s="147" t="inlineStr">
        <is>
          <t>2015</t>
        </is>
      </c>
      <c r="G45" s="147" t="inlineStr">
        <is>
          <t>新目标</t>
        </is>
      </c>
      <c r="H45" s="147" t="inlineStr">
        <is>
          <t>生产导向</t>
        </is>
      </c>
      <c r="I45" s="147" t="inlineStr">
        <is>
          <t>行业</t>
        </is>
      </c>
      <c r="J45" s="147" t="inlineStr">
        <is>
          <t>到2015年，实现年再制造发动机80万台，变速箱、起动机、发电机等800万件，工程机械、矿山机械、农用机械等20万台套，再制造产业年产值达500亿元左右。</t>
        </is>
      </c>
      <c r="K45" s="149" t="inlineStr">
        <is>
          <t>DP1301.htm</t>
        </is>
      </c>
      <c r="L45" s="147" t="inlineStr">
        <is>
          <t>循环经济</t>
        </is>
      </c>
    </row>
    <row r="46" ht="18" customHeight="1" s="235">
      <c r="A46" s="147" t="n">
        <v>2021</v>
      </c>
      <c r="B46" s="147" t="inlineStr">
        <is>
          <t>大宗固体废弃物年综合利用量</t>
        </is>
      </c>
      <c r="C46" s="147" t="inlineStr">
        <is>
          <t>达到</t>
        </is>
      </c>
      <c r="D46" s="147" t="inlineStr">
        <is>
          <t>40亿吨</t>
        </is>
      </c>
      <c r="E46" s="147" t="n"/>
      <c r="F46" s="151" t="inlineStr">
        <is>
          <t>2025</t>
        </is>
      </c>
      <c r="G46" s="147" t="inlineStr">
        <is>
          <t>新目标</t>
        </is>
      </c>
      <c r="H46" s="147" t="inlineStr">
        <is>
          <t>循环利用</t>
        </is>
      </c>
      <c r="I46" s="147" t="inlineStr">
        <is>
          <t>全社会经济</t>
        </is>
      </c>
      <c r="J46" s="147" t="inlineStr">
        <is>
          <t>到2025年，大宗固体废弃物年综合利用量达到约40亿吨，到2030年提升至约45亿吨。</t>
        </is>
      </c>
      <c r="K46" s="149" t="inlineStr">
        <is>
          <t>HL2102.pdf</t>
        </is>
      </c>
      <c r="L46" s="147" t="inlineStr">
        <is>
          <t>循环经济</t>
        </is>
      </c>
    </row>
    <row r="47" ht="18" customHeight="1" s="235">
      <c r="A47" s="147" t="n">
        <v>2021</v>
      </c>
      <c r="B47" s="147" t="inlineStr">
        <is>
          <t>大宗固体废弃物年度综合利用量</t>
        </is>
      </c>
      <c r="C47" s="147" t="inlineStr">
        <is>
          <t>达到</t>
        </is>
      </c>
      <c r="D47" s="147" t="inlineStr">
        <is>
          <t>约45亿吨</t>
        </is>
      </c>
      <c r="E47" s="147" t="n"/>
      <c r="F47" s="151" t="n">
        <v>2030</v>
      </c>
      <c r="G47" s="147" t="inlineStr">
        <is>
          <t>新目标</t>
        </is>
      </c>
      <c r="H47" s="147" t="inlineStr">
        <is>
          <t>循环利用</t>
        </is>
      </c>
      <c r="I47" s="147" t="inlineStr">
        <is>
          <t>全社会经济</t>
        </is>
      </c>
      <c r="J47" s="147" t="inlineStr">
        <is>
          <t>到2025年，大宗固体废弃物年综合利用量达到约40亿吨，到2030年提升至约45亿吨。</t>
        </is>
      </c>
      <c r="K47" s="149" t="inlineStr">
        <is>
          <t>HL2102.pdf</t>
        </is>
      </c>
      <c r="L47" s="147" t="inlineStr">
        <is>
          <t>循环经济</t>
        </is>
      </c>
    </row>
    <row r="48" ht="18" customHeight="1" s="235">
      <c r="A48" s="147" t="n">
        <v>2024</v>
      </c>
      <c r="B48" s="147" t="inlineStr">
        <is>
          <t>大宗固体废弃物年利用量</t>
        </is>
      </c>
      <c r="C48" s="147" t="inlineStr">
        <is>
          <t>达到</t>
        </is>
      </c>
      <c r="D48" s="147" t="inlineStr">
        <is>
          <t>约45亿吨</t>
        </is>
      </c>
      <c r="E48" s="147" t="n"/>
      <c r="F48" s="147" t="inlineStr">
        <is>
          <t>2030</t>
        </is>
      </c>
      <c r="G48" s="147" t="inlineStr">
        <is>
          <t>重申目标</t>
        </is>
      </c>
      <c r="H48" s="147" t="inlineStr">
        <is>
          <t>循环利用</t>
        </is>
      </c>
      <c r="I48" s="147" t="inlineStr">
        <is>
          <t>全社会经济</t>
        </is>
      </c>
      <c r="J48" s="147" t="inlineStr">
        <is>
          <t>到2030年，大宗固体废弃物年利用量达到45亿吨左右。</t>
        </is>
      </c>
      <c r="K48" s="149" t="inlineStr">
        <is>
          <t>O2407.htm</t>
        </is>
      </c>
      <c r="L48" s="147" t="inlineStr">
        <is>
          <t>循环经济</t>
        </is>
      </c>
    </row>
    <row r="49" ht="18" customHeight="1" s="235">
      <c r="A49" s="148" t="n">
        <v>2026</v>
      </c>
      <c r="B49" s="148" t="inlineStr">
        <is>
          <t>大宗固体废弃物年利用量</t>
        </is>
      </c>
      <c r="C49" s="148" t="inlineStr">
        <is>
          <t>达到</t>
        </is>
      </c>
      <c r="D49" s="148" t="inlineStr">
        <is>
          <t>45亿吨左右</t>
        </is>
      </c>
      <c r="E49" s="148" t="n"/>
      <c r="F49" s="154" t="n">
        <v>2030</v>
      </c>
      <c r="G49" s="148" t="inlineStr">
        <is>
          <t>重申目标</t>
        </is>
      </c>
      <c r="H49" s="147" t="inlineStr">
        <is>
          <t>循环利用</t>
        </is>
      </c>
      <c r="I49" s="147" t="inlineStr">
        <is>
          <t>全社会经济</t>
        </is>
      </c>
      <c r="J49" s="148" t="inlineStr">
        <is>
          <t>促进循环经济发展，健全废弃物循环利用体系，大宗固体废弃物年利用量达到45亿吨左右。</t>
        </is>
      </c>
      <c r="K49" s="150" t="inlineStr">
        <is>
          <t>HL2601.pdf</t>
        </is>
      </c>
      <c r="L49" s="147" t="inlineStr">
        <is>
          <t>循环经济</t>
        </is>
      </c>
    </row>
    <row r="50" ht="18" customHeight="1" s="235">
      <c r="A50" s="147" t="n">
        <v>2017</v>
      </c>
      <c r="B50" s="147" t="inlineStr">
        <is>
          <t>汽车可回收利用率</t>
        </is>
      </c>
      <c r="C50" s="147" t="inlineStr">
        <is>
          <t>达到</t>
        </is>
      </c>
      <c r="D50" s="147" t="inlineStr">
        <is>
          <t>95%</t>
        </is>
      </c>
      <c r="E50" s="147" t="n"/>
      <c r="F50" s="147" t="inlineStr">
        <is>
          <t>2020</t>
        </is>
      </c>
      <c r="G50" s="147" t="inlineStr">
        <is>
          <t>新目标</t>
        </is>
      </c>
      <c r="H50" s="147" t="inlineStr">
        <is>
          <t>循环利用</t>
        </is>
      </c>
      <c r="I50" s="147" t="inlineStr">
        <is>
          <t>行业</t>
        </is>
      </c>
      <c r="J50" s="147" t="inlineStr">
        <is>
          <t>到2020年，汽车可回收利用率达到95%。</t>
        </is>
      </c>
      <c r="K50" s="149" t="inlineStr">
        <is>
          <t>DP1701.htm</t>
        </is>
      </c>
      <c r="L50" s="147" t="inlineStr">
        <is>
          <t>循环经济</t>
        </is>
      </c>
    </row>
    <row r="51" ht="18" customHeight="1" s="235">
      <c r="A51" s="147" t="n">
        <v>2016</v>
      </c>
      <c r="B51" s="147" t="inlineStr">
        <is>
          <t>初期雨水治理设施日处理能力</t>
        </is>
      </c>
      <c r="C51" s="147" t="inlineStr">
        <is>
          <t>新增</t>
        </is>
      </c>
      <c r="D51" s="147" t="inlineStr">
        <is>
          <t>831万立方米/日</t>
        </is>
      </c>
      <c r="E51" s="147" t="n"/>
      <c r="F51" s="151" t="inlineStr">
        <is>
          <t>十三五</t>
        </is>
      </c>
      <c r="G51" s="147" t="inlineStr">
        <is>
          <t>新目标</t>
        </is>
      </c>
      <c r="H51" s="147" t="inlineStr">
        <is>
          <t>污染控制</t>
        </is>
      </c>
      <c r="I51" s="147" t="inlineStr">
        <is>
          <t>全社会经济</t>
        </is>
      </c>
      <c r="J51" s="147" t="inlineStr">
        <is>
          <t>“十三五”期间，规划新增初期雨水治理设施规模831万立方米/日。</t>
        </is>
      </c>
      <c r="K51" s="149" t="inlineStr">
        <is>
          <t>FYP1612.pdf</t>
        </is>
      </c>
      <c r="L51" s="147" t="inlineStr">
        <is>
          <t>循环经济</t>
        </is>
      </c>
    </row>
    <row r="52" ht="18" customHeight="1" s="235">
      <c r="A52" s="147" t="n">
        <v>2013</v>
      </c>
      <c r="B52" s="147" t="inlineStr">
        <is>
          <t>设区城市实现餐厨废弃物分类收运和资源化利用</t>
        </is>
      </c>
      <c r="C52" s="147" t="inlineStr">
        <is>
          <t>达到</t>
        </is>
      </c>
      <c r="D52" s="147" t="inlineStr">
        <is>
          <t>50%</t>
        </is>
      </c>
      <c r="E52" s="147" t="n"/>
      <c r="F52" s="147" t="inlineStr">
        <is>
          <t>2015</t>
        </is>
      </c>
      <c r="G52" s="147" t="inlineStr">
        <is>
          <t>新目标</t>
        </is>
      </c>
      <c r="H52" s="147" t="inlineStr">
        <is>
          <t>循环利用</t>
        </is>
      </c>
      <c r="I52" s="147" t="inlineStr">
        <is>
          <t>城市</t>
        </is>
      </c>
      <c r="J52" s="147" t="inlineStr">
        <is>
          <t>到2015年，50%的设区城市初步实现餐厨废弃物分类收运和资源化利用。</t>
        </is>
      </c>
      <c r="K52" s="149" t="inlineStr">
        <is>
          <t>DP1301.htm</t>
        </is>
      </c>
      <c r="L52" s="147" t="inlineStr">
        <is>
          <t>循环经济</t>
        </is>
      </c>
    </row>
    <row r="53" ht="18" customHeight="1" s="235">
      <c r="A53" s="147" t="n">
        <v>2016</v>
      </c>
      <c r="B53" s="147" t="inlineStr">
        <is>
          <t>钢铁冶炼渣综合利用率</t>
        </is>
      </c>
      <c r="C53" s="147" t="inlineStr">
        <is>
          <t>达到</t>
        </is>
      </c>
      <c r="D53" s="147" t="inlineStr">
        <is>
          <t>90%以上</t>
        </is>
      </c>
      <c r="E53" s="147" t="n"/>
      <c r="F53" s="151" t="n">
        <v>2020</v>
      </c>
      <c r="G53" s="147" t="inlineStr">
        <is>
          <t>新目标</t>
        </is>
      </c>
      <c r="H53" s="147" t="inlineStr">
        <is>
          <t>循环利用</t>
        </is>
      </c>
      <c r="I53" s="147" t="inlineStr">
        <is>
          <t>行业</t>
        </is>
      </c>
      <c r="J53" s="147" t="inlineStr">
        <is>
          <t>到2020年，钢铁冶炼渣综合利用率由2015年的79%提高至90%以上。</t>
        </is>
      </c>
      <c r="K53" s="149" t="inlineStr">
        <is>
          <t>FYP1626.pdf</t>
        </is>
      </c>
      <c r="L53" s="147" t="inlineStr">
        <is>
          <t>循环经济</t>
        </is>
      </c>
    </row>
    <row r="54" ht="18" customHeight="1" s="235">
      <c r="A54" s="147" t="n">
        <v>2012</v>
      </c>
      <c r="B54" s="147" t="inlineStr">
        <is>
          <t>县城污水处理率</t>
        </is>
      </c>
      <c r="C54" s="147" t="inlineStr">
        <is>
          <t>达到</t>
        </is>
      </c>
      <c r="D54" s="147" t="inlineStr">
        <is>
          <t>70%</t>
        </is>
      </c>
      <c r="E54" s="147" t="n"/>
      <c r="F54" s="147" t="inlineStr">
        <is>
          <t>2015</t>
        </is>
      </c>
      <c r="G54" s="147" t="inlineStr">
        <is>
          <t>新目标</t>
        </is>
      </c>
      <c r="H54" s="147" t="inlineStr">
        <is>
          <t>污染控制</t>
        </is>
      </c>
      <c r="I54" s="147" t="inlineStr">
        <is>
          <t>城市</t>
        </is>
      </c>
      <c r="J54" s="147" t="inlineStr">
        <is>
          <t>到2015年，县城污水处理率达到70%。</t>
        </is>
      </c>
      <c r="K54" s="149" t="inlineStr">
        <is>
          <t>FYP1201.htm</t>
        </is>
      </c>
      <c r="L54" s="147" t="inlineStr">
        <is>
          <t>循环经济</t>
        </is>
      </c>
    </row>
    <row r="55" ht="18" customHeight="1" s="235">
      <c r="A55" s="147" t="n">
        <v>2013</v>
      </c>
      <c r="B55" s="147" t="inlineStr">
        <is>
          <t>原油加工行业平均水重复利用率</t>
        </is>
      </c>
      <c r="C55" s="147" t="inlineStr">
        <is>
          <t>达到</t>
        </is>
      </c>
      <c r="D55" s="147" t="inlineStr">
        <is>
          <t>90%</t>
        </is>
      </c>
      <c r="E55" s="147" t="n"/>
      <c r="F55" s="147" t="inlineStr">
        <is>
          <t>2015</t>
        </is>
      </c>
      <c r="G55" s="147" t="inlineStr">
        <is>
          <t>新目标</t>
        </is>
      </c>
      <c r="H55" s="147" t="inlineStr">
        <is>
          <t>循环利用</t>
        </is>
      </c>
      <c r="I55" s="147" t="inlineStr">
        <is>
          <t>行业</t>
        </is>
      </c>
      <c r="J55" s="147" t="inlineStr">
        <is>
          <t>到2015年，原油加工行业平均水重复利用率达到90%。</t>
        </is>
      </c>
      <c r="K55" s="149" t="inlineStr">
        <is>
          <t>DP1301.htm</t>
        </is>
      </c>
      <c r="L55" s="147" t="inlineStr">
        <is>
          <t>循环经济</t>
        </is>
      </c>
    </row>
    <row r="56" ht="18" customHeight="1" s="235">
      <c r="A56" s="147" t="n">
        <v>2014</v>
      </c>
      <c r="B56" s="147" t="inlineStr">
        <is>
          <t>重点行业单位工业增加值主要水污染物排放量</t>
        </is>
      </c>
      <c r="C56" s="147" t="inlineStr">
        <is>
          <t>降低</t>
        </is>
      </c>
      <c r="D56" s="147" t="inlineStr">
        <is>
          <t>30%以上</t>
        </is>
      </c>
      <c r="E56" s="147" t="n">
        <v>2010</v>
      </c>
      <c r="F56" s="147" t="inlineStr">
        <is>
          <t>2015</t>
        </is>
      </c>
      <c r="G56" s="147" t="inlineStr">
        <is>
          <t>新目标</t>
        </is>
      </c>
      <c r="H56" s="147" t="inlineStr">
        <is>
          <t>污染控制</t>
        </is>
      </c>
      <c r="I56" s="147" t="inlineStr">
        <is>
          <t>行业</t>
        </is>
      </c>
      <c r="J56" s="147" t="inlineStr">
        <is>
          <t>到2015年，重点行业单位工业增加值主要水污染物排放量下降30%以上。</t>
        </is>
      </c>
      <c r="K56" s="149" t="inlineStr">
        <is>
          <t>AP1404.htm</t>
        </is>
      </c>
      <c r="L56" s="147" t="inlineStr">
        <is>
          <t>循环经济</t>
        </is>
      </c>
    </row>
    <row r="57" ht="18" customHeight="1" s="235">
      <c r="A57" s="147" t="n">
        <v>2013</v>
      </c>
      <c r="B57" s="147" t="inlineStr">
        <is>
          <t>餐厨废弃物资源化利用能力</t>
        </is>
      </c>
      <c r="C57" s="147" t="inlineStr">
        <is>
          <t>达到</t>
        </is>
      </c>
      <c r="D57" s="147" t="inlineStr">
        <is>
          <t>3万吨/日</t>
        </is>
      </c>
      <c r="E57" s="147" t="n"/>
      <c r="F57" s="147" t="inlineStr">
        <is>
          <t>2015</t>
        </is>
      </c>
      <c r="G57" s="147" t="inlineStr">
        <is>
          <t>新目标</t>
        </is>
      </c>
      <c r="H57" s="147" t="inlineStr">
        <is>
          <t>循环利用</t>
        </is>
      </c>
      <c r="I57" s="147" t="inlineStr">
        <is>
          <t>全社会经济</t>
        </is>
      </c>
      <c r="J57" s="147" t="inlineStr">
        <is>
          <t>到2015年，餐厨废弃物资源化利用能力达到3万吨/日。</t>
        </is>
      </c>
      <c r="K57" s="149" t="inlineStr">
        <is>
          <t>DP1301.htm</t>
        </is>
      </c>
      <c r="L57" s="147" t="inlineStr">
        <is>
          <t>循环经济</t>
        </is>
      </c>
    </row>
    <row r="58" ht="18" customHeight="1" s="235">
      <c r="A58" s="147" t="n">
        <v>2012</v>
      </c>
      <c r="B58" s="147" t="inlineStr">
        <is>
          <t>城市污泥无害化处置率</t>
        </is>
      </c>
      <c r="C58" s="147" t="inlineStr">
        <is>
          <t>达到</t>
        </is>
      </c>
      <c r="D58" s="147" t="inlineStr">
        <is>
          <t>70%</t>
        </is>
      </c>
      <c r="E58" s="147" t="n"/>
      <c r="F58" s="147" t="inlineStr">
        <is>
          <t>2015</t>
        </is>
      </c>
      <c r="G58" s="147" t="inlineStr">
        <is>
          <t>新目标</t>
        </is>
      </c>
      <c r="H58" s="147" t="inlineStr">
        <is>
          <t>污染控制</t>
        </is>
      </c>
      <c r="I58" s="147" t="inlineStr">
        <is>
          <t>城市</t>
        </is>
      </c>
      <c r="J58" s="147" t="inlineStr">
        <is>
          <t>到2015年，污泥无害化处置率将达到70%。</t>
        </is>
      </c>
      <c r="K58" s="149" t="inlineStr">
        <is>
          <t>FYP1201.htm</t>
        </is>
      </c>
      <c r="L58" s="147" t="inlineStr">
        <is>
          <t>循环经济</t>
        </is>
      </c>
    </row>
    <row r="59" ht="18" customHeight="1" s="235">
      <c r="A59" s="147" t="n">
        <v>2021</v>
      </c>
      <c r="B59" s="147" t="inlineStr">
        <is>
          <t>城市污泥无害化处置率</t>
        </is>
      </c>
      <c r="C59" s="147" t="inlineStr">
        <is>
          <t>达到</t>
        </is>
      </c>
      <c r="D59" s="147" t="inlineStr">
        <is>
          <t>90%</t>
        </is>
      </c>
      <c r="E59" s="147" t="n"/>
      <c r="F59" s="147" t="inlineStr">
        <is>
          <t>2025</t>
        </is>
      </c>
      <c r="G59" s="147" t="inlineStr">
        <is>
          <t>新目标</t>
        </is>
      </c>
      <c r="H59" s="147" t="inlineStr">
        <is>
          <t>污染控制</t>
        </is>
      </c>
      <c r="I59" s="147" t="inlineStr">
        <is>
          <t>城市</t>
        </is>
      </c>
      <c r="J59" s="147" t="inlineStr">
        <is>
          <t>到2025年，城市污泥无害化处置率达到90%。</t>
        </is>
      </c>
      <c r="K59" s="149" t="inlineStr">
        <is>
          <t>FYP2107.htm</t>
        </is>
      </c>
      <c r="L59" s="147" t="inlineStr">
        <is>
          <t>循环经济</t>
        </is>
      </c>
    </row>
    <row r="60" ht="18" customHeight="1" s="235">
      <c r="A60" s="148" t="n">
        <v>2024</v>
      </c>
      <c r="B60" s="148" t="inlineStr">
        <is>
          <t>城市污泥无害化处置率</t>
        </is>
      </c>
      <c r="C60" s="148" t="inlineStr">
        <is>
          <t>达到</t>
        </is>
      </c>
      <c r="D60" s="148" t="inlineStr">
        <is>
          <t>超过90%</t>
        </is>
      </c>
      <c r="E60" s="148" t="n"/>
      <c r="F60" s="148" t="inlineStr">
        <is>
          <t>2025</t>
        </is>
      </c>
      <c r="G60" s="148" t="inlineStr">
        <is>
          <t>重申目标</t>
        </is>
      </c>
      <c r="H60" s="147" t="inlineStr">
        <is>
          <t>污染控制</t>
        </is>
      </c>
      <c r="I60" s="148" t="inlineStr">
        <is>
          <t>城市</t>
        </is>
      </c>
      <c r="J60" s="148" t="inlineStr">
        <is>
          <t>到2025年，城市污泥无害化处置率达到90%以上。</t>
        </is>
      </c>
      <c r="K60" s="150" t="inlineStr">
        <is>
          <t>HL2401.pdf</t>
        </is>
      </c>
      <c r="L60" s="147" t="inlineStr">
        <is>
          <t>循环经济</t>
        </is>
      </c>
    </row>
    <row r="61" ht="18" customHeight="1" s="235">
      <c r="A61" s="147" t="n">
        <v>2013</v>
      </c>
      <c r="B61" s="147" t="inlineStr">
        <is>
          <t>城镇生活垃圾无害化处理能力</t>
        </is>
      </c>
      <c r="C61" s="147" t="inlineStr">
        <is>
          <t>达到</t>
        </is>
      </c>
      <c r="D61" s="147" t="inlineStr">
        <is>
          <t>每日超过87万吨</t>
        </is>
      </c>
      <c r="E61" s="147" t="n"/>
      <c r="F61" s="147" t="inlineStr">
        <is>
          <t>2015</t>
        </is>
      </c>
      <c r="G61" s="147" t="inlineStr">
        <is>
          <t>新目标</t>
        </is>
      </c>
      <c r="H61" s="147" t="inlineStr">
        <is>
          <t>污染控制</t>
        </is>
      </c>
      <c r="I61" s="147" t="inlineStr">
        <is>
          <t>城市</t>
        </is>
      </c>
      <c r="J61" s="147" t="inlineStr">
        <is>
          <t>到2015年，城镇生活垃圾无害化处理能力达到87万吨/日以上。</t>
        </is>
      </c>
      <c r="K61" s="149" t="inlineStr">
        <is>
          <t>O1302.htm</t>
        </is>
      </c>
      <c r="L61" s="147" t="inlineStr">
        <is>
          <t>循环经济</t>
        </is>
      </c>
    </row>
    <row r="62" ht="18" customHeight="1" s="235">
      <c r="A62" s="147" t="n">
        <v>2021</v>
      </c>
      <c r="B62" s="148" t="inlineStr">
        <is>
          <t>城市生活垃圾焚烧处理能力</t>
        </is>
      </c>
      <c r="C62" s="147" t="inlineStr">
        <is>
          <t>达到</t>
        </is>
      </c>
      <c r="D62" s="147" t="inlineStr">
        <is>
          <t>80万吨/日</t>
        </is>
      </c>
      <c r="E62" s="147" t="n"/>
      <c r="F62" s="147" t="inlineStr">
        <is>
          <t>2025</t>
        </is>
      </c>
      <c r="G62" s="147" t="inlineStr">
        <is>
          <t>新目标</t>
        </is>
      </c>
      <c r="H62" s="147" t="inlineStr">
        <is>
          <t>污染控制</t>
        </is>
      </c>
      <c r="I62" s="147" t="inlineStr">
        <is>
          <t>城市</t>
        </is>
      </c>
      <c r="J62" s="147" t="inlineStr">
        <is>
          <t>到2025年，城镇生活垃圾焚烧处理能力达到80万吨/日左右。</t>
        </is>
      </c>
      <c r="K62" s="149" t="inlineStr">
        <is>
          <t>FYP2107.htm</t>
        </is>
      </c>
      <c r="L62" s="147" t="inlineStr">
        <is>
          <t>循环经济</t>
        </is>
      </c>
    </row>
    <row r="63" ht="18" customHeight="1" s="235">
      <c r="A63" s="147" t="n">
        <v>2021</v>
      </c>
      <c r="B63" s="147" t="inlineStr">
        <is>
          <t>城市生活垃圾焚烧处理能力占比</t>
        </is>
      </c>
      <c r="C63" s="147" t="inlineStr">
        <is>
          <t>占比达到</t>
        </is>
      </c>
      <c r="D63" s="147" t="inlineStr">
        <is>
          <t>65%</t>
        </is>
      </c>
      <c r="E63" s="147" t="n"/>
      <c r="F63" s="147" t="inlineStr">
        <is>
          <t>2025</t>
        </is>
      </c>
      <c r="G63" s="147" t="inlineStr">
        <is>
          <t>新目标</t>
        </is>
      </c>
      <c r="H63" s="147" t="inlineStr">
        <is>
          <t>污染控制</t>
        </is>
      </c>
      <c r="I63" s="147" t="inlineStr">
        <is>
          <t>城市</t>
        </is>
      </c>
      <c r="J63" s="147" t="inlineStr">
        <is>
          <t>到2025年，城市生活垃圾焚烧处理能力占比达到65%左右。</t>
        </is>
      </c>
      <c r="K63" s="149" t="inlineStr">
        <is>
          <t>FYP2107.htm</t>
        </is>
      </c>
      <c r="L63" s="147" t="inlineStr">
        <is>
          <t>循环经济</t>
        </is>
      </c>
    </row>
    <row r="64" ht="18" customHeight="1" s="235">
      <c r="A64" s="147" t="n">
        <v>2007</v>
      </c>
      <c r="B64" s="147" t="inlineStr">
        <is>
          <t>工业节水</t>
        </is>
      </c>
      <c r="C64" s="147" t="inlineStr">
        <is>
          <t>节约</t>
        </is>
      </c>
      <c r="D64" s="147" t="inlineStr">
        <is>
          <t>31亿立方米</t>
        </is>
      </c>
      <c r="E64" s="147" t="n"/>
      <c r="F64" s="147" t="inlineStr">
        <is>
          <t>十一五</t>
        </is>
      </c>
      <c r="G64" s="147" t="inlineStr">
        <is>
          <t>新目标</t>
        </is>
      </c>
      <c r="H64" s="147" t="inlineStr">
        <is>
          <t>资源效率</t>
        </is>
      </c>
      <c r="I64" s="147" t="inlineStr">
        <is>
          <t>行业</t>
        </is>
      </c>
      <c r="J64" s="147" t="inlineStr">
        <is>
          <t>到2010年，“十一五”期间重点行业实现节水31亿立方米。</t>
        </is>
      </c>
      <c r="K64" s="149" t="inlineStr">
        <is>
          <t>WOP0701.htm</t>
        </is>
      </c>
      <c r="L64" s="147" t="inlineStr">
        <is>
          <t>循环经济</t>
        </is>
      </c>
    </row>
    <row r="65" ht="18" customHeight="1" s="235">
      <c r="A65" s="147" t="n">
        <v>2018</v>
      </c>
      <c r="B65" s="147" t="inlineStr">
        <is>
          <t>规模养殖场粪污处理设施装备配套率</t>
        </is>
      </c>
      <c r="C65" s="147" t="inlineStr">
        <is>
          <t>达到</t>
        </is>
      </c>
      <c r="D65" s="147" t="inlineStr">
        <is>
          <t>95%以上</t>
        </is>
      </c>
      <c r="E65" s="147" t="n"/>
      <c r="F65" s="147" t="inlineStr">
        <is>
          <t>2020</t>
        </is>
      </c>
      <c r="G65" s="147" t="inlineStr">
        <is>
          <t>新目标</t>
        </is>
      </c>
      <c r="H65" s="147" t="inlineStr">
        <is>
          <t>污染控制</t>
        </is>
      </c>
      <c r="I65" s="147" t="inlineStr">
        <is>
          <t>企业</t>
        </is>
      </c>
      <c r="J65" s="147" t="inlineStr">
        <is>
          <t>到2020年，全国畜禽粪污综合利用率达到75%以上，规模养殖场粪污处理设施装备配套率达到95%以上。</t>
        </is>
      </c>
      <c r="K65" s="149" t="inlineStr">
        <is>
          <t>O1802.htm</t>
        </is>
      </c>
      <c r="L65" s="147" t="inlineStr">
        <is>
          <t>循环经济</t>
        </is>
      </c>
    </row>
    <row r="66" ht="18" customHeight="1" s="235">
      <c r="A66" s="147" t="n">
        <v>2024</v>
      </c>
      <c r="B66" s="147" t="inlineStr">
        <is>
          <t>全国城市生活垃圾资源化利用率</t>
        </is>
      </c>
      <c r="C66" s="147" t="inlineStr">
        <is>
          <t>达到</t>
        </is>
      </c>
      <c r="D66" s="147" t="inlineStr">
        <is>
          <t>约60%</t>
        </is>
      </c>
      <c r="E66" s="147" t="n"/>
      <c r="F66" s="147" t="inlineStr">
        <is>
          <t>2025</t>
        </is>
      </c>
      <c r="G66" s="147" t="inlineStr">
        <is>
          <t>新目标</t>
        </is>
      </c>
      <c r="H66" s="147" t="inlineStr">
        <is>
          <t>循环利用</t>
        </is>
      </c>
      <c r="I66" s="147" t="inlineStr">
        <is>
          <t>城市</t>
        </is>
      </c>
      <c r="J66" s="147" t="inlineStr">
        <is>
          <t>到2025年，全国城市生活垃圾资源化利用率将达到约60%。</t>
        </is>
      </c>
      <c r="K66" s="149" t="inlineStr">
        <is>
          <t>HL2401.pdf</t>
        </is>
      </c>
      <c r="L66" s="147" t="inlineStr">
        <is>
          <t>循环经济</t>
        </is>
      </c>
    </row>
    <row r="67" ht="18" customHeight="1" s="235">
      <c r="A67" s="147" t="n">
        <v>2021</v>
      </c>
      <c r="B67" s="147" t="inlineStr">
        <is>
          <t>新增和改造污水收集管网</t>
        </is>
      </c>
      <c r="C67" s="147" t="inlineStr">
        <is>
          <t>新增</t>
        </is>
      </c>
      <c r="D67" s="147" t="inlineStr">
        <is>
          <t>8万公里</t>
        </is>
      </c>
      <c r="E67" s="147" t="n"/>
      <c r="F67" s="147" t="inlineStr">
        <is>
          <t>十四五</t>
        </is>
      </c>
      <c r="G67" s="147" t="inlineStr">
        <is>
          <t>新目标</t>
        </is>
      </c>
      <c r="H67" s="147" t="inlineStr">
        <is>
          <t>污染控制</t>
        </is>
      </c>
      <c r="I67" s="147" t="inlineStr">
        <is>
          <t>不明确</t>
        </is>
      </c>
      <c r="J67" s="147" t="inlineStr">
        <is>
          <t>到2025年，新增和改造污水收集管网8万公里。</t>
        </is>
      </c>
      <c r="K67" s="149" t="inlineStr">
        <is>
          <t>FYP2107.htm</t>
        </is>
      </c>
      <c r="L67" s="147" t="inlineStr">
        <is>
          <t>循环经济</t>
        </is>
      </c>
    </row>
    <row r="68" ht="18" customHeight="1" s="235">
      <c r="A68" s="147" t="n">
        <v>2016</v>
      </c>
      <c r="B68" s="148" t="inlineStr">
        <is>
          <t>新增污水管网</t>
        </is>
      </c>
      <c r="C68" s="147" t="inlineStr">
        <is>
          <t>新增</t>
        </is>
      </c>
      <c r="D68" s="147" t="inlineStr">
        <is>
          <t>12.59万公里</t>
        </is>
      </c>
      <c r="E68" s="147" t="n"/>
      <c r="F68" s="147" t="inlineStr">
        <is>
          <t>十三五</t>
        </is>
      </c>
      <c r="G68" s="148" t="inlineStr">
        <is>
          <t>新目标</t>
        </is>
      </c>
      <c r="H68" s="147" t="inlineStr">
        <is>
          <t>污染控制</t>
        </is>
      </c>
      <c r="I68" s="147" t="inlineStr">
        <is>
          <t>不明确</t>
        </is>
      </c>
      <c r="J68" s="147" t="inlineStr">
        <is>
          <t>“十三五”期间规划新增污水管网12.59万公里，老旧污水管网改造2.77万公里，合流制管网改造2.88万公里，新增污水处理设施规模5022万立方米/日，提标改造污水处理设施规模4220万立方米/日，新增污泥（以含水80%湿污泥计）无害化处置规模6.01万吨/日，新增再生水利用设施规模1505万立方米/日，新增初期雨水治理设施规模831万立方米/日。</t>
        </is>
      </c>
      <c r="K68" s="150" t="inlineStr">
        <is>
          <t>FYP1612.pdf</t>
        </is>
      </c>
      <c r="L68" s="147" t="inlineStr">
        <is>
          <t>循环经济</t>
        </is>
      </c>
    </row>
    <row r="69" ht="18" customHeight="1" s="235">
      <c r="A69" s="147" t="n">
        <v>2016</v>
      </c>
      <c r="B69" s="147" t="inlineStr">
        <is>
          <t>新增污水管网</t>
        </is>
      </c>
      <c r="C69" s="147" t="inlineStr">
        <is>
          <t>新增</t>
        </is>
      </c>
      <c r="D69" s="147" t="inlineStr">
        <is>
          <t>12.59万公里</t>
        </is>
      </c>
      <c r="E69" s="147" t="n"/>
      <c r="F69" s="147" t="inlineStr">
        <is>
          <t>十三五</t>
        </is>
      </c>
      <c r="G69" s="147" t="inlineStr">
        <is>
          <t>重申目标</t>
        </is>
      </c>
      <c r="H69" s="147" t="inlineStr">
        <is>
          <t>污染控制</t>
        </is>
      </c>
      <c r="I69" s="147" t="inlineStr">
        <is>
          <t>不明确</t>
        </is>
      </c>
      <c r="J69" s="147" t="inlineStr">
        <is>
          <t>“十三五”期间规划新增污水管网12.59万公里。</t>
        </is>
      </c>
      <c r="K69" s="149" t="inlineStr">
        <is>
          <t>FYP1612.pdf</t>
        </is>
      </c>
      <c r="L69" s="147" t="inlineStr">
        <is>
          <t>循环经济</t>
        </is>
      </c>
    </row>
    <row r="70" ht="18" customHeight="1" s="235">
      <c r="A70" s="147" t="n">
        <v>2016</v>
      </c>
      <c r="B70" s="147" t="inlineStr">
        <is>
          <t>吨钢耗新水量</t>
        </is>
      </c>
      <c r="C70" s="147" t="inlineStr">
        <is>
          <t>降低至</t>
        </is>
      </c>
      <c r="D70" s="147" t="inlineStr">
        <is>
          <t>≤3.2立方米/吨</t>
        </is>
      </c>
      <c r="E70" s="147" t="n"/>
      <c r="F70" s="151" t="n">
        <v>2020</v>
      </c>
      <c r="G70" s="147" t="inlineStr">
        <is>
          <t>新目标</t>
        </is>
      </c>
      <c r="H70" s="147" t="inlineStr">
        <is>
          <t>资源效率</t>
        </is>
      </c>
      <c r="I70" s="147" t="inlineStr">
        <is>
          <t>行业</t>
        </is>
      </c>
      <c r="J70" s="147" t="inlineStr">
        <is>
          <t>到2020年，吨钢耗新水量由2015年的3.25立方米/吨降至3.2立方米/吨及以下。</t>
        </is>
      </c>
      <c r="K70" s="149" t="inlineStr">
        <is>
          <t>FYP1626.pdf</t>
        </is>
      </c>
      <c r="L70" s="147" t="inlineStr">
        <is>
          <t>循环经济</t>
        </is>
      </c>
    </row>
    <row r="71" ht="18" customHeight="1" s="235">
      <c r="A71" s="148" t="n">
        <v>2013</v>
      </c>
      <c r="B71" s="148" t="inlineStr">
        <is>
          <t>主要再生有色金属年产量</t>
        </is>
      </c>
      <c r="C71" s="148" t="inlineStr">
        <is>
          <t>达到</t>
        </is>
      </c>
      <c r="D71" s="148" t="inlineStr">
        <is>
          <t>1200万吨</t>
        </is>
      </c>
      <c r="E71" s="148" t="n"/>
      <c r="F71" s="148" t="inlineStr">
        <is>
          <t>2015</t>
        </is>
      </c>
      <c r="G71" s="148" t="inlineStr">
        <is>
          <t>新目标</t>
        </is>
      </c>
      <c r="H71" s="147" t="inlineStr">
        <is>
          <t>循环利用</t>
        </is>
      </c>
      <c r="I71" s="148" t="inlineStr">
        <is>
          <t>全社会经济</t>
        </is>
      </c>
      <c r="J71" s="148" t="inlineStr">
        <is>
          <t>到2015年，主要再生有色金属产量达到1200万吨。</t>
        </is>
      </c>
      <c r="K71" s="150" t="inlineStr">
        <is>
          <t>DP1301.htm</t>
        </is>
      </c>
      <c r="L71" s="147" t="inlineStr">
        <is>
          <t>循环经济</t>
        </is>
      </c>
    </row>
    <row r="72" ht="18" customHeight="1" s="235">
      <c r="A72" s="152" t="n">
        <v>2021</v>
      </c>
      <c r="B72" s="147" t="inlineStr">
        <is>
          <t>再生有色金属年产规模</t>
        </is>
      </c>
      <c r="C72" s="147" t="inlineStr">
        <is>
          <t>达到</t>
        </is>
      </c>
      <c r="D72" s="152" t="inlineStr">
        <is>
          <t>2000万吨</t>
        </is>
      </c>
      <c r="E72" s="152" t="n"/>
      <c r="F72" s="151" t="inlineStr">
        <is>
          <t>2025</t>
        </is>
      </c>
      <c r="G72" s="152" t="inlineStr">
        <is>
          <t>新目标</t>
        </is>
      </c>
      <c r="H72" s="147" t="inlineStr">
        <is>
          <t>循环利用</t>
        </is>
      </c>
      <c r="I72" s="147" t="inlineStr">
        <is>
          <t>全社会经济</t>
        </is>
      </c>
      <c r="J72" s="152" t="inlineStr">
        <is>
          <t>到2025年，再生有色金属产量达到2000万吨。</t>
        </is>
      </c>
      <c r="K72" s="153" t="inlineStr">
        <is>
          <t>FYP2115.pdf</t>
        </is>
      </c>
      <c r="L72" s="147" t="inlineStr">
        <is>
          <t>循环经济</t>
        </is>
      </c>
    </row>
    <row r="73" ht="18" customHeight="1" s="235">
      <c r="A73" s="147" t="n">
        <v>2021</v>
      </c>
      <c r="B73" s="147" t="inlineStr">
        <is>
          <t>有色金属再生利用年产量</t>
        </is>
      </c>
      <c r="C73" s="147" t="inlineStr">
        <is>
          <t>力争达到</t>
        </is>
      </c>
      <c r="D73" s="147" t="inlineStr">
        <is>
          <t>2000万吨</t>
        </is>
      </c>
      <c r="E73" s="147" t="n"/>
      <c r="F73" s="147" t="inlineStr">
        <is>
          <t>2025</t>
        </is>
      </c>
      <c r="G73" s="147" t="inlineStr">
        <is>
          <t>重申目标</t>
        </is>
      </c>
      <c r="H73" s="147" t="inlineStr">
        <is>
          <t>循环利用</t>
        </is>
      </c>
      <c r="I73" s="147" t="inlineStr">
        <is>
          <t>全社会经济</t>
        </is>
      </c>
      <c r="J73" s="147" t="inlineStr">
        <is>
          <t>到2025年，力争废有色金属回收利用量达到2000万吨。</t>
        </is>
      </c>
      <c r="K73" s="149" t="inlineStr">
        <is>
          <t>FYP2101.pdf</t>
        </is>
      </c>
      <c r="L73" s="147" t="inlineStr">
        <is>
          <t>循环经济</t>
        </is>
      </c>
    </row>
    <row r="74" ht="18" customHeight="1" s="235">
      <c r="A74" s="147" t="n">
        <v>2026</v>
      </c>
      <c r="B74" s="147" t="inlineStr">
        <is>
          <t>再生有色金属年产量</t>
        </is>
      </c>
      <c r="C74" s="147" t="inlineStr">
        <is>
          <t>超过</t>
        </is>
      </c>
      <c r="D74" s="147" t="inlineStr">
        <is>
          <t>2500万吨</t>
        </is>
      </c>
      <c r="E74" s="147" t="n"/>
      <c r="F74" s="151" t="n">
        <v>2030</v>
      </c>
      <c r="G74" s="147" t="inlineStr">
        <is>
          <t>新目标</t>
        </is>
      </c>
      <c r="H74" s="147" t="inlineStr">
        <is>
          <t>循环利用</t>
        </is>
      </c>
      <c r="I74" s="147" t="inlineStr">
        <is>
          <t>行业</t>
        </is>
      </c>
      <c r="J74" s="147" t="inlineStr">
        <is>
          <t>到2030年，再生有色金属年产量超过2500万吨。</t>
        </is>
      </c>
      <c r="K74" s="149" t="inlineStr">
        <is>
          <t>AP2601.htm</t>
        </is>
      </c>
      <c r="L74" s="147" t="inlineStr">
        <is>
          <t>循环经济</t>
        </is>
      </c>
    </row>
    <row r="75" ht="18" customHeight="1" s="235">
      <c r="A75" s="147" t="n">
        <v>2005</v>
      </c>
      <c r="B75" s="147" t="inlineStr">
        <is>
          <t>主要资源产出率</t>
        </is>
      </c>
      <c r="C75" s="147" t="inlineStr">
        <is>
          <t>提高</t>
        </is>
      </c>
      <c r="D75" s="147" t="inlineStr">
        <is>
          <t>约25%</t>
        </is>
      </c>
      <c r="E75" s="147" t="n">
        <v>2003</v>
      </c>
      <c r="F75" s="147" t="inlineStr">
        <is>
          <t>2010</t>
        </is>
      </c>
      <c r="G75" s="147" t="inlineStr">
        <is>
          <t>新目标</t>
        </is>
      </c>
      <c r="H75" s="147" t="inlineStr">
        <is>
          <t>资源效率</t>
        </is>
      </c>
      <c r="I75" s="147" t="inlineStr">
        <is>
          <t>全社会经济</t>
        </is>
      </c>
      <c r="J75" s="147" t="inlineStr">
        <is>
          <t>到2010年，我国消耗每吨能源、铁矿石、有色金属、非金属矿等十五种重要资源产出的GDP比2003年提高25%左右。</t>
        </is>
      </c>
      <c r="K75" s="149" t="inlineStr">
        <is>
          <t>O0501.htm</t>
        </is>
      </c>
      <c r="L75" s="147" t="inlineStr">
        <is>
          <t>循环经济</t>
        </is>
      </c>
    </row>
    <row r="76" ht="18" customHeight="1" s="235">
      <c r="A76" s="147" t="n">
        <v>2024</v>
      </c>
      <c r="B76" s="147" t="inlineStr">
        <is>
          <t>主要资源产出率</t>
        </is>
      </c>
      <c r="C76" s="147" t="inlineStr">
        <is>
          <t>提高</t>
        </is>
      </c>
      <c r="D76" s="147" t="inlineStr">
        <is>
          <t>45%</t>
        </is>
      </c>
      <c r="E76" s="147" t="n">
        <v>2020</v>
      </c>
      <c r="F76" s="147" t="inlineStr">
        <is>
          <t>2030</t>
        </is>
      </c>
      <c r="G76" s="147" t="inlineStr">
        <is>
          <t>新目标</t>
        </is>
      </c>
      <c r="H76" s="147" t="inlineStr">
        <is>
          <t>资源效率</t>
        </is>
      </c>
      <c r="I76" s="147" t="inlineStr">
        <is>
          <t>全社会经济</t>
        </is>
      </c>
      <c r="J76" s="147" t="inlineStr">
        <is>
          <t>到2030年，主要资源产出率比2020年提高45%左右。</t>
        </is>
      </c>
      <c r="K76" s="149" t="inlineStr">
        <is>
          <t>O2407.htm</t>
        </is>
      </c>
      <c r="L76" s="147" t="inlineStr">
        <is>
          <t>循环经济</t>
        </is>
      </c>
    </row>
    <row r="77" ht="18" customHeight="1" s="235">
      <c r="A77" s="152" t="n">
        <v>2021</v>
      </c>
      <c r="B77" s="147" t="inlineStr">
        <is>
          <t>主要资源产出率</t>
        </is>
      </c>
      <c r="C77" s="147" t="inlineStr">
        <is>
          <t>提高</t>
        </is>
      </c>
      <c r="D77" s="152" t="inlineStr">
        <is>
          <t>20%</t>
        </is>
      </c>
      <c r="E77" s="152" t="n">
        <v>2020</v>
      </c>
      <c r="F77" s="151" t="inlineStr">
        <is>
          <t>2025</t>
        </is>
      </c>
      <c r="G77" s="152" t="inlineStr">
        <is>
          <t>新目标</t>
        </is>
      </c>
      <c r="H77" s="147" t="inlineStr">
        <is>
          <t>资源效率</t>
        </is>
      </c>
      <c r="I77" s="147" t="inlineStr">
        <is>
          <t>全社会经济</t>
        </is>
      </c>
      <c r="J77" s="152" t="inlineStr">
        <is>
          <t>到2025年，主要资源产出率比2020年提高约20%。</t>
        </is>
      </c>
      <c r="K77" s="153" t="inlineStr">
        <is>
          <t>FYP2115.pdf</t>
        </is>
      </c>
      <c r="L77" s="147" t="inlineStr">
        <is>
          <t>循环经济</t>
        </is>
      </c>
    </row>
    <row r="78" ht="18" customHeight="1" s="235">
      <c r="A78" s="147" t="n">
        <v>2024</v>
      </c>
      <c r="B78" s="147" t="inlineStr">
        <is>
          <t>主要资源产出率</t>
        </is>
      </c>
      <c r="C78" s="147" t="inlineStr">
        <is>
          <t>提高</t>
        </is>
      </c>
      <c r="D78" s="147" t="inlineStr">
        <is>
          <t>45%</t>
        </is>
      </c>
      <c r="E78" s="147" t="n">
        <v>2020</v>
      </c>
      <c r="F78" s="151" t="n">
        <v>2030</v>
      </c>
      <c r="G78" s="147" t="inlineStr">
        <is>
          <t>重申目标</t>
        </is>
      </c>
      <c r="H78" s="147" t="inlineStr">
        <is>
          <t>资源效率</t>
        </is>
      </c>
      <c r="I78" s="147" t="inlineStr">
        <is>
          <t>全社会经济</t>
        </is>
      </c>
      <c r="J78" s="147" t="inlineStr">
        <is>
          <t>同时，还设定了到2030年，主要资源产出率较2020年提高约45%的目标。</t>
        </is>
      </c>
      <c r="K78" s="149" t="inlineStr">
        <is>
          <t>HL2404.pdf</t>
        </is>
      </c>
      <c r="L78" s="147" t="inlineStr">
        <is>
          <t>循环经济</t>
        </is>
      </c>
    </row>
    <row r="79" ht="18" customHeight="1" s="235">
      <c r="A79" s="147" t="n">
        <v>2026</v>
      </c>
      <c r="B79" s="147" t="inlineStr">
        <is>
          <t>主要资源产出率</t>
        </is>
      </c>
      <c r="C79" s="147" t="inlineStr">
        <is>
          <t>提高</t>
        </is>
      </c>
      <c r="D79" s="147" t="inlineStr">
        <is>
          <t>16%左右</t>
        </is>
      </c>
      <c r="E79" s="147" t="n"/>
      <c r="F79" s="151" t="inlineStr">
        <is>
          <t>十五五</t>
        </is>
      </c>
      <c r="G79" s="147" t="inlineStr">
        <is>
          <t>新目标</t>
        </is>
      </c>
      <c r="H79" s="147" t="inlineStr">
        <is>
          <t>资源效率</t>
        </is>
      </c>
      <c r="I79" s="147" t="inlineStr">
        <is>
          <t>全社会经济</t>
        </is>
      </c>
      <c r="J79" s="147" t="inlineStr">
        <is>
          <t>完善废弃物精细回收循环、再生资源加工利用、高品质再生材料推广应用体系，主要资源产出率提高16%左右。</t>
        </is>
      </c>
      <c r="K79" s="149" t="inlineStr">
        <is>
          <t>HL2601.pdf</t>
        </is>
      </c>
      <c r="L79" s="147" t="inlineStr">
        <is>
          <t>循环经济</t>
        </is>
      </c>
    </row>
    <row r="80" ht="18" customHeight="1" s="235">
      <c r="A80" s="147" t="n">
        <v>2013</v>
      </c>
      <c r="B80" s="147" t="inlineStr">
        <is>
          <t>再生资源利用产值</t>
        </is>
      </c>
      <c r="C80" s="147" t="inlineStr">
        <is>
          <t>达到</t>
        </is>
      </c>
      <c r="D80" s="147" t="inlineStr">
        <is>
          <t>1.2万亿元</t>
        </is>
      </c>
      <c r="E80" s="147" t="n"/>
      <c r="F80" s="147" t="inlineStr">
        <is>
          <t>2015</t>
        </is>
      </c>
      <c r="G80" s="147" t="inlineStr">
        <is>
          <t>新目标</t>
        </is>
      </c>
      <c r="H80" s="147" t="inlineStr">
        <is>
          <t>循环利用</t>
        </is>
      </c>
      <c r="I80" s="147" t="inlineStr">
        <is>
          <t>全社会经济</t>
        </is>
      </c>
      <c r="J80" s="147" t="inlineStr">
        <is>
          <t>到2015年，再生资源利用产值达到1.2万亿元。</t>
        </is>
      </c>
      <c r="K80" s="149" t="inlineStr">
        <is>
          <t>DP1301.htm</t>
        </is>
      </c>
      <c r="L80" s="147" t="inlineStr">
        <is>
          <t>循环经济</t>
        </is>
      </c>
    </row>
    <row r="81" ht="18" customHeight="1" s="235">
      <c r="A81" s="147" t="n">
        <v>2016</v>
      </c>
      <c r="B81" s="147" t="inlineStr">
        <is>
          <t>再制造产业产值</t>
        </is>
      </c>
      <c r="C81" s="147" t="inlineStr">
        <is>
          <t>超过</t>
        </is>
      </c>
      <c r="D81" s="147" t="inlineStr">
        <is>
          <t>1000亿元</t>
        </is>
      </c>
      <c r="E81" s="147" t="n"/>
      <c r="F81" s="147" t="inlineStr">
        <is>
          <t>2020</t>
        </is>
      </c>
      <c r="G81" s="147" t="inlineStr">
        <is>
          <t>新目标</t>
        </is>
      </c>
      <c r="H81" s="147" t="inlineStr">
        <is>
          <t>生产导向</t>
        </is>
      </c>
      <c r="I81" s="147" t="inlineStr">
        <is>
          <t>行业</t>
        </is>
      </c>
      <c r="J81" s="147" t="inlineStr">
        <is>
          <t>到2020年，再制造产业产值超过1000亿元。</t>
        </is>
      </c>
      <c r="K81" s="149" t="inlineStr">
        <is>
          <t>FYP1601.htm</t>
        </is>
      </c>
      <c r="L81" s="147" t="inlineStr">
        <is>
          <t>循环经济</t>
        </is>
      </c>
    </row>
    <row r="82" ht="18" customHeight="1" s="235">
      <c r="A82" s="147" t="n">
        <v>2016</v>
      </c>
      <c r="B82" s="147" t="inlineStr">
        <is>
          <t>资源循环利用产业产值规模</t>
        </is>
      </c>
      <c r="C82" s="147" t="inlineStr">
        <is>
          <t>达到</t>
        </is>
      </c>
      <c r="D82" s="147" t="inlineStr">
        <is>
          <t>3万亿元</t>
        </is>
      </c>
      <c r="E82" s="147" t="n"/>
      <c r="F82" s="147" t="inlineStr">
        <is>
          <t>2020</t>
        </is>
      </c>
      <c r="G82" s="147" t="inlineStr">
        <is>
          <t>重申目标</t>
        </is>
      </c>
      <c r="H82" s="147" t="inlineStr">
        <is>
          <t>循环利用</t>
        </is>
      </c>
      <c r="I82" s="147" t="inlineStr">
        <is>
          <t>行业</t>
        </is>
      </c>
      <c r="J82" s="147" t="inlineStr">
        <is>
          <t>到2020年，力争资源循环利用产业产值规模达到3万亿元。</t>
        </is>
      </c>
      <c r="K82" s="149" t="inlineStr">
        <is>
          <t>FYP1613.htm</t>
        </is>
      </c>
      <c r="L82" s="147" t="inlineStr">
        <is>
          <t>循环经济</t>
        </is>
      </c>
    </row>
    <row r="83" ht="18" customHeight="1" s="235">
      <c r="A83" s="147" t="n">
        <v>2016</v>
      </c>
      <c r="B83" s="147" t="inlineStr">
        <is>
          <t>资源循环利用产业产值</t>
        </is>
      </c>
      <c r="C83" s="147" t="inlineStr">
        <is>
          <t>达到</t>
        </is>
      </c>
      <c r="D83" s="147" t="inlineStr">
        <is>
          <t>3万亿元</t>
        </is>
      </c>
      <c r="E83" s="147" t="n"/>
      <c r="F83" s="147" t="inlineStr">
        <is>
          <t>2020</t>
        </is>
      </c>
      <c r="G83" s="147" t="inlineStr">
        <is>
          <t>新目标</t>
        </is>
      </c>
      <c r="H83" s="147" t="inlineStr">
        <is>
          <t>循环利用</t>
        </is>
      </c>
      <c r="I83" s="147" t="inlineStr">
        <is>
          <t>行业</t>
        </is>
      </c>
      <c r="J83" s="147" t="inlineStr">
        <is>
          <t>到2020年，资源循环利用产业产值达到3万亿元。</t>
        </is>
      </c>
      <c r="K83" s="149" t="inlineStr">
        <is>
          <t>FYP1601.htm</t>
        </is>
      </c>
      <c r="L83" s="147" t="inlineStr">
        <is>
          <t>循环经济</t>
        </is>
      </c>
    </row>
    <row r="84" ht="18" customHeight="1" s="235">
      <c r="A84" s="152" t="n">
        <v>2021</v>
      </c>
      <c r="B84" s="147" t="inlineStr">
        <is>
          <t>资源循环利用产业产值</t>
        </is>
      </c>
      <c r="C84" s="147" t="inlineStr">
        <is>
          <t>达到</t>
        </is>
      </c>
      <c r="D84" s="147" t="inlineStr">
        <is>
          <t>5万亿元</t>
        </is>
      </c>
      <c r="E84" s="152" t="n"/>
      <c r="F84" s="151" t="inlineStr">
        <is>
          <t>2025</t>
        </is>
      </c>
      <c r="G84" s="152" t="inlineStr">
        <is>
          <t>新目标</t>
        </is>
      </c>
      <c r="H84" s="147" t="inlineStr">
        <is>
          <t>循环利用</t>
        </is>
      </c>
      <c r="I84" s="147" t="inlineStr">
        <is>
          <t>行业</t>
        </is>
      </c>
      <c r="J84" s="152" t="inlineStr">
        <is>
          <t>到2025年，资源循环利用产业产值达到5万亿元。</t>
        </is>
      </c>
      <c r="K84" s="153" t="inlineStr">
        <is>
          <t>FYP2115.pdf</t>
        </is>
      </c>
      <c r="L84" s="147" t="inlineStr">
        <is>
          <t>循环经济</t>
        </is>
      </c>
    </row>
    <row r="85" ht="18" customHeight="1" s="235">
      <c r="A85" s="147" t="n">
        <v>2016</v>
      </c>
      <c r="B85" s="147" t="inlineStr">
        <is>
          <t>再生资源回收利用产业产值</t>
        </is>
      </c>
      <c r="C85" s="147" t="inlineStr">
        <is>
          <t>达到</t>
        </is>
      </c>
      <c r="D85" s="147" t="inlineStr">
        <is>
          <t>1.5万亿元</t>
        </is>
      </c>
      <c r="E85" s="147" t="n"/>
      <c r="F85" s="147" t="inlineStr">
        <is>
          <t>2020</t>
        </is>
      </c>
      <c r="G85" s="147" t="inlineStr">
        <is>
          <t>新目标</t>
        </is>
      </c>
      <c r="H85" s="147" t="inlineStr">
        <is>
          <t>循环利用</t>
        </is>
      </c>
      <c r="I85" s="147" t="inlineStr">
        <is>
          <t>行业</t>
        </is>
      </c>
      <c r="J85" s="147" t="inlineStr">
        <is>
          <t>到2020年，再生资源回收利用产业产值达到1.5万亿元。</t>
        </is>
      </c>
      <c r="K85" s="149" t="inlineStr">
        <is>
          <t>FYP1601.htm</t>
        </is>
      </c>
      <c r="L85" s="147" t="inlineStr">
        <is>
          <t>循环经济</t>
        </is>
      </c>
    </row>
    <row r="86" ht="18" customHeight="1" s="235">
      <c r="A86" s="147" t="n">
        <v>2016</v>
      </c>
      <c r="B86" s="147" t="inlineStr">
        <is>
          <t>人均用水量</t>
        </is>
      </c>
      <c r="C86" s="147" t="inlineStr">
        <is>
          <t>降低</t>
        </is>
      </c>
      <c r="D86" s="147" t="inlineStr">
        <is>
          <t>17.84%</t>
        </is>
      </c>
      <c r="E86" s="147" t="n">
        <v>2010</v>
      </c>
      <c r="F86" s="151" t="n">
        <v>2015</v>
      </c>
      <c r="G86" s="147" t="inlineStr">
        <is>
          <t>新目标</t>
        </is>
      </c>
      <c r="H86" s="147" t="inlineStr">
        <is>
          <t>资源效率</t>
        </is>
      </c>
      <c r="I86" s="147" t="inlineStr">
        <is>
          <t>全社会经济</t>
        </is>
      </c>
      <c r="J86" s="147" t="inlineStr">
        <is>
          <t>以2010年为基数，2015年人均用水量下降17.84%。</t>
        </is>
      </c>
      <c r="K86" s="149" t="inlineStr">
        <is>
          <t>FYP1618.htm</t>
        </is>
      </c>
      <c r="L86" s="147" t="inlineStr">
        <is>
          <t>循环经济</t>
        </is>
      </c>
    </row>
    <row r="87" ht="18" customHeight="1" s="235">
      <c r="A87" s="148" t="n">
        <v>2012</v>
      </c>
      <c r="B87" s="148" t="inlineStr">
        <is>
          <t>规模化养殖场和养殖小区配套建设废弃物处理设施比例</t>
        </is>
      </c>
      <c r="C87" s="148" t="inlineStr">
        <is>
          <t>达到</t>
        </is>
      </c>
      <c r="D87" s="148" t="inlineStr">
        <is>
          <t>50%</t>
        </is>
      </c>
      <c r="E87" s="148" t="n"/>
      <c r="F87" s="148" t="inlineStr">
        <is>
          <t>2015</t>
        </is>
      </c>
      <c r="G87" s="148" t="inlineStr">
        <is>
          <t>新目标</t>
        </is>
      </c>
      <c r="H87" s="147" t="inlineStr">
        <is>
          <t>污染控制</t>
        </is>
      </c>
      <c r="I87" s="147" t="inlineStr">
        <is>
          <t>企业</t>
        </is>
      </c>
      <c r="J87" s="148" t="inlineStr">
        <is>
          <t>到2015年，50%以上规模化养殖场和养殖小区配套建设废弃物处理设施。</t>
        </is>
      </c>
      <c r="K87" s="150" t="inlineStr">
        <is>
          <t>FYP1201.htm</t>
        </is>
      </c>
      <c r="L87" s="147" t="inlineStr">
        <is>
          <t>循环经济</t>
        </is>
      </c>
    </row>
    <row r="88" ht="18" customHeight="1" s="235">
      <c r="A88" s="147" t="n">
        <v>2023</v>
      </c>
      <c r="B88" s="147" t="inlineStr">
        <is>
          <t>畜禽粪污资源化利用率</t>
        </is>
      </c>
      <c r="C88" s="147" t="inlineStr">
        <is>
          <t>达到</t>
        </is>
      </c>
      <c r="D88" s="147" t="inlineStr">
        <is>
          <t>80%</t>
        </is>
      </c>
      <c r="E88" s="147" t="n"/>
      <c r="F88" s="147" t="inlineStr">
        <is>
          <t>2025</t>
        </is>
      </c>
      <c r="G88" s="147" t="inlineStr">
        <is>
          <t>新目标</t>
        </is>
      </c>
      <c r="H88" s="147" t="inlineStr">
        <is>
          <t>循环利用</t>
        </is>
      </c>
      <c r="I88" s="147" t="inlineStr">
        <is>
          <t>不明确</t>
        </is>
      </c>
      <c r="J88" s="147" t="inlineStr">
        <is>
          <t>到2025年，畜禽粪污综合利用率达到80%以上</t>
        </is>
      </c>
      <c r="K88" s="149" t="inlineStr">
        <is>
          <t>HL2302.pdf</t>
        </is>
      </c>
      <c r="L88" s="147" t="inlineStr">
        <is>
          <t>循环经济</t>
        </is>
      </c>
    </row>
    <row r="89" ht="18" customHeight="1" s="235">
      <c r="A89" s="147" t="n">
        <v>2026</v>
      </c>
      <c r="B89" s="147" t="inlineStr">
        <is>
          <t>再生塑料年产量</t>
        </is>
      </c>
      <c r="C89" s="147" t="inlineStr">
        <is>
          <t>超过</t>
        </is>
      </c>
      <c r="D89" s="147" t="inlineStr">
        <is>
          <t>1950万吨</t>
        </is>
      </c>
      <c r="E89" s="147" t="n"/>
      <c r="F89" s="151" t="n">
        <v>2030</v>
      </c>
      <c r="G89" s="147" t="inlineStr">
        <is>
          <t>新目标</t>
        </is>
      </c>
      <c r="H89" s="147" t="inlineStr">
        <is>
          <t>循环利用</t>
        </is>
      </c>
      <c r="I89" s="147" t="inlineStr">
        <is>
          <t>全社会经济</t>
        </is>
      </c>
      <c r="J89" s="147" t="inlineStr">
        <is>
          <t>到2030年，再生塑料年产量超过1950万吨。</t>
        </is>
      </c>
      <c r="K89" s="149" t="inlineStr">
        <is>
          <t>AP2601.htm</t>
        </is>
      </c>
      <c r="L89" s="147" t="inlineStr">
        <is>
          <t>循环经济</t>
        </is>
      </c>
    </row>
    <row r="90" ht="18" customHeight="1" s="235">
      <c r="A90" s="147" t="n">
        <v>2024</v>
      </c>
      <c r="B90" s="147" t="inlineStr">
        <is>
          <t>“无废城市”建设比例</t>
        </is>
      </c>
      <c r="C90" s="147" t="inlineStr">
        <is>
          <t>达到</t>
        </is>
      </c>
      <c r="D90" s="147" t="inlineStr">
        <is>
          <t>60%</t>
        </is>
      </c>
      <c r="E90" s="147" t="n"/>
      <c r="F90" s="147" t="inlineStr">
        <is>
          <t>2027</t>
        </is>
      </c>
      <c r="G90" s="147" t="inlineStr">
        <is>
          <t>新目标</t>
        </is>
      </c>
      <c r="H90" s="147" t="inlineStr">
        <is>
          <t>循环利用</t>
        </is>
      </c>
      <c r="I90" s="147" t="inlineStr">
        <is>
          <t>城市</t>
        </is>
      </c>
      <c r="J90" s="147" t="inlineStr">
        <is>
          <t>到2027年，“无废城市”建设比例达到60%</t>
        </is>
      </c>
      <c r="K90" s="149" t="inlineStr">
        <is>
          <t>O2405.htm</t>
        </is>
      </c>
      <c r="L90" s="147" t="inlineStr">
        <is>
          <t>循环经济</t>
        </is>
      </c>
    </row>
    <row r="91" ht="18" customHeight="1" s="235">
      <c r="A91" s="147" t="n">
        <v>2016</v>
      </c>
      <c r="B91" s="147" t="inlineStr">
        <is>
          <t>行政村生活垃圾得到处理的比例</t>
        </is>
      </c>
      <c r="C91" s="147" t="inlineStr">
        <is>
          <t>达到</t>
        </is>
      </c>
      <c r="D91" s="147" t="inlineStr">
        <is>
          <t>90%</t>
        </is>
      </c>
      <c r="E91" s="147" t="n"/>
      <c r="F91" s="147" t="inlineStr">
        <is>
          <t>2020</t>
        </is>
      </c>
      <c r="G91" s="147" t="inlineStr">
        <is>
          <t>新目标</t>
        </is>
      </c>
      <c r="H91" s="147" t="inlineStr">
        <is>
          <t>污染控制</t>
        </is>
      </c>
      <c r="I91" s="147" t="inlineStr">
        <is>
          <t>城市</t>
        </is>
      </c>
      <c r="J91" s="147" t="inlineStr">
        <is>
          <t>到2020年，90%以上行政村的生活垃圾得到处理。</t>
        </is>
      </c>
      <c r="K91" s="149" t="inlineStr">
        <is>
          <t>FYP1601.htm</t>
        </is>
      </c>
      <c r="L91" s="147" t="inlineStr">
        <is>
          <t>循环经济</t>
        </is>
      </c>
    </row>
    <row r="92" ht="18" customHeight="1" s="235">
      <c r="A92" s="147" t="n">
        <v>2024</v>
      </c>
      <c r="B92" s="147" t="inlineStr">
        <is>
          <t>再生金属供应占比</t>
        </is>
      </c>
      <c r="C92" s="147" t="inlineStr">
        <is>
          <t>达到</t>
        </is>
      </c>
      <c r="D92" s="147" t="inlineStr">
        <is>
          <t>24%以上</t>
        </is>
      </c>
      <c r="E92" s="147" t="n"/>
      <c r="F92" s="147" t="inlineStr">
        <is>
          <t>2025</t>
        </is>
      </c>
      <c r="G92" s="147" t="inlineStr">
        <is>
          <t>重申目标</t>
        </is>
      </c>
      <c r="H92" s="147" t="inlineStr">
        <is>
          <t>循环利用</t>
        </is>
      </c>
      <c r="I92" s="147" t="inlineStr">
        <is>
          <t>行业</t>
        </is>
      </c>
      <c r="J92" s="147" t="inlineStr">
        <is>
          <t>到2025年底，再生金属供应占比达到24%以上。</t>
        </is>
      </c>
      <c r="K92" s="149" t="inlineStr">
        <is>
          <t>AP2405.htm</t>
        </is>
      </c>
      <c r="L92" s="147" t="inlineStr">
        <is>
          <t>循环经济</t>
        </is>
      </c>
    </row>
    <row r="93" ht="18" customHeight="1" s="235">
      <c r="A93" s="147" t="n">
        <v>2022</v>
      </c>
      <c r="B93" s="147" t="inlineStr">
        <is>
          <t>再生金属供应占比</t>
        </is>
      </c>
      <c r="C93" s="147" t="inlineStr">
        <is>
          <t>超过</t>
        </is>
      </c>
      <c r="D93" s="147" t="inlineStr">
        <is>
          <t>24%</t>
        </is>
      </c>
      <c r="E93" s="147" t="n"/>
      <c r="F93" s="147" t="inlineStr">
        <is>
          <t>2025</t>
        </is>
      </c>
      <c r="G93" s="147" t="inlineStr">
        <is>
          <t>新目标</t>
        </is>
      </c>
      <c r="H93" s="147" t="inlineStr">
        <is>
          <t>循环利用</t>
        </is>
      </c>
      <c r="I93" s="147" t="inlineStr">
        <is>
          <t>行业</t>
        </is>
      </c>
      <c r="J93" s="147" t="inlineStr">
        <is>
          <t>到2025年，再生金属供应占比达到24%以上。</t>
        </is>
      </c>
      <c r="K93" s="149" t="inlineStr">
        <is>
          <t>IP2221.htm</t>
        </is>
      </c>
      <c r="L93" s="147" t="inlineStr">
        <is>
          <t>循环经济</t>
        </is>
      </c>
    </row>
    <row r="94" ht="18" customHeight="1" s="235">
      <c r="A94" s="147" t="n">
        <v>2024</v>
      </c>
      <c r="B94" s="147" t="inlineStr">
        <is>
          <t>再生金属供应占比</t>
        </is>
      </c>
      <c r="C94" s="147" t="inlineStr">
        <is>
          <t>达到</t>
        </is>
      </c>
      <c r="D94" s="147" t="inlineStr">
        <is>
          <t>24%</t>
        </is>
      </c>
      <c r="E94" s="147" t="n"/>
      <c r="F94" s="147" t="inlineStr">
        <is>
          <t>十四五</t>
        </is>
      </c>
      <c r="G94" s="147" t="inlineStr">
        <is>
          <t>新目标</t>
        </is>
      </c>
      <c r="H94" s="147" t="inlineStr">
        <is>
          <t>循环利用</t>
        </is>
      </c>
      <c r="I94" s="147" t="inlineStr">
        <is>
          <t>行业</t>
        </is>
      </c>
      <c r="J94" s="147" t="inlineStr">
        <is>
          <t>“十四五”期间，再生金属供应量将达到24%以上。</t>
        </is>
      </c>
      <c r="K94" s="149" t="inlineStr">
        <is>
          <t>HL2401.pdf</t>
        </is>
      </c>
      <c r="L94" s="147" t="inlineStr">
        <is>
          <t>循环经济</t>
        </is>
      </c>
    </row>
    <row r="95" ht="18" customHeight="1" s="235">
      <c r="A95" s="147" t="n">
        <v>2019</v>
      </c>
      <c r="B95" s="147" t="inlineStr">
        <is>
          <t>规模化畜禽养殖场和养殖小区配套建设废弃物处理设施的比例</t>
        </is>
      </c>
      <c r="C95" s="147" t="inlineStr">
        <is>
          <t>达到</t>
        </is>
      </c>
      <c r="D95" s="147" t="inlineStr">
        <is>
          <t>75%</t>
        </is>
      </c>
      <c r="E95" s="147" t="n"/>
      <c r="F95" s="151" t="n">
        <v>2020</v>
      </c>
      <c r="G95" s="147" t="inlineStr">
        <is>
          <t>新目标</t>
        </is>
      </c>
      <c r="H95" s="147" t="inlineStr">
        <is>
          <t>污染控制</t>
        </is>
      </c>
      <c r="I95" s="147" t="inlineStr">
        <is>
          <t>地区</t>
        </is>
      </c>
      <c r="J95" s="147" t="inlineStr">
        <is>
          <t>在农业领域，中国将努力使规模化畜禽养殖场和养殖小区配套建设废弃物处理设施的比例到2020年提高至75%以上。</t>
        </is>
      </c>
      <c r="K95" s="149" t="inlineStr">
        <is>
          <t>HL1902.pdf</t>
        </is>
      </c>
      <c r="L95" s="147" t="inlineStr">
        <is>
          <t>循环经济</t>
        </is>
      </c>
    </row>
    <row r="96" ht="18" customHeight="1" s="235">
      <c r="A96" s="147" t="n">
        <v>2021</v>
      </c>
      <c r="B96" s="147" t="inlineStr">
        <is>
          <t>城市生活垃圾回收利用率</t>
        </is>
      </c>
      <c r="C96" s="147" t="inlineStr">
        <is>
          <t>达到</t>
        </is>
      </c>
      <c r="D96" s="147" t="inlineStr">
        <is>
          <t>60%</t>
        </is>
      </c>
      <c r="E96" s="147" t="n"/>
      <c r="F96" s="147" t="inlineStr">
        <is>
          <t>2025</t>
        </is>
      </c>
      <c r="G96" s="147" t="inlineStr">
        <is>
          <t>新目标</t>
        </is>
      </c>
      <c r="H96" s="147" t="inlineStr">
        <is>
          <t>循环利用</t>
        </is>
      </c>
      <c r="I96" s="147" t="inlineStr">
        <is>
          <t>城市</t>
        </is>
      </c>
      <c r="J96" s="147" t="inlineStr">
        <is>
          <t>到2025年，城市生活垃圾分类体系基本健全，生活垃圾回收利用率达到约60%。</t>
        </is>
      </c>
      <c r="K96" s="149" t="inlineStr">
        <is>
          <t>HL2102.pdf</t>
        </is>
      </c>
      <c r="L96" s="147" t="inlineStr">
        <is>
          <t>循环经济</t>
        </is>
      </c>
    </row>
    <row r="97" ht="18" customHeight="1" s="235">
      <c r="A97" s="147" t="n">
        <v>2021</v>
      </c>
      <c r="B97" s="147" t="inlineStr">
        <is>
          <t>城市生活垃圾回收利用率</t>
        </is>
      </c>
      <c r="C97" s="147" t="inlineStr">
        <is>
          <t>达到</t>
        </is>
      </c>
      <c r="D97" s="147" t="inlineStr">
        <is>
          <t>65%</t>
        </is>
      </c>
      <c r="E97" s="147" t="n"/>
      <c r="F97" s="147" t="inlineStr">
        <is>
          <t>2030</t>
        </is>
      </c>
      <c r="G97" s="147" t="inlineStr">
        <is>
          <t>新目标</t>
        </is>
      </c>
      <c r="H97" s="147" t="inlineStr">
        <is>
          <t>循环利用</t>
        </is>
      </c>
      <c r="I97" s="147" t="inlineStr">
        <is>
          <t>城市</t>
        </is>
      </c>
      <c r="J97" s="147" t="inlineStr">
        <is>
          <t>到2030年，城市生活垃圾分类实现全覆盖，城市生活垃圾回收利用率达到65%。</t>
        </is>
      </c>
      <c r="K97" s="149" t="inlineStr">
        <is>
          <t>HL2102.pdf</t>
        </is>
      </c>
      <c r="L97" s="147" t="inlineStr">
        <is>
          <t>循环经济</t>
        </is>
      </c>
    </row>
    <row r="98" ht="18" customHeight="1" s="235">
      <c r="A98" s="148" t="n">
        <v>2022</v>
      </c>
      <c r="B98" s="148" t="inlineStr">
        <is>
          <t>再生金属占有色金属供应比重</t>
        </is>
      </c>
      <c r="C98" s="148" t="inlineStr">
        <is>
          <t>达到</t>
        </is>
      </c>
      <c r="D98" s="148" t="inlineStr">
        <is>
          <t>24%及以上</t>
        </is>
      </c>
      <c r="E98" s="148" t="n"/>
      <c r="F98" s="154" t="inlineStr">
        <is>
          <t>十四五</t>
        </is>
      </c>
      <c r="G98" s="148" t="inlineStr">
        <is>
          <t>新目标</t>
        </is>
      </c>
      <c r="H98" s="147" t="inlineStr">
        <is>
          <t>循环利用</t>
        </is>
      </c>
      <c r="I98" s="148" t="inlineStr">
        <is>
          <t>行业</t>
        </is>
      </c>
      <c r="J98" s="148" t="inlineStr">
        <is>
          <t>“十四五”期间，有色金属行业产业结构和能源结构显著优化，低碳工艺研发应用取得重要进展，重点产品单位能耗和碳排放强度进一步下降，再生金属供应占比达到24%以上。</t>
        </is>
      </c>
      <c r="K98" s="150" t="inlineStr">
        <is>
          <t>IP2220.htm</t>
        </is>
      </c>
      <c r="L98" s="147" t="inlineStr">
        <is>
          <t>循环经济</t>
        </is>
      </c>
    </row>
    <row r="99" ht="18" customHeight="1" s="235">
      <c r="A99" s="147" t="n">
        <v>2017</v>
      </c>
      <c r="B99" s="147" t="inlineStr">
        <is>
          <t>农膜回收率</t>
        </is>
      </c>
      <c r="C99" s="147" t="inlineStr">
        <is>
          <t>达到</t>
        </is>
      </c>
      <c r="D99" s="147" t="inlineStr">
        <is>
          <t>80%</t>
        </is>
      </c>
      <c r="E99" s="147" t="n"/>
      <c r="F99" s="147" t="inlineStr">
        <is>
          <t>2020</t>
        </is>
      </c>
      <c r="G99" s="147" t="inlineStr">
        <is>
          <t>新目标</t>
        </is>
      </c>
      <c r="H99" s="147" t="inlineStr">
        <is>
          <t>循环利用</t>
        </is>
      </c>
      <c r="I99" s="147" t="inlineStr">
        <is>
          <t>行业</t>
        </is>
      </c>
      <c r="J99" s="147" t="inlineStr">
        <is>
          <t>到2020年，农膜回收率达到80%。</t>
        </is>
      </c>
      <c r="K99" s="149" t="inlineStr">
        <is>
          <t>O1702.htm</t>
        </is>
      </c>
      <c r="L99" s="147" t="inlineStr">
        <is>
          <t>循环经济</t>
        </is>
      </c>
    </row>
    <row r="100" ht="18" customHeight="1" s="235">
      <c r="A100" s="147" t="n">
        <v>2023</v>
      </c>
      <c r="B100" s="147" t="inlineStr">
        <is>
          <t>农膜回收率</t>
        </is>
      </c>
      <c r="C100" s="147" t="inlineStr">
        <is>
          <t>达到</t>
        </is>
      </c>
      <c r="D100" s="147" t="inlineStr">
        <is>
          <t>85%</t>
        </is>
      </c>
      <c r="E100" s="147" t="n"/>
      <c r="F100" s="147" t="inlineStr">
        <is>
          <t>2025</t>
        </is>
      </c>
      <c r="G100" s="147" t="inlineStr">
        <is>
          <t>新目标</t>
        </is>
      </c>
      <c r="H100" s="147" t="inlineStr">
        <is>
          <t>循环利用</t>
        </is>
      </c>
      <c r="I100" s="147" t="inlineStr">
        <is>
          <t>行业</t>
        </is>
      </c>
      <c r="J100" s="147" t="inlineStr">
        <is>
          <t>到2025年，农膜回收率达到85%。</t>
        </is>
      </c>
      <c r="K100" s="149" t="inlineStr">
        <is>
          <t>HL2302.pdf</t>
        </is>
      </c>
      <c r="L100" s="147" t="inlineStr">
        <is>
          <t>循环经济</t>
        </is>
      </c>
    </row>
    <row r="101" ht="18" customHeight="1" s="235">
      <c r="A101" s="147" t="n">
        <v>2016</v>
      </c>
      <c r="B101" s="147" t="inlineStr">
        <is>
          <t>农膜回收率</t>
        </is>
      </c>
      <c r="C101" s="147" t="inlineStr">
        <is>
          <t>达到</t>
        </is>
      </c>
      <c r="D101" s="147" t="inlineStr">
        <is>
          <t>80%</t>
        </is>
      </c>
      <c r="E101" s="147" t="n"/>
      <c r="F101" s="147" t="inlineStr">
        <is>
          <t>2020</t>
        </is>
      </c>
      <c r="G101" s="147" t="inlineStr">
        <is>
          <t>重申目标</t>
        </is>
      </c>
      <c r="H101" s="147" t="inlineStr">
        <is>
          <t>循环利用</t>
        </is>
      </c>
      <c r="I101" s="147" t="inlineStr">
        <is>
          <t>行业</t>
        </is>
      </c>
      <c r="J101" s="147" t="inlineStr">
        <is>
          <t>到2020年，农膜回收率达到80%以上，率先实现东北黑土地大田生产地膜零增长。</t>
        </is>
      </c>
      <c r="K101" s="149" t="inlineStr">
        <is>
          <t>FYP1601.htm</t>
        </is>
      </c>
      <c r="L101" s="147" t="inlineStr">
        <is>
          <t>循环经济</t>
        </is>
      </c>
    </row>
    <row r="102" ht="18" customHeight="1" s="235">
      <c r="A102" s="147" t="n">
        <v>2013</v>
      </c>
      <c r="B102" s="147" t="inlineStr">
        <is>
          <t>工业用水重复利用率</t>
        </is>
      </c>
      <c r="C102" s="147" t="inlineStr">
        <is>
          <t>达到</t>
        </is>
      </c>
      <c r="D102" s="147" t="inlineStr">
        <is>
          <t>87%</t>
        </is>
      </c>
      <c r="E102" s="147" t="n"/>
      <c r="F102" s="147" t="inlineStr">
        <is>
          <t>2015</t>
        </is>
      </c>
      <c r="G102" s="147" t="inlineStr">
        <is>
          <t>新目标</t>
        </is>
      </c>
      <c r="H102" s="147" t="inlineStr">
        <is>
          <t>循环利用</t>
        </is>
      </c>
      <c r="I102" s="147" t="inlineStr">
        <is>
          <t>行业</t>
        </is>
      </c>
      <c r="J102" s="147" t="inlineStr">
        <is>
          <t>到2015年，工业用水循环利用率达到87%。</t>
        </is>
      </c>
      <c r="K102" s="149" t="inlineStr">
        <is>
          <t>DP1301.htm</t>
        </is>
      </c>
      <c r="L102" s="147" t="inlineStr">
        <is>
          <t>循环经济</t>
        </is>
      </c>
    </row>
    <row r="103" ht="18" customHeight="1" s="235">
      <c r="A103" s="147" t="n">
        <v>2013</v>
      </c>
      <c r="B103" s="147" t="inlineStr">
        <is>
          <t>主要有色金属品种以及钢铁的循环再生比重</t>
        </is>
      </c>
      <c r="C103" s="147" t="inlineStr">
        <is>
          <t>达到</t>
        </is>
      </c>
      <c r="D103" s="147" t="inlineStr">
        <is>
          <t>40%左右</t>
        </is>
      </c>
      <c r="E103" s="147" t="n"/>
      <c r="F103" s="147" t="inlineStr">
        <is>
          <t>2017</t>
        </is>
      </c>
      <c r="G103" s="147" t="inlineStr">
        <is>
          <t>新目标</t>
        </is>
      </c>
      <c r="H103" s="147" t="inlineStr">
        <is>
          <t>循环利用</t>
        </is>
      </c>
      <c r="I103" s="147" t="inlineStr">
        <is>
          <t>全社会经济</t>
        </is>
      </c>
      <c r="J103" s="147" t="inlineStr">
        <is>
          <t>到2017年，主要有色金属品种以及钢铁的循环再生比重达到40%左右。</t>
        </is>
      </c>
      <c r="K103" s="149" t="inlineStr">
        <is>
          <t>AP1302.htm</t>
        </is>
      </c>
      <c r="L103" s="147" t="inlineStr">
        <is>
          <t>循环经济</t>
        </is>
      </c>
    </row>
    <row r="104" ht="18" customHeight="1" s="235">
      <c r="A104" s="147" t="n">
        <v>2013</v>
      </c>
      <c r="B104" s="147" t="inlineStr">
        <is>
          <t>主要再生资源回收率</t>
        </is>
      </c>
      <c r="C104" s="147" t="inlineStr">
        <is>
          <t>达到</t>
        </is>
      </c>
      <c r="D104" s="147" t="inlineStr">
        <is>
          <t>70%</t>
        </is>
      </c>
      <c r="E104" s="147" t="n"/>
      <c r="F104" s="147" t="inlineStr">
        <is>
          <t>2015</t>
        </is>
      </c>
      <c r="G104" s="147" t="inlineStr">
        <is>
          <t>新目标</t>
        </is>
      </c>
      <c r="H104" s="147" t="inlineStr">
        <is>
          <t>循环利用</t>
        </is>
      </c>
      <c r="I104" s="147" t="inlineStr">
        <is>
          <t>全社会经济</t>
        </is>
      </c>
      <c r="J104" s="147" t="inlineStr">
        <is>
          <t>到2015年，构建起先进完整的再生资源回收体系，垃圾分类工作取得明显进展，主要品种再生资源回收率达到70%。</t>
        </is>
      </c>
      <c r="K104" s="149" t="inlineStr">
        <is>
          <t>DP1301.htm</t>
        </is>
      </c>
      <c r="L104" s="147" t="inlineStr">
        <is>
          <t>循环经济</t>
        </is>
      </c>
    </row>
    <row r="105" ht="18" customHeight="1" s="235">
      <c r="A105" s="147" t="n">
        <v>2013</v>
      </c>
      <c r="B105" s="147" t="inlineStr">
        <is>
          <t>通信基站废旧铅酸蓄电池回收率</t>
        </is>
      </c>
      <c r="C105" s="147" t="inlineStr">
        <is>
          <t>达到</t>
        </is>
      </c>
      <c r="D105" s="147" t="inlineStr">
        <is>
          <t>90%</t>
        </is>
      </c>
      <c r="E105" s="147" t="n"/>
      <c r="F105" s="147" t="inlineStr">
        <is>
          <t>2015</t>
        </is>
      </c>
      <c r="G105" s="147" t="inlineStr">
        <is>
          <t>新目标</t>
        </is>
      </c>
      <c r="H105" s="147" t="inlineStr">
        <is>
          <t>循环利用</t>
        </is>
      </c>
      <c r="I105" s="147" t="inlineStr">
        <is>
          <t>全社会经济</t>
        </is>
      </c>
      <c r="J105" s="147" t="inlineStr">
        <is>
          <t>到2015年，通信基站废旧铅酸蓄电池回收率达90%以上。</t>
        </is>
      </c>
      <c r="K105" s="149" t="inlineStr">
        <is>
          <t>DP1301.htm</t>
        </is>
      </c>
      <c r="L105" s="147" t="inlineStr">
        <is>
          <t>循环经济</t>
        </is>
      </c>
    </row>
    <row r="106" ht="18" customHeight="1" s="235">
      <c r="A106" s="147" t="n">
        <v>2017</v>
      </c>
      <c r="B106" s="147" t="inlineStr">
        <is>
          <t>高速公路废旧沥青路面材料循环利用率</t>
        </is>
      </c>
      <c r="C106" s="147" t="inlineStr">
        <is>
          <t>达到</t>
        </is>
      </c>
      <c r="D106" s="147" t="inlineStr">
        <is>
          <t>85%</t>
        </is>
      </c>
      <c r="E106" s="147" t="n"/>
      <c r="F106" s="147" t="inlineStr">
        <is>
          <t>2020</t>
        </is>
      </c>
      <c r="G106" s="147" t="inlineStr">
        <is>
          <t>新目标</t>
        </is>
      </c>
      <c r="H106" s="147" t="inlineStr">
        <is>
          <t>循环利用</t>
        </is>
      </c>
      <c r="I106" s="147" t="inlineStr">
        <is>
          <t>全社会经济</t>
        </is>
      </c>
      <c r="J106" s="147" t="inlineStr">
        <is>
          <t>到2020年，高速公路废旧沥青路面材料循环利用率达到85%以上。</t>
        </is>
      </c>
      <c r="K106" s="149" t="inlineStr">
        <is>
          <t>IP1701.htm</t>
        </is>
      </c>
      <c r="L106" s="147" t="inlineStr">
        <is>
          <t>循环经济</t>
        </is>
      </c>
    </row>
    <row r="107" ht="18" customHeight="1" s="235">
      <c r="A107" s="147" t="n">
        <v>2017</v>
      </c>
      <c r="B107" s="147" t="inlineStr">
        <is>
          <t>普通国省干线公路废旧沥青路面材料循环利用率</t>
        </is>
      </c>
      <c r="C107" s="147" t="inlineStr">
        <is>
          <t>达到</t>
        </is>
      </c>
      <c r="D107" s="147" t="inlineStr">
        <is>
          <t>75%</t>
        </is>
      </c>
      <c r="E107" s="147" t="n"/>
      <c r="F107" s="147" t="inlineStr">
        <is>
          <t>2020</t>
        </is>
      </c>
      <c r="G107" s="147" t="inlineStr">
        <is>
          <t>新目标</t>
        </is>
      </c>
      <c r="H107" s="147" t="inlineStr">
        <is>
          <t>循环利用</t>
        </is>
      </c>
      <c r="I107" s="147" t="inlineStr">
        <is>
          <t>全社会经济</t>
        </is>
      </c>
      <c r="J107" s="147" t="inlineStr">
        <is>
          <t>到2020年，普通国省干线公路废旧沥青路面材料循环利用率达到75%以上。</t>
        </is>
      </c>
      <c r="K107" s="149" t="inlineStr">
        <is>
          <t>IP1701.htm</t>
        </is>
      </c>
      <c r="L107" s="147" t="inlineStr">
        <is>
          <t>循环经济</t>
        </is>
      </c>
    </row>
    <row r="108" ht="18" customHeight="1" s="235">
      <c r="A108" s="147" t="n">
        <v>2024</v>
      </c>
      <c r="B108" s="147" t="inlineStr">
        <is>
          <t>主要再生资源循环利用量</t>
        </is>
      </c>
      <c r="C108" s="147" t="inlineStr">
        <is>
          <t>达到</t>
        </is>
      </c>
      <c r="D108" s="147" t="inlineStr">
        <is>
          <t>5.1亿吨</t>
        </is>
      </c>
      <c r="E108" s="147" t="n"/>
      <c r="F108" s="151" t="n">
        <v>2030</v>
      </c>
      <c r="G108" s="147" t="inlineStr">
        <is>
          <t>新目标</t>
        </is>
      </c>
      <c r="H108" s="147" t="inlineStr">
        <is>
          <t>循环利用</t>
        </is>
      </c>
      <c r="I108" s="147" t="inlineStr">
        <is>
          <t>全社会经济</t>
        </is>
      </c>
      <c r="J108" s="147" t="inlineStr">
        <is>
          <t>到2030年，主要再生资源循环利用量达到5.1亿吨</t>
        </is>
      </c>
      <c r="K108" s="149" t="inlineStr">
        <is>
          <t>GO2401.htm</t>
        </is>
      </c>
      <c r="L108" s="147" t="inlineStr">
        <is>
          <t>循环经济</t>
        </is>
      </c>
    </row>
    <row r="109" ht="18" customHeight="1" s="235">
      <c r="A109" s="147" t="n">
        <v>2021</v>
      </c>
      <c r="B109" s="147" t="inlineStr">
        <is>
          <t>废钢、铜、铝、铅、锌、废纸、塑料、橡胶、玻璃等九类主要再生资源回收量</t>
        </is>
      </c>
      <c r="C109" s="147" t="inlineStr">
        <is>
          <t>达到</t>
        </is>
      </c>
      <c r="D109" s="147" t="inlineStr">
        <is>
          <t>4.5亿吨</t>
        </is>
      </c>
      <c r="E109" s="147" t="n"/>
      <c r="F109" s="151" t="inlineStr">
        <is>
          <t>2025</t>
        </is>
      </c>
      <c r="G109" s="147" t="inlineStr">
        <is>
          <t>新目标</t>
        </is>
      </c>
      <c r="H109" s="147" t="inlineStr">
        <is>
          <t>循环利用</t>
        </is>
      </c>
      <c r="I109" s="147" t="inlineStr">
        <is>
          <t>全社会经济</t>
        </is>
      </c>
      <c r="J109" s="147" t="inlineStr">
        <is>
          <t>到2025年，废钢、铜、铝、铅、锌、废纸、塑料、橡胶、玻璃等九类主要再生资源回收总量达到4.5亿吨，到2030年达到5.1亿吨。</t>
        </is>
      </c>
      <c r="K109" s="149" t="inlineStr">
        <is>
          <t>HL2102.pdf</t>
        </is>
      </c>
      <c r="L109" s="147" t="inlineStr">
        <is>
          <t>循环经济</t>
        </is>
      </c>
    </row>
    <row r="110" ht="18" customHeight="1" s="235">
      <c r="A110" s="147" t="n">
        <v>2021</v>
      </c>
      <c r="B110" s="147" t="inlineStr">
        <is>
          <t>废钢、铜、铝、铅、锌、废纸、塑料、橡胶、玻璃等九类主要再生资源回收利用量</t>
        </is>
      </c>
      <c r="C110" s="147" t="inlineStr">
        <is>
          <t>达到</t>
        </is>
      </c>
      <c r="D110" s="147" t="inlineStr">
        <is>
          <t>5.1亿吨</t>
        </is>
      </c>
      <c r="E110" s="147" t="n"/>
      <c r="F110" s="151" t="n">
        <v>2030</v>
      </c>
      <c r="G110" s="147" t="inlineStr">
        <is>
          <t>重申目标</t>
        </is>
      </c>
      <c r="H110" s="147" t="inlineStr">
        <is>
          <t>循环利用</t>
        </is>
      </c>
      <c r="I110" s="147" t="inlineStr">
        <is>
          <t>全社会经济</t>
        </is>
      </c>
      <c r="J110" s="147" t="inlineStr">
        <is>
          <t>到2025年，废钢、铜、铝、铅、锌、废纸、塑料、橡胶、玻璃等九类主要再生资源循环利用量达到4.5亿吨，到2030年达到5.1亿吨。</t>
        </is>
      </c>
      <c r="K110" s="149" t="inlineStr">
        <is>
          <t>HL2102.pdf</t>
        </is>
      </c>
      <c r="L110" s="147" t="inlineStr">
        <is>
          <t>循环经济</t>
        </is>
      </c>
    </row>
    <row r="111" ht="18" customHeight="1" s="235">
      <c r="A111" s="147" t="n">
        <v>2016</v>
      </c>
      <c r="B111" s="147" t="inlineStr">
        <is>
          <t>合流制管网改造规模</t>
        </is>
      </c>
      <c r="C111" s="147" t="inlineStr">
        <is>
          <t>改造</t>
        </is>
      </c>
      <c r="D111" s="147" t="inlineStr">
        <is>
          <t>2.88万公里</t>
        </is>
      </c>
      <c r="E111" s="147" t="n"/>
      <c r="F111" s="147" t="inlineStr">
        <is>
          <t>十三五</t>
        </is>
      </c>
      <c r="G111" s="147" t="inlineStr">
        <is>
          <t>新目标</t>
        </is>
      </c>
      <c r="H111" s="147" t="inlineStr">
        <is>
          <t>污染控制</t>
        </is>
      </c>
      <c r="I111" s="147" t="inlineStr">
        <is>
          <t>不明确</t>
        </is>
      </c>
      <c r="J111" s="147" t="inlineStr">
        <is>
          <t>“十三五”期间，规划改造合流制管网2.88万公里。</t>
        </is>
      </c>
      <c r="K111" s="149" t="inlineStr">
        <is>
          <t>FYP1612.pdf</t>
        </is>
      </c>
      <c r="L111" s="147" t="inlineStr">
        <is>
          <t>循环经济</t>
        </is>
      </c>
    </row>
    <row r="112" ht="18" customHeight="1" s="235">
      <c r="A112" s="147" t="n">
        <v>2016</v>
      </c>
      <c r="B112" s="147" t="inlineStr">
        <is>
          <t>老旧污水管网改造规模</t>
        </is>
      </c>
      <c r="C112" s="147" t="inlineStr">
        <is>
          <t>改造</t>
        </is>
      </c>
      <c r="D112" s="147" t="inlineStr">
        <is>
          <t>27700 公里</t>
        </is>
      </c>
      <c r="E112" s="147" t="n"/>
      <c r="F112" s="147" t="inlineStr">
        <is>
          <t>十三五</t>
        </is>
      </c>
      <c r="G112" s="147" t="inlineStr">
        <is>
          <t>新目标</t>
        </is>
      </c>
      <c r="H112" s="147" t="inlineStr">
        <is>
          <t>污染控制</t>
        </is>
      </c>
      <c r="I112" s="147" t="inlineStr">
        <is>
          <t>不明确</t>
        </is>
      </c>
      <c r="J112" s="147" t="inlineStr">
        <is>
          <t>“十三五”期间，规划改造老旧污水管网2.77万公里。</t>
        </is>
      </c>
      <c r="K112" s="149" t="inlineStr">
        <is>
          <t>FYP1612.pdf</t>
        </is>
      </c>
      <c r="L112" s="147" t="inlineStr">
        <is>
          <t>循环经济</t>
        </is>
      </c>
    </row>
    <row r="113" ht="18" customHeight="1" s="235">
      <c r="A113" s="147" t="n">
        <v>2012</v>
      </c>
      <c r="B113" s="147" t="inlineStr">
        <is>
          <t>资源循环利用能力</t>
        </is>
      </c>
      <c r="C113" s="147" t="inlineStr">
        <is>
          <t>达到</t>
        </is>
      </c>
      <c r="D113" s="147" t="inlineStr">
        <is>
          <t>2500万吨</t>
        </is>
      </c>
      <c r="E113" s="147" t="n"/>
      <c r="F113" s="147" t="inlineStr">
        <is>
          <t>2015</t>
        </is>
      </c>
      <c r="G113" s="147" t="inlineStr">
        <is>
          <t>新目标</t>
        </is>
      </c>
      <c r="H113" s="147" t="inlineStr">
        <is>
          <t>循环利用</t>
        </is>
      </c>
      <c r="I113" s="147" t="inlineStr">
        <is>
          <t>行业</t>
        </is>
      </c>
      <c r="J113" s="147" t="inlineStr">
        <is>
          <t>到2015年，再制造产业资源再生加工利用能力达到每年2500万吨</t>
        </is>
      </c>
      <c r="K113" s="149" t="inlineStr">
        <is>
          <t>FYP1203.htm</t>
        </is>
      </c>
      <c r="L113" s="147" t="inlineStr">
        <is>
          <t>循环经济</t>
        </is>
      </c>
    </row>
    <row r="114" ht="18" customHeight="1" s="235">
      <c r="A114" s="147" t="n">
        <v>2014</v>
      </c>
      <c r="B114" s="147" t="inlineStr">
        <is>
          <t>燃煤固体废弃物资源化利用率</t>
        </is>
      </c>
      <c r="C114" s="147" t="inlineStr">
        <is>
          <t>超过</t>
        </is>
      </c>
      <c r="D114" s="147" t="inlineStr">
        <is>
          <t>75%</t>
        </is>
      </c>
      <c r="E114" s="147" t="n"/>
      <c r="F114" s="151" t="inlineStr">
        <is>
          <t>2020</t>
        </is>
      </c>
      <c r="G114" s="147" t="inlineStr">
        <is>
          <t>新目标</t>
        </is>
      </c>
      <c r="H114" s="147" t="inlineStr">
        <is>
          <t>循环利用</t>
        </is>
      </c>
      <c r="I114" s="147" t="inlineStr">
        <is>
          <t>行业</t>
        </is>
      </c>
      <c r="J114" s="152" t="inlineStr">
        <is>
          <t>到2020年，燃煤固体废弃物实现资源化利用率超过75%。</t>
        </is>
      </c>
      <c r="K114" s="153" t="inlineStr">
        <is>
          <t>O1401.htm</t>
        </is>
      </c>
      <c r="L114" s="147" t="inlineStr">
        <is>
          <t>循环经济</t>
        </is>
      </c>
    </row>
    <row r="115" ht="18" customHeight="1" s="235">
      <c r="A115" s="147" t="n">
        <v>2016</v>
      </c>
      <c r="B115" s="147" t="inlineStr">
        <is>
          <t>餐厨废弃物资源化率</t>
        </is>
      </c>
      <c r="C115" s="147" t="inlineStr">
        <is>
          <t>达到</t>
        </is>
      </c>
      <c r="D115" s="147" t="inlineStr">
        <is>
          <t>30%以上</t>
        </is>
      </c>
      <c r="E115" s="147" t="n"/>
      <c r="F115" s="147" t="inlineStr">
        <is>
          <t>2020</t>
        </is>
      </c>
      <c r="G115" s="147" t="inlineStr">
        <is>
          <t>新目标</t>
        </is>
      </c>
      <c r="H115" s="147" t="inlineStr">
        <is>
          <t>循环利用</t>
        </is>
      </c>
      <c r="I115" s="147" t="inlineStr">
        <is>
          <t>全社会经济</t>
        </is>
      </c>
      <c r="J115" s="147" t="inlineStr">
        <is>
          <t>到2020年，餐厨废弃物资源化率达到30%。</t>
        </is>
      </c>
      <c r="K115" s="149" t="inlineStr">
        <is>
          <t>FYP1601.htm</t>
        </is>
      </c>
      <c r="L115" s="147" t="inlineStr">
        <is>
          <t>循环经济</t>
        </is>
      </c>
    </row>
    <row r="116" ht="18" customHeight="1" s="235">
      <c r="A116" s="147" t="n">
        <v>2021</v>
      </c>
      <c r="B116" s="148" t="inlineStr">
        <is>
          <t>农村生活污水治理率</t>
        </is>
      </c>
      <c r="C116" s="147" t="inlineStr">
        <is>
          <t>达到</t>
        </is>
      </c>
      <c r="D116" s="147" t="inlineStr">
        <is>
          <t>40%</t>
        </is>
      </c>
      <c r="E116" s="147" t="n"/>
      <c r="F116" s="147" t="inlineStr">
        <is>
          <t>2025</t>
        </is>
      </c>
      <c r="G116" s="147" t="inlineStr">
        <is>
          <t>新目标</t>
        </is>
      </c>
      <c r="H116" s="147" t="inlineStr">
        <is>
          <t>污染控制</t>
        </is>
      </c>
      <c r="I116" s="147" t="inlineStr">
        <is>
          <t>地区</t>
        </is>
      </c>
      <c r="J116" s="147" t="inlineStr">
        <is>
          <t>到2025年，农村生活污水治理率达到40%。</t>
        </is>
      </c>
      <c r="K116" s="149" t="inlineStr">
        <is>
          <t>FYP2107.htm</t>
        </is>
      </c>
      <c r="L116" s="147" t="inlineStr">
        <is>
          <t>循环经济</t>
        </is>
      </c>
    </row>
    <row r="117" ht="18" customHeight="1" s="235">
      <c r="A117" s="147" t="n">
        <v>2016</v>
      </c>
      <c r="B117" s="148" t="inlineStr">
        <is>
          <t>新增污水处理设施规模</t>
        </is>
      </c>
      <c r="C117" s="148" t="inlineStr">
        <is>
          <t>达到</t>
        </is>
      </c>
      <c r="D117" s="148" t="inlineStr">
        <is>
          <t>5022万立方米/日</t>
        </is>
      </c>
      <c r="E117" s="148" t="n"/>
      <c r="F117" s="148" t="inlineStr">
        <is>
          <t>十三五</t>
        </is>
      </c>
      <c r="G117" s="148" t="inlineStr">
        <is>
          <t>新目标</t>
        </is>
      </c>
      <c r="H117" s="147" t="inlineStr">
        <is>
          <t>污染控制</t>
        </is>
      </c>
      <c r="I117" s="147" t="inlineStr">
        <is>
          <t>不明确</t>
        </is>
      </c>
      <c r="J117" s="148" t="inlineStr">
        <is>
          <t>“十三五”期间，新增污水处理设施规模5022万立方米/日。</t>
        </is>
      </c>
      <c r="K117" s="150" t="inlineStr">
        <is>
          <t>FYP1612.pdf</t>
        </is>
      </c>
      <c r="L117" s="147" t="inlineStr">
        <is>
          <t>循环经济</t>
        </is>
      </c>
    </row>
    <row r="118" ht="18" customHeight="1" s="235">
      <c r="A118" s="147" t="n">
        <v>2013</v>
      </c>
      <c r="B118" s="147" t="inlineStr">
        <is>
          <t>城镇污水处理规模</t>
        </is>
      </c>
      <c r="C118" s="147" t="inlineStr">
        <is>
          <t>达到</t>
        </is>
      </c>
      <c r="D118" s="147" t="inlineStr">
        <is>
          <t>每日2亿立方米以上</t>
        </is>
      </c>
      <c r="E118" s="147" t="n"/>
      <c r="F118" s="147" t="inlineStr">
        <is>
          <t>2015</t>
        </is>
      </c>
      <c r="G118" s="147" t="inlineStr">
        <is>
          <t>新目标</t>
        </is>
      </c>
      <c r="H118" s="147" t="inlineStr">
        <is>
          <t>污染控制</t>
        </is>
      </c>
      <c r="I118" s="147" t="inlineStr">
        <is>
          <t>城市</t>
        </is>
      </c>
      <c r="J118" s="147" t="inlineStr">
        <is>
          <t>到2015年，城镇污水处理规模达到每日2亿立方米以上</t>
        </is>
      </c>
      <c r="K118" s="149" t="inlineStr">
        <is>
          <t>O1302.htm</t>
        </is>
      </c>
      <c r="L118" s="147" t="inlineStr">
        <is>
          <t>循环经济</t>
        </is>
      </c>
    </row>
    <row r="119" ht="18" customHeight="1" s="235">
      <c r="A119" s="147" t="n">
        <v>2016</v>
      </c>
      <c r="B119" s="147" t="inlineStr">
        <is>
          <t>城镇提标改造污水处理设施规模</t>
        </is>
      </c>
      <c r="C119" s="147" t="inlineStr">
        <is>
          <t>实现</t>
        </is>
      </c>
      <c r="D119" s="147" t="inlineStr">
        <is>
          <t>4220万立方米/日</t>
        </is>
      </c>
      <c r="E119" s="147" t="n"/>
      <c r="F119" s="147" t="inlineStr">
        <is>
          <t>十三五</t>
        </is>
      </c>
      <c r="G119" s="147" t="inlineStr">
        <is>
          <t>新目标</t>
        </is>
      </c>
      <c r="H119" s="147" t="inlineStr">
        <is>
          <t>污染控制</t>
        </is>
      </c>
      <c r="I119" s="147" t="inlineStr">
        <is>
          <t>城市</t>
        </is>
      </c>
      <c r="J119" s="147" t="inlineStr">
        <is>
          <t>“十三五”期间，提标改造城镇污水处理设施规模4220万立方米/日。</t>
        </is>
      </c>
      <c r="K119" s="149" t="inlineStr">
        <is>
          <t>FYP1612.pdf</t>
        </is>
      </c>
      <c r="L119" s="147" t="inlineStr">
        <is>
          <t>循环经济</t>
        </is>
      </c>
    </row>
    <row r="120" ht="18" customHeight="1" s="235">
      <c r="A120" s="147" t="n">
        <v>2016</v>
      </c>
      <c r="B120" s="147" t="inlineStr">
        <is>
          <t>铸件废品率</t>
        </is>
      </c>
      <c r="C120" s="147" t="inlineStr">
        <is>
          <t>降低</t>
        </is>
      </c>
      <c r="D120" s="147" t="inlineStr">
        <is>
          <t>10%</t>
        </is>
      </c>
      <c r="E120" s="147" t="n">
        <v>2015</v>
      </c>
      <c r="F120" s="147" t="inlineStr">
        <is>
          <t>2020</t>
        </is>
      </c>
      <c r="G120" s="147" t="inlineStr">
        <is>
          <t>新目标</t>
        </is>
      </c>
      <c r="H120" s="147" t="inlineStr">
        <is>
          <t>资源效率</t>
        </is>
      </c>
      <c r="I120" s="147" t="inlineStr">
        <is>
          <t>不明确</t>
        </is>
      </c>
      <c r="J120" s="147" t="inlineStr">
        <is>
          <t>到2020年，铸件废品率降低10%。</t>
        </is>
      </c>
      <c r="K120" s="149" t="inlineStr">
        <is>
          <t>DP1601.htm</t>
        </is>
      </c>
      <c r="L120" s="147" t="inlineStr">
        <is>
          <t>循环经济</t>
        </is>
      </c>
    </row>
    <row r="121" ht="18" customHeight="1" s="235">
      <c r="A121" s="148" t="n">
        <v>2026</v>
      </c>
      <c r="B121" s="148" t="inlineStr">
        <is>
          <t>废钢铁年回收利用量</t>
        </is>
      </c>
      <c r="C121" s="148" t="inlineStr">
        <is>
          <t>超过</t>
        </is>
      </c>
      <c r="D121" s="148" t="inlineStr">
        <is>
          <t>3亿吨</t>
        </is>
      </c>
      <c r="E121" s="148" t="n"/>
      <c r="F121" s="154" t="n">
        <v>2030</v>
      </c>
      <c r="G121" s="148" t="inlineStr">
        <is>
          <t>新目标</t>
        </is>
      </c>
      <c r="H121" s="147" t="inlineStr">
        <is>
          <t>循环利用</t>
        </is>
      </c>
      <c r="I121" s="148" t="inlineStr">
        <is>
          <t>全社会经济</t>
        </is>
      </c>
      <c r="J121" s="148" t="inlineStr">
        <is>
          <t>到2030年，废钢铁年回收利用量超过3亿吨。</t>
        </is>
      </c>
      <c r="K121" s="150" t="inlineStr">
        <is>
          <t>AP2601.htm</t>
        </is>
      </c>
      <c r="L121" s="147" t="inlineStr">
        <is>
          <t>循环经济</t>
        </is>
      </c>
    </row>
    <row r="122" ht="18" customHeight="1" s="235">
      <c r="A122" s="152" t="n">
        <v>2021</v>
      </c>
      <c r="B122" s="147" t="inlineStr">
        <is>
          <t>废钢年度回收利用量</t>
        </is>
      </c>
      <c r="C122" s="147" t="inlineStr">
        <is>
          <t>达到</t>
        </is>
      </c>
      <c r="D122" s="152" t="inlineStr">
        <is>
          <t>3.2亿吨</t>
        </is>
      </c>
      <c r="E122" s="152" t="n"/>
      <c r="F122" s="151" t="inlineStr">
        <is>
          <t>2025</t>
        </is>
      </c>
      <c r="G122" s="152" t="inlineStr">
        <is>
          <t>新目标</t>
        </is>
      </c>
      <c r="H122" s="147" t="inlineStr">
        <is>
          <t>循环利用</t>
        </is>
      </c>
      <c r="I122" s="147" t="inlineStr">
        <is>
          <t>行业</t>
        </is>
      </c>
      <c r="J122" s="152" t="inlineStr">
        <is>
          <t>到2025年，废钢利用量达到3.2亿吨。</t>
        </is>
      </c>
      <c r="K122" s="153" t="inlineStr">
        <is>
          <t>FYP2115.pdf</t>
        </is>
      </c>
      <c r="L122" s="147" t="inlineStr">
        <is>
          <t>循环经济</t>
        </is>
      </c>
    </row>
    <row r="123" ht="18" customHeight="1" s="235">
      <c r="A123" s="152" t="n">
        <v>2022</v>
      </c>
      <c r="B123" s="147" t="inlineStr">
        <is>
          <t>废钢年度回收利用量</t>
        </is>
      </c>
      <c r="C123" s="152" t="inlineStr">
        <is>
          <t>达到</t>
        </is>
      </c>
      <c r="D123" s="152" t="inlineStr">
        <is>
          <t>超过3亿吨</t>
        </is>
      </c>
      <c r="E123" s="152" t="n"/>
      <c r="F123" s="155" t="n">
        <v>2025</v>
      </c>
      <c r="G123" s="152" t="inlineStr">
        <is>
          <t>强化或放宽目标（消极气候影响）</t>
        </is>
      </c>
      <c r="H123" s="147" t="inlineStr">
        <is>
          <t>循环利用</t>
        </is>
      </c>
      <c r="I123" s="152" t="inlineStr">
        <is>
          <t>行业</t>
        </is>
      </c>
      <c r="J123" s="152" t="inlineStr">
        <is>
          <t>到2025年，钢铁工业利用废钢资源量达到3亿吨以上</t>
        </is>
      </c>
      <c r="K123" s="153" t="inlineStr">
        <is>
          <t>GO2204.htm</t>
        </is>
      </c>
      <c r="L123" s="147" t="inlineStr">
        <is>
          <t>循环经济</t>
        </is>
      </c>
    </row>
    <row r="124" ht="18" customHeight="1" s="235">
      <c r="A124" s="147" t="n">
        <v>2024</v>
      </c>
      <c r="B124" s="147" t="inlineStr">
        <is>
          <t>废钢年回收利用量</t>
        </is>
      </c>
      <c r="C124" s="147" t="inlineStr">
        <is>
          <t>达到</t>
        </is>
      </c>
      <c r="D124" s="147" t="inlineStr">
        <is>
          <t>3亿吨</t>
        </is>
      </c>
      <c r="E124" s="147" t="n"/>
      <c r="F124" s="147" t="inlineStr">
        <is>
          <t>2025</t>
        </is>
      </c>
      <c r="G124" s="147" t="inlineStr">
        <is>
          <t>重申目标</t>
        </is>
      </c>
      <c r="H124" s="147" t="inlineStr">
        <is>
          <t>循环利用</t>
        </is>
      </c>
      <c r="I124" s="147" t="inlineStr">
        <is>
          <t>行业</t>
        </is>
      </c>
      <c r="J124" s="147" t="inlineStr">
        <is>
          <t>到2025年底，废钢利用量达到3亿吨。</t>
        </is>
      </c>
      <c r="K124" s="149" t="inlineStr">
        <is>
          <t>AP2405.htm</t>
        </is>
      </c>
      <c r="L124" s="147" t="inlineStr">
        <is>
          <t>循环经济</t>
        </is>
      </c>
    </row>
    <row r="125" ht="18" customHeight="1" s="235">
      <c r="A125" s="147" t="n">
        <v>2021</v>
      </c>
      <c r="B125" s="147" t="inlineStr">
        <is>
          <t>废钢年度回收利用量</t>
        </is>
      </c>
      <c r="C125" s="147" t="inlineStr">
        <is>
          <t>力争达到</t>
        </is>
      </c>
      <c r="D125" s="147" t="inlineStr">
        <is>
          <t>3.2亿吨</t>
        </is>
      </c>
      <c r="E125" s="147" t="n"/>
      <c r="F125" s="147" t="inlineStr">
        <is>
          <t>2025</t>
        </is>
      </c>
      <c r="G125" s="147" t="inlineStr">
        <is>
          <t>重申目标</t>
        </is>
      </c>
      <c r="H125" s="147" t="inlineStr">
        <is>
          <t>循环利用</t>
        </is>
      </c>
      <c r="I125" s="147" t="inlineStr">
        <is>
          <t>行业</t>
        </is>
      </c>
      <c r="J125" s="147" t="inlineStr">
        <is>
          <t>到2025年，力争废钢回收利用量达到3.2亿吨。</t>
        </is>
      </c>
      <c r="K125" s="149" t="inlineStr">
        <is>
          <t>FYP2101.pdf</t>
        </is>
      </c>
      <c r="L125" s="147" t="inlineStr">
        <is>
          <t>循环经济</t>
        </is>
      </c>
    </row>
    <row r="126" ht="18" customHeight="1" s="235">
      <c r="A126" s="147" t="n">
        <v>2013</v>
      </c>
      <c r="B126" s="147" t="inlineStr">
        <is>
          <t>废钢年回收利用量</t>
        </is>
      </c>
      <c r="C126" s="147" t="inlineStr">
        <is>
          <t>达到</t>
        </is>
      </c>
      <c r="D126" s="147" t="inlineStr">
        <is>
          <t>1.3亿吨</t>
        </is>
      </c>
      <c r="E126" s="147" t="n"/>
      <c r="F126" s="147" t="inlineStr">
        <is>
          <t>2015</t>
        </is>
      </c>
      <c r="G126" s="147" t="inlineStr">
        <is>
          <t>新目标</t>
        </is>
      </c>
      <c r="H126" s="147" t="inlineStr">
        <is>
          <t>循环利用</t>
        </is>
      </c>
      <c r="I126" s="147" t="inlineStr">
        <is>
          <t>行业</t>
        </is>
      </c>
      <c r="J126" s="147" t="inlineStr">
        <is>
          <t>到2015年，废钢回收利用量达到1.3亿吨。</t>
        </is>
      </c>
      <c r="K126" s="149" t="inlineStr">
        <is>
          <t>DP1301.htm</t>
        </is>
      </c>
      <c r="L126" s="147" t="inlineStr">
        <is>
          <t>循环经济</t>
        </is>
      </c>
    </row>
    <row r="127" ht="18" customHeight="1" s="235">
      <c r="A127" s="147" t="n">
        <v>2024</v>
      </c>
      <c r="B127" s="147" t="inlineStr">
        <is>
          <t>废钢加工企业年加工能力</t>
        </is>
      </c>
      <c r="C127" s="147" t="inlineStr">
        <is>
          <t>超过</t>
        </is>
      </c>
      <c r="D127" s="147" t="inlineStr">
        <is>
          <t>1.8亿吨</t>
        </is>
      </c>
      <c r="E127" s="147" t="n"/>
      <c r="F127" s="147" t="inlineStr">
        <is>
          <t>2025</t>
        </is>
      </c>
      <c r="G127" s="147" t="inlineStr">
        <is>
          <t>新目标</t>
        </is>
      </c>
      <c r="H127" s="147" t="inlineStr">
        <is>
          <t>生产导向</t>
        </is>
      </c>
      <c r="I127" s="147" t="inlineStr">
        <is>
          <t>行业</t>
        </is>
      </c>
      <c r="J127" s="147" t="inlineStr">
        <is>
          <t>到2025年，废钢加工企业年加工能力超过1.8亿吨</t>
        </is>
      </c>
      <c r="K127" s="149" t="inlineStr">
        <is>
          <t>HL2401.pdf</t>
        </is>
      </c>
      <c r="L127" s="147" t="inlineStr">
        <is>
          <t>循环经济</t>
        </is>
      </c>
    </row>
    <row r="128" ht="18" customHeight="1" s="235">
      <c r="A128" s="147" t="n">
        <v>2024</v>
      </c>
      <c r="B128" s="147" t="inlineStr">
        <is>
          <t>钢铁行业余热余压余能自发电率</t>
        </is>
      </c>
      <c r="C128" s="147" t="inlineStr">
        <is>
          <t>提高</t>
        </is>
      </c>
      <c r="D128" s="147" t="inlineStr">
        <is>
          <t>3个百分点</t>
        </is>
      </c>
      <c r="E128" s="147" t="n"/>
      <c r="F128" s="147" t="inlineStr">
        <is>
          <t>2025</t>
        </is>
      </c>
      <c r="G128" s="147" t="inlineStr">
        <is>
          <t>新目标</t>
        </is>
      </c>
      <c r="H128" s="147" t="inlineStr">
        <is>
          <t>能源效率</t>
        </is>
      </c>
      <c r="I128" s="147" t="inlineStr">
        <is>
          <t>行业</t>
        </is>
      </c>
      <c r="J128" s="147" t="inlineStr">
        <is>
          <t>到2025年底，钢铁行业余热余压余能自发电率提高3个百分点以上。</t>
        </is>
      </c>
      <c r="K128" s="149" t="inlineStr">
        <is>
          <t>AP2405.htm</t>
        </is>
      </c>
      <c r="L128" s="147" t="inlineStr">
        <is>
          <t>循环经济</t>
        </is>
      </c>
    </row>
    <row r="129" ht="18" customHeight="1" s="235">
      <c r="A129" s="147" t="n">
        <v>2007</v>
      </c>
      <c r="B129" s="147" t="inlineStr">
        <is>
          <t>全国城市污水处理率</t>
        </is>
      </c>
      <c r="C129" s="147" t="inlineStr">
        <is>
          <t>达到</t>
        </is>
      </c>
      <c r="D129" s="147" t="inlineStr">
        <is>
          <t>70%</t>
        </is>
      </c>
      <c r="E129" s="147" t="n"/>
      <c r="F129" s="147" t="inlineStr">
        <is>
          <t>2010</t>
        </is>
      </c>
      <c r="G129" s="147" t="inlineStr">
        <is>
          <t>新目标</t>
        </is>
      </c>
      <c r="H129" s="147" t="inlineStr">
        <is>
          <t>污染控制</t>
        </is>
      </c>
      <c r="I129" s="147" t="inlineStr">
        <is>
          <t>城市</t>
        </is>
      </c>
      <c r="J129" s="147" t="inlineStr">
        <is>
          <t>到2010年，全国设市城市污水处理率不低于70%。</t>
        </is>
      </c>
      <c r="K129" s="149" t="inlineStr">
        <is>
          <t>WOP0701.htm</t>
        </is>
      </c>
      <c r="L129" s="147" t="inlineStr">
        <is>
          <t>循环经济</t>
        </is>
      </c>
    </row>
    <row r="130" ht="18" customHeight="1" s="235">
      <c r="A130" s="147" t="n">
        <v>2016</v>
      </c>
      <c r="B130" s="147" t="inlineStr">
        <is>
          <t>城市污水处理率</t>
        </is>
      </c>
      <c r="C130" s="147" t="inlineStr">
        <is>
          <t>达到</t>
        </is>
      </c>
      <c r="D130" s="147" t="inlineStr">
        <is>
          <t>95%</t>
        </is>
      </c>
      <c r="E130" s="147" t="n"/>
      <c r="F130" s="147" t="inlineStr">
        <is>
          <t>2020</t>
        </is>
      </c>
      <c r="G130" s="147" t="inlineStr">
        <is>
          <t>新目标</t>
        </is>
      </c>
      <c r="H130" s="147" t="inlineStr">
        <is>
          <t>污染控制</t>
        </is>
      </c>
      <c r="I130" s="147" t="inlineStr">
        <is>
          <t>城市</t>
        </is>
      </c>
      <c r="J130" s="147" t="inlineStr">
        <is>
          <t>到2020年，城市污水处理率分别达到95%左右。</t>
        </is>
      </c>
      <c r="K130" s="149" t="inlineStr">
        <is>
          <t>FYP1601.htm</t>
        </is>
      </c>
      <c r="L130" s="147" t="inlineStr">
        <is>
          <t>循环经济</t>
        </is>
      </c>
    </row>
    <row r="131" ht="18" customHeight="1" s="235">
      <c r="A131" s="147" t="n">
        <v>2016</v>
      </c>
      <c r="B131" s="147" t="inlineStr">
        <is>
          <t>县城污水处理率</t>
        </is>
      </c>
      <c r="C131" s="147" t="inlineStr">
        <is>
          <t>达到</t>
        </is>
      </c>
      <c r="D131" s="147" t="inlineStr">
        <is>
          <t>约85%</t>
        </is>
      </c>
      <c r="E131" s="147" t="n"/>
      <c r="F131" s="147" t="inlineStr">
        <is>
          <t>2020</t>
        </is>
      </c>
      <c r="G131" s="147" t="inlineStr">
        <is>
          <t>新目标</t>
        </is>
      </c>
      <c r="H131" s="147" t="inlineStr">
        <is>
          <t>污染控制</t>
        </is>
      </c>
      <c r="I131" s="147" t="inlineStr">
        <is>
          <t>城市</t>
        </is>
      </c>
      <c r="J131" s="147" t="inlineStr">
        <is>
          <t>到2020年，全国所有县城和重点镇具备污水处理能力，城市、县城污水处理率分别达到95%、85%左右。</t>
        </is>
      </c>
      <c r="K131" s="149" t="inlineStr">
        <is>
          <t>FYP1601.htm</t>
        </is>
      </c>
      <c r="L131" s="147" t="inlineStr">
        <is>
          <t>循环经济</t>
        </is>
      </c>
    </row>
    <row r="132" ht="18" customHeight="1" s="235">
      <c r="A132" s="147" t="n">
        <v>2013</v>
      </c>
      <c r="B132" s="147" t="inlineStr">
        <is>
          <t>城镇生活垃圾焚烧处理设施能力占无害化处理总能力的比例</t>
        </is>
      </c>
      <c r="C132" s="147" t="inlineStr">
        <is>
          <t>占比达到</t>
        </is>
      </c>
      <c r="D132" s="147" t="inlineStr">
        <is>
          <t>35%以上</t>
        </is>
      </c>
      <c r="E132" s="147" t="n"/>
      <c r="F132" s="147" t="inlineStr">
        <is>
          <t>2015</t>
        </is>
      </c>
      <c r="G132" s="147" t="inlineStr">
        <is>
          <t>新目标</t>
        </is>
      </c>
      <c r="H132" s="147" t="inlineStr">
        <is>
          <t>污染控制</t>
        </is>
      </c>
      <c r="I132" s="147" t="inlineStr">
        <is>
          <t>不明确</t>
        </is>
      </c>
      <c r="J132" s="147" t="inlineStr">
        <is>
          <t>到2015年，城镇生活垃圾焚烧处理设施能力达到无害化处理总能力的35%以上。</t>
        </is>
      </c>
      <c r="K132" s="149" t="inlineStr">
        <is>
          <t>O1302.htm</t>
        </is>
      </c>
      <c r="L132" s="147" t="inlineStr">
        <is>
          <t>循环经济</t>
        </is>
      </c>
    </row>
    <row r="133" ht="18" customHeight="1" s="235">
      <c r="A133" s="147" t="n">
        <v>2013</v>
      </c>
      <c r="B133" s="147" t="inlineStr">
        <is>
          <t>国家级工业园区实施循环化改造的比例</t>
        </is>
      </c>
      <c r="C133" s="147" t="inlineStr">
        <is>
          <t>达到</t>
        </is>
      </c>
      <c r="D133" s="147" t="inlineStr">
        <is>
          <t>50%</t>
        </is>
      </c>
      <c r="E133" s="147" t="n"/>
      <c r="F133" s="147" t="inlineStr">
        <is>
          <t>2017</t>
        </is>
      </c>
      <c r="G133" s="147" t="inlineStr">
        <is>
          <t>新目标</t>
        </is>
      </c>
      <c r="H133" s="147" t="inlineStr">
        <is>
          <t>循环利用</t>
        </is>
      </c>
      <c r="I133" s="147" t="inlineStr">
        <is>
          <t>全社会经济</t>
        </is>
      </c>
      <c r="J133" s="147" t="inlineStr">
        <is>
          <t>到2017年，在50%以上的各类国家级园区实施循环化改造</t>
        </is>
      </c>
      <c r="K133" s="149" t="inlineStr">
        <is>
          <t>AP1302.htm</t>
        </is>
      </c>
      <c r="L133" s="147" t="inlineStr">
        <is>
          <t>循环经济</t>
        </is>
      </c>
    </row>
    <row r="134" ht="18" customHeight="1" s="235">
      <c r="A134" s="147" t="n">
        <v>2016</v>
      </c>
      <c r="B134" s="147" t="inlineStr">
        <is>
          <t>国家级园区实施循环化改造的比例</t>
        </is>
      </c>
      <c r="C134" s="147" t="inlineStr">
        <is>
          <t>达到</t>
        </is>
      </c>
      <c r="D134" s="147" t="inlineStr">
        <is>
          <t>75%</t>
        </is>
      </c>
      <c r="E134" s="147" t="n"/>
      <c r="F134" s="147" t="inlineStr">
        <is>
          <t>2020</t>
        </is>
      </c>
      <c r="G134" s="147" t="inlineStr">
        <is>
          <t>新目标</t>
        </is>
      </c>
      <c r="H134" s="147" t="inlineStr">
        <is>
          <t>循环利用</t>
        </is>
      </c>
      <c r="I134" s="147" t="inlineStr">
        <is>
          <t>工业园区</t>
        </is>
      </c>
      <c r="J134" s="147" t="inlineStr">
        <is>
          <t>到2020年，75%的国家级园区实施循环化改造。</t>
        </is>
      </c>
      <c r="K134" s="149" t="inlineStr">
        <is>
          <t>FYP1601.htm</t>
        </is>
      </c>
      <c r="L134" s="147" t="inlineStr">
        <is>
          <t>循环经济</t>
        </is>
      </c>
    </row>
    <row r="135" ht="18" customHeight="1" s="235">
      <c r="A135" s="147" t="n">
        <v>2013</v>
      </c>
      <c r="B135" s="147" t="inlineStr">
        <is>
          <t>国家级园区循环化改造实施比例</t>
        </is>
      </c>
      <c r="C135" s="147" t="inlineStr">
        <is>
          <t>达到</t>
        </is>
      </c>
      <c r="D135" s="147" t="inlineStr">
        <is>
          <t>50%</t>
        </is>
      </c>
      <c r="E135" s="147" t="n"/>
      <c r="F135" s="147" t="inlineStr">
        <is>
          <t>2015</t>
        </is>
      </c>
      <c r="G135" s="147" t="inlineStr">
        <is>
          <t>新目标</t>
        </is>
      </c>
      <c r="H135" s="147" t="inlineStr">
        <is>
          <t>循环利用</t>
        </is>
      </c>
      <c r="I135" s="147" t="inlineStr">
        <is>
          <t>工业园区</t>
        </is>
      </c>
      <c r="J135" s="147" t="inlineStr">
        <is>
          <t>到2015年，50%以上的国家级园区实施了循环化改造。</t>
        </is>
      </c>
      <c r="K135" s="149" t="inlineStr">
        <is>
          <t>DP1301.htm</t>
        </is>
      </c>
      <c r="L135" s="147" t="inlineStr">
        <is>
          <t>循环经济</t>
        </is>
      </c>
    </row>
    <row r="136" ht="18" customHeight="1" s="235">
      <c r="A136" s="147" t="n">
        <v>2016</v>
      </c>
      <c r="B136" s="147" t="inlineStr">
        <is>
          <t>长江经济带省级及以上（含省级）重化工园区实施循环化改造的比例</t>
        </is>
      </c>
      <c r="C136" s="147" t="inlineStr">
        <is>
          <t>达到</t>
        </is>
      </c>
      <c r="D136" s="147" t="inlineStr">
        <is>
          <t>90%</t>
        </is>
      </c>
      <c r="E136" s="147" t="n"/>
      <c r="F136" s="147" t="inlineStr">
        <is>
          <t>2020</t>
        </is>
      </c>
      <c r="G136" s="147" t="inlineStr">
        <is>
          <t>新目标</t>
        </is>
      </c>
      <c r="H136" s="147" t="inlineStr">
        <is>
          <t>循环利用</t>
        </is>
      </c>
      <c r="I136" s="147" t="inlineStr">
        <is>
          <t>工业园区</t>
        </is>
      </c>
      <c r="J136" s="147" t="inlineStr">
        <is>
          <t>到2020年，长江经济带超过90%的省级以上（含省级）重化工园区实施循环化改造。</t>
        </is>
      </c>
      <c r="K136" s="149" t="inlineStr">
        <is>
          <t>FYP1601.htm</t>
        </is>
      </c>
      <c r="L136" s="147" t="inlineStr">
        <is>
          <t>循环经济</t>
        </is>
      </c>
    </row>
    <row r="137" ht="18" customHeight="1" s="235">
      <c r="A137" s="147" t="n">
        <v>2016</v>
      </c>
      <c r="B137" s="147" t="inlineStr">
        <is>
          <t>省级工业园区实施循环化改造的比例</t>
        </is>
      </c>
      <c r="C137" s="147" t="inlineStr">
        <is>
          <t>达到</t>
        </is>
      </c>
      <c r="D137" s="147" t="inlineStr">
        <is>
          <t>50%</t>
        </is>
      </c>
      <c r="E137" s="147" t="n"/>
      <c r="F137" s="147" t="inlineStr">
        <is>
          <t>2020</t>
        </is>
      </c>
      <c r="G137" s="147" t="inlineStr">
        <is>
          <t>新目标</t>
        </is>
      </c>
      <c r="H137" s="147" t="inlineStr">
        <is>
          <t>循环利用</t>
        </is>
      </c>
      <c r="I137" s="147" t="inlineStr">
        <is>
          <t>工业园区</t>
        </is>
      </c>
      <c r="J137" s="147" t="inlineStr">
        <is>
          <t>到2020年，50%的省级工业园区实施循环化改造。</t>
        </is>
      </c>
      <c r="K137" s="149" t="inlineStr">
        <is>
          <t>FYP1601.htm</t>
        </is>
      </c>
      <c r="L137" s="147" t="inlineStr">
        <is>
          <t>循环经济</t>
        </is>
      </c>
    </row>
    <row r="138" ht="18" customHeight="1" s="235">
      <c r="A138" s="147" t="n">
        <v>2013</v>
      </c>
      <c r="B138" s="147" t="inlineStr">
        <is>
          <t>省级产业园区实施循环化改造的比例</t>
        </is>
      </c>
      <c r="C138" s="147" t="inlineStr">
        <is>
          <t>达到</t>
        </is>
      </c>
      <c r="D138" s="147" t="inlineStr">
        <is>
          <t>30%</t>
        </is>
      </c>
      <c r="E138" s="147" t="n"/>
      <c r="F138" s="147" t="inlineStr">
        <is>
          <t>2015</t>
        </is>
      </c>
      <c r="G138" s="147" t="inlineStr">
        <is>
          <t>新目标</t>
        </is>
      </c>
      <c r="H138" s="147" t="inlineStr">
        <is>
          <t>循环利用</t>
        </is>
      </c>
      <c r="I138" s="147" t="inlineStr">
        <is>
          <t>工业园区</t>
        </is>
      </c>
      <c r="J138" s="147" t="inlineStr">
        <is>
          <t>到2015年，超过30%的省级产业园区将实施循环化改造。</t>
        </is>
      </c>
      <c r="K138" s="149" t="inlineStr">
        <is>
          <t>DP1301.htm</t>
        </is>
      </c>
      <c r="L138" s="147" t="inlineStr">
        <is>
          <t>循环经济</t>
        </is>
      </c>
    </row>
    <row r="139" ht="18" customHeight="1" s="235">
      <c r="A139" s="147" t="n">
        <v>2017</v>
      </c>
      <c r="B139" s="147" t="inlineStr">
        <is>
          <t>全国一、二类维修企业危险废弃物规范处置率</t>
        </is>
      </c>
      <c r="C139" s="147" t="inlineStr">
        <is>
          <t>达到</t>
        </is>
      </c>
      <c r="D139" s="147" t="inlineStr">
        <is>
          <t>95%</t>
        </is>
      </c>
      <c r="E139" s="147" t="n"/>
      <c r="F139" s="147" t="inlineStr">
        <is>
          <t>2020</t>
        </is>
      </c>
      <c r="G139" s="147" t="inlineStr">
        <is>
          <t>新目标</t>
        </is>
      </c>
      <c r="H139" s="147" t="inlineStr">
        <is>
          <t>污染控制</t>
        </is>
      </c>
      <c r="I139" s="147" t="inlineStr">
        <is>
          <t>不明确</t>
        </is>
      </c>
      <c r="J139" s="147" t="inlineStr">
        <is>
          <t>到2020年，全国一、二类维修企业的危险废弃物规范处置率达到95%以上。</t>
        </is>
      </c>
      <c r="K139" s="149" t="inlineStr">
        <is>
          <t>IP1701.htm</t>
        </is>
      </c>
      <c r="L139" s="147" t="inlineStr">
        <is>
          <t>循环经济</t>
        </is>
      </c>
    </row>
    <row r="140" ht="18" customHeight="1" s="235">
      <c r="A140" s="147" t="n">
        <v>2013</v>
      </c>
      <c r="B140" s="147" t="inlineStr">
        <is>
          <t>主要再生资源利用总量</t>
        </is>
      </c>
      <c r="C140" s="147" t="inlineStr">
        <is>
          <t>达到</t>
        </is>
      </c>
      <c r="D140" s="147" t="inlineStr">
        <is>
          <t>2.66亿吨</t>
        </is>
      </c>
      <c r="E140" s="147" t="n"/>
      <c r="F140" s="147" t="inlineStr">
        <is>
          <t>2015</t>
        </is>
      </c>
      <c r="G140" s="147" t="inlineStr">
        <is>
          <t>新目标</t>
        </is>
      </c>
      <c r="H140" s="147" t="inlineStr">
        <is>
          <t>循环利用</t>
        </is>
      </c>
      <c r="I140" s="147" t="inlineStr">
        <is>
          <t>全社会经济</t>
        </is>
      </c>
      <c r="J140" s="147" t="inlineStr">
        <is>
          <t>到2015年，主要再生资源利用总量达到2.66亿吨。</t>
        </is>
      </c>
      <c r="K140" s="149" t="inlineStr">
        <is>
          <t>DP1301.htm</t>
        </is>
      </c>
      <c r="L140" s="147" t="inlineStr">
        <is>
          <t>循环经济</t>
        </is>
      </c>
    </row>
    <row r="141" ht="18" customHeight="1" s="235">
      <c r="A141" s="147" t="n">
        <v>2013</v>
      </c>
      <c r="B141" s="147" t="inlineStr">
        <is>
          <t>纺织纤维再利用总量</t>
        </is>
      </c>
      <c r="C141" s="147" t="inlineStr">
        <is>
          <t>达到</t>
        </is>
      </c>
      <c r="D141" s="147" t="inlineStr">
        <is>
          <t>800万吨</t>
        </is>
      </c>
      <c r="E141" s="147" t="n"/>
      <c r="F141" s="147" t="inlineStr">
        <is>
          <t>2015</t>
        </is>
      </c>
      <c r="G141" s="147" t="inlineStr">
        <is>
          <t>新目标</t>
        </is>
      </c>
      <c r="H141" s="147" t="inlineStr">
        <is>
          <t>循环利用</t>
        </is>
      </c>
      <c r="I141" s="147" t="inlineStr">
        <is>
          <t>全社会经济</t>
        </is>
      </c>
      <c r="J141" s="147" t="inlineStr">
        <is>
          <t>到2015年，纺织行业纺织纤维再利用总量达到800万吨。</t>
        </is>
      </c>
      <c r="K141" s="149" t="inlineStr">
        <is>
          <t>DP1301.htm</t>
        </is>
      </c>
      <c r="L141" s="147" t="inlineStr">
        <is>
          <t>循环经济</t>
        </is>
      </c>
    </row>
    <row r="142" ht="18" customHeight="1" s="235">
      <c r="A142" s="147" t="n">
        <v>2024</v>
      </c>
      <c r="B142" s="147" t="inlineStr">
        <is>
          <t>全国用水总量</t>
        </is>
      </c>
      <c r="C142" s="147" t="inlineStr">
        <is>
          <t>控制在…以内</t>
        </is>
      </c>
      <c r="D142" s="147" t="inlineStr">
        <is>
          <t>6400亿立方米</t>
        </is>
      </c>
      <c r="E142" s="147" t="n"/>
      <c r="F142" s="151" t="inlineStr">
        <is>
          <t>2025</t>
        </is>
      </c>
      <c r="G142" s="147" t="inlineStr">
        <is>
          <t>新目标</t>
        </is>
      </c>
      <c r="H142" s="147" t="inlineStr">
        <is>
          <t>资源效率</t>
        </is>
      </c>
      <c r="I142" s="147" t="inlineStr">
        <is>
          <t>全社会经济</t>
        </is>
      </c>
      <c r="J142" s="147" t="inlineStr">
        <is>
          <t>到2025年，全国用水总量控制在6400亿立方米以内。</t>
        </is>
      </c>
      <c r="K142" s="149" t="inlineStr">
        <is>
          <t>HL2401.pdf</t>
        </is>
      </c>
      <c r="L142" s="147" t="inlineStr">
        <is>
          <t>循环经济</t>
        </is>
      </c>
    </row>
    <row r="143" ht="18" customHeight="1" s="235">
      <c r="A143" s="148" t="n">
        <v>2019</v>
      </c>
      <c r="B143" s="148" t="inlineStr">
        <is>
          <t>全国用水总量</t>
        </is>
      </c>
      <c r="C143" s="148" t="inlineStr">
        <is>
          <t>控制在…以内</t>
        </is>
      </c>
      <c r="D143" s="148" t="inlineStr">
        <is>
          <t>6700亿立方米</t>
        </is>
      </c>
      <c r="E143" s="148" t="n"/>
      <c r="F143" s="154" t="inlineStr">
        <is>
          <t>2020</t>
        </is>
      </c>
      <c r="G143" s="148" t="inlineStr">
        <is>
          <t>新目标</t>
        </is>
      </c>
      <c r="H143" s="147" t="inlineStr">
        <is>
          <t>资源效率</t>
        </is>
      </c>
      <c r="I143" s="148" t="inlineStr">
        <is>
          <t>全社会经济</t>
        </is>
      </c>
      <c r="J143" s="148" t="inlineStr">
        <is>
          <t>到2020年，全国用水总量控制在6700亿立方米以内。</t>
        </is>
      </c>
      <c r="K143" s="150" t="inlineStr">
        <is>
          <t>HL1902.pdf</t>
        </is>
      </c>
      <c r="L143" s="147" t="inlineStr">
        <is>
          <t>循环经济</t>
        </is>
      </c>
    </row>
    <row r="144" ht="18" customHeight="1" s="235">
      <c r="A144" s="148" t="n">
        <v>2015</v>
      </c>
      <c r="B144" s="147" t="inlineStr">
        <is>
          <t>全国用水总量</t>
        </is>
      </c>
      <c r="C144" s="148" t="inlineStr">
        <is>
          <t>控制在…以内</t>
        </is>
      </c>
      <c r="D144" s="148" t="inlineStr">
        <is>
          <t>6700亿立方米以内</t>
        </is>
      </c>
      <c r="E144" s="148" t="n"/>
      <c r="F144" s="154" t="inlineStr">
        <is>
          <t>2020</t>
        </is>
      </c>
      <c r="G144" s="148" t="inlineStr">
        <is>
          <t>重申目标</t>
        </is>
      </c>
      <c r="H144" s="147" t="inlineStr">
        <is>
          <t>资源效率</t>
        </is>
      </c>
      <c r="I144" s="147" t="inlineStr">
        <is>
          <t>全社会经济</t>
        </is>
      </c>
      <c r="J144" s="148" t="inlineStr">
        <is>
          <t>到2020年，用水总量力争控制在6700亿立方米以内</t>
        </is>
      </c>
      <c r="K144" s="150" t="inlineStr">
        <is>
          <t>HL1503.htm</t>
        </is>
      </c>
      <c r="L144" s="147" t="inlineStr">
        <is>
          <t>循环经济</t>
        </is>
      </c>
    </row>
    <row r="145" ht="18" customHeight="1" s="235">
      <c r="A145" s="148" t="n">
        <v>2018</v>
      </c>
      <c r="B145" s="147" t="inlineStr">
        <is>
          <t>全国用水总量</t>
        </is>
      </c>
      <c r="C145" s="148" t="inlineStr">
        <is>
          <t>控制在…以内</t>
        </is>
      </c>
      <c r="D145" s="148" t="inlineStr">
        <is>
          <t>6700亿立方米以内</t>
        </is>
      </c>
      <c r="E145" s="148" t="n"/>
      <c r="F145" s="154" t="inlineStr">
        <is>
          <t>2020</t>
        </is>
      </c>
      <c r="G145" s="148" t="inlineStr">
        <is>
          <t>重申目标</t>
        </is>
      </c>
      <c r="H145" s="147" t="inlineStr">
        <is>
          <t>资源效率</t>
        </is>
      </c>
      <c r="I145" s="148" t="inlineStr">
        <is>
          <t>全社会经济</t>
        </is>
      </c>
      <c r="J145" s="148" t="inlineStr">
        <is>
          <t>到2020年，全国用水总量控制在6700亿立方米以内。</t>
        </is>
      </c>
      <c r="K145" s="148" t="inlineStr">
        <is>
          <t>O1802.htm</t>
        </is>
      </c>
      <c r="L145" s="147" t="inlineStr">
        <is>
          <t>循环经济</t>
        </is>
      </c>
    </row>
    <row r="146" ht="18" customHeight="1" s="235">
      <c r="A146" s="148" t="n">
        <v>2013</v>
      </c>
      <c r="B146" s="147" t="inlineStr">
        <is>
          <t>设施渔业养殖废水处理与综合利用率</t>
        </is>
      </c>
      <c r="C146" s="148" t="inlineStr">
        <is>
          <t>达到</t>
        </is>
      </c>
      <c r="D146" s="148" t="inlineStr">
        <is>
          <t>80%</t>
        </is>
      </c>
      <c r="E146" s="148" t="n"/>
      <c r="F146" s="148" t="inlineStr">
        <is>
          <t>2015</t>
        </is>
      </c>
      <c r="G146" s="148" t="inlineStr">
        <is>
          <t>新目标</t>
        </is>
      </c>
      <c r="H146" s="147" t="inlineStr">
        <is>
          <t>循环利用</t>
        </is>
      </c>
      <c r="I146" s="147" t="inlineStr">
        <is>
          <t>行业</t>
        </is>
      </c>
      <c r="J146" s="148" t="inlineStr">
        <is>
          <t>到2015年，设施渔业养殖废水处理与综合利用率达80%以上。</t>
        </is>
      </c>
      <c r="K146" s="150" t="inlineStr">
        <is>
          <t>DP1301.htm</t>
        </is>
      </c>
      <c r="L146" s="147" t="inlineStr">
        <is>
          <t>循环经济</t>
        </is>
      </c>
    </row>
    <row r="147" ht="18" customHeight="1" s="235">
      <c r="A147" s="148" t="n">
        <v>2026</v>
      </c>
      <c r="B147" s="147" t="inlineStr">
        <is>
          <t>历史遗留固体废物堆存场所治理</t>
        </is>
      </c>
      <c r="C147" s="148" t="inlineStr">
        <is>
          <t>完成</t>
        </is>
      </c>
      <c r="D147" s="148" t="inlineStr">
        <is>
          <t>60%以上</t>
        </is>
      </c>
      <c r="E147" s="148" t="n"/>
      <c r="F147" s="154" t="n">
        <v>2030</v>
      </c>
      <c r="G147" s="148" t="inlineStr">
        <is>
          <t>新目标</t>
        </is>
      </c>
      <c r="H147" s="147" t="inlineStr">
        <is>
          <t>污染控制</t>
        </is>
      </c>
      <c r="I147" s="147" t="inlineStr">
        <is>
          <t>全社会经济</t>
        </is>
      </c>
      <c r="J147" s="148" t="inlineStr">
        <is>
          <t>到2030年，完成全国60%以上的历史遗留固体废物堆存场所治理。</t>
        </is>
      </c>
      <c r="K147" s="150" t="inlineStr">
        <is>
          <t>AP2602.htm</t>
        </is>
      </c>
      <c r="L147" s="147" t="inlineStr">
        <is>
          <t>循环经济</t>
        </is>
      </c>
    </row>
    <row r="148" ht="18" customHeight="1" s="235">
      <c r="A148" s="148" t="n">
        <v>2012</v>
      </c>
      <c r="B148" s="147" t="inlineStr">
        <is>
          <t>城市污水处理率</t>
        </is>
      </c>
      <c r="C148" s="148" t="inlineStr">
        <is>
          <t>达到</t>
        </is>
      </c>
      <c r="D148" s="148" t="inlineStr">
        <is>
          <t>85%</t>
        </is>
      </c>
      <c r="E148" s="148" t="n"/>
      <c r="F148" s="148" t="inlineStr">
        <is>
          <t>2015</t>
        </is>
      </c>
      <c r="G148" s="148" t="inlineStr">
        <is>
          <t>新目标</t>
        </is>
      </c>
      <c r="H148" s="147" t="inlineStr">
        <is>
          <t>污染控制</t>
        </is>
      </c>
      <c r="I148" s="148" t="inlineStr">
        <is>
          <t>城市</t>
        </is>
      </c>
      <c r="J148" s="148" t="inlineStr">
        <is>
          <t>到2015年，城市污水处理率达到85%。</t>
        </is>
      </c>
      <c r="K148" s="150" t="inlineStr">
        <is>
          <t>FYP1201.htm</t>
        </is>
      </c>
      <c r="L148" s="147" t="inlineStr">
        <is>
          <t>循环经济</t>
        </is>
      </c>
    </row>
    <row r="149" ht="18" customHeight="1" s="235">
      <c r="A149" s="148" t="n">
        <v>2026</v>
      </c>
      <c r="B149" s="147" t="inlineStr">
        <is>
          <t>废旧光伏组件综合利用量</t>
        </is>
      </c>
      <c r="C149" s="148" t="inlineStr">
        <is>
          <t>达到</t>
        </is>
      </c>
      <c r="D149" s="148" t="inlineStr">
        <is>
          <t>25万吨</t>
        </is>
      </c>
      <c r="E149" s="148" t="n"/>
      <c r="F149" s="154" t="n">
        <v>2027</v>
      </c>
      <c r="G149" s="148" t="inlineStr">
        <is>
          <t>新目标</t>
        </is>
      </c>
      <c r="H149" s="147" t="inlineStr">
        <is>
          <t>循环利用</t>
        </is>
      </c>
      <c r="I149" s="147" t="inlineStr">
        <is>
          <t>行业</t>
        </is>
      </c>
      <c r="J149" s="148" t="inlineStr">
        <is>
          <t>到2027年，废旧光伏组件综合利用量累计达到25万吨。</t>
        </is>
      </c>
      <c r="K149" s="150" t="inlineStr">
        <is>
          <t>GO2603.htm</t>
        </is>
      </c>
      <c r="L149" s="147" t="inlineStr">
        <is>
          <t>循环经济</t>
        </is>
      </c>
    </row>
    <row r="150" ht="18" customHeight="1" s="235">
      <c r="A150" s="147" t="n">
        <v>2016</v>
      </c>
      <c r="B150" s="147" t="inlineStr">
        <is>
          <t>大宗工业固体废物综合利用率</t>
        </is>
      </c>
      <c r="C150" s="147" t="inlineStr">
        <is>
          <t>达到</t>
        </is>
      </c>
      <c r="D150" s="147" t="inlineStr">
        <is>
          <t>21亿吨</t>
        </is>
      </c>
      <c r="E150" s="147" t="n"/>
      <c r="F150" s="147" t="inlineStr">
        <is>
          <t>2020</t>
        </is>
      </c>
      <c r="G150" s="147" t="inlineStr">
        <is>
          <t>新目标</t>
        </is>
      </c>
      <c r="H150" s="147" t="inlineStr">
        <is>
          <t>循环利用</t>
        </is>
      </c>
      <c r="I150" s="147" t="inlineStr">
        <is>
          <t>行业</t>
        </is>
      </c>
      <c r="J150" s="147" t="inlineStr">
        <is>
          <t>到2020年，大宗工业固体废物综合利用量达到21亿吨</t>
        </is>
      </c>
      <c r="K150" s="149" t="inlineStr">
        <is>
          <t>DP1601.htm</t>
        </is>
      </c>
      <c r="L150" s="147" t="inlineStr">
        <is>
          <t>循环经济</t>
        </is>
      </c>
    </row>
    <row r="151" ht="18" customHeight="1" s="235">
      <c r="A151" s="147" t="n">
        <v>2007</v>
      </c>
      <c r="B151" s="147" t="inlineStr">
        <is>
          <t>重点行业矿井水利用量</t>
        </is>
      </c>
      <c r="C151" s="147" t="inlineStr">
        <is>
          <t>提高</t>
        </is>
      </c>
      <c r="D151" s="147" t="inlineStr">
        <is>
          <t>26亿立方米</t>
        </is>
      </c>
      <c r="E151" s="147" t="n"/>
      <c r="F151" s="147" t="inlineStr">
        <is>
          <t>十一五</t>
        </is>
      </c>
      <c r="G151" s="147" t="inlineStr">
        <is>
          <t>新目标</t>
        </is>
      </c>
      <c r="H151" s="147" t="inlineStr">
        <is>
          <t>循环利用</t>
        </is>
      </c>
      <c r="I151" s="147" t="inlineStr">
        <is>
          <t>行业</t>
        </is>
      </c>
      <c r="J151" s="147" t="inlineStr">
        <is>
          <t>到2010年，“十一五”期间重点行业矿井水利用量增加26亿立方米。</t>
        </is>
      </c>
      <c r="K151" s="149" t="inlineStr">
        <is>
          <t>WOP0701.htm</t>
        </is>
      </c>
      <c r="L151" s="147" t="inlineStr">
        <is>
          <t>循环经济</t>
        </is>
      </c>
    </row>
    <row r="152" ht="18" customHeight="1" s="235">
      <c r="A152" s="147" t="n">
        <v>2007</v>
      </c>
      <c r="B152" s="147" t="inlineStr">
        <is>
          <t>重点行业矿井水利用量</t>
        </is>
      </c>
      <c r="C152" s="147" t="inlineStr">
        <is>
          <t>提高</t>
        </is>
      </c>
      <c r="D152" s="147" t="inlineStr">
        <is>
          <t>5亿立方米</t>
        </is>
      </c>
      <c r="E152" s="147" t="n"/>
      <c r="F152" s="151" t="n">
        <v>2010</v>
      </c>
      <c r="G152" s="147" t="inlineStr">
        <is>
          <t>新目标</t>
        </is>
      </c>
      <c r="H152" s="147" t="inlineStr">
        <is>
          <t>循环利用</t>
        </is>
      </c>
      <c r="I152" s="147" t="inlineStr">
        <is>
          <t>行业</t>
        </is>
      </c>
      <c r="J152" s="147" t="inlineStr">
        <is>
          <t>2010年，重点行业矿井水利用量增加5亿立方米。</t>
        </is>
      </c>
      <c r="K152" s="149" t="inlineStr">
        <is>
          <t>WOP0701.htm</t>
        </is>
      </c>
      <c r="L152" s="147" t="inlineStr">
        <is>
          <t>循环经济</t>
        </is>
      </c>
    </row>
    <row r="153" ht="18" customHeight="1" s="235">
      <c r="A153" s="148" t="n">
        <v>2017</v>
      </c>
      <c r="B153" s="147" t="inlineStr">
        <is>
          <t>养殖废弃物综合利用率</t>
        </is>
      </c>
      <c r="C153" s="148" t="inlineStr">
        <is>
          <t>达到</t>
        </is>
      </c>
      <c r="D153" s="148" t="inlineStr">
        <is>
          <t>75%</t>
        </is>
      </c>
      <c r="E153" s="148" t="n"/>
      <c r="F153" s="148" t="inlineStr">
        <is>
          <t>2020</t>
        </is>
      </c>
      <c r="G153" s="148" t="inlineStr">
        <is>
          <t>新目标</t>
        </is>
      </c>
      <c r="H153" s="147" t="inlineStr">
        <is>
          <t>循环利用</t>
        </is>
      </c>
      <c r="I153" s="147" t="inlineStr">
        <is>
          <t>行业</t>
        </is>
      </c>
      <c r="J153" s="148" t="inlineStr">
        <is>
          <t>到2020年，养殖废弃物综合利用率达到75%。</t>
        </is>
      </c>
      <c r="K153" s="150" t="inlineStr">
        <is>
          <t>O1702.htm</t>
        </is>
      </c>
      <c r="L153" s="147" t="inlineStr">
        <is>
          <t>循环经济</t>
        </is>
      </c>
    </row>
    <row r="154" ht="18" customHeight="1" s="235">
      <c r="A154" s="147" t="n">
        <v>2024</v>
      </c>
      <c r="B154" s="147" t="inlineStr">
        <is>
          <t>大宗工业固废综合利用率</t>
        </is>
      </c>
      <c r="C154" s="147" t="inlineStr">
        <is>
          <t>达到</t>
        </is>
      </c>
      <c r="D154" s="147" t="inlineStr">
        <is>
          <t>62%</t>
        </is>
      </c>
      <c r="E154" s="147" t="n"/>
      <c r="F154" s="147" t="inlineStr">
        <is>
          <t>2030</t>
        </is>
      </c>
      <c r="G154" s="147" t="inlineStr">
        <is>
          <t>新目标</t>
        </is>
      </c>
      <c r="H154" s="147" t="inlineStr">
        <is>
          <t>循环利用</t>
        </is>
      </c>
      <c r="I154" s="147" t="inlineStr">
        <is>
          <t>行业</t>
        </is>
      </c>
      <c r="J154" s="147" t="inlineStr">
        <is>
          <t>到2030年，大宗工业固废综合利用率达到62%。</t>
        </is>
      </c>
      <c r="K154" s="149" t="inlineStr">
        <is>
          <t>GO2401.htm</t>
        </is>
      </c>
      <c r="L154" s="147" t="inlineStr">
        <is>
          <t>循环经济</t>
        </is>
      </c>
    </row>
    <row r="155" ht="18" customHeight="1" s="235">
      <c r="A155" s="152" t="n">
        <v>2021</v>
      </c>
      <c r="B155" s="147" t="inlineStr">
        <is>
          <t>大宗固废综合利用率</t>
        </is>
      </c>
      <c r="C155" s="147" t="inlineStr">
        <is>
          <t>达到</t>
        </is>
      </c>
      <c r="D155" s="152" t="inlineStr">
        <is>
          <t>60%</t>
        </is>
      </c>
      <c r="E155" s="152" t="n"/>
      <c r="F155" s="151" t="inlineStr">
        <is>
          <t>2025</t>
        </is>
      </c>
      <c r="G155" s="152" t="inlineStr">
        <is>
          <t>新目标</t>
        </is>
      </c>
      <c r="H155" s="147" t="inlineStr">
        <is>
          <t>循环利用</t>
        </is>
      </c>
      <c r="I155" s="147" t="inlineStr">
        <is>
          <t>行业</t>
        </is>
      </c>
      <c r="J155" s="152" t="inlineStr">
        <is>
          <t>到2025年，大宗固废综合利用率达到60%。</t>
        </is>
      </c>
      <c r="K155" s="153" t="inlineStr">
        <is>
          <t>FYP2115.pdf</t>
        </is>
      </c>
      <c r="L155" s="147" t="inlineStr">
        <is>
          <t>循环经济</t>
        </is>
      </c>
    </row>
    <row r="156" ht="18" customHeight="1" s="235">
      <c r="A156" s="156" t="n">
        <v>2021</v>
      </c>
      <c r="B156" s="147" t="inlineStr">
        <is>
          <t>建筑垃圾综合利用率</t>
        </is>
      </c>
      <c r="C156" s="147" t="inlineStr">
        <is>
          <t>达到</t>
        </is>
      </c>
      <c r="D156" s="156" t="inlineStr">
        <is>
          <t>60%</t>
        </is>
      </c>
      <c r="E156" s="156" t="n"/>
      <c r="F156" s="154" t="inlineStr">
        <is>
          <t>2025</t>
        </is>
      </c>
      <c r="G156" s="156" t="inlineStr">
        <is>
          <t>新目标</t>
        </is>
      </c>
      <c r="H156" s="147" t="inlineStr">
        <is>
          <t>循环利用</t>
        </is>
      </c>
      <c r="I156" s="147" t="inlineStr">
        <is>
          <t>行业</t>
        </is>
      </c>
      <c r="J156" s="156" t="inlineStr">
        <is>
          <t>到2025年，建筑垃圾综合利用率达到60%。</t>
        </is>
      </c>
      <c r="K156" s="157" t="inlineStr">
        <is>
          <t>FYP2115.pdf</t>
        </is>
      </c>
      <c r="L156" s="147" t="inlineStr">
        <is>
          <t>循环经济</t>
        </is>
      </c>
    </row>
    <row r="157" ht="18" customHeight="1" s="235">
      <c r="A157" s="148" t="n">
        <v>2016</v>
      </c>
      <c r="B157" s="147" t="inlineStr">
        <is>
          <t>切削材料利用率</t>
        </is>
      </c>
      <c r="C157" s="148" t="inlineStr">
        <is>
          <t>提高</t>
        </is>
      </c>
      <c r="D157" s="148" t="inlineStr">
        <is>
          <t>10个百分点</t>
        </is>
      </c>
      <c r="E157" s="148" t="n">
        <v>2015</v>
      </c>
      <c r="F157" s="148" t="inlineStr">
        <is>
          <t>2020</t>
        </is>
      </c>
      <c r="G157" s="148" t="inlineStr">
        <is>
          <t>新目标</t>
        </is>
      </c>
      <c r="H157" s="147" t="inlineStr">
        <is>
          <t>资源效率</t>
        </is>
      </c>
      <c r="I157" s="147" t="inlineStr">
        <is>
          <t>行业</t>
        </is>
      </c>
      <c r="J157" s="148" t="inlineStr">
        <is>
          <t>到2020年，切削材料利用率提升10个百分点。</t>
        </is>
      </c>
      <c r="K157" s="150" t="inlineStr">
        <is>
          <t>DP1601.htm</t>
        </is>
      </c>
      <c r="L157" s="147" t="inlineStr">
        <is>
          <t>循环经济</t>
        </is>
      </c>
    </row>
    <row r="158" ht="18" customHeight="1" s="235">
      <c r="A158" s="148" t="n">
        <v>2017</v>
      </c>
      <c r="B158" s="147" t="inlineStr">
        <is>
          <t>化肥和农药利用率</t>
        </is>
      </c>
      <c r="C158" s="148" t="inlineStr">
        <is>
          <t>达到</t>
        </is>
      </c>
      <c r="D158" s="148" t="inlineStr">
        <is>
          <t>40%</t>
        </is>
      </c>
      <c r="E158" s="148" t="n"/>
      <c r="F158" s="147" t="inlineStr">
        <is>
          <t>2020</t>
        </is>
      </c>
      <c r="G158" s="148" t="inlineStr">
        <is>
          <t>新目标</t>
        </is>
      </c>
      <c r="H158" s="147" t="inlineStr">
        <is>
          <t>环境质量</t>
        </is>
      </c>
      <c r="I158" s="147" t="inlineStr">
        <is>
          <t>行业</t>
        </is>
      </c>
      <c r="J158" s="148" t="inlineStr">
        <is>
          <t>到2020年，化肥和农药利用率达到40%。</t>
        </is>
      </c>
      <c r="K158" s="150" t="inlineStr">
        <is>
          <t>O1702.htm</t>
        </is>
      </c>
      <c r="L158" s="147" t="inlineStr">
        <is>
          <t>循环经济</t>
        </is>
      </c>
    </row>
    <row r="159" ht="18" customHeight="1" s="235">
      <c r="A159" s="147" t="n">
        <v>2013</v>
      </c>
      <c r="B159" s="147" t="inlineStr">
        <is>
          <t>粉煤灰综合利用率</t>
        </is>
      </c>
      <c r="C159" s="147" t="inlineStr">
        <is>
          <t>达到</t>
        </is>
      </c>
      <c r="D159" s="147" t="inlineStr">
        <is>
          <t>70%</t>
        </is>
      </c>
      <c r="E159" s="148" t="n"/>
      <c r="F159" s="147" t="inlineStr">
        <is>
          <t>2015</t>
        </is>
      </c>
      <c r="G159" s="147" t="inlineStr">
        <is>
          <t>新目标</t>
        </is>
      </c>
      <c r="H159" s="147" t="inlineStr">
        <is>
          <t>循环利用</t>
        </is>
      </c>
      <c r="I159" s="147" t="inlineStr">
        <is>
          <t>行业</t>
        </is>
      </c>
      <c r="J159" s="147" t="inlineStr">
        <is>
          <t>到2015年，粉煤灰综合利用率达到70%。</t>
        </is>
      </c>
      <c r="K159" s="149" t="inlineStr">
        <is>
          <t>DP1301.htm</t>
        </is>
      </c>
      <c r="L159" s="147" t="inlineStr">
        <is>
          <t>循环经济</t>
        </is>
      </c>
    </row>
    <row r="160" ht="18" customHeight="1" s="235">
      <c r="A160" s="148" t="n">
        <v>2016</v>
      </c>
      <c r="B160" s="147" t="inlineStr">
        <is>
          <t>粉煤灰综合利用率</t>
        </is>
      </c>
      <c r="C160" s="148" t="inlineStr">
        <is>
          <t>达到</t>
        </is>
      </c>
      <c r="D160" s="148" t="inlineStr">
        <is>
          <t>75%</t>
        </is>
      </c>
      <c r="E160" s="148" t="n"/>
      <c r="F160" s="147" t="inlineStr">
        <is>
          <t>2020</t>
        </is>
      </c>
      <c r="G160" s="147" t="inlineStr">
        <is>
          <t>新目标</t>
        </is>
      </c>
      <c r="H160" s="147" t="inlineStr">
        <is>
          <t>循环利用</t>
        </is>
      </c>
      <c r="I160" s="147" t="inlineStr">
        <is>
          <t>行业</t>
        </is>
      </c>
      <c r="J160" s="148" t="inlineStr">
        <is>
          <t>到2020年，粉煤灰综合利用率达到75%。</t>
        </is>
      </c>
      <c r="K160" s="150" t="inlineStr">
        <is>
          <t>DP1601.htm</t>
        </is>
      </c>
      <c r="L160" s="147" t="inlineStr">
        <is>
          <t>循环经济</t>
        </is>
      </c>
    </row>
    <row r="161" ht="18" customHeight="1" s="235">
      <c r="A161" s="148" t="n">
        <v>2013</v>
      </c>
      <c r="B161" s="147" t="inlineStr">
        <is>
          <t>食品工业副产品综合利用率</t>
        </is>
      </c>
      <c r="C161" s="148" t="inlineStr">
        <is>
          <t>提高至</t>
        </is>
      </c>
      <c r="D161" s="148" t="inlineStr">
        <is>
          <t>80%以上</t>
        </is>
      </c>
      <c r="E161" s="148" t="n"/>
      <c r="F161" s="147" t="inlineStr">
        <is>
          <t>2015</t>
        </is>
      </c>
      <c r="G161" s="147" t="inlineStr">
        <is>
          <t>新目标</t>
        </is>
      </c>
      <c r="H161" s="147" t="inlineStr">
        <is>
          <t>循环利用</t>
        </is>
      </c>
      <c r="I161" s="147" t="inlineStr">
        <is>
          <t>行业</t>
        </is>
      </c>
      <c r="J161" s="148" t="inlineStr">
        <is>
          <t>到2015年，食品工业副产品综合利用率提高到80%以上。</t>
        </is>
      </c>
      <c r="K161" s="150" t="inlineStr">
        <is>
          <t>DP1301.htm</t>
        </is>
      </c>
      <c r="L161" s="147" t="inlineStr">
        <is>
          <t>循环经济</t>
        </is>
      </c>
    </row>
    <row r="162" ht="18" customHeight="1" s="235">
      <c r="A162" s="148" t="n">
        <v>2013</v>
      </c>
      <c r="B162" s="147" t="inlineStr">
        <is>
          <t>林业“三剩物”综合利用率</t>
        </is>
      </c>
      <c r="C162" s="148" t="inlineStr">
        <is>
          <t>达到</t>
        </is>
      </c>
      <c r="D162" s="148" t="inlineStr">
        <is>
          <t>80%</t>
        </is>
      </c>
      <c r="E162" s="148" t="n"/>
      <c r="F162" s="147" t="inlineStr">
        <is>
          <t>2015</t>
        </is>
      </c>
      <c r="G162" s="147" t="inlineStr">
        <is>
          <t>新目标</t>
        </is>
      </c>
      <c r="H162" s="147" t="inlineStr">
        <is>
          <t>循环利用</t>
        </is>
      </c>
      <c r="I162" s="147" t="inlineStr">
        <is>
          <t>行业</t>
        </is>
      </c>
      <c r="J162" s="148" t="inlineStr">
        <is>
          <t>到2015年，林业“三剩物”综合利用率达到80%以上。</t>
        </is>
      </c>
      <c r="K162" s="150" t="inlineStr">
        <is>
          <t>DP1301.htm</t>
        </is>
      </c>
      <c r="L162" s="147" t="inlineStr">
        <is>
          <t>循环经济</t>
        </is>
      </c>
    </row>
    <row r="163" ht="18" customHeight="1" s="235">
      <c r="A163" s="148" t="n">
        <v>2016</v>
      </c>
      <c r="B163" s="147" t="inlineStr">
        <is>
          <t>锻造材料利用率</t>
        </is>
      </c>
      <c r="C163" s="148" t="inlineStr">
        <is>
          <t>提高</t>
        </is>
      </c>
      <c r="D163" s="148" t="inlineStr">
        <is>
          <t>10%</t>
        </is>
      </c>
      <c r="E163" s="148" t="n">
        <v>2015</v>
      </c>
      <c r="F163" s="147" t="inlineStr">
        <is>
          <t>2020</t>
        </is>
      </c>
      <c r="G163" s="147" t="inlineStr">
        <is>
          <t>新目标</t>
        </is>
      </c>
      <c r="H163" s="147" t="inlineStr">
        <is>
          <t>资源效率</t>
        </is>
      </c>
      <c r="I163" s="147" t="inlineStr">
        <is>
          <t>行业</t>
        </is>
      </c>
      <c r="J163" s="148" t="inlineStr">
        <is>
          <t>到2020年，锻造材料利用率提高10%。</t>
        </is>
      </c>
      <c r="K163" s="150" t="inlineStr">
        <is>
          <t>DP1601.htm</t>
        </is>
      </c>
      <c r="L163" s="147" t="inlineStr">
        <is>
          <t>循环经济</t>
        </is>
      </c>
    </row>
    <row r="164" ht="18" customHeight="1" s="235">
      <c r="A164" s="148" t="n">
        <v>2016</v>
      </c>
      <c r="B164" s="147" t="inlineStr">
        <is>
          <t>工业固体废物综合利用率</t>
        </is>
      </c>
      <c r="C164" s="148" t="inlineStr">
        <is>
          <t>达到</t>
        </is>
      </c>
      <c r="D164" s="148" t="inlineStr">
        <is>
          <t>73%以上</t>
        </is>
      </c>
      <c r="E164" s="148" t="n"/>
      <c r="F164" s="147" t="inlineStr">
        <is>
          <t>2020</t>
        </is>
      </c>
      <c r="G164" s="147" t="inlineStr">
        <is>
          <t>新目标</t>
        </is>
      </c>
      <c r="H164" s="147" t="inlineStr">
        <is>
          <t>循环利用</t>
        </is>
      </c>
      <c r="I164" s="147" t="inlineStr">
        <is>
          <t>行业</t>
        </is>
      </c>
      <c r="J164" s="148" t="inlineStr">
        <is>
          <t>到2020年，工业固体废物综合利用率达到73%以上。</t>
        </is>
      </c>
      <c r="K164" s="150" t="inlineStr">
        <is>
          <t>FYP1601.htm</t>
        </is>
      </c>
      <c r="L164" s="147" t="inlineStr">
        <is>
          <t>循环经济</t>
        </is>
      </c>
    </row>
    <row r="165" ht="18" customHeight="1" s="235">
      <c r="A165" s="148" t="n">
        <v>2007</v>
      </c>
      <c r="B165" s="147" t="inlineStr">
        <is>
          <t>工业固体废物综合利用率</t>
        </is>
      </c>
      <c r="C165" s="148" t="inlineStr">
        <is>
          <t>达到</t>
        </is>
      </c>
      <c r="D165" s="148" t="inlineStr">
        <is>
          <t>60%</t>
        </is>
      </c>
      <c r="E165" s="148" t="n"/>
      <c r="F165" s="147" t="inlineStr">
        <is>
          <t>2010</t>
        </is>
      </c>
      <c r="G165" s="147" t="inlineStr">
        <is>
          <t>新目标</t>
        </is>
      </c>
      <c r="H165" s="147" t="inlineStr">
        <is>
          <t>循环利用</t>
        </is>
      </c>
      <c r="I165" s="147" t="inlineStr">
        <is>
          <t>行业</t>
        </is>
      </c>
      <c r="J165" s="148" t="inlineStr">
        <is>
          <t>到2010年，全国工业固体废物综合利用率达到60%以上。</t>
        </is>
      </c>
      <c r="K165" s="150" t="inlineStr">
        <is>
          <t>WOP0701.htm</t>
        </is>
      </c>
      <c r="L165" s="147" t="inlineStr">
        <is>
          <t>循环经济</t>
        </is>
      </c>
    </row>
    <row r="166" ht="18" customHeight="1" s="235">
      <c r="A166" s="148" t="n">
        <v>2021</v>
      </c>
      <c r="B166" s="147" t="inlineStr">
        <is>
          <t>畜禽粪污综合利用率</t>
        </is>
      </c>
      <c r="C166" s="148" t="inlineStr">
        <is>
          <t>达到</t>
        </is>
      </c>
      <c r="D166" s="148" t="inlineStr">
        <is>
          <t>80%以上</t>
        </is>
      </c>
      <c r="E166" s="148" t="n"/>
      <c r="F166" s="147" t="inlineStr">
        <is>
          <t>2025</t>
        </is>
      </c>
      <c r="G166" s="147" t="inlineStr">
        <is>
          <t>重申目标</t>
        </is>
      </c>
      <c r="H166" s="147" t="inlineStr">
        <is>
          <t>循环利用</t>
        </is>
      </c>
      <c r="I166" s="147" t="inlineStr">
        <is>
          <t>行业</t>
        </is>
      </c>
      <c r="J166" s="148" t="inlineStr">
        <is>
          <t>到2025年，畜禽粪污综合利用率达到80%以上。</t>
        </is>
      </c>
      <c r="K166" s="150" t="inlineStr">
        <is>
          <t>FYP2107.htm</t>
        </is>
      </c>
      <c r="L166" s="147" t="inlineStr">
        <is>
          <t>循环经济</t>
        </is>
      </c>
    </row>
    <row r="167" ht="18" customHeight="1" s="235">
      <c r="A167" s="147" t="n">
        <v>2024</v>
      </c>
      <c r="B167" s="147" t="inlineStr">
        <is>
          <t>畜禽粪污综合利用率</t>
        </is>
      </c>
      <c r="C167" s="147" t="inlineStr">
        <is>
          <t>达到</t>
        </is>
      </c>
      <c r="D167" s="147" t="inlineStr">
        <is>
          <t>85%以上</t>
        </is>
      </c>
      <c r="E167" s="147" t="n"/>
      <c r="F167" s="147" t="inlineStr">
        <is>
          <t>2030</t>
        </is>
      </c>
      <c r="G167" s="147" t="inlineStr">
        <is>
          <t>新目标</t>
        </is>
      </c>
      <c r="H167" s="147" t="inlineStr">
        <is>
          <t>循环利用</t>
        </is>
      </c>
      <c r="I167" s="147" t="inlineStr">
        <is>
          <t>行业</t>
        </is>
      </c>
      <c r="J167" s="147" t="inlineStr">
        <is>
          <t>到2030年，畜禽粪污综合利用率达到85%以上。</t>
        </is>
      </c>
      <c r="K167" s="149" t="inlineStr">
        <is>
          <t>GO2404.htm</t>
        </is>
      </c>
      <c r="L167" s="147" t="inlineStr">
        <is>
          <t>循环经济</t>
        </is>
      </c>
    </row>
    <row r="168" ht="18" customHeight="1" s="235">
      <c r="A168" s="147" t="n">
        <v>2024</v>
      </c>
      <c r="B168" s="147" t="inlineStr">
        <is>
          <t>畜禽粪污综合利用率</t>
        </is>
      </c>
      <c r="C168" s="147" t="inlineStr">
        <is>
          <t>达到</t>
        </is>
      </c>
      <c r="D168" s="147" t="inlineStr">
        <is>
          <t>80%</t>
        </is>
      </c>
      <c r="E168" s="147" t="n"/>
      <c r="F168" s="147" t="inlineStr">
        <is>
          <t>2025</t>
        </is>
      </c>
      <c r="G168" s="147" t="inlineStr">
        <is>
          <t>新目标</t>
        </is>
      </c>
      <c r="H168" s="147" t="inlineStr">
        <is>
          <t>循环利用</t>
        </is>
      </c>
      <c r="I168" s="147" t="inlineStr">
        <is>
          <t>行业</t>
        </is>
      </c>
      <c r="J168" s="147" t="inlineStr">
        <is>
          <t>到2025年，畜禽粪污综合利用率达到80%以上。</t>
        </is>
      </c>
      <c r="K168" s="149" t="inlineStr">
        <is>
          <t>HL2401.pdf</t>
        </is>
      </c>
      <c r="L168" s="147" t="inlineStr">
        <is>
          <t>循环经济</t>
        </is>
      </c>
    </row>
    <row r="169" ht="18" customHeight="1" s="235">
      <c r="A169" s="148" t="n">
        <v>2024</v>
      </c>
      <c r="B169" s="147" t="inlineStr">
        <is>
          <t>畜禽粪污综合利用率</t>
        </is>
      </c>
      <c r="C169" s="148" t="inlineStr">
        <is>
          <t>达到</t>
        </is>
      </c>
      <c r="D169" s="148" t="inlineStr">
        <is>
          <t>85%</t>
        </is>
      </c>
      <c r="E169" s="148" t="n"/>
      <c r="F169" s="147" t="inlineStr">
        <is>
          <t>2030</t>
        </is>
      </c>
      <c r="G169" s="147" t="inlineStr">
        <is>
          <t>重申目标</t>
        </is>
      </c>
      <c r="H169" s="147" t="inlineStr">
        <is>
          <t>循环利用</t>
        </is>
      </c>
      <c r="I169" s="147" t="inlineStr">
        <is>
          <t>行业</t>
        </is>
      </c>
      <c r="J169" s="148" t="inlineStr">
        <is>
          <t>到2030年，畜禽粪污综合利用率达到85%以上。</t>
        </is>
      </c>
      <c r="K169" s="150" t="inlineStr">
        <is>
          <t>HL2401.pdf</t>
        </is>
      </c>
      <c r="L169" s="147" t="inlineStr">
        <is>
          <t>循环经济</t>
        </is>
      </c>
    </row>
    <row r="170" ht="18" customHeight="1" s="235">
      <c r="A170" s="147" t="n">
        <v>2018</v>
      </c>
      <c r="B170" s="147" t="inlineStr">
        <is>
          <t>畜禽粪污综合利用率</t>
        </is>
      </c>
      <c r="C170" s="147" t="inlineStr">
        <is>
          <t>达到</t>
        </is>
      </c>
      <c r="D170" s="147" t="inlineStr">
        <is>
          <t>75%以上</t>
        </is>
      </c>
      <c r="E170" s="147" t="n"/>
      <c r="F170" s="147" t="inlineStr">
        <is>
          <t>2020</t>
        </is>
      </c>
      <c r="G170" s="152" t="inlineStr">
        <is>
          <t>强化或放宽目标（积极气候影响）</t>
        </is>
      </c>
      <c r="H170" s="147" t="inlineStr">
        <is>
          <t>循环利用</t>
        </is>
      </c>
      <c r="I170" s="147" t="inlineStr">
        <is>
          <t>行业</t>
        </is>
      </c>
      <c r="J170" s="147" t="inlineStr">
        <is>
          <t>到2020年，全国畜禽粪污综合利用率达到75%以上。</t>
        </is>
      </c>
      <c r="K170" s="149" t="inlineStr">
        <is>
          <t>O1802.htm</t>
        </is>
      </c>
      <c r="L170" s="147" t="inlineStr">
        <is>
          <t>循环经济</t>
        </is>
      </c>
    </row>
    <row r="171" ht="18" customHeight="1" s="235">
      <c r="A171" s="148" t="n">
        <v>2016</v>
      </c>
      <c r="B171" s="147" t="inlineStr">
        <is>
          <t>主要再生资源综合利用率</t>
        </is>
      </c>
      <c r="C171" s="148" t="inlineStr">
        <is>
          <t>达到</t>
        </is>
      </c>
      <c r="D171" s="148" t="inlineStr">
        <is>
          <t>75%</t>
        </is>
      </c>
      <c r="E171" s="148" t="n"/>
      <c r="F171" s="147" t="inlineStr">
        <is>
          <t>2020</t>
        </is>
      </c>
      <c r="G171" s="147" t="inlineStr">
        <is>
          <t>新目标</t>
        </is>
      </c>
      <c r="H171" s="147" t="inlineStr">
        <is>
          <t>循环利用</t>
        </is>
      </c>
      <c r="I171" s="147" t="inlineStr">
        <is>
          <t>行业</t>
        </is>
      </c>
      <c r="J171" s="148" t="inlineStr">
        <is>
          <t>到2020年，主要再生资源综合利用率达到75%。</t>
        </is>
      </c>
      <c r="K171" s="150" t="inlineStr">
        <is>
          <t>DP1601.htm</t>
        </is>
      </c>
      <c r="L171" s="147" t="inlineStr">
        <is>
          <t>循环经济</t>
        </is>
      </c>
    </row>
    <row r="172" ht="18" customHeight="1" s="235">
      <c r="A172" s="147" t="n">
        <v>2016</v>
      </c>
      <c r="B172" s="147" t="inlineStr">
        <is>
          <t>中低品位余热余压利用率</t>
        </is>
      </c>
      <c r="C172" s="147" t="inlineStr">
        <is>
          <t>达到</t>
        </is>
      </c>
      <c r="D172" s="147" t="inlineStr">
        <is>
          <t>80%</t>
        </is>
      </c>
      <c r="E172" s="147" t="n"/>
      <c r="F172" s="147" t="inlineStr">
        <is>
          <t>2020</t>
        </is>
      </c>
      <c r="G172" s="147" t="inlineStr">
        <is>
          <t>新目标</t>
        </is>
      </c>
      <c r="H172" s="147" t="inlineStr">
        <is>
          <t>能源效率</t>
        </is>
      </c>
      <c r="I172" s="147" t="inlineStr">
        <is>
          <t>行业</t>
        </is>
      </c>
      <c r="J172" s="147" t="inlineStr">
        <is>
          <t>到2020年，中低品位余热余压利用率达到80%。</t>
        </is>
      </c>
      <c r="K172" s="149" t="inlineStr">
        <is>
          <t>DP1601.htm</t>
        </is>
      </c>
      <c r="L172" s="147" t="inlineStr">
        <is>
          <t>循环经济</t>
        </is>
      </c>
    </row>
    <row r="173" ht="18" customHeight="1" s="235">
      <c r="A173" s="148" t="n">
        <v>2013</v>
      </c>
      <c r="B173" s="147" t="inlineStr">
        <is>
          <t>矿井水利用率</t>
        </is>
      </c>
      <c r="C173" s="148" t="inlineStr">
        <is>
          <t>达到</t>
        </is>
      </c>
      <c r="D173" s="148" t="inlineStr">
        <is>
          <t>75%</t>
        </is>
      </c>
      <c r="E173" s="148" t="n"/>
      <c r="F173" s="147" t="inlineStr">
        <is>
          <t>2015</t>
        </is>
      </c>
      <c r="G173" s="147" t="inlineStr">
        <is>
          <t>重申目标</t>
        </is>
      </c>
      <c r="H173" s="147" t="inlineStr">
        <is>
          <t>循环利用</t>
        </is>
      </c>
      <c r="I173" s="147" t="inlineStr">
        <is>
          <t>不明确</t>
        </is>
      </c>
      <c r="J173" s="148" t="inlineStr">
        <is>
          <t>到2015年，矿井水利用率达到75%。</t>
        </is>
      </c>
      <c r="K173" s="150" t="inlineStr">
        <is>
          <t>FYP1302.htm</t>
        </is>
      </c>
      <c r="L173" s="147" t="inlineStr">
        <is>
          <t>循环经济</t>
        </is>
      </c>
    </row>
    <row r="174" ht="18" customHeight="1" s="235">
      <c r="A174" s="147" t="n">
        <v>2013</v>
      </c>
      <c r="B174" s="147" t="inlineStr">
        <is>
          <t>矿井水综合利用率</t>
        </is>
      </c>
      <c r="C174" s="147" t="inlineStr">
        <is>
          <t>达到</t>
        </is>
      </c>
      <c r="D174" s="147" t="inlineStr">
        <is>
          <t>75%</t>
        </is>
      </c>
      <c r="E174" s="147" t="n"/>
      <c r="F174" s="147" t="inlineStr">
        <is>
          <t>2015</t>
        </is>
      </c>
      <c r="G174" s="147" t="inlineStr">
        <is>
          <t>新目标</t>
        </is>
      </c>
      <c r="H174" s="147" t="inlineStr">
        <is>
          <t>循环利用</t>
        </is>
      </c>
      <c r="I174" s="147" t="inlineStr">
        <is>
          <t>行业</t>
        </is>
      </c>
      <c r="J174" s="147" t="inlineStr">
        <is>
          <t>到2015年，矿井水综合利用率达到75%。</t>
        </is>
      </c>
      <c r="K174" s="149" t="inlineStr">
        <is>
          <t>DP1301.htm</t>
        </is>
      </c>
      <c r="L174" s="147" t="inlineStr">
        <is>
          <t>循环经济</t>
        </is>
      </c>
    </row>
    <row r="175" ht="18" customHeight="1" s="235">
      <c r="A175" s="148" t="n">
        <v>2022</v>
      </c>
      <c r="B175" s="147" t="inlineStr">
        <is>
          <t>新增大宗固废综合利用率</t>
        </is>
      </c>
      <c r="C175" s="148" t="inlineStr">
        <is>
          <t>达到</t>
        </is>
      </c>
      <c r="D175" s="148" t="inlineStr">
        <is>
          <t>60%</t>
        </is>
      </c>
      <c r="E175" s="148" t="n"/>
      <c r="F175" s="147" t="inlineStr">
        <is>
          <t>2025</t>
        </is>
      </c>
      <c r="G175" s="147" t="inlineStr">
        <is>
          <t>重申目标</t>
        </is>
      </c>
      <c r="H175" s="147" t="inlineStr">
        <is>
          <t>循环利用</t>
        </is>
      </c>
      <c r="I175" s="147" t="inlineStr">
        <is>
          <t>行业</t>
        </is>
      </c>
      <c r="J175" s="148" t="inlineStr">
        <is>
          <t>到2025年，新增大宗固废综合利用率达到60%，存量大宗固废有序减少。</t>
        </is>
      </c>
      <c r="K175" s="150" t="inlineStr">
        <is>
          <t>IP2201.htm</t>
        </is>
      </c>
      <c r="L175" s="147" t="inlineStr">
        <is>
          <t>循环经济</t>
        </is>
      </c>
    </row>
    <row r="176" ht="18" customHeight="1" s="235">
      <c r="A176" s="148" t="n">
        <v>2016</v>
      </c>
      <c r="B176" s="147" t="inlineStr">
        <is>
          <t>磷石膏综合利用率</t>
        </is>
      </c>
      <c r="C176" s="148" t="inlineStr">
        <is>
          <t>达到</t>
        </is>
      </c>
      <c r="D176" s="148" t="inlineStr">
        <is>
          <t>40%</t>
        </is>
      </c>
      <c r="E176" s="148" t="n"/>
      <c r="F176" s="147" t="inlineStr">
        <is>
          <t>2020</t>
        </is>
      </c>
      <c r="G176" s="147" t="inlineStr">
        <is>
          <t>新目标</t>
        </is>
      </c>
      <c r="H176" s="147" t="inlineStr">
        <is>
          <t>循环利用</t>
        </is>
      </c>
      <c r="I176" s="147" t="inlineStr">
        <is>
          <t>行业</t>
        </is>
      </c>
      <c r="J176" s="148" t="inlineStr">
        <is>
          <t>到2020年，磷石膏综合利用率达到40%。</t>
        </is>
      </c>
      <c r="K176" s="150" t="inlineStr">
        <is>
          <t>DP1601.htm</t>
        </is>
      </c>
      <c r="L176" s="147" t="inlineStr">
        <is>
          <t>循环经济</t>
        </is>
      </c>
    </row>
    <row r="177" ht="18" customHeight="1" s="235">
      <c r="A177" s="148" t="n">
        <v>2012</v>
      </c>
      <c r="B177" s="147" t="inlineStr">
        <is>
          <t>城镇污水处理厂再生水利用率</t>
        </is>
      </c>
      <c r="C177" s="148" t="inlineStr">
        <is>
          <t>达到</t>
        </is>
      </c>
      <c r="D177" s="148" t="inlineStr">
        <is>
          <t>15%</t>
        </is>
      </c>
      <c r="E177" s="148" t="n"/>
      <c r="F177" s="147" t="inlineStr">
        <is>
          <t>2015</t>
        </is>
      </c>
      <c r="G177" s="147" t="inlineStr">
        <is>
          <t>新目标</t>
        </is>
      </c>
      <c r="H177" s="147" t="inlineStr">
        <is>
          <t>循环利用</t>
        </is>
      </c>
      <c r="I177" s="147" t="inlineStr">
        <is>
          <t>行业</t>
        </is>
      </c>
      <c r="J177" s="148" t="inlineStr">
        <is>
          <t>到2015年，全国城镇污水处理厂再生水利用率达到15%以上。</t>
        </is>
      </c>
      <c r="K177" s="150" t="inlineStr">
        <is>
          <t>FYP1201.htm</t>
        </is>
      </c>
      <c r="L177" s="147" t="inlineStr">
        <is>
          <t>循环经济</t>
        </is>
      </c>
    </row>
    <row r="178" ht="18" customHeight="1" s="235">
      <c r="A178" s="147" t="n">
        <v>2013</v>
      </c>
      <c r="B178" s="147" t="inlineStr">
        <is>
          <t>冶炼废渣综合利用率</t>
        </is>
      </c>
      <c r="C178" s="147" t="inlineStr">
        <is>
          <t>达到</t>
        </is>
      </c>
      <c r="D178" s="147" t="inlineStr">
        <is>
          <t>97%</t>
        </is>
      </c>
      <c r="E178" s="147" t="n"/>
      <c r="F178" s="147" t="inlineStr">
        <is>
          <t>2015</t>
        </is>
      </c>
      <c r="G178" s="147" t="inlineStr">
        <is>
          <t>新目标</t>
        </is>
      </c>
      <c r="H178" s="147" t="inlineStr">
        <is>
          <t>循环利用</t>
        </is>
      </c>
      <c r="I178" s="147" t="inlineStr">
        <is>
          <t>行业</t>
        </is>
      </c>
      <c r="J178" s="147" t="inlineStr">
        <is>
          <t>到2015年，冶炼废渣综合利用率达到97%。</t>
        </is>
      </c>
      <c r="K178" s="149" t="inlineStr">
        <is>
          <t>DP1301.htm</t>
        </is>
      </c>
      <c r="L178" s="147" t="inlineStr">
        <is>
          <t>循环经济</t>
        </is>
      </c>
    </row>
    <row r="179" ht="18" customHeight="1" s="235">
      <c r="A179" s="148" t="n">
        <v>2013</v>
      </c>
      <c r="B179" s="147" t="inlineStr">
        <is>
          <t>固体废物综合利用率</t>
        </is>
      </c>
      <c r="C179" s="158" t="inlineStr">
        <is>
          <t>达到</t>
        </is>
      </c>
      <c r="D179" s="148" t="inlineStr">
        <is>
          <t>75%</t>
        </is>
      </c>
      <c r="E179" s="148" t="n"/>
      <c r="F179" s="147" t="inlineStr">
        <is>
          <t>2015</t>
        </is>
      </c>
      <c r="G179" s="147" t="inlineStr">
        <is>
          <t>新目标</t>
        </is>
      </c>
      <c r="H179" s="147" t="inlineStr">
        <is>
          <t>循环利用</t>
        </is>
      </c>
      <c r="I179" s="147" t="inlineStr">
        <is>
          <t>行业</t>
        </is>
      </c>
      <c r="J179" s="148" t="inlineStr">
        <is>
          <t>到2015年，固体废物综合利用率达到75%。</t>
        </is>
      </c>
      <c r="K179" s="150" t="inlineStr">
        <is>
          <t>DP1301.htm</t>
        </is>
      </c>
      <c r="L179" s="147" t="inlineStr">
        <is>
          <t>循环经济</t>
        </is>
      </c>
    </row>
    <row r="180" ht="18" customHeight="1" s="235">
      <c r="A180" s="156" t="n">
        <v>2021</v>
      </c>
      <c r="B180" s="147" t="inlineStr">
        <is>
          <t>秸秆综合利用率</t>
        </is>
      </c>
      <c r="C180" s="148" t="inlineStr">
        <is>
          <t>保持在…以上</t>
        </is>
      </c>
      <c r="D180" s="156" t="inlineStr">
        <is>
          <t>86%以上</t>
        </is>
      </c>
      <c r="E180" s="156" t="n"/>
      <c r="F180" s="147" t="inlineStr">
        <is>
          <t>2025</t>
        </is>
      </c>
      <c r="G180" s="147" t="inlineStr">
        <is>
          <t>新目标</t>
        </is>
      </c>
      <c r="H180" s="147" t="inlineStr">
        <is>
          <t>循环利用</t>
        </is>
      </c>
      <c r="I180" s="147" t="inlineStr">
        <is>
          <t>行业</t>
        </is>
      </c>
      <c r="J180" s="156" t="inlineStr">
        <is>
          <t>到2025年，农作物秸秆综合利用率保持在86%以上。</t>
        </is>
      </c>
      <c r="K180" s="157" t="inlineStr">
        <is>
          <t>FYP2115.pdf</t>
        </is>
      </c>
      <c r="L180" s="147" t="inlineStr">
        <is>
          <t>循环经济</t>
        </is>
      </c>
    </row>
    <row r="181" ht="18" customHeight="1" s="235">
      <c r="A181" s="148" t="n">
        <v>2013</v>
      </c>
      <c r="B181" s="147" t="inlineStr">
        <is>
          <t>秸秆综合利用率</t>
        </is>
      </c>
      <c r="C181" s="147" t="inlineStr">
        <is>
          <t>提高至</t>
        </is>
      </c>
      <c r="D181" s="147" t="inlineStr">
        <is>
          <t>80%</t>
        </is>
      </c>
      <c r="E181" s="148" t="n"/>
      <c r="F181" s="147" t="inlineStr">
        <is>
          <t>2015</t>
        </is>
      </c>
      <c r="G181" s="147" t="inlineStr">
        <is>
          <t>新目标</t>
        </is>
      </c>
      <c r="H181" s="147" t="inlineStr">
        <is>
          <t>循环利用</t>
        </is>
      </c>
      <c r="I181" s="147" t="inlineStr">
        <is>
          <t>行业</t>
        </is>
      </c>
      <c r="J181" s="147" t="inlineStr">
        <is>
          <t>到2015年，秸秆综合利用率提高到80%。</t>
        </is>
      </c>
      <c r="K181" s="150" t="inlineStr">
        <is>
          <t>DP1301.htm</t>
        </is>
      </c>
      <c r="L181" s="147" t="inlineStr">
        <is>
          <t>循环经济</t>
        </is>
      </c>
    </row>
    <row r="182" ht="18" customHeight="1" s="235">
      <c r="A182" s="148" t="n">
        <v>2021</v>
      </c>
      <c r="B182" s="147" t="inlineStr">
        <is>
          <t>秸秆综合利用率</t>
        </is>
      </c>
      <c r="C182" s="147" t="inlineStr">
        <is>
          <t>稳定在</t>
        </is>
      </c>
      <c r="D182" s="147" t="inlineStr">
        <is>
          <t>86%以上</t>
        </is>
      </c>
      <c r="E182" s="147" t="n"/>
      <c r="F182" s="147" t="inlineStr">
        <is>
          <t>2025</t>
        </is>
      </c>
      <c r="G182" s="147" t="inlineStr">
        <is>
          <t>重申目标</t>
        </is>
      </c>
      <c r="H182" s="147" t="inlineStr">
        <is>
          <t>循环利用</t>
        </is>
      </c>
      <c r="I182" s="147" t="inlineStr">
        <is>
          <t>行业</t>
        </is>
      </c>
      <c r="J182" s="147" t="inlineStr">
        <is>
          <t>到2025年，秸秆综合利用率稳定在86%以上</t>
        </is>
      </c>
      <c r="K182" s="150" t="inlineStr">
        <is>
          <t>FYP2107.htm</t>
        </is>
      </c>
      <c r="L182" s="147" t="inlineStr">
        <is>
          <t>循环经济</t>
        </is>
      </c>
    </row>
    <row r="183" ht="18" customHeight="1" s="235">
      <c r="A183" s="148" t="n">
        <v>2024</v>
      </c>
      <c r="B183" s="147" t="inlineStr">
        <is>
          <t>秸秆综合利用率</t>
        </is>
      </c>
      <c r="C183" s="147" t="inlineStr">
        <is>
          <t>保持在…以上</t>
        </is>
      </c>
      <c r="D183" s="147" t="inlineStr">
        <is>
          <t>88%以上</t>
        </is>
      </c>
      <c r="E183" s="147" t="n"/>
      <c r="F183" s="147" t="inlineStr">
        <is>
          <t>2030</t>
        </is>
      </c>
      <c r="G183" s="147" t="inlineStr">
        <is>
          <t>新目标</t>
        </is>
      </c>
      <c r="H183" s="147" t="inlineStr">
        <is>
          <t>循环利用</t>
        </is>
      </c>
      <c r="I183" s="147" t="inlineStr">
        <is>
          <t>行业</t>
        </is>
      </c>
      <c r="J183" s="147" t="inlineStr">
        <is>
          <t>到2030年，秸秆综合利用率保持在88%以上。</t>
        </is>
      </c>
      <c r="K183" s="150" t="inlineStr">
        <is>
          <t>GO2404.htm</t>
        </is>
      </c>
      <c r="L183" s="147" t="inlineStr">
        <is>
          <t>循环经济</t>
        </is>
      </c>
    </row>
    <row r="184" ht="18" customHeight="1" s="235">
      <c r="A184" s="148" t="n">
        <v>2017</v>
      </c>
      <c r="B184" s="147" t="inlineStr">
        <is>
          <t>秸秆综合利用率</t>
        </is>
      </c>
      <c r="C184" s="147" t="inlineStr">
        <is>
          <t>达到</t>
        </is>
      </c>
      <c r="D184" s="147" t="inlineStr">
        <is>
          <t>85%</t>
        </is>
      </c>
      <c r="E184" s="147" t="n"/>
      <c r="F184" s="147" t="inlineStr">
        <is>
          <t>2020</t>
        </is>
      </c>
      <c r="G184" s="147" t="inlineStr">
        <is>
          <t>重申目标</t>
        </is>
      </c>
      <c r="H184" s="147" t="inlineStr">
        <is>
          <t>循环利用</t>
        </is>
      </c>
      <c r="I184" s="147" t="inlineStr">
        <is>
          <t>行业</t>
        </is>
      </c>
      <c r="J184" s="147" t="inlineStr">
        <is>
          <t>到2020年，秸秆综合利用率达到85%。</t>
        </is>
      </c>
      <c r="K184" s="150" t="inlineStr">
        <is>
          <t>O1702.htm</t>
        </is>
      </c>
      <c r="L184" s="147" t="inlineStr">
        <is>
          <t>循环经济</t>
        </is>
      </c>
    </row>
    <row r="185" ht="18" customHeight="1" s="235">
      <c r="A185" s="148" t="n">
        <v>2016</v>
      </c>
      <c r="B185" s="147" t="inlineStr">
        <is>
          <t>农作物秸秆综合利用率</t>
        </is>
      </c>
      <c r="C185" s="147" t="inlineStr">
        <is>
          <t>达到</t>
        </is>
      </c>
      <c r="D185" s="147" t="inlineStr">
        <is>
          <t>85%</t>
        </is>
      </c>
      <c r="E185" s="147" t="n"/>
      <c r="F185" s="147" t="inlineStr">
        <is>
          <t>2020</t>
        </is>
      </c>
      <c r="G185" s="147" t="inlineStr">
        <is>
          <t>新目标</t>
        </is>
      </c>
      <c r="H185" s="147" t="inlineStr">
        <is>
          <t>循环利用</t>
        </is>
      </c>
      <c r="I185" s="147" t="inlineStr">
        <is>
          <t>行业</t>
        </is>
      </c>
      <c r="J185" s="147" t="inlineStr">
        <is>
          <t>到2020年，全国农作物秸秆综合利用率达到85%以上。</t>
        </is>
      </c>
      <c r="K185" s="150" t="inlineStr">
        <is>
          <t>FYP1601.htm</t>
        </is>
      </c>
      <c r="L185" s="147" t="inlineStr">
        <is>
          <t>循环经济</t>
        </is>
      </c>
    </row>
    <row r="186" ht="18" customHeight="1" s="235">
      <c r="A186" s="148" t="n">
        <v>2018</v>
      </c>
      <c r="B186" s="147" t="inlineStr">
        <is>
          <t>秸秆综合利用率</t>
        </is>
      </c>
      <c r="C186" s="147" t="inlineStr">
        <is>
          <t>达到</t>
        </is>
      </c>
      <c r="D186" s="147" t="inlineStr">
        <is>
          <t>85%</t>
        </is>
      </c>
      <c r="E186" s="147" t="n"/>
      <c r="F186" s="147" t="inlineStr">
        <is>
          <t>2020</t>
        </is>
      </c>
      <c r="G186" s="147" t="inlineStr">
        <is>
          <t>重申目标</t>
        </is>
      </c>
      <c r="H186" s="147" t="inlineStr">
        <is>
          <t>循环利用</t>
        </is>
      </c>
      <c r="I186" s="147" t="inlineStr">
        <is>
          <t>行业</t>
        </is>
      </c>
      <c r="J186" s="147" t="inlineStr">
        <is>
          <t>到2020年，全国秸秆综合利用率达到85%。</t>
        </is>
      </c>
      <c r="K186" s="150" t="inlineStr">
        <is>
          <t>AP1802.htm</t>
        </is>
      </c>
      <c r="L186" s="147" t="inlineStr">
        <is>
          <t>循环经济</t>
        </is>
      </c>
    </row>
    <row r="187" ht="18" customHeight="1" s="235">
      <c r="A187" s="148" t="n">
        <v>2012</v>
      </c>
      <c r="B187" s="147" t="inlineStr">
        <is>
          <t>重点大中型企业余热余压利用率</t>
        </is>
      </c>
      <c r="C187" s="147" t="inlineStr">
        <is>
          <t>达到</t>
        </is>
      </c>
      <c r="D187" s="147" t="inlineStr">
        <is>
          <t>50%以上</t>
        </is>
      </c>
      <c r="E187" s="147" t="n"/>
      <c r="F187" s="147" t="inlineStr">
        <is>
          <t>2015</t>
        </is>
      </c>
      <c r="G187" s="147" t="inlineStr">
        <is>
          <t>新目标</t>
        </is>
      </c>
      <c r="H187" s="147" t="inlineStr">
        <is>
          <t>能源效率</t>
        </is>
      </c>
      <c r="I187" s="147" t="inlineStr">
        <is>
          <t>企业</t>
        </is>
      </c>
      <c r="J187" s="147" t="inlineStr">
        <is>
          <t>到2015年，重点大中型企业余热余压利用率达到50%以上。</t>
        </is>
      </c>
      <c r="K187" s="150" t="inlineStr">
        <is>
          <t>FYP1201.htm</t>
        </is>
      </c>
      <c r="L187" s="147" t="inlineStr">
        <is>
          <t>循环经济</t>
        </is>
      </c>
    </row>
    <row r="188" ht="18" customHeight="1" s="235">
      <c r="A188" s="148" t="n">
        <v>2013</v>
      </c>
      <c r="B188" s="147" t="inlineStr">
        <is>
          <t>废纸利用率</t>
        </is>
      </c>
      <c r="C188" s="147" t="inlineStr">
        <is>
          <t>达到</t>
        </is>
      </c>
      <c r="D188" s="147" t="inlineStr">
        <is>
          <t>72%</t>
        </is>
      </c>
      <c r="E188" s="147" t="n"/>
      <c r="F188" s="147" t="inlineStr">
        <is>
          <t>2015</t>
        </is>
      </c>
      <c r="G188" s="147" t="inlineStr">
        <is>
          <t>新目标</t>
        </is>
      </c>
      <c r="H188" s="147" t="inlineStr">
        <is>
          <t>循环利用</t>
        </is>
      </c>
      <c r="I188" s="147" t="inlineStr">
        <is>
          <t>全社会经济</t>
        </is>
      </c>
      <c r="J188" s="147" t="inlineStr">
        <is>
          <t>到2015年，废纸利用率达到72%。</t>
        </is>
      </c>
      <c r="K188" s="150" t="inlineStr">
        <is>
          <t>DP1301.htm</t>
        </is>
      </c>
      <c r="L188" s="147" t="inlineStr">
        <is>
          <t>循环经济</t>
        </is>
      </c>
    </row>
    <row r="189" ht="18" customHeight="1" s="235">
      <c r="A189" s="148" t="n">
        <v>2021</v>
      </c>
      <c r="B189" s="147" t="inlineStr">
        <is>
          <t>工业副产石膏综合利用率</t>
        </is>
      </c>
      <c r="C189" s="147" t="inlineStr">
        <is>
          <t>达到</t>
        </is>
      </c>
      <c r="D189" s="147" t="inlineStr">
        <is>
          <t>73%</t>
        </is>
      </c>
      <c r="E189" s="147" t="n"/>
      <c r="F189" s="147" t="inlineStr">
        <is>
          <t>2025</t>
        </is>
      </c>
      <c r="G189" s="147" t="inlineStr">
        <is>
          <t>新目标</t>
        </is>
      </c>
      <c r="H189" s="147" t="inlineStr">
        <is>
          <t>循环利用</t>
        </is>
      </c>
      <c r="I189" s="147" t="inlineStr">
        <is>
          <t>行业</t>
        </is>
      </c>
      <c r="J189" s="147" t="inlineStr">
        <is>
          <t>到2025年，工业副产石膏综合利用率达到73%。</t>
        </is>
      </c>
      <c r="K189" s="150" t="inlineStr">
        <is>
          <t>FYP2101.pdf</t>
        </is>
      </c>
      <c r="L189" s="147" t="inlineStr">
        <is>
          <t>循环经济</t>
        </is>
      </c>
    </row>
    <row r="190" ht="18" customHeight="1" s="235">
      <c r="A190" s="148" t="n">
        <v>2021</v>
      </c>
      <c r="B190" s="147" t="inlineStr">
        <is>
          <t>冶炼渣（不含赤泥）综合利用率</t>
        </is>
      </c>
      <c r="C190" s="147" t="inlineStr">
        <is>
          <t>达到</t>
        </is>
      </c>
      <c r="D190" s="147" t="inlineStr">
        <is>
          <t>73%</t>
        </is>
      </c>
      <c r="E190" s="147" t="n"/>
      <c r="F190" s="147" t="inlineStr">
        <is>
          <t>2025</t>
        </is>
      </c>
      <c r="G190" s="147" t="inlineStr">
        <is>
          <t>新目标</t>
        </is>
      </c>
      <c r="H190" s="147" t="inlineStr">
        <is>
          <t>循环利用</t>
        </is>
      </c>
      <c r="I190" s="147" t="inlineStr">
        <is>
          <t>行业</t>
        </is>
      </c>
      <c r="J190" s="147" t="inlineStr">
        <is>
          <t>到2025年，冶炼渣（不含赤泥）综合利用率达到73%。</t>
        </is>
      </c>
      <c r="K190" s="150" t="inlineStr">
        <is>
          <t>FYP2101.pdf</t>
        </is>
      </c>
      <c r="L190" s="147" t="inlineStr">
        <is>
          <t>循环经济</t>
        </is>
      </c>
    </row>
    <row r="191" ht="18" customHeight="1" s="235">
      <c r="A191" s="0" t="n">
        <v>2026</v>
      </c>
      <c r="B191" s="0" t="inlineStr">
        <is>
          <t>废纸年回收利用量</t>
        </is>
      </c>
      <c r="C191" s="0" t="inlineStr">
        <is>
          <t>达到</t>
        </is>
      </c>
      <c r="D191" s="0" t="inlineStr">
        <is>
          <t>8000万吨</t>
        </is>
      </c>
      <c r="F191" s="0" t="n">
        <v>2030</v>
      </c>
      <c r="G191" s="0" t="inlineStr">
        <is>
          <t>重申目标</t>
        </is>
      </c>
      <c r="H191" s="0" t="inlineStr">
        <is>
          <t>循环利用</t>
        </is>
      </c>
      <c r="I191" s="0" t="inlineStr">
        <is>
          <t>全社会经济</t>
        </is>
      </c>
      <c r="J191" s="0" t="inlineStr">
        <is>
          <t>到2030年，废纸年回收利用量达到8000万吨。</t>
        </is>
      </c>
      <c r="K191" s="0" t="inlineStr">
        <is>
          <t>FYP2605.htm</t>
        </is>
      </c>
      <c r="L191" s="0" t="inlineStr">
        <is>
          <t>循环经济</t>
        </is>
      </c>
    </row>
    <row r="192" ht="18" customHeight="1" s="235">
      <c r="A192" s="0" t="n">
        <v>2026</v>
      </c>
      <c r="B192" s="0" t="inlineStr">
        <is>
          <t>废塑料年回收利用量</t>
        </is>
      </c>
      <c r="C192" s="0" t="inlineStr">
        <is>
          <t>达到</t>
        </is>
      </c>
      <c r="D192" s="0" t="inlineStr">
        <is>
          <t>2200万吨</t>
        </is>
      </c>
      <c r="F192" s="0" t="n">
        <v>2030</v>
      </c>
      <c r="G192" s="0" t="inlineStr">
        <is>
          <t>新目标</t>
        </is>
      </c>
      <c r="H192" s="0" t="inlineStr">
        <is>
          <t>循环利用</t>
        </is>
      </c>
      <c r="I192" s="0" t="inlineStr">
        <is>
          <t>全社会经济</t>
        </is>
      </c>
      <c r="J192" s="0" t="inlineStr">
        <is>
          <t>到2030年，废塑料年回收利用量达到2200万吨。</t>
        </is>
      </c>
      <c r="K192" s="0" t="inlineStr">
        <is>
          <t>FYP2605.htm</t>
        </is>
      </c>
      <c r="L192" s="0" t="inlineStr">
        <is>
          <t>循环经济</t>
        </is>
      </c>
    </row>
    <row r="193" ht="18" customHeight="1" s="235">
      <c r="A193" s="0" t="n">
        <v>2026</v>
      </c>
      <c r="B193" s="0" t="inlineStr">
        <is>
          <t>废旧轮胎年回收利用量</t>
        </is>
      </c>
      <c r="C193" s="0" t="inlineStr">
        <is>
          <t>达到</t>
        </is>
      </c>
      <c r="D193" s="0" t="inlineStr">
        <is>
          <t>2100万吨</t>
        </is>
      </c>
      <c r="F193" s="0" t="n">
        <v>2030</v>
      </c>
      <c r="G193" s="0" t="inlineStr">
        <is>
          <t>新目标</t>
        </is>
      </c>
      <c r="H193" s="0" t="inlineStr">
        <is>
          <t>循环利用</t>
        </is>
      </c>
      <c r="I193" s="0" t="inlineStr">
        <is>
          <t>全社会经济</t>
        </is>
      </c>
      <c r="J193" s="0" t="inlineStr">
        <is>
          <t>到2030年，废旧轮胎年回收利用量达到2100万吨。</t>
        </is>
      </c>
      <c r="K193" s="0" t="inlineStr">
        <is>
          <t>FYP2605.htm</t>
        </is>
      </c>
      <c r="L193" s="0" t="inlineStr">
        <is>
          <t>循环经济</t>
        </is>
      </c>
    </row>
    <row r="194" ht="18" customHeight="1" s="235">
      <c r="A194" s="148" t="n">
        <v>2013</v>
      </c>
      <c r="B194" s="148" t="inlineStr">
        <is>
          <t>吨油加工水耗</t>
        </is>
      </c>
      <c r="C194" s="147" t="inlineStr">
        <is>
          <t>降低至</t>
        </is>
      </c>
      <c r="D194" s="147" t="inlineStr">
        <is>
          <t>0.5吨</t>
        </is>
      </c>
      <c r="E194" s="147" t="n"/>
      <c r="F194" s="147" t="inlineStr">
        <is>
          <t>2015</t>
        </is>
      </c>
      <c r="G194" s="147" t="inlineStr">
        <is>
          <t>新目标</t>
        </is>
      </c>
      <c r="H194" s="147" t="inlineStr">
        <is>
          <t>资源效率</t>
        </is>
      </c>
      <c r="I194" s="147" t="inlineStr">
        <is>
          <t>行业</t>
        </is>
      </c>
      <c r="J194" s="147" t="inlineStr">
        <is>
          <t>到2015年，炼油每吨综合加工水耗降低到0.5吨。</t>
        </is>
      </c>
      <c r="K194" s="150" t="inlineStr">
        <is>
          <t>FYP1302.htm</t>
        </is>
      </c>
      <c r="L194" s="147" t="inlineStr">
        <is>
          <t>循环经济</t>
        </is>
      </c>
    </row>
    <row r="195" ht="18" customHeight="1" s="235">
      <c r="A195" s="148" t="n">
        <v>2019</v>
      </c>
      <c r="B195" s="156" t="inlineStr">
        <is>
          <t>单位国内生产总值用水量</t>
        </is>
      </c>
      <c r="C195" s="148" t="inlineStr">
        <is>
          <t>降低</t>
        </is>
      </c>
      <c r="D195" s="148" t="inlineStr">
        <is>
          <t>23%</t>
        </is>
      </c>
      <c r="E195" s="148" t="n">
        <v>2015</v>
      </c>
      <c r="F195" s="147" t="inlineStr">
        <is>
          <t>2020</t>
        </is>
      </c>
      <c r="G195" s="147" t="inlineStr">
        <is>
          <t>新目标</t>
        </is>
      </c>
      <c r="H195" s="147" t="inlineStr">
        <is>
          <t>资源效率</t>
        </is>
      </c>
      <c r="I195" s="148" t="inlineStr">
        <is>
          <t>全社会经济</t>
        </is>
      </c>
      <c r="J195" s="148" t="inlineStr">
        <is>
          <t>到2020年，万元国内生产总值用水量将比2015年下降23%。</t>
        </is>
      </c>
      <c r="K195" s="150" t="inlineStr">
        <is>
          <t>HL1902.pdf</t>
        </is>
      </c>
      <c r="L195" s="147" t="inlineStr">
        <is>
          <t>循环经济</t>
        </is>
      </c>
    </row>
    <row r="196" ht="18" customHeight="1" s="235">
      <c r="A196" s="156" t="n">
        <v>2021</v>
      </c>
      <c r="B196" s="156" t="inlineStr">
        <is>
          <t>单位国内生产总值（GDP）用水量</t>
        </is>
      </c>
      <c r="C196" s="148" t="inlineStr">
        <is>
          <t>降低</t>
        </is>
      </c>
      <c r="D196" s="156" t="inlineStr">
        <is>
          <t>16%</t>
        </is>
      </c>
      <c r="E196" s="156" t="n">
        <v>2020</v>
      </c>
      <c r="F196" s="147" t="inlineStr">
        <is>
          <t>2025</t>
        </is>
      </c>
      <c r="G196" s="147" t="inlineStr">
        <is>
          <t>新目标</t>
        </is>
      </c>
      <c r="H196" s="148" t="inlineStr">
        <is>
          <t>资源效率</t>
        </is>
      </c>
      <c r="I196" s="148" t="inlineStr">
        <is>
          <t>全社会经济</t>
        </is>
      </c>
      <c r="J196" s="156" t="inlineStr">
        <is>
          <t>到2025年，单位GDP用水量比2020年降低约16%。</t>
        </is>
      </c>
      <c r="K196" s="156" t="inlineStr">
        <is>
          <t>FYP2115.pdf</t>
        </is>
      </c>
      <c r="L196" s="147" t="inlineStr">
        <is>
          <t>循环经济</t>
        </is>
      </c>
    </row>
    <row r="197" ht="18" customHeight="1" s="235">
      <c r="A197" s="148" t="n">
        <v>2022</v>
      </c>
      <c r="B197" s="148" t="inlineStr">
        <is>
          <t>钢铁行业水资源消耗强度</t>
        </is>
      </c>
      <c r="C197" s="148" t="inlineStr">
        <is>
          <t>降低</t>
        </is>
      </c>
      <c r="D197" s="148" t="inlineStr">
        <is>
          <t>10%</t>
        </is>
      </c>
      <c r="E197" s="148" t="n">
        <v>2020</v>
      </c>
      <c r="F197" s="147" t="inlineStr">
        <is>
          <t>2025</t>
        </is>
      </c>
      <c r="G197" s="147" t="inlineStr">
        <is>
          <t>新目标</t>
        </is>
      </c>
      <c r="H197" s="147" t="inlineStr">
        <is>
          <t>资源效率</t>
        </is>
      </c>
      <c r="I197" s="148" t="inlineStr">
        <is>
          <t>行业</t>
        </is>
      </c>
      <c r="J197" s="148" t="inlineStr">
        <is>
          <t>到2025年，钢铁行业水资源消耗强度降低10%以上。</t>
        </is>
      </c>
      <c r="K197" s="150" t="inlineStr">
        <is>
          <t>GO2204.htm</t>
        </is>
      </c>
      <c r="L197" s="147" t="inlineStr">
        <is>
          <t>循环经济</t>
        </is>
      </c>
    </row>
    <row r="198" ht="18" customHeight="1" s="235">
      <c r="A198" s="148" t="n">
        <v>2007</v>
      </c>
      <c r="B198" s="148" t="inlineStr">
        <is>
          <t>重点行业节水量</t>
        </is>
      </c>
      <c r="C198" s="148" t="inlineStr">
        <is>
          <t>节约</t>
        </is>
      </c>
      <c r="D198" s="148" t="inlineStr">
        <is>
          <t>10亿立方米</t>
        </is>
      </c>
      <c r="E198" s="148" t="n"/>
      <c r="F198" s="148" t="inlineStr">
        <is>
          <t>2010</t>
        </is>
      </c>
      <c r="G198" s="148" t="inlineStr">
        <is>
          <t>新目标</t>
        </is>
      </c>
      <c r="H198" s="148" t="inlineStr">
        <is>
          <t>资源效率</t>
        </is>
      </c>
      <c r="I198" s="148" t="inlineStr">
        <is>
          <t>行业</t>
        </is>
      </c>
      <c r="J198" s="148" t="inlineStr">
        <is>
          <t>2010年，重点行业实现节水10亿立方米</t>
        </is>
      </c>
      <c r="K198" s="148" t="inlineStr">
        <is>
          <t>WOP0701.htm</t>
        </is>
      </c>
      <c r="L198" s="148" t="inlineStr">
        <is>
          <t>循环经济</t>
        </is>
      </c>
    </row>
    <row r="199" ht="18" customHeight="1" s="235"/>
    <row r="200" ht="18" customHeight="1" s="235"/>
    <row r="201" ht="18" customHeight="1" s="235"/>
    <row r="202" ht="18" customHeight="1" s="235"/>
    <row r="203" ht="18" customHeight="1" s="235"/>
    <row r="204" ht="18" customHeight="1" s="235"/>
    <row r="205" ht="18" customHeight="1" s="235"/>
    <row r="206" ht="18" customHeight="1" s="235"/>
    <row r="207" ht="18" customHeight="1" s="235"/>
    <row r="208" ht="18" customHeight="1" s="235"/>
    <row r="209" ht="18" customHeight="1" s="235"/>
    <row r="210" ht="18" customHeight="1" s="235"/>
    <row r="211" ht="18" customHeight="1" s="235"/>
    <row r="212" ht="18" customHeight="1" s="235"/>
    <row r="213"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0" summaryRight="0"/>
    <pageSetUpPr/>
  </sheetPr>
  <dimension ref="A1:L81"/>
  <sheetViews>
    <sheetView zoomScale="75" workbookViewId="0">
      <selection activeCell="I21" sqref="I21"/>
    </sheetView>
  </sheetViews>
  <sheetFormatPr baseColWidth="8" defaultColWidth="14" defaultRowHeight="13"/>
  <cols>
    <col width="11.39843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3"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3" customWidth="1" style="235" min="16"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row>
    <row r="2" hidden="1" ht="18" customHeight="1" s="235">
      <c r="A2" s="159" t="n">
        <v>2023</v>
      </c>
      <c r="B2" s="159" t="inlineStr">
        <is>
          <t>京津冀及周边地区大型规模化畜禽养殖场氨（NH₃）排放量</t>
        </is>
      </c>
      <c r="C2" s="159" t="inlineStr">
        <is>
          <t>降低</t>
        </is>
      </c>
      <c r="D2" s="159" t="inlineStr">
        <is>
          <t>5%</t>
        </is>
      </c>
      <c r="E2" s="159" t="n">
        <v>2020</v>
      </c>
      <c r="F2" s="160" t="inlineStr">
        <is>
          <t>2025</t>
        </is>
      </c>
      <c r="G2" s="159" t="inlineStr">
        <is>
          <t>重申目标</t>
        </is>
      </c>
      <c r="H2" s="159" t="inlineStr">
        <is>
          <t>污染控制</t>
        </is>
      </c>
      <c r="I2" s="159" t="inlineStr">
        <is>
          <t>地区</t>
        </is>
      </c>
      <c r="J2" s="159" t="inlineStr">
        <is>
          <t>到2025年，京津冀及周边地区大型规模化畜禽养殖场大气氨排放总量比2020年下降5%。</t>
        </is>
      </c>
      <c r="K2" s="161" t="inlineStr">
        <is>
          <t>AP2304.htm</t>
        </is>
      </c>
      <c r="L2" s="162" t="inlineStr">
        <is>
          <t>污染</t>
        </is>
      </c>
    </row>
    <row r="3" ht="18" customHeight="1" s="235">
      <c r="A3" s="159" t="n">
        <v>2021</v>
      </c>
      <c r="B3" s="159" t="inlineStr">
        <is>
          <t>京津冀及周边地区大型规模化养殖场氨（NH₃）排放</t>
        </is>
      </c>
      <c r="C3" s="159" t="inlineStr">
        <is>
          <t>降低</t>
        </is>
      </c>
      <c r="D3" s="159" t="inlineStr">
        <is>
          <t>5%</t>
        </is>
      </c>
      <c r="E3" s="159" t="n">
        <v>2020</v>
      </c>
      <c r="F3" s="160" t="inlineStr">
        <is>
          <t>2025</t>
        </is>
      </c>
      <c r="G3" s="159" t="inlineStr">
        <is>
          <t>新目标</t>
        </is>
      </c>
      <c r="H3" s="159" t="inlineStr">
        <is>
          <t>污染控制</t>
        </is>
      </c>
      <c r="I3" s="159" t="inlineStr">
        <is>
          <t>地区</t>
        </is>
      </c>
      <c r="J3" s="159" t="inlineStr">
        <is>
          <t>到2025年，京津冀及周边地区大型规模化养殖场氨排放总量削减5%。</t>
        </is>
      </c>
      <c r="K3" s="161" t="inlineStr">
        <is>
          <t>FYP2107.htm</t>
        </is>
      </c>
      <c r="L3" s="161" t="inlineStr">
        <is>
          <t>污染</t>
        </is>
      </c>
    </row>
    <row r="4" ht="18" customHeight="1" s="235">
      <c r="A4" s="159" t="n">
        <v>2014</v>
      </c>
      <c r="B4" s="159" t="inlineStr">
        <is>
          <t>氨氮减排能力</t>
        </is>
      </c>
      <c r="C4" s="159" t="inlineStr">
        <is>
          <t>提高</t>
        </is>
      </c>
      <c r="D4" s="159" t="inlineStr">
        <is>
          <t>30万吨</t>
        </is>
      </c>
      <c r="E4" s="159" t="n">
        <v>2014</v>
      </c>
      <c r="F4" s="160" t="inlineStr">
        <is>
          <t>2015</t>
        </is>
      </c>
      <c r="G4" s="159" t="inlineStr">
        <is>
          <t>新目标</t>
        </is>
      </c>
      <c r="H4" s="159" t="inlineStr">
        <is>
          <t>污染控制</t>
        </is>
      </c>
      <c r="I4" s="159" t="inlineStr">
        <is>
          <t>不明确</t>
        </is>
      </c>
      <c r="J4" s="159" t="inlineStr">
        <is>
          <t>到2015年底，氨氮减排能力新增30万吨。</t>
        </is>
      </c>
      <c r="K4" s="161" t="inlineStr">
        <is>
          <t>AP1404.htm</t>
        </is>
      </c>
      <c r="L4" s="161" t="inlineStr">
        <is>
          <t>污染</t>
        </is>
      </c>
    </row>
    <row r="5" ht="18" customHeight="1" s="235">
      <c r="A5" s="159" t="n">
        <v>2012</v>
      </c>
      <c r="B5" s="159" t="inlineStr">
        <is>
          <t>规模化畜禽养殖场和养殖小区新增氨氮削减能力</t>
        </is>
      </c>
      <c r="C5" s="159" t="inlineStr">
        <is>
          <t>达到</t>
        </is>
      </c>
      <c r="D5" s="159" t="inlineStr">
        <is>
          <t>10万吨</t>
        </is>
      </c>
      <c r="E5" s="159" t="n"/>
      <c r="F5" s="160" t="inlineStr">
        <is>
          <t>2015</t>
        </is>
      </c>
      <c r="G5" s="159" t="inlineStr">
        <is>
          <t>新目标</t>
        </is>
      </c>
      <c r="H5" s="159" t="inlineStr">
        <is>
          <t>污染控制</t>
        </is>
      </c>
      <c r="I5" s="159" t="inlineStr">
        <is>
          <t>行业</t>
        </is>
      </c>
      <c r="J5" s="159" t="inlineStr">
        <is>
          <t>到2015年，通过规模化畜禽养殖场和养殖小区建设，新增氨氮削减能力10万吨。</t>
        </is>
      </c>
      <c r="K5" s="161" t="inlineStr">
        <is>
          <t>FYP1201.htm</t>
        </is>
      </c>
      <c r="L5" s="161" t="inlineStr">
        <is>
          <t>污染</t>
        </is>
      </c>
    </row>
    <row r="6" ht="18" customHeight="1" s="235">
      <c r="A6" s="159" t="n">
        <v>2014</v>
      </c>
      <c r="B6" s="159" t="inlineStr">
        <is>
          <t>氨氮（NH₃）全国排放总量</t>
        </is>
      </c>
      <c r="C6" s="159" t="inlineStr">
        <is>
          <t>降低</t>
        </is>
      </c>
      <c r="D6" s="159" t="inlineStr">
        <is>
          <t>2%</t>
        </is>
      </c>
      <c r="E6" s="159" t="n">
        <v>2014</v>
      </c>
      <c r="F6" s="160" t="n">
        <v>2015</v>
      </c>
      <c r="G6" s="159" t="inlineStr">
        <is>
          <t>新目标</t>
        </is>
      </c>
      <c r="H6" s="159" t="inlineStr">
        <is>
          <t>污染控制</t>
        </is>
      </c>
      <c r="I6" s="159" t="inlineStr">
        <is>
          <t>全社会经济</t>
        </is>
      </c>
      <c r="J6" s="159" t="inlineStr">
        <is>
          <t>2014-2015年，氨氮排放量下降2%。</t>
        </is>
      </c>
      <c r="K6" s="161" t="inlineStr">
        <is>
          <t>AP1404.htm</t>
        </is>
      </c>
      <c r="L6" s="161" t="inlineStr">
        <is>
          <t>污染</t>
        </is>
      </c>
    </row>
    <row r="7" ht="18" customHeight="1" s="235">
      <c r="A7" s="159" t="n">
        <v>2021</v>
      </c>
      <c r="B7" s="159" t="inlineStr">
        <is>
          <t>氨氮（NH₃）全国排放总量</t>
        </is>
      </c>
      <c r="C7" s="159" t="inlineStr">
        <is>
          <t>降低</t>
        </is>
      </c>
      <c r="D7" s="159" t="inlineStr">
        <is>
          <t>8%</t>
        </is>
      </c>
      <c r="E7" s="159" t="n">
        <v>2020</v>
      </c>
      <c r="F7" s="160" t="inlineStr">
        <is>
          <t>2025</t>
        </is>
      </c>
      <c r="G7" s="159" t="inlineStr">
        <is>
          <t>新目标</t>
        </is>
      </c>
      <c r="H7" s="159" t="inlineStr">
        <is>
          <t>污染控制</t>
        </is>
      </c>
      <c r="I7" s="159" t="inlineStr">
        <is>
          <t>全社会经济</t>
        </is>
      </c>
      <c r="J7" s="159" t="inlineStr">
        <is>
          <t>到2025年，全国氨氮排放总量比2020年下降8%。</t>
        </is>
      </c>
      <c r="K7" s="161" t="inlineStr">
        <is>
          <t>FYP2107.htm</t>
        </is>
      </c>
      <c r="L7" s="161" t="inlineStr">
        <is>
          <t>污染</t>
        </is>
      </c>
    </row>
    <row r="8" ht="18" customHeight="1" s="235">
      <c r="A8" s="159" t="n">
        <v>2022</v>
      </c>
      <c r="B8" s="159" t="inlineStr">
        <is>
          <t>氨氮（NH₃）全国排放总量</t>
        </is>
      </c>
      <c r="C8" s="159" t="inlineStr">
        <is>
          <t>降低</t>
        </is>
      </c>
      <c r="D8" s="159" t="inlineStr">
        <is>
          <t>8%</t>
        </is>
      </c>
      <c r="E8" s="159" t="n">
        <v>2020</v>
      </c>
      <c r="F8" s="160" t="inlineStr">
        <is>
          <t>2025</t>
        </is>
      </c>
      <c r="G8" s="159" t="inlineStr">
        <is>
          <t>重申目标</t>
        </is>
      </c>
      <c r="H8" s="159" t="inlineStr">
        <is>
          <t>污染控制</t>
        </is>
      </c>
      <c r="I8" s="159" t="inlineStr">
        <is>
          <t>全社会经济</t>
        </is>
      </c>
      <c r="J8" s="159" t="inlineStr">
        <is>
          <t>到2025年，氨氮排放总量较2020年下降8%。</t>
        </is>
      </c>
      <c r="K8" s="161" t="inlineStr">
        <is>
          <t>AP2206.pdf</t>
        </is>
      </c>
      <c r="L8" s="161" t="inlineStr">
        <is>
          <t>污染</t>
        </is>
      </c>
    </row>
    <row r="9" ht="18" customHeight="1" s="235">
      <c r="A9" s="159" t="n">
        <v>2012</v>
      </c>
      <c r="B9" s="159" t="inlineStr">
        <is>
          <t>全国氨氮（NH₃）年排放总量</t>
        </is>
      </c>
      <c r="C9" s="159" t="inlineStr">
        <is>
          <t>控制在</t>
        </is>
      </c>
      <c r="D9" s="159" t="inlineStr">
        <is>
          <t>238万吨</t>
        </is>
      </c>
      <c r="E9" s="159" t="n"/>
      <c r="F9" s="160" t="inlineStr">
        <is>
          <t>2015</t>
        </is>
      </c>
      <c r="G9" s="159" t="inlineStr">
        <is>
          <t>新目标</t>
        </is>
      </c>
      <c r="H9" s="159" t="inlineStr">
        <is>
          <t>污染控制</t>
        </is>
      </c>
      <c r="I9" s="159" t="inlineStr">
        <is>
          <t>全社会经济</t>
        </is>
      </c>
      <c r="J9" s="159" t="inlineStr">
        <is>
          <t>2015年，全国氨氮排放总量控制在238万吨。</t>
        </is>
      </c>
      <c r="K9" s="161" t="inlineStr">
        <is>
          <t>FYP1201.htm</t>
        </is>
      </c>
      <c r="L9" s="161" t="inlineStr">
        <is>
          <t>污染</t>
        </is>
      </c>
    </row>
    <row r="10" hidden="1" ht="18" customHeight="1" s="235">
      <c r="A10" s="159" t="n">
        <v>2016</v>
      </c>
      <c r="B10" s="159" t="inlineStr">
        <is>
          <t>年度氨氮（NH₃）全国排放总量</t>
        </is>
      </c>
      <c r="C10" s="159" t="inlineStr">
        <is>
          <t>控制在</t>
        </is>
      </c>
      <c r="D10" s="159" t="inlineStr">
        <is>
          <t>207万吨</t>
        </is>
      </c>
      <c r="E10" s="159" t="n"/>
      <c r="F10" s="160" t="inlineStr">
        <is>
          <t>2020</t>
        </is>
      </c>
      <c r="G10" s="159" t="inlineStr">
        <is>
          <t>新目标</t>
        </is>
      </c>
      <c r="H10" s="159" t="inlineStr">
        <is>
          <t>污染控制</t>
        </is>
      </c>
      <c r="I10" s="159" t="inlineStr">
        <is>
          <t>全社会经济</t>
        </is>
      </c>
      <c r="J10" s="159" t="inlineStr">
        <is>
          <t>到2020年，全国氨氮排放总量控制在207万吨以内。</t>
        </is>
      </c>
      <c r="K10" s="161" t="inlineStr">
        <is>
          <t>FYP1601.htm</t>
        </is>
      </c>
      <c r="L10" s="161" t="inlineStr">
        <is>
          <t>污染</t>
        </is>
      </c>
    </row>
    <row r="11" ht="18" customHeight="1" s="235">
      <c r="A11" s="159" t="n">
        <v>2016</v>
      </c>
      <c r="B11" s="159" t="inlineStr">
        <is>
          <t>砷（As）年度全国排放总量</t>
        </is>
      </c>
      <c r="C11" s="159" t="inlineStr">
        <is>
          <t>降低</t>
        </is>
      </c>
      <c r="D11" s="159" t="inlineStr">
        <is>
          <t>10 吨</t>
        </is>
      </c>
      <c r="E11" s="159" t="n">
        <v>2015</v>
      </c>
      <c r="F11" s="159" t="inlineStr">
        <is>
          <t>2020</t>
        </is>
      </c>
      <c r="G11" s="159" t="inlineStr">
        <is>
          <t>新目标</t>
        </is>
      </c>
      <c r="H11" s="159" t="inlineStr">
        <is>
          <t>污染控制</t>
        </is>
      </c>
      <c r="I11" s="159" t="inlineStr">
        <is>
          <t>全社会经济</t>
        </is>
      </c>
      <c r="J11" s="159" t="inlineStr">
        <is>
          <t>到2020年，砷排放量削减10吨/年。</t>
        </is>
      </c>
      <c r="K11" s="161" t="inlineStr">
        <is>
          <t>DP1601.htm</t>
        </is>
      </c>
      <c r="L11" s="161" t="inlineStr">
        <is>
          <t>污染</t>
        </is>
      </c>
    </row>
    <row r="12" ht="18" customHeight="1" s="235">
      <c r="A12" s="159" t="n">
        <v>2016</v>
      </c>
      <c r="B12" s="159" t="inlineStr">
        <is>
          <t>年度铬（Cr）全国排放总量</t>
        </is>
      </c>
      <c r="C12" s="159" t="inlineStr">
        <is>
          <t>降低</t>
        </is>
      </c>
      <c r="D12" s="159" t="inlineStr">
        <is>
          <t>15吨</t>
        </is>
      </c>
      <c r="E12" s="159" t="n">
        <v>2015</v>
      </c>
      <c r="F12" s="159" t="inlineStr">
        <is>
          <t>2020</t>
        </is>
      </c>
      <c r="G12" s="159" t="inlineStr">
        <is>
          <t>新目标</t>
        </is>
      </c>
      <c r="H12" s="159" t="inlineStr">
        <is>
          <t>污染控制</t>
        </is>
      </c>
      <c r="I12" s="159" t="inlineStr">
        <is>
          <t>全社会经济</t>
        </is>
      </c>
      <c r="J12" s="159" t="inlineStr">
        <is>
          <t>到2020年，铬排放总量减少15吨/年。</t>
        </is>
      </c>
      <c r="K12" s="161" t="inlineStr">
        <is>
          <t>DP1601.htm</t>
        </is>
      </c>
      <c r="L12" s="161" t="inlineStr">
        <is>
          <t>污染</t>
        </is>
      </c>
    </row>
    <row r="13" ht="18" customHeight="1" s="235">
      <c r="A13" s="159" t="n">
        <v>2016</v>
      </c>
      <c r="B13" s="159" t="inlineStr">
        <is>
          <t>工业氨氮年排放量</t>
        </is>
      </c>
      <c r="C13" s="159" t="inlineStr">
        <is>
          <t>降低</t>
        </is>
      </c>
      <c r="D13" s="159" t="inlineStr">
        <is>
          <t>5万吨</t>
        </is>
      </c>
      <c r="E13" s="159" t="n">
        <v>2015</v>
      </c>
      <c r="F13" s="159" t="inlineStr">
        <is>
          <t>2020</t>
        </is>
      </c>
      <c r="G13" s="159" t="inlineStr">
        <is>
          <t>新目标</t>
        </is>
      </c>
      <c r="H13" s="159" t="inlineStr">
        <is>
          <t>污染控制</t>
        </is>
      </c>
      <c r="I13" s="159" t="inlineStr">
        <is>
          <t>行业</t>
        </is>
      </c>
      <c r="J13" s="159" t="inlineStr">
        <is>
          <t>到2020年，全国工业氨氮污染物削减5万吨/年。</t>
        </is>
      </c>
      <c r="K13" s="161" t="inlineStr">
        <is>
          <t>DP1601.htm</t>
        </is>
      </c>
      <c r="L13" s="161" t="inlineStr">
        <is>
          <t>污染</t>
        </is>
      </c>
    </row>
    <row r="14" ht="18" customHeight="1" s="235">
      <c r="A14" s="159" t="n">
        <v>2016</v>
      </c>
      <c r="B14" s="159" t="inlineStr">
        <is>
          <t>年度工业化学需氧量排放量</t>
        </is>
      </c>
      <c r="C14" s="159" t="inlineStr">
        <is>
          <t>降低</t>
        </is>
      </c>
      <c r="D14" s="159" t="inlineStr">
        <is>
          <t>50万吨</t>
        </is>
      </c>
      <c r="E14" s="159" t="n">
        <v>2015</v>
      </c>
      <c r="F14" s="159" t="inlineStr">
        <is>
          <t>2020</t>
        </is>
      </c>
      <c r="G14" s="159" t="inlineStr">
        <is>
          <t>新目标</t>
        </is>
      </c>
      <c r="H14" s="159" t="inlineStr">
        <is>
          <t>污染控制</t>
        </is>
      </c>
      <c r="I14" s="159" t="inlineStr">
        <is>
          <t>行业</t>
        </is>
      </c>
      <c r="J14" s="159" t="inlineStr">
        <is>
          <t>到2020年，全国工业化学需氧量削减50万吨/年。</t>
        </is>
      </c>
      <c r="K14" s="161" t="inlineStr">
        <is>
          <t>DP1601.htm</t>
        </is>
      </c>
      <c r="L14" s="161" t="inlineStr">
        <is>
          <t>污染</t>
        </is>
      </c>
    </row>
    <row r="15" ht="18" customHeight="1" s="235">
      <c r="A15" s="159" t="n">
        <v>2016</v>
      </c>
      <c r="B15" s="159" t="inlineStr">
        <is>
          <t>年度工业烟粉尘排放量</t>
        </is>
      </c>
      <c r="C15" s="159" t="inlineStr">
        <is>
          <t>降低</t>
        </is>
      </c>
      <c r="D15" s="159" t="inlineStr">
        <is>
          <t>100万吨</t>
        </is>
      </c>
      <c r="E15" s="159" t="n">
        <v>2015</v>
      </c>
      <c r="F15" s="159" t="inlineStr">
        <is>
          <t>2020</t>
        </is>
      </c>
      <c r="G15" s="159" t="inlineStr">
        <is>
          <t>新目标</t>
        </is>
      </c>
      <c r="H15" s="159" t="inlineStr">
        <is>
          <t>污染控制</t>
        </is>
      </c>
      <c r="I15" s="159" t="inlineStr">
        <is>
          <t>行业</t>
        </is>
      </c>
      <c r="J15" s="159" t="inlineStr">
        <is>
          <t>到2020年，全国工业削减烟粉尘100万吨/年。</t>
        </is>
      </c>
      <c r="K15" s="161" t="inlineStr">
        <is>
          <t>DP1601.htm</t>
        </is>
      </c>
      <c r="L15" s="161" t="inlineStr">
        <is>
          <t>污染</t>
        </is>
      </c>
    </row>
    <row r="16" ht="18" customHeight="1" s="235">
      <c r="A16" s="159" t="n">
        <v>2016</v>
      </c>
      <c r="B16" s="159" t="inlineStr">
        <is>
          <t>年度铅（Pb）全国排放总量</t>
        </is>
      </c>
      <c r="C16" s="159" t="inlineStr">
        <is>
          <t>降低</t>
        </is>
      </c>
      <c r="D16" s="159" t="inlineStr">
        <is>
          <t>15 吨</t>
        </is>
      </c>
      <c r="E16" s="159" t="n">
        <v>2015</v>
      </c>
      <c r="F16" s="159" t="inlineStr">
        <is>
          <t>2020</t>
        </is>
      </c>
      <c r="G16" s="159" t="inlineStr">
        <is>
          <t>新目标</t>
        </is>
      </c>
      <c r="H16" s="159" t="inlineStr">
        <is>
          <t>污染控制</t>
        </is>
      </c>
      <c r="I16" s="159" t="inlineStr">
        <is>
          <t>全社会经济</t>
        </is>
      </c>
      <c r="J16" s="159" t="inlineStr">
        <is>
          <t>到2020年，铅排放总量削减15吨/年。</t>
        </is>
      </c>
      <c r="K16" s="161" t="inlineStr">
        <is>
          <t>DP1601.htm</t>
        </is>
      </c>
      <c r="L16" s="161" t="inlineStr">
        <is>
          <t>污染</t>
        </is>
      </c>
    </row>
    <row r="17" ht="18" customHeight="1" s="235">
      <c r="A17" s="159" t="n">
        <v>2016</v>
      </c>
      <c r="B17" s="159" t="inlineStr">
        <is>
          <t>工业氮氧化物（NOₓ）年排放量</t>
        </is>
      </c>
      <c r="C17" s="159" t="inlineStr">
        <is>
          <t>降低</t>
        </is>
      </c>
      <c r="D17" s="159" t="inlineStr">
        <is>
          <t>180万吨</t>
        </is>
      </c>
      <c r="E17" s="159" t="n">
        <v>2015</v>
      </c>
      <c r="F17" s="159" t="inlineStr">
        <is>
          <t>2020</t>
        </is>
      </c>
      <c r="G17" s="159" t="inlineStr">
        <is>
          <t>新目标</t>
        </is>
      </c>
      <c r="H17" s="159" t="inlineStr">
        <is>
          <t>污染控制</t>
        </is>
      </c>
      <c r="I17" s="159" t="inlineStr">
        <is>
          <t>行业</t>
        </is>
      </c>
      <c r="J17" s="159" t="inlineStr">
        <is>
          <t>到2020年，全国工业削减氮氧化物180万吨/年。</t>
        </is>
      </c>
      <c r="K17" s="161" t="inlineStr">
        <is>
          <t>DP1601.htm</t>
        </is>
      </c>
      <c r="L17" s="161" t="inlineStr">
        <is>
          <t>污染</t>
        </is>
      </c>
    </row>
    <row r="18" ht="18" customHeight="1" s="235">
      <c r="A18" s="159" t="n">
        <v>2022</v>
      </c>
      <c r="B18" s="159" t="inlineStr">
        <is>
          <t>化学需氧量（COD）全国排放总量</t>
        </is>
      </c>
      <c r="C18" s="159" t="inlineStr">
        <is>
          <t>降低</t>
        </is>
      </c>
      <c r="D18" s="159" t="inlineStr">
        <is>
          <t>8%</t>
        </is>
      </c>
      <c r="E18" s="159" t="n">
        <v>2020</v>
      </c>
      <c r="F18" s="160" t="inlineStr">
        <is>
          <t>2025</t>
        </is>
      </c>
      <c r="G18" s="159" t="inlineStr">
        <is>
          <t>重申目标</t>
        </is>
      </c>
      <c r="H18" s="159" t="inlineStr">
        <is>
          <t>污染控制</t>
        </is>
      </c>
      <c r="I18" s="159" t="inlineStr">
        <is>
          <t>全社会经济</t>
        </is>
      </c>
      <c r="J18" s="159" t="inlineStr">
        <is>
          <t>到2025年，化学需氧量排放总量较2020年下降8%。</t>
        </is>
      </c>
      <c r="K18" s="161" t="inlineStr">
        <is>
          <t>AP2206.pdf</t>
        </is>
      </c>
      <c r="L18" s="161" t="inlineStr">
        <is>
          <t>污染</t>
        </is>
      </c>
    </row>
    <row r="19" ht="18" customHeight="1" s="235">
      <c r="A19" s="159" t="n">
        <v>2016</v>
      </c>
      <c r="B19" s="159" t="inlineStr">
        <is>
          <t>工业二氧化硫（SO₂）年排放量</t>
        </is>
      </c>
      <c r="C19" s="159" t="inlineStr">
        <is>
          <t>降低</t>
        </is>
      </c>
      <c r="D19" s="159" t="inlineStr">
        <is>
          <t>50万吨</t>
        </is>
      </c>
      <c r="E19" s="159" t="n">
        <v>2015</v>
      </c>
      <c r="F19" s="159" t="inlineStr">
        <is>
          <t>2020</t>
        </is>
      </c>
      <c r="G19" s="159" t="inlineStr">
        <is>
          <t>新目标</t>
        </is>
      </c>
      <c r="H19" s="159" t="inlineStr">
        <is>
          <t>污染控制</t>
        </is>
      </c>
      <c r="I19" s="159" t="inlineStr">
        <is>
          <t>行业</t>
        </is>
      </c>
      <c r="J19" s="159" t="inlineStr">
        <is>
          <t>到2020年，全国工业削减二氧化硫50万吨/年。</t>
        </is>
      </c>
      <c r="K19" s="161" t="inlineStr">
        <is>
          <t>DP1601.htm</t>
        </is>
      </c>
      <c r="L19" s="161" t="inlineStr">
        <is>
          <t>污染</t>
        </is>
      </c>
    </row>
    <row r="20" hidden="1" ht="18" customHeight="1" s="235">
      <c r="A20" s="159" t="n">
        <v>2012</v>
      </c>
      <c r="B20" s="159" t="inlineStr">
        <is>
          <t>规模化畜禽养殖场和养殖小区化学需氧量（COD）削减量</t>
        </is>
      </c>
      <c r="C20" s="159" t="inlineStr">
        <is>
          <t>降低</t>
        </is>
      </c>
      <c r="D20" s="159" t="inlineStr">
        <is>
          <t>140万吨</t>
        </is>
      </c>
      <c r="E20" s="159" t="n">
        <v>2010</v>
      </c>
      <c r="F20" s="160" t="inlineStr">
        <is>
          <t>2015</t>
        </is>
      </c>
      <c r="G20" s="159" t="inlineStr">
        <is>
          <t>新目标</t>
        </is>
      </c>
      <c r="H20" s="159" t="inlineStr">
        <is>
          <t>污染控制</t>
        </is>
      </c>
      <c r="I20" s="159" t="inlineStr">
        <is>
          <t>不明确</t>
        </is>
      </c>
      <c r="J20" s="159" t="inlineStr">
        <is>
          <t>到2015年，通过规模化畜禽养殖场和养殖小区建设，新增化学需氧量削减能力140万吨。</t>
        </is>
      </c>
      <c r="K20" s="161" t="inlineStr">
        <is>
          <t>FYP1201.htm</t>
        </is>
      </c>
      <c r="L20" s="161" t="inlineStr">
        <is>
          <t>污染</t>
        </is>
      </c>
    </row>
    <row r="21" ht="18" customHeight="1" s="235">
      <c r="A21" s="159" t="n">
        <v>2007</v>
      </c>
      <c r="B21" s="159" t="inlineStr">
        <is>
          <t>全国化学需氧量（COD）年度排放总量</t>
        </is>
      </c>
      <c r="C21" s="159" t="inlineStr">
        <is>
          <t>降低至</t>
        </is>
      </c>
      <c r="D21" s="159" t="inlineStr">
        <is>
          <t>1273万吨</t>
        </is>
      </c>
      <c r="E21" s="159" t="n"/>
      <c r="F21" s="160" t="inlineStr">
        <is>
          <t>2010</t>
        </is>
      </c>
      <c r="G21" s="159" t="inlineStr">
        <is>
          <t>新目标</t>
        </is>
      </c>
      <c r="H21" s="159" t="inlineStr">
        <is>
          <t>污染控制</t>
        </is>
      </c>
      <c r="I21" s="159" t="inlineStr">
        <is>
          <t>全社会经济</t>
        </is>
      </c>
      <c r="J21" s="159" t="inlineStr">
        <is>
          <t>到2010年，化学需氧量（COD）由2005年的1414万吨减少到1273万吨。</t>
        </is>
      </c>
      <c r="K21" s="161" t="inlineStr">
        <is>
          <t>WOP0701.htm</t>
        </is>
      </c>
      <c r="L21" s="161" t="inlineStr">
        <is>
          <t>污染</t>
        </is>
      </c>
    </row>
    <row r="22" ht="18" customHeight="1" s="235">
      <c r="A22" s="159" t="n">
        <v>2012</v>
      </c>
      <c r="B22" s="159" t="inlineStr">
        <is>
          <t>化学需氧量（COD）全国年排放总量</t>
        </is>
      </c>
      <c r="C22" s="159" t="inlineStr">
        <is>
          <t>控制在</t>
        </is>
      </c>
      <c r="D22" s="159" t="inlineStr">
        <is>
          <t>2347.6万吨</t>
        </is>
      </c>
      <c r="E22" s="159" t="n"/>
      <c r="F22" s="160" t="inlineStr">
        <is>
          <t>2015</t>
        </is>
      </c>
      <c r="G22" s="159" t="inlineStr">
        <is>
          <t>新目标</t>
        </is>
      </c>
      <c r="H22" s="159" t="inlineStr">
        <is>
          <t>污染控制</t>
        </is>
      </c>
      <c r="I22" s="159" t="inlineStr">
        <is>
          <t>全社会经济</t>
        </is>
      </c>
      <c r="J22" s="159" t="inlineStr">
        <is>
          <t>2015年，全国化学需氧量排放总量控制在2347.6万吨。</t>
        </is>
      </c>
      <c r="K22" s="161" t="inlineStr">
        <is>
          <t>FYP1201.htm</t>
        </is>
      </c>
      <c r="L22" s="161" t="inlineStr">
        <is>
          <t>污染</t>
        </is>
      </c>
    </row>
    <row r="23" ht="18" customHeight="1" s="235">
      <c r="A23" s="159" t="n">
        <v>2016</v>
      </c>
      <c r="B23" s="159" t="inlineStr">
        <is>
          <t>化学需氧量（COD）年度全国排放总量</t>
        </is>
      </c>
      <c r="C23" s="159" t="inlineStr">
        <is>
          <t>控制在…以内</t>
        </is>
      </c>
      <c r="D23" s="159" t="inlineStr">
        <is>
          <t>2001万吨</t>
        </is>
      </c>
      <c r="E23" s="159" t="n"/>
      <c r="F23" s="160" t="inlineStr">
        <is>
          <t>2020</t>
        </is>
      </c>
      <c r="G23" s="159" t="inlineStr">
        <is>
          <t>新目标</t>
        </is>
      </c>
      <c r="H23" s="159" t="inlineStr">
        <is>
          <t>污染控制</t>
        </is>
      </c>
      <c r="I23" s="159" t="inlineStr">
        <is>
          <t>全社会经济</t>
        </is>
      </c>
      <c r="J23" s="159" t="inlineStr">
        <is>
          <t>到2020年，全国化学需氧量排放总量控制在2001万吨以内。</t>
        </is>
      </c>
      <c r="K23" s="161" t="inlineStr">
        <is>
          <t>FYP1601.htm</t>
        </is>
      </c>
      <c r="L23" s="161" t="inlineStr">
        <is>
          <t>污染</t>
        </is>
      </c>
    </row>
    <row r="24" ht="18" customHeight="1" s="235">
      <c r="A24" s="159" t="n">
        <v>2014</v>
      </c>
      <c r="B24" s="159" t="inlineStr">
        <is>
          <t>化学需氧量（COD）全国排放总量</t>
        </is>
      </c>
      <c r="C24" s="159" t="inlineStr">
        <is>
          <t>降低</t>
        </is>
      </c>
      <c r="D24" s="159" t="inlineStr">
        <is>
          <t>2%</t>
        </is>
      </c>
      <c r="E24" s="159" t="n">
        <v>2014</v>
      </c>
      <c r="F24" s="160" t="n">
        <v>2015</v>
      </c>
      <c r="G24" s="159" t="inlineStr">
        <is>
          <t>新目标</t>
        </is>
      </c>
      <c r="H24" s="159" t="inlineStr">
        <is>
          <t>污染控制</t>
        </is>
      </c>
      <c r="I24" s="159" t="inlineStr">
        <is>
          <t>全社会经济</t>
        </is>
      </c>
      <c r="J24" s="159" t="inlineStr">
        <is>
          <t>2014年至2015年，化学需氧量排放量下降2%。</t>
        </is>
      </c>
      <c r="K24" s="161" t="inlineStr">
        <is>
          <t>AP1404.htm</t>
        </is>
      </c>
      <c r="L24" s="161" t="inlineStr">
        <is>
          <t>污染</t>
        </is>
      </c>
    </row>
    <row r="25" ht="18" customHeight="1" s="235">
      <c r="A25" s="159" t="n">
        <v>2021</v>
      </c>
      <c r="B25" s="159" t="inlineStr">
        <is>
          <t>化学需氧量（COD）全国排放总量</t>
        </is>
      </c>
      <c r="C25" s="159" t="inlineStr">
        <is>
          <t>降低</t>
        </is>
      </c>
      <c r="D25" s="159" t="inlineStr">
        <is>
          <t>8%</t>
        </is>
      </c>
      <c r="E25" s="159" t="n">
        <v>2020</v>
      </c>
      <c r="F25" s="160" t="inlineStr">
        <is>
          <t>2025</t>
        </is>
      </c>
      <c r="G25" s="159" t="inlineStr">
        <is>
          <t>新目标</t>
        </is>
      </c>
      <c r="H25" s="159" t="inlineStr">
        <is>
          <t>污染控制</t>
        </is>
      </c>
      <c r="I25" s="159" t="inlineStr">
        <is>
          <t>全社会经济</t>
        </is>
      </c>
      <c r="J25" s="159" t="inlineStr">
        <is>
          <t>到2025年，化学需氧量排放总量比2020年下降8%。</t>
        </is>
      </c>
      <c r="K25" s="161" t="inlineStr">
        <is>
          <t>FYP2107.htm</t>
        </is>
      </c>
      <c r="L25" s="161" t="inlineStr">
        <is>
          <t>污染</t>
        </is>
      </c>
    </row>
    <row r="26" ht="18" customHeight="1" s="235">
      <c r="A26" s="159" t="n">
        <v>2014</v>
      </c>
      <c r="B26" s="159" t="inlineStr">
        <is>
          <t>化学需氧量（COD）全国新增减排能力</t>
        </is>
      </c>
      <c r="C26" s="159" t="inlineStr">
        <is>
          <t>提高</t>
        </is>
      </c>
      <c r="D26" s="159" t="inlineStr">
        <is>
          <t>200万吨</t>
        </is>
      </c>
      <c r="E26" s="159" t="n">
        <v>2014</v>
      </c>
      <c r="F26" s="160" t="inlineStr">
        <is>
          <t>2015</t>
        </is>
      </c>
      <c r="G26" s="159" t="inlineStr">
        <is>
          <t>新目标</t>
        </is>
      </c>
      <c r="H26" s="159" t="inlineStr">
        <is>
          <t>污染控制</t>
        </is>
      </c>
      <c r="I26" s="159" t="inlineStr">
        <is>
          <t>全社会经济</t>
        </is>
      </c>
      <c r="J26" s="159" t="inlineStr">
        <is>
          <t>到2015年底，新增化学需氧量减排能力200万吨。</t>
        </is>
      </c>
      <c r="K26" s="161" t="inlineStr">
        <is>
          <t>AP1404.htm</t>
        </is>
      </c>
      <c r="L26" s="161" t="inlineStr">
        <is>
          <t>污染</t>
        </is>
      </c>
    </row>
    <row r="27" ht="18" customHeight="1" s="235">
      <c r="A27" s="159" t="n">
        <v>2015</v>
      </c>
      <c r="B27" s="159" t="inlineStr">
        <is>
          <t>重点行业主要污染物排放强度</t>
        </is>
      </c>
      <c r="C27" s="159" t="inlineStr">
        <is>
          <t>降低</t>
        </is>
      </c>
      <c r="D27" s="159" t="inlineStr">
        <is>
          <t>20%</t>
        </is>
      </c>
      <c r="E27" s="159" t="n">
        <v>2015</v>
      </c>
      <c r="F27" s="159" t="inlineStr">
        <is>
          <t>2020</t>
        </is>
      </c>
      <c r="G27" s="159" t="inlineStr">
        <is>
          <t>新目标</t>
        </is>
      </c>
      <c r="H27" s="159" t="inlineStr">
        <is>
          <t>污染控制</t>
        </is>
      </c>
      <c r="I27" s="159" t="inlineStr">
        <is>
          <t>行业</t>
        </is>
      </c>
      <c r="J27" s="159" t="inlineStr">
        <is>
          <t>到2020年，重点行业主要污染物排放强度下降20%。</t>
        </is>
      </c>
      <c r="K27" s="161" t="inlineStr">
        <is>
          <t>HL1504.htm</t>
        </is>
      </c>
      <c r="L27" s="161" t="inlineStr">
        <is>
          <t>污染</t>
        </is>
      </c>
    </row>
    <row r="28" ht="18" customHeight="1" s="235">
      <c r="A28" s="159" t="n">
        <v>2024</v>
      </c>
      <c r="B28" s="159" t="inlineStr">
        <is>
          <t>细颗粒物全国平均浓度</t>
        </is>
      </c>
      <c r="C28" s="159" t="inlineStr">
        <is>
          <t>降低至</t>
        </is>
      </c>
      <c r="D28" s="159" t="inlineStr">
        <is>
          <t>28微克/立方米</t>
        </is>
      </c>
      <c r="E28" s="159" t="n"/>
      <c r="F28" s="159" t="inlineStr">
        <is>
          <t>2027</t>
        </is>
      </c>
      <c r="G28" s="159" t="inlineStr">
        <is>
          <t>新目标</t>
        </is>
      </c>
      <c r="H28" s="159" t="inlineStr">
        <is>
          <t>污染控制</t>
        </is>
      </c>
      <c r="I28" s="159" t="inlineStr">
        <is>
          <t>全社会经济</t>
        </is>
      </c>
      <c r="J28" s="159" t="inlineStr">
        <is>
          <t>到2027年，全国细颗粒物平均浓度下降到28微克/立方米以下</t>
        </is>
      </c>
      <c r="K28" s="161" t="inlineStr">
        <is>
          <t>O2405.htm</t>
        </is>
      </c>
      <c r="L28" s="161" t="inlineStr">
        <is>
          <t>污染</t>
        </is>
      </c>
    </row>
    <row r="29" ht="18" customHeight="1" s="235">
      <c r="A29" s="159" t="n">
        <v>2024</v>
      </c>
      <c r="B29" s="159" t="inlineStr">
        <is>
          <t>细颗粒物全国平均浓度</t>
        </is>
      </c>
      <c r="C29" s="159" t="inlineStr">
        <is>
          <t>降低至</t>
        </is>
      </c>
      <c r="D29" s="159" t="inlineStr">
        <is>
          <t>25微克/立方米</t>
        </is>
      </c>
      <c r="E29" s="159" t="n"/>
      <c r="F29" s="159" t="inlineStr">
        <is>
          <t>2035</t>
        </is>
      </c>
      <c r="G29" s="159" t="inlineStr">
        <is>
          <t>新目标</t>
        </is>
      </c>
      <c r="H29" s="159" t="inlineStr">
        <is>
          <t>污染控制</t>
        </is>
      </c>
      <c r="I29" s="159" t="inlineStr">
        <is>
          <t>全社会经济</t>
        </is>
      </c>
      <c r="J29" s="159" t="inlineStr">
        <is>
          <t>到2035年，全国细颗粒物浓度下降到25微克/立方米以下。</t>
        </is>
      </c>
      <c r="K29" s="161" t="inlineStr">
        <is>
          <t>O2405.htm</t>
        </is>
      </c>
      <c r="L29" s="161" t="inlineStr">
        <is>
          <t>污染</t>
        </is>
      </c>
    </row>
    <row r="30" ht="18" customHeight="1" s="235">
      <c r="A30" s="159" t="n">
        <v>2012</v>
      </c>
      <c r="B30" s="159" t="inlineStr">
        <is>
          <t>位于城市建成区的全部烧结机和球团生产设备烟气脱硫效率</t>
        </is>
      </c>
      <c r="C30" s="159" t="inlineStr">
        <is>
          <t>达到</t>
        </is>
      </c>
      <c r="D30" s="159" t="inlineStr">
        <is>
          <t>95%</t>
        </is>
      </c>
      <c r="E30" s="159" t="n"/>
      <c r="F30" s="159" t="inlineStr">
        <is>
          <t>2015</t>
        </is>
      </c>
      <c r="G30" s="159" t="inlineStr">
        <is>
          <t>新目标</t>
        </is>
      </c>
      <c r="H30" s="159" t="inlineStr">
        <is>
          <t>污染控制</t>
        </is>
      </c>
      <c r="I30" s="159" t="inlineStr">
        <is>
          <t>城市</t>
        </is>
      </c>
      <c r="J30" s="159" t="inlineStr">
        <is>
          <t>到2015年，所有烧结机和位于城市建成区的球团生产设备烟气脱硫效率达到95%以上。</t>
        </is>
      </c>
      <c r="K30" s="161" t="inlineStr">
        <is>
          <t>FYP1201.htm</t>
        </is>
      </c>
      <c r="L30" s="161" t="inlineStr">
        <is>
          <t>污染</t>
        </is>
      </c>
    </row>
    <row r="31" ht="18" customHeight="1" s="235">
      <c r="A31" s="163" t="n">
        <v>2007</v>
      </c>
      <c r="B31" s="163" t="inlineStr">
        <is>
          <t>主要污染物全国排放总量</t>
        </is>
      </c>
      <c r="C31" s="163" t="inlineStr">
        <is>
          <t>降低</t>
        </is>
      </c>
      <c r="D31" s="163" t="inlineStr">
        <is>
          <t>10%</t>
        </is>
      </c>
      <c r="E31" s="163" t="n"/>
      <c r="F31" s="163" t="inlineStr">
        <is>
          <t>十一五</t>
        </is>
      </c>
      <c r="G31" s="163" t="inlineStr">
        <is>
          <t>重申目标</t>
        </is>
      </c>
      <c r="H31" s="159" t="inlineStr">
        <is>
          <t>污染控制</t>
        </is>
      </c>
      <c r="I31" s="163" t="inlineStr">
        <is>
          <t>全社会经济</t>
        </is>
      </c>
      <c r="J31" s="163" t="inlineStr">
        <is>
          <t>中国计划在第十一个五年规划期间（2006-2010年）实现基本遏制生态恶化趋势的目标，将主要污染物排放总量减少10%，并在温室气体排放控制方面取得显著成效。</t>
        </is>
      </c>
      <c r="K31" s="164" t="inlineStr">
        <is>
          <t>PF0701.htm</t>
        </is>
      </c>
      <c r="L31" s="161" t="inlineStr">
        <is>
          <t>污染</t>
        </is>
      </c>
    </row>
    <row r="32" ht="18" customHeight="1" s="235">
      <c r="A32" s="159" t="n">
        <v>2007</v>
      </c>
      <c r="B32" s="159" t="inlineStr">
        <is>
          <t>主要污染物排放总量</t>
        </is>
      </c>
      <c r="C32" s="159" t="inlineStr">
        <is>
          <t>降低</t>
        </is>
      </c>
      <c r="D32" s="159" t="inlineStr">
        <is>
          <t>10%</t>
        </is>
      </c>
      <c r="E32" s="159" t="n"/>
      <c r="F32" s="159" t="inlineStr">
        <is>
          <t>十一五</t>
        </is>
      </c>
      <c r="G32" s="159" t="inlineStr">
        <is>
          <t>重申目标</t>
        </is>
      </c>
      <c r="H32" s="159" t="inlineStr">
        <is>
          <t>污染控制</t>
        </is>
      </c>
      <c r="I32" s="159" t="inlineStr">
        <is>
          <t>全社会经济</t>
        </is>
      </c>
      <c r="J32" s="159" t="inlineStr">
        <is>
          <t>《中华人民共和国国民经济和社会发展第十一个五年规划纲要》提出，主要污染物排放总量减少10%。</t>
        </is>
      </c>
      <c r="K32" s="161" t="inlineStr">
        <is>
          <t>PF0701.htm</t>
        </is>
      </c>
      <c r="L32" s="161" t="inlineStr">
        <is>
          <t>污染</t>
        </is>
      </c>
    </row>
    <row r="33" ht="18" customHeight="1" s="235">
      <c r="A33" s="159" t="n">
        <v>2013</v>
      </c>
      <c r="B33" s="159" t="inlineStr">
        <is>
          <t>全国地级及以上城市可吸入颗粒物浓度</t>
        </is>
      </c>
      <c r="C33" s="159" t="inlineStr">
        <is>
          <t>降低</t>
        </is>
      </c>
      <c r="D33" s="159" t="inlineStr">
        <is>
          <t>10%以上</t>
        </is>
      </c>
      <c r="E33" s="159" t="n">
        <v>2012</v>
      </c>
      <c r="F33" s="160" t="n">
        <v>2017</v>
      </c>
      <c r="G33" s="159" t="inlineStr">
        <is>
          <t>新目标</t>
        </is>
      </c>
      <c r="H33" s="159" t="inlineStr">
        <is>
          <t>污染控制</t>
        </is>
      </c>
      <c r="I33" s="159" t="inlineStr">
        <is>
          <t>城市</t>
        </is>
      </c>
      <c r="J33" s="159" t="inlineStr">
        <is>
          <t>到2017年，全国地级及以上城市可吸入颗粒物浓度比2012年下降10%以上。</t>
        </is>
      </c>
      <c r="K33" s="161" t="inlineStr">
        <is>
          <t>AP1302.htm</t>
        </is>
      </c>
      <c r="L33" s="161" t="inlineStr">
        <is>
          <t>污染</t>
        </is>
      </c>
    </row>
    <row r="34" hidden="1" ht="18" customHeight="1" s="235">
      <c r="A34" s="159" t="n">
        <v>2007</v>
      </c>
      <c r="B34" s="159" t="inlineStr">
        <is>
          <t>主要污染物排放总量</t>
        </is>
      </c>
      <c r="C34" s="159" t="inlineStr">
        <is>
          <t>降低</t>
        </is>
      </c>
      <c r="D34" s="159" t="inlineStr">
        <is>
          <t>10%</t>
        </is>
      </c>
      <c r="E34" s="159" t="n">
        <v>2005</v>
      </c>
      <c r="F34" s="159" t="inlineStr">
        <is>
          <t>2010</t>
        </is>
      </c>
      <c r="G34" s="159" t="inlineStr">
        <is>
          <t>新目标</t>
        </is>
      </c>
      <c r="H34" s="159" t="inlineStr">
        <is>
          <t>污染控制</t>
        </is>
      </c>
      <c r="I34" s="159" t="inlineStr">
        <is>
          <t>全社会经济</t>
        </is>
      </c>
      <c r="J34" s="159" t="inlineStr">
        <is>
          <t>到2010年，主要污染物排放总量减少10%。</t>
        </is>
      </c>
      <c r="K34" s="161" t="inlineStr">
        <is>
          <t>WOP0701.htm</t>
        </is>
      </c>
      <c r="L34" s="161" t="inlineStr">
        <is>
          <t>污染</t>
        </is>
      </c>
    </row>
    <row r="35" hidden="1" ht="18" customHeight="1" s="235">
      <c r="A35" s="0" t="n">
        <v>2026</v>
      </c>
      <c r="B35" s="0" t="inlineStr">
        <is>
          <t>细颗粒物全国平均浓度</t>
        </is>
      </c>
      <c r="C35" s="0" t="inlineStr">
        <is>
          <t>降低至</t>
        </is>
      </c>
      <c r="D35" s="0" t="inlineStr">
        <is>
          <t>25微克/立方米以下</t>
        </is>
      </c>
      <c r="F35" s="0" t="n">
        <v>2035</v>
      </c>
      <c r="G35" s="0" t="inlineStr">
        <is>
          <t>重申目标</t>
        </is>
      </c>
      <c r="H35" s="0" t="inlineStr">
        <is>
          <t>污染控制</t>
        </is>
      </c>
      <c r="I35" s="0" t="inlineStr">
        <is>
          <t>全社会经济</t>
        </is>
      </c>
      <c r="J35" s="0" t="inlineStr">
        <is>
          <t>全国细颗粒物（PM2.5）浓度下降到25微克/立方米以下，……</t>
        </is>
      </c>
      <c r="K35" s="0" t="inlineStr">
        <is>
          <t>FYP2609.htm</t>
        </is>
      </c>
      <c r="L35" s="0" t="inlineStr">
        <is>
          <t>污染</t>
        </is>
      </c>
    </row>
    <row r="36" ht="18" customHeight="1" s="235">
      <c r="A36" s="159" t="n">
        <v>2010</v>
      </c>
      <c r="B36" s="159" t="inlineStr">
        <is>
          <t>水泥行业氮氧化物（NOₓ）排放</t>
        </is>
      </c>
      <c r="C36" s="159" t="inlineStr">
        <is>
          <t>降低</t>
        </is>
      </c>
      <c r="D36" s="159" t="inlineStr">
        <is>
          <t>25%</t>
        </is>
      </c>
      <c r="E36" s="159" t="n">
        <v>2009</v>
      </c>
      <c r="F36" s="160" t="n">
        <v>2015</v>
      </c>
      <c r="G36" s="159" t="inlineStr">
        <is>
          <t>新目标</t>
        </is>
      </c>
      <c r="H36" s="159" t="inlineStr">
        <is>
          <t>污染控制</t>
        </is>
      </c>
      <c r="I36" s="159" t="inlineStr">
        <is>
          <t>行业</t>
        </is>
      </c>
      <c r="J36" s="159" t="inlineStr">
        <is>
          <t>水泥颗粒物排放在2009年基础上降低50%，氮氧化物在2009年基础上降低25%，二氧化碳排放强度进一步下降。</t>
        </is>
      </c>
      <c r="K36" s="159" t="inlineStr">
        <is>
          <t>GO1001.pdf</t>
        </is>
      </c>
      <c r="L36" s="159" t="inlineStr">
        <is>
          <t>污染</t>
        </is>
      </c>
    </row>
    <row r="37" ht="18" customHeight="1" s="235">
      <c r="A37" s="159" t="n">
        <v>2023</v>
      </c>
      <c r="B37" s="159" t="inlineStr">
        <is>
          <t>氮氧化物（NOₓ）和挥发性有机物（VOCs）全国排放总量</t>
        </is>
      </c>
      <c r="C37" s="159" t="inlineStr">
        <is>
          <t>降低</t>
        </is>
      </c>
      <c r="D37" s="159" t="inlineStr">
        <is>
          <t>10%</t>
        </is>
      </c>
      <c r="E37" s="159" t="n">
        <v>2020</v>
      </c>
      <c r="F37" s="159" t="inlineStr">
        <is>
          <t>2025</t>
        </is>
      </c>
      <c r="G37" s="159" t="inlineStr">
        <is>
          <t>新目标</t>
        </is>
      </c>
      <c r="H37" s="159" t="inlineStr">
        <is>
          <t>污染控制</t>
        </is>
      </c>
      <c r="I37" s="159" t="inlineStr">
        <is>
          <t>全社会经济</t>
        </is>
      </c>
      <c r="J37" s="159" t="inlineStr">
        <is>
          <t>到2025年，氮氧化物和VOCs排放总量比2020年下降10%以上。</t>
        </is>
      </c>
      <c r="K37" s="161" t="inlineStr">
        <is>
          <t>AP2304.htm</t>
        </is>
      </c>
      <c r="L37" s="161" t="inlineStr">
        <is>
          <t>污染</t>
        </is>
      </c>
    </row>
    <row r="38" ht="18" customHeight="1" s="235">
      <c r="A38" s="159" t="n">
        <v>2014</v>
      </c>
      <c r="B38" s="159" t="inlineStr">
        <is>
          <t>氮氧化物（NOₓ）减排能力</t>
        </is>
      </c>
      <c r="C38" s="159" t="inlineStr">
        <is>
          <t>提高</t>
        </is>
      </c>
      <c r="D38" s="159" t="inlineStr">
        <is>
          <t>260万吨</t>
        </is>
      </c>
      <c r="E38" s="159" t="n">
        <v>2014</v>
      </c>
      <c r="F38" s="159" t="inlineStr">
        <is>
          <t>2015</t>
        </is>
      </c>
      <c r="G38" s="159" t="inlineStr">
        <is>
          <t>新目标</t>
        </is>
      </c>
      <c r="H38" s="159" t="inlineStr">
        <is>
          <t>污染控制</t>
        </is>
      </c>
      <c r="I38" s="159" t="inlineStr">
        <is>
          <t>不明确</t>
        </is>
      </c>
      <c r="J38" s="159" t="inlineStr">
        <is>
          <t>到2015年底，分别新增氮氧化物减排能力260万吨以上</t>
        </is>
      </c>
      <c r="K38" s="161" t="inlineStr">
        <is>
          <t>AP1404.htm</t>
        </is>
      </c>
      <c r="L38" s="161" t="inlineStr">
        <is>
          <t>污染</t>
        </is>
      </c>
    </row>
    <row r="39" ht="18" customHeight="1" s="235">
      <c r="A39" s="159" t="n">
        <v>2013</v>
      </c>
      <c r="B39" s="159" t="inlineStr">
        <is>
          <t>节能型内燃机氮氧化物（NOₓ）减排量</t>
        </is>
      </c>
      <c r="C39" s="159" t="inlineStr">
        <is>
          <t>降低</t>
        </is>
      </c>
      <c r="D39" s="159" t="inlineStr">
        <is>
          <t>10%</t>
        </is>
      </c>
      <c r="E39" s="159" t="n">
        <v>2010</v>
      </c>
      <c r="F39" s="159" t="inlineStr">
        <is>
          <t>2015</t>
        </is>
      </c>
      <c r="G39" s="159" t="inlineStr">
        <is>
          <t>新目标</t>
        </is>
      </c>
      <c r="H39" s="159" t="inlineStr">
        <is>
          <t>污染控制</t>
        </is>
      </c>
      <c r="I39" s="159" t="inlineStr">
        <is>
          <t>不明确</t>
        </is>
      </c>
      <c r="J39" s="159" t="inlineStr">
        <is>
          <t>到2015年，通过节能型内燃机实现氮氧化物排放减少10%。</t>
        </is>
      </c>
      <c r="K39" s="161" t="inlineStr">
        <is>
          <t>O1301.htm</t>
        </is>
      </c>
      <c r="L39" s="161" t="inlineStr">
        <is>
          <t>污染</t>
        </is>
      </c>
    </row>
    <row r="40" ht="18" customHeight="1" s="235">
      <c r="A40" s="159" t="n">
        <v>2022</v>
      </c>
      <c r="B40" s="159" t="inlineStr">
        <is>
          <t>焦化行业氮氧化物和二氧化硫产生量</t>
        </is>
      </c>
      <c r="C40" s="159" t="inlineStr">
        <is>
          <t>降低</t>
        </is>
      </c>
      <c r="D40" s="159" t="inlineStr">
        <is>
          <t>20%</t>
        </is>
      </c>
      <c r="E40" s="159" t="n">
        <v>2020</v>
      </c>
      <c r="F40" s="159" t="inlineStr">
        <is>
          <t>2025</t>
        </is>
      </c>
      <c r="G40" s="159" t="inlineStr">
        <is>
          <t>新目标</t>
        </is>
      </c>
      <c r="H40" s="159" t="inlineStr">
        <is>
          <t>污染控制</t>
        </is>
      </c>
      <c r="I40" s="159" t="inlineStr">
        <is>
          <t>行业</t>
        </is>
      </c>
      <c r="J40" s="159" t="inlineStr">
        <is>
          <t>《焦化行业“十四五”规划纲要》提出，到2025年氮氧化物和二氧化硫产生量分别减少20%。</t>
        </is>
      </c>
      <c r="K40" s="161" t="inlineStr">
        <is>
          <t>AP2206.pdf</t>
        </is>
      </c>
      <c r="L40" s="161" t="inlineStr">
        <is>
          <t>污染</t>
        </is>
      </c>
    </row>
    <row r="41" ht="18" customHeight="1" s="235">
      <c r="A41" s="163" t="n">
        <v>2024</v>
      </c>
      <c r="B41" s="159" t="inlineStr">
        <is>
          <t>营运船舶氮氧化物（NOₓ）排放</t>
        </is>
      </c>
      <c r="C41" s="163" t="inlineStr">
        <is>
          <t>降低</t>
        </is>
      </c>
      <c r="D41" s="163" t="inlineStr">
        <is>
          <t>7%</t>
        </is>
      </c>
      <c r="E41" s="163" t="n">
        <v>2020</v>
      </c>
      <c r="F41" s="163" t="inlineStr">
        <is>
          <t>2025</t>
        </is>
      </c>
      <c r="G41" s="163" t="inlineStr">
        <is>
          <t>新目标</t>
        </is>
      </c>
      <c r="H41" s="159" t="inlineStr">
        <is>
          <t>污染控制</t>
        </is>
      </c>
      <c r="I41" s="163" t="inlineStr">
        <is>
          <t>不明确</t>
        </is>
      </c>
      <c r="J41" s="163" t="inlineStr">
        <is>
          <t>到2025年，营运船舶氮氧化物排放量较2020年下降7%。</t>
        </is>
      </c>
      <c r="K41" s="164" t="inlineStr">
        <is>
          <t>HL2401.pdf</t>
        </is>
      </c>
      <c r="L41" s="161" t="inlineStr">
        <is>
          <t>污染</t>
        </is>
      </c>
    </row>
    <row r="42" ht="18" customHeight="1" s="235">
      <c r="A42" s="159" t="n">
        <v>2014</v>
      </c>
      <c r="B42" s="159" t="inlineStr">
        <is>
          <t>京津冀及周边、长三角、珠三角等重点区域氮氧化物（NOₓ）排放量</t>
        </is>
      </c>
      <c r="C42" s="159" t="inlineStr">
        <is>
          <t>降低</t>
        </is>
      </c>
      <c r="D42" s="159" t="inlineStr">
        <is>
          <t>12%</t>
        </is>
      </c>
      <c r="E42" s="159" t="n">
        <v>2014</v>
      </c>
      <c r="F42" s="159" t="inlineStr">
        <is>
          <t>2015</t>
        </is>
      </c>
      <c r="G42" s="159" t="inlineStr">
        <is>
          <t>新目标</t>
        </is>
      </c>
      <c r="H42" s="159" t="inlineStr">
        <is>
          <t>污染控制</t>
        </is>
      </c>
      <c r="I42" s="159" t="inlineStr">
        <is>
          <t>地区</t>
        </is>
      </c>
      <c r="J42" s="159" t="inlineStr">
        <is>
          <t>力争2014-2015年京津冀及周边、长三角、珠三角等重点区域氮氧化物排放量降低12%</t>
        </is>
      </c>
      <c r="K42" s="161" t="inlineStr">
        <is>
          <t>AP1404.htm</t>
        </is>
      </c>
      <c r="L42" s="161" t="inlineStr">
        <is>
          <t>污染</t>
        </is>
      </c>
    </row>
    <row r="43" ht="18" customHeight="1" s="235">
      <c r="A43" s="159" t="n">
        <v>2008</v>
      </c>
      <c r="B43" s="159" t="inlineStr">
        <is>
          <t>氮氧化物（NOₓ）工业排放</t>
        </is>
      </c>
      <c r="C43" s="159" t="inlineStr">
        <is>
          <t>保持稳定</t>
        </is>
      </c>
      <c r="D43" s="159" t="inlineStr">
        <is>
          <t>维持2005年水平</t>
        </is>
      </c>
      <c r="E43" s="159" t="n">
        <v>2005</v>
      </c>
      <c r="F43" s="159" t="inlineStr">
        <is>
          <t>2010</t>
        </is>
      </c>
      <c r="G43" s="159" t="inlineStr">
        <is>
          <t>重申目标</t>
        </is>
      </c>
      <c r="H43" s="159" t="inlineStr">
        <is>
          <t>污染控制</t>
        </is>
      </c>
      <c r="I43" s="159" t="inlineStr">
        <is>
          <t>全社会经济</t>
        </is>
      </c>
      <c r="J43" s="159" t="inlineStr">
        <is>
          <t>到2010年，工业过程产生的二氧化氮（NO₂）排放量保持在2005年水平。</t>
        </is>
      </c>
      <c r="K43" s="161" t="inlineStr">
        <is>
          <t>HL0801.pdf</t>
        </is>
      </c>
      <c r="L43" s="161" t="inlineStr">
        <is>
          <t>污染</t>
        </is>
      </c>
    </row>
    <row r="44" ht="18" customHeight="1" s="235">
      <c r="A44" s="159" t="n">
        <v>2013</v>
      </c>
      <c r="B44" s="159" t="inlineStr">
        <is>
          <t>煤电氮氧化物排放系数</t>
        </is>
      </c>
      <c r="C44" s="159" t="inlineStr">
        <is>
          <t>降低至</t>
        </is>
      </c>
      <c r="D44" s="159" t="inlineStr">
        <is>
          <t>1.5克/千瓦时</t>
        </is>
      </c>
      <c r="E44" s="159" t="n"/>
      <c r="F44" s="159" t="inlineStr">
        <is>
          <t>2015</t>
        </is>
      </c>
      <c r="G44" s="163" t="inlineStr">
        <is>
          <t>新目标</t>
        </is>
      </c>
      <c r="H44" s="159" t="inlineStr">
        <is>
          <t>污染控制</t>
        </is>
      </c>
      <c r="I44" s="163" t="inlineStr">
        <is>
          <t>行业</t>
        </is>
      </c>
      <c r="J44" s="159" t="inlineStr">
        <is>
          <t>到2015年，煤电氮氧化物排放系数下降至1.5克/千瓦时。</t>
        </is>
      </c>
      <c r="K44" s="161" t="inlineStr">
        <is>
          <t>FYP1302.htm</t>
        </is>
      </c>
      <c r="L44" s="161" t="inlineStr">
        <is>
          <t>污染</t>
        </is>
      </c>
    </row>
    <row r="45" hidden="1" ht="18" customHeight="1" s="235">
      <c r="A45" s="159" t="n">
        <v>2019</v>
      </c>
      <c r="B45" s="159" t="inlineStr">
        <is>
          <t>氧化亚氮（N₂O）农田排放达峰</t>
        </is>
      </c>
      <c r="C45" s="159" t="inlineStr">
        <is>
          <t>实现</t>
        </is>
      </c>
      <c r="D45" s="159" t="inlineStr">
        <is>
          <t>2020年</t>
        </is>
      </c>
      <c r="E45" s="159" t="n"/>
      <c r="F45" s="159" t="inlineStr">
        <is>
          <t>2020</t>
        </is>
      </c>
      <c r="G45" s="159" t="inlineStr">
        <is>
          <t>新目标</t>
        </is>
      </c>
      <c r="H45" s="159" t="inlineStr">
        <is>
          <t>污染控制</t>
        </is>
      </c>
      <c r="I45" s="163" t="inlineStr">
        <is>
          <t>行业</t>
        </is>
      </c>
      <c r="J45" s="159" t="inlineStr">
        <is>
          <t>在农业领域，中国将努力到2020年实现农田N₂O排放达峰。</t>
        </is>
      </c>
      <c r="K45" s="161" t="inlineStr">
        <is>
          <t>HL1902.pdf</t>
        </is>
      </c>
      <c r="L45" s="161" t="inlineStr">
        <is>
          <t>污染</t>
        </is>
      </c>
    </row>
    <row r="46" ht="18" customHeight="1" s="235">
      <c r="A46" s="159" t="n">
        <v>2019</v>
      </c>
      <c r="B46" s="159" t="inlineStr">
        <is>
          <t>氮氧化物（NOₓ）工业排放</t>
        </is>
      </c>
      <c r="C46" s="159" t="inlineStr">
        <is>
          <t>保持稳定</t>
        </is>
      </c>
      <c r="D46" s="159" t="n"/>
      <c r="E46" s="159" t="n">
        <v>2005</v>
      </c>
      <c r="F46" s="160" t="n">
        <v>2010</v>
      </c>
      <c r="G46" s="159" t="inlineStr">
        <is>
          <t>新目标</t>
        </is>
      </c>
      <c r="H46" s="159" t="inlineStr">
        <is>
          <t>污染控制</t>
        </is>
      </c>
      <c r="I46" s="159" t="inlineStr">
        <is>
          <t>全社会经济</t>
        </is>
      </c>
      <c r="J46" s="159" t="inlineStr">
        <is>
          <t>中国政府在其2007年发布的《中国应对气候变化国家方案》中提出，到2010年，工业过程的二氧化氮（N₂O）排放量将保持在2005年水平，并将采取一系列措施控制农业甲烷（CH₄）排放的增长速率。</t>
        </is>
      </c>
      <c r="K46" s="161" t="inlineStr">
        <is>
          <t>HL1902.pdf</t>
        </is>
      </c>
      <c r="L46" s="161" t="inlineStr">
        <is>
          <t>污染</t>
        </is>
      </c>
    </row>
    <row r="47" ht="18" customHeight="1" s="235">
      <c r="A47" s="159" t="n">
        <v>2012</v>
      </c>
      <c r="B47" s="159" t="inlineStr">
        <is>
          <t>氮氧化物（NOₓ）全国年排放总量</t>
        </is>
      </c>
      <c r="C47" s="159" t="inlineStr">
        <is>
          <t>控制在</t>
        </is>
      </c>
      <c r="D47" s="159" t="inlineStr">
        <is>
          <t>2046.2万吨</t>
        </is>
      </c>
      <c r="E47" s="159" t="n"/>
      <c r="F47" s="159" t="inlineStr">
        <is>
          <t>2015</t>
        </is>
      </c>
      <c r="G47" s="159" t="inlineStr">
        <is>
          <t>新目标</t>
        </is>
      </c>
      <c r="H47" s="159" t="inlineStr">
        <is>
          <t>污染控制</t>
        </is>
      </c>
      <c r="I47" s="159" t="inlineStr">
        <is>
          <t>全社会经济</t>
        </is>
      </c>
      <c r="J47" s="159" t="inlineStr">
        <is>
          <t>2015年，全国氮氧化物排放总量控制在2046.2万吨。</t>
        </is>
      </c>
      <c r="K47" s="161" t="inlineStr">
        <is>
          <t>FYP1201.htm</t>
        </is>
      </c>
      <c r="L47" s="161" t="inlineStr">
        <is>
          <t>污染</t>
        </is>
      </c>
    </row>
    <row r="48" ht="18" customHeight="1" s="235">
      <c r="A48" s="159" t="n">
        <v>2016</v>
      </c>
      <c r="B48" s="159" t="inlineStr">
        <is>
          <t>氮氧化物（NOₓ）年度全国排放总量</t>
        </is>
      </c>
      <c r="C48" s="159" t="inlineStr">
        <is>
          <t>控制在…以内</t>
        </is>
      </c>
      <c r="D48" s="159" t="inlineStr">
        <is>
          <t>1574万吨</t>
        </is>
      </c>
      <c r="E48" s="159" t="n"/>
      <c r="F48" s="159" t="inlineStr">
        <is>
          <t>2020</t>
        </is>
      </c>
      <c r="G48" s="159" t="inlineStr">
        <is>
          <t>新目标</t>
        </is>
      </c>
      <c r="H48" s="159" t="inlineStr">
        <is>
          <t>污染控制</t>
        </is>
      </c>
      <c r="I48" s="159" t="inlineStr">
        <is>
          <t>全社会经济</t>
        </is>
      </c>
      <c r="J48" s="159" t="inlineStr">
        <is>
          <t>到2020年，全国氮氧化物排放总量控制在1574万吨以内。</t>
        </is>
      </c>
      <c r="K48" s="161" t="inlineStr">
        <is>
          <t>FYP1601.htm</t>
        </is>
      </c>
      <c r="L48" s="161" t="inlineStr">
        <is>
          <t>污染</t>
        </is>
      </c>
    </row>
    <row r="49" ht="18" customHeight="1" s="235">
      <c r="A49" s="163" t="n">
        <v>2014</v>
      </c>
      <c r="B49" s="159" t="inlineStr">
        <is>
          <t>氮氧化物（NOₓ）全国排放总量</t>
        </is>
      </c>
      <c r="C49" s="163" t="inlineStr">
        <is>
          <t>降低</t>
        </is>
      </c>
      <c r="D49" s="163" t="inlineStr">
        <is>
          <t>5%以上</t>
        </is>
      </c>
      <c r="E49" s="163" t="n">
        <v>2014</v>
      </c>
      <c r="F49" s="165" t="n">
        <v>2015</v>
      </c>
      <c r="G49" s="163" t="inlineStr">
        <is>
          <t>新目标</t>
        </is>
      </c>
      <c r="H49" s="159" t="inlineStr">
        <is>
          <t>污染控制</t>
        </is>
      </c>
      <c r="I49" s="163" t="inlineStr">
        <is>
          <t>全社会经济</t>
        </is>
      </c>
      <c r="J49" s="163" t="inlineStr">
        <is>
          <t>2014-2015年，氮氧化物排放量分别下降5%以上。</t>
        </is>
      </c>
      <c r="K49" s="164" t="inlineStr">
        <is>
          <t>AP1404.htm</t>
        </is>
      </c>
      <c r="L49" s="161" t="inlineStr">
        <is>
          <t>污染</t>
        </is>
      </c>
    </row>
    <row r="50" ht="18" customHeight="1" s="235">
      <c r="A50" s="159" t="n">
        <v>2021</v>
      </c>
      <c r="B50" s="159" t="inlineStr">
        <is>
          <t>氮氧化物（NOₓ）全国排放总量</t>
        </is>
      </c>
      <c r="C50" s="159" t="inlineStr">
        <is>
          <t>降低</t>
        </is>
      </c>
      <c r="D50" s="159" t="inlineStr">
        <is>
          <t>10%以上</t>
        </is>
      </c>
      <c r="E50" s="159" t="n">
        <v>2020</v>
      </c>
      <c r="F50" s="159" t="inlineStr">
        <is>
          <t>2025</t>
        </is>
      </c>
      <c r="G50" s="159" t="inlineStr">
        <is>
          <t>新目标</t>
        </is>
      </c>
      <c r="H50" s="159" t="inlineStr">
        <is>
          <t>污染控制</t>
        </is>
      </c>
      <c r="I50" s="163" t="inlineStr">
        <is>
          <t>全社会经济</t>
        </is>
      </c>
      <c r="J50" s="163" t="inlineStr">
        <is>
          <t>到2025年，全国氮氧化物排放总量比2020年下降10%以上。</t>
        </is>
      </c>
      <c r="K50" s="161" t="inlineStr">
        <is>
          <t>FYP2107.htm</t>
        </is>
      </c>
      <c r="L50" s="161" t="inlineStr">
        <is>
          <t>污染</t>
        </is>
      </c>
    </row>
    <row r="51" ht="18" customHeight="1" s="235">
      <c r="A51" s="159" t="n">
        <v>2022</v>
      </c>
      <c r="B51" s="159" t="inlineStr">
        <is>
          <t>氮氧化物（NOₓ）全国排放总量</t>
        </is>
      </c>
      <c r="C51" s="159" t="inlineStr">
        <is>
          <t>降低</t>
        </is>
      </c>
      <c r="D51" s="159" t="inlineStr">
        <is>
          <t>10%</t>
        </is>
      </c>
      <c r="E51" s="159" t="n">
        <v>2020</v>
      </c>
      <c r="F51" s="159" t="inlineStr">
        <is>
          <t>2025</t>
        </is>
      </c>
      <c r="G51" s="159" t="inlineStr">
        <is>
          <t>重申目标</t>
        </is>
      </c>
      <c r="H51" s="159" t="inlineStr">
        <is>
          <t>污染控制</t>
        </is>
      </c>
      <c r="I51" s="163" t="inlineStr">
        <is>
          <t>全社会经济</t>
        </is>
      </c>
      <c r="J51" s="163" t="inlineStr">
        <is>
          <t>到2025年，氮氧化物排放总量较2020年下降10%以上。</t>
        </is>
      </c>
      <c r="K51" s="161" t="inlineStr">
        <is>
          <t>AP2206.pdf</t>
        </is>
      </c>
      <c r="L51" s="161" t="inlineStr">
        <is>
          <t>污染</t>
        </is>
      </c>
    </row>
    <row r="52" ht="18" customHeight="1" s="235">
      <c r="A52" s="159" t="n">
        <v>2018</v>
      </c>
      <c r="B52" s="159" t="inlineStr">
        <is>
          <t>地级及以上城市重污染天数</t>
        </is>
      </c>
      <c r="C52" s="159" t="inlineStr">
        <is>
          <t>降低</t>
        </is>
      </c>
      <c r="D52" s="159" t="inlineStr">
        <is>
          <t>25%</t>
        </is>
      </c>
      <c r="E52" s="159" t="n">
        <v>2015</v>
      </c>
      <c r="F52" s="159" t="inlineStr">
        <is>
          <t>2020</t>
        </is>
      </c>
      <c r="G52" s="159" t="inlineStr">
        <is>
          <t>新目标</t>
        </is>
      </c>
      <c r="H52" s="159" t="inlineStr">
        <is>
          <t>污染控制</t>
        </is>
      </c>
      <c r="I52" s="163" t="inlineStr">
        <is>
          <t>城市</t>
        </is>
      </c>
      <c r="J52" s="163" t="inlineStr">
        <is>
          <t>到2020年，地级及以上城市重污染天数比2015年减少25%。</t>
        </is>
      </c>
      <c r="K52" s="161" t="inlineStr">
        <is>
          <t>O1802.htm</t>
        </is>
      </c>
      <c r="L52" s="161" t="inlineStr">
        <is>
          <t>污染</t>
        </is>
      </c>
    </row>
    <row r="53" hidden="1" ht="18" customHeight="1" s="235">
      <c r="A53" s="166" t="n">
        <v>2010</v>
      </c>
      <c r="B53" s="166" t="inlineStr">
        <is>
          <t>水泥行业颗粒物排放</t>
        </is>
      </c>
      <c r="C53" s="166" t="inlineStr">
        <is>
          <t>降低</t>
        </is>
      </c>
      <c r="D53" s="166" t="inlineStr">
        <is>
          <t>50%</t>
        </is>
      </c>
      <c r="E53" s="166" t="n">
        <v>2009</v>
      </c>
      <c r="F53" s="166" t="n">
        <v>2015</v>
      </c>
      <c r="G53" s="166" t="inlineStr">
        <is>
          <t>新目标</t>
        </is>
      </c>
      <c r="H53" s="166" t="inlineStr">
        <is>
          <t>污染控制</t>
        </is>
      </c>
      <c r="I53" s="167" t="inlineStr">
        <is>
          <t>行业</t>
        </is>
      </c>
      <c r="J53" s="167" t="inlineStr">
        <is>
          <t>水泥行业颗粒物排放量在2009年基础上降低50%，氮氧化物排放量在2009年基础上降低25%，二氧化碳排放强度进一步下降。</t>
        </is>
      </c>
      <c r="K53" s="168" t="inlineStr">
        <is>
          <t>GO1001.pdf</t>
        </is>
      </c>
      <c r="L53" s="161" t="inlineStr">
        <is>
          <t>污染</t>
        </is>
      </c>
    </row>
    <row r="54" ht="18" customHeight="1" s="235">
      <c r="A54" s="159" t="n">
        <v>2018</v>
      </c>
      <c r="B54" s="159" t="inlineStr">
        <is>
          <t>地级及以上城市细颗粒物（PM2.5）浓度未达标情况</t>
        </is>
      </c>
      <c r="C54" s="159" t="inlineStr">
        <is>
          <t>降低</t>
        </is>
      </c>
      <c r="D54" s="159" t="inlineStr">
        <is>
          <t>18%</t>
        </is>
      </c>
      <c r="E54" s="159" t="n">
        <v>2015</v>
      </c>
      <c r="F54" s="159" t="inlineStr">
        <is>
          <t>2020</t>
        </is>
      </c>
      <c r="G54" s="159" t="inlineStr">
        <is>
          <t>新目标</t>
        </is>
      </c>
      <c r="H54" s="159" t="inlineStr">
        <is>
          <t>污染控制</t>
        </is>
      </c>
      <c r="I54" s="159" t="inlineStr">
        <is>
          <t>城市</t>
        </is>
      </c>
      <c r="J54" s="159" t="inlineStr">
        <is>
          <t>到2020年，未达标地级及以上城市细颗粒物（PM2.5）浓度比2015年下降18%以上。</t>
        </is>
      </c>
      <c r="K54" s="161" t="inlineStr">
        <is>
          <t>AP1802.htm</t>
        </is>
      </c>
      <c r="L54" s="161" t="inlineStr">
        <is>
          <t>污染</t>
        </is>
      </c>
    </row>
    <row r="55" ht="18" customHeight="1" s="235">
      <c r="A55" s="159" t="n">
        <v>2023</v>
      </c>
      <c r="B55" s="159" t="inlineStr">
        <is>
          <t>地级及以上城市PM2.5浓度</t>
        </is>
      </c>
      <c r="C55" s="159" t="inlineStr">
        <is>
          <t>降低</t>
        </is>
      </c>
      <c r="D55" s="159" t="inlineStr">
        <is>
          <t>10%</t>
        </is>
      </c>
      <c r="E55" s="159" t="n">
        <v>2020</v>
      </c>
      <c r="F55" s="159" t="inlineStr">
        <is>
          <t>2025</t>
        </is>
      </c>
      <c r="G55" s="159" t="inlineStr">
        <is>
          <t>新目标</t>
        </is>
      </c>
      <c r="H55" s="159" t="inlineStr">
        <is>
          <t>污染控制</t>
        </is>
      </c>
      <c r="I55" s="159" t="inlineStr">
        <is>
          <t>城市</t>
        </is>
      </c>
      <c r="J55" s="159" t="inlineStr">
        <is>
          <t>到2025年，全国地级及以上城市PM2.5浓度比2020年下降10%。</t>
        </is>
      </c>
      <c r="K55" s="161" t="inlineStr">
        <is>
          <t>AP2304.htm</t>
        </is>
      </c>
      <c r="L55" s="161" t="inlineStr">
        <is>
          <t>污染</t>
        </is>
      </c>
    </row>
    <row r="56" ht="18" customHeight="1" s="235">
      <c r="A56" s="159" t="n">
        <v>2013</v>
      </c>
      <c r="B56" s="159" t="inlineStr">
        <is>
          <t>能源开发利用产生的细颗粒物（PM2.5）排放强度</t>
        </is>
      </c>
      <c r="C56" s="159" t="inlineStr">
        <is>
          <t>降低</t>
        </is>
      </c>
      <c r="D56" s="159" t="inlineStr">
        <is>
          <t>30%以上</t>
        </is>
      </c>
      <c r="E56" s="159" t="n">
        <v>2010</v>
      </c>
      <c r="F56" s="159" t="inlineStr">
        <is>
          <t>2015</t>
        </is>
      </c>
      <c r="G56" s="159" t="inlineStr">
        <is>
          <t>新目标</t>
        </is>
      </c>
      <c r="H56" s="159" t="inlineStr">
        <is>
          <t>污染控制</t>
        </is>
      </c>
      <c r="I56" s="159" t="inlineStr">
        <is>
          <t>不明确</t>
        </is>
      </c>
      <c r="J56" s="159" t="inlineStr">
        <is>
          <t>到2015年，能源开发利用产生的细颗粒物（PM2.5）排放强度下降30%以上。</t>
        </is>
      </c>
      <c r="K56" s="161" t="inlineStr">
        <is>
          <t>FYP1302.htm</t>
        </is>
      </c>
      <c r="L56" s="161" t="inlineStr">
        <is>
          <t>污染</t>
        </is>
      </c>
    </row>
    <row r="57" ht="18" customHeight="1" s="235">
      <c r="A57" s="159" t="n">
        <v>2016</v>
      </c>
      <c r="B57" s="159" t="inlineStr">
        <is>
          <t>电镀和涂装行业污染物排放强度下降幅度</t>
        </is>
      </c>
      <c r="C57" s="159" t="inlineStr">
        <is>
          <t>降低</t>
        </is>
      </c>
      <c r="D57" s="159" t="inlineStr">
        <is>
          <t>30%</t>
        </is>
      </c>
      <c r="E57" s="159" t="n"/>
      <c r="F57" s="159" t="inlineStr">
        <is>
          <t>2020</t>
        </is>
      </c>
      <c r="G57" s="159" t="inlineStr">
        <is>
          <t>新目标</t>
        </is>
      </c>
      <c r="H57" s="159" t="inlineStr">
        <is>
          <t>污染控制</t>
        </is>
      </c>
      <c r="I57" s="159" t="inlineStr">
        <is>
          <t>行业</t>
        </is>
      </c>
      <c r="J57" s="159" t="inlineStr">
        <is>
          <t>到2020年，电镀和涂装行业减少污染物排放30%以上。</t>
        </is>
      </c>
      <c r="K57" s="161" t="inlineStr">
        <is>
          <t>DP1601.htm</t>
        </is>
      </c>
      <c r="L57" s="161" t="inlineStr">
        <is>
          <t>污染</t>
        </is>
      </c>
    </row>
    <row r="58" ht="18" customHeight="1" s="235">
      <c r="A58" s="159" t="n">
        <v>2023</v>
      </c>
      <c r="B58" s="159" t="inlineStr">
        <is>
          <t>城市达标比例</t>
        </is>
      </c>
      <c r="C58" s="159" t="inlineStr">
        <is>
          <t>达到</t>
        </is>
      </c>
      <c r="D58" s="159" t="inlineStr">
        <is>
          <t>100%</t>
        </is>
      </c>
      <c r="E58" s="159" t="n"/>
      <c r="F58" s="159" t="inlineStr">
        <is>
          <t>十四五</t>
        </is>
      </c>
      <c r="G58" s="159" t="inlineStr">
        <is>
          <t>新目标</t>
        </is>
      </c>
      <c r="H58" s="159" t="inlineStr">
        <is>
          <t>污染控制</t>
        </is>
      </c>
      <c r="I58" s="159" t="inlineStr">
        <is>
          <t>城市</t>
        </is>
      </c>
      <c r="J58" s="159" t="inlineStr">
        <is>
          <t>2020年PM2.5浓度低于40微克/立方米的未达标城市，“十四五”期间实现达标</t>
        </is>
      </c>
      <c r="K58" s="161" t="inlineStr">
        <is>
          <t>AP2304.htm</t>
        </is>
      </c>
      <c r="L58" s="161" t="inlineStr">
        <is>
          <t>污染</t>
        </is>
      </c>
    </row>
    <row r="59" ht="18" customHeight="1" s="235">
      <c r="A59" s="0" t="n">
        <v>2026</v>
      </c>
      <c r="B59" s="0" t="inlineStr">
        <is>
          <t>地下水优良水质比例</t>
        </is>
      </c>
      <c r="C59" s="0" t="inlineStr">
        <is>
          <t>超过</t>
        </is>
      </c>
      <c r="D59" s="0" t="inlineStr">
        <is>
          <t>78%</t>
        </is>
      </c>
      <c r="E59" s="0" t="inlineStr">
        <is>
          <t>74.3%（2025）</t>
        </is>
      </c>
      <c r="F59" s="0" t="n">
        <v>2030</v>
      </c>
      <c r="G59" s="0" t="inlineStr">
        <is>
          <t>新目标</t>
        </is>
      </c>
      <c r="H59" s="0" t="inlineStr">
        <is>
          <t>环境质量</t>
        </is>
      </c>
      <c r="I59" s="0" t="inlineStr">
        <is>
          <t>全社会经济</t>
        </is>
      </c>
      <c r="J59" s="0" t="inlineStr">
        <is>
          <t>专栏1“十五五”各项指标：地下水优良水质比例（%）2025年基准值74.3，2030年目标值＞78</t>
        </is>
      </c>
      <c r="K59" s="0" t="inlineStr">
        <is>
          <t>FYP2606.pdf</t>
        </is>
      </c>
      <c r="L59" s="0" t="inlineStr">
        <is>
          <t>污染</t>
        </is>
      </c>
    </row>
    <row r="60" ht="18" customHeight="1" s="235">
      <c r="A60" s="159" t="n">
        <v>2012</v>
      </c>
      <c r="B60" s="159" t="inlineStr">
        <is>
          <t>二氧化硫（SO₂）年排放总量</t>
        </is>
      </c>
      <c r="C60" s="159" t="inlineStr">
        <is>
          <t>控制在…以内</t>
        </is>
      </c>
      <c r="D60" s="159" t="inlineStr">
        <is>
          <t>2086.4万吨</t>
        </is>
      </c>
      <c r="E60" s="159" t="n"/>
      <c r="F60" s="159" t="inlineStr">
        <is>
          <t>2015</t>
        </is>
      </c>
      <c r="G60" s="159" t="inlineStr">
        <is>
          <t>新目标</t>
        </is>
      </c>
      <c r="H60" s="159" t="inlineStr">
        <is>
          <t>污染控制</t>
        </is>
      </c>
      <c r="I60" s="159" t="inlineStr">
        <is>
          <t>全社会经济</t>
        </is>
      </c>
      <c r="J60" s="159" t="inlineStr">
        <is>
          <t>2015年，全国二氧化硫排放总量控制在2086.4万吨。</t>
        </is>
      </c>
      <c r="K60" s="161" t="inlineStr">
        <is>
          <t>FYP1201.htm</t>
        </is>
      </c>
      <c r="L60" s="161" t="inlineStr">
        <is>
          <t>污染</t>
        </is>
      </c>
    </row>
    <row r="61" ht="18" customHeight="1" s="235">
      <c r="A61" s="159" t="n">
        <v>2016</v>
      </c>
      <c r="B61" s="159" t="inlineStr">
        <is>
          <t>二氧化硫（SO₂）年排放总量（全国）</t>
        </is>
      </c>
      <c r="C61" s="159" t="inlineStr">
        <is>
          <t>控制在…以内</t>
        </is>
      </c>
      <c r="D61" s="159" t="inlineStr">
        <is>
          <t>1580万吨</t>
        </is>
      </c>
      <c r="E61" s="159" t="n"/>
      <c r="F61" s="159" t="inlineStr">
        <is>
          <t>2020</t>
        </is>
      </c>
      <c r="G61" s="159" t="inlineStr">
        <is>
          <t>新目标</t>
        </is>
      </c>
      <c r="H61" s="159" t="inlineStr">
        <is>
          <t>污染控制</t>
        </is>
      </c>
      <c r="I61" s="159" t="inlineStr">
        <is>
          <t>全社会经济</t>
        </is>
      </c>
      <c r="J61" s="159" t="inlineStr">
        <is>
          <t>到2020年，全国二氧化硫排放总量控制在1580万吨以内。</t>
        </is>
      </c>
      <c r="K61" s="161" t="inlineStr">
        <is>
          <t>FYP1601.htm</t>
        </is>
      </c>
      <c r="L61" s="161" t="inlineStr">
        <is>
          <t>污染</t>
        </is>
      </c>
    </row>
    <row r="62" ht="18" customHeight="1" s="235">
      <c r="A62" s="159" t="n">
        <v>2014</v>
      </c>
      <c r="B62" s="159" t="inlineStr">
        <is>
          <t>二氧化硫（SO₂）全国排放总量</t>
        </is>
      </c>
      <c r="C62" s="159" t="inlineStr">
        <is>
          <t>降低</t>
        </is>
      </c>
      <c r="D62" s="159" t="inlineStr">
        <is>
          <t>2%</t>
        </is>
      </c>
      <c r="E62" s="159" t="n">
        <v>2014</v>
      </c>
      <c r="F62" s="160" t="n">
        <v>2015</v>
      </c>
      <c r="G62" s="159" t="inlineStr">
        <is>
          <t>新目标</t>
        </is>
      </c>
      <c r="H62" s="159" t="inlineStr">
        <is>
          <t>污染控制</t>
        </is>
      </c>
      <c r="I62" s="159" t="inlineStr">
        <is>
          <t>全社会经济</t>
        </is>
      </c>
      <c r="J62" s="159" t="inlineStr">
        <is>
          <t>2014年至2015年，二氧化硫排放量下降2%。</t>
        </is>
      </c>
      <c r="K62" s="161" t="inlineStr">
        <is>
          <t>AP1404.htm</t>
        </is>
      </c>
      <c r="L62" s="161" t="inlineStr">
        <is>
          <t>污染</t>
        </is>
      </c>
    </row>
    <row r="63" ht="18" customHeight="1" s="235">
      <c r="A63" s="159" t="n">
        <v>2007</v>
      </c>
      <c r="B63" s="159" t="inlineStr">
        <is>
          <t>二氧化硫（SO₂）全国排放总量</t>
        </is>
      </c>
      <c r="C63" s="159" t="inlineStr">
        <is>
          <t>降低至</t>
        </is>
      </c>
      <c r="D63" s="159" t="inlineStr">
        <is>
          <t>2295万吨</t>
        </is>
      </c>
      <c r="E63" s="159" t="n"/>
      <c r="F63" s="159" t="inlineStr">
        <is>
          <t>2010</t>
        </is>
      </c>
      <c r="G63" s="159" t="inlineStr">
        <is>
          <t>新目标</t>
        </is>
      </c>
      <c r="H63" s="159" t="inlineStr">
        <is>
          <t>污染控制</t>
        </is>
      </c>
      <c r="I63" s="159" t="inlineStr">
        <is>
          <t>全社会经济</t>
        </is>
      </c>
      <c r="J63" s="159" t="inlineStr">
        <is>
          <t>到2010年，二氧化硫排放量由2005年的2549万吨减少到2295万吨。</t>
        </is>
      </c>
      <c r="K63" s="161" t="inlineStr">
        <is>
          <t>WOP0701.htm</t>
        </is>
      </c>
      <c r="L63" s="161" t="inlineStr">
        <is>
          <t>污染</t>
        </is>
      </c>
    </row>
    <row r="64" ht="18" customHeight="1" s="235">
      <c r="A64" s="159" t="n">
        <v>2007</v>
      </c>
      <c r="B64" s="159" t="inlineStr">
        <is>
          <t>二氧化硫（SO₂）全国排放总量</t>
        </is>
      </c>
      <c r="C64" s="159" t="inlineStr">
        <is>
          <t>降低</t>
        </is>
      </c>
      <c r="D64" s="159" t="inlineStr">
        <is>
          <t>240万吨</t>
        </is>
      </c>
      <c r="E64" s="159" t="n"/>
      <c r="F64" s="159" t="inlineStr">
        <is>
          <t>十一五</t>
        </is>
      </c>
      <c r="G64" s="159" t="inlineStr">
        <is>
          <t>新目标</t>
        </is>
      </c>
      <c r="H64" s="159" t="inlineStr">
        <is>
          <t>污染控制</t>
        </is>
      </c>
      <c r="I64" s="159" t="inlineStr">
        <is>
          <t>全社会经济</t>
        </is>
      </c>
      <c r="J64" s="159" t="inlineStr">
        <is>
          <t>到2010年，“十一五”期间二氧化硫排放量减少240万吨。</t>
        </is>
      </c>
      <c r="K64" s="161" t="inlineStr">
        <is>
          <t>WOP0701.htm</t>
        </is>
      </c>
      <c r="L64" s="161" t="inlineStr">
        <is>
          <t>污染</t>
        </is>
      </c>
    </row>
    <row r="65" ht="18" customHeight="1" s="235">
      <c r="A65" s="159" t="n">
        <v>2007</v>
      </c>
      <c r="B65" s="159" t="inlineStr">
        <is>
          <t>二氧化硫（SO₂）全国排放总量</t>
        </is>
      </c>
      <c r="C65" s="159" t="inlineStr">
        <is>
          <t>降低</t>
        </is>
      </c>
      <c r="D65" s="159" t="inlineStr">
        <is>
          <t>40万吨</t>
        </is>
      </c>
      <c r="E65" s="159" t="n"/>
      <c r="F65" s="159" t="inlineStr">
        <is>
          <t>十一五</t>
        </is>
      </c>
      <c r="G65" s="159" t="inlineStr">
        <is>
          <t>新目标</t>
        </is>
      </c>
      <c r="H65" s="159" t="inlineStr">
        <is>
          <t>污染控制</t>
        </is>
      </c>
      <c r="I65" s="159" t="inlineStr">
        <is>
          <t>全社会经济</t>
        </is>
      </c>
      <c r="J65" s="159" t="inlineStr">
        <is>
          <t>到2010年，二氧化硫排放量减少40万吨。</t>
        </is>
      </c>
      <c r="K65" s="161" t="inlineStr">
        <is>
          <t>WOP0701.htm</t>
        </is>
      </c>
      <c r="L65" s="161" t="inlineStr">
        <is>
          <t>污染</t>
        </is>
      </c>
    </row>
    <row r="66" ht="18" customHeight="1" s="235">
      <c r="A66" s="159" t="n">
        <v>2018</v>
      </c>
      <c r="B66" s="159" t="inlineStr">
        <is>
          <t>二氧化硫（SO₂）和氮氧化物（NOₓ）全国排放总量</t>
        </is>
      </c>
      <c r="C66" s="159" t="inlineStr">
        <is>
          <t>降低</t>
        </is>
      </c>
      <c r="D66" s="159" t="inlineStr">
        <is>
          <t>15%</t>
        </is>
      </c>
      <c r="E66" s="159" t="n">
        <v>2015</v>
      </c>
      <c r="F66" s="159" t="inlineStr">
        <is>
          <t>2020</t>
        </is>
      </c>
      <c r="G66" s="159" t="inlineStr">
        <is>
          <t>新目标</t>
        </is>
      </c>
      <c r="H66" s="159" t="inlineStr">
        <is>
          <t>污染控制</t>
        </is>
      </c>
      <c r="I66" s="159" t="inlineStr">
        <is>
          <t>全社会经济</t>
        </is>
      </c>
      <c r="J66" s="159" t="inlineStr">
        <is>
          <t>到2020年，二氧化硫、氮氧化物排放总量分别比2015年下降15%以上。</t>
        </is>
      </c>
      <c r="K66" s="161" t="inlineStr">
        <is>
          <t>AP1802.htm</t>
        </is>
      </c>
      <c r="L66" s="161" t="inlineStr">
        <is>
          <t>污染</t>
        </is>
      </c>
    </row>
    <row r="67" ht="18" customHeight="1" s="235">
      <c r="A67" s="163" t="n">
        <v>2014</v>
      </c>
      <c r="B67" s="159" t="inlineStr">
        <is>
          <t>二氧化硫减排能力</t>
        </is>
      </c>
      <c r="C67" s="163" t="inlineStr">
        <is>
          <t>提高</t>
        </is>
      </c>
      <c r="D67" s="163" t="inlineStr">
        <is>
          <t>230万吨</t>
        </is>
      </c>
      <c r="E67" s="163" t="n">
        <v>2014</v>
      </c>
      <c r="F67" s="163" t="inlineStr">
        <is>
          <t>2015</t>
        </is>
      </c>
      <c r="G67" s="163" t="inlineStr">
        <is>
          <t>新目标</t>
        </is>
      </c>
      <c r="H67" s="159" t="inlineStr">
        <is>
          <t>污染控制</t>
        </is>
      </c>
      <c r="I67" s="163" t="inlineStr">
        <is>
          <t>不明确</t>
        </is>
      </c>
      <c r="J67" s="163" t="inlineStr">
        <is>
          <t>到2015年底，新增二氧化硫减排能力230万吨以上。</t>
        </is>
      </c>
      <c r="K67" s="164" t="inlineStr">
        <is>
          <t>AP1404.htm</t>
        </is>
      </c>
      <c r="L67" s="161" t="inlineStr">
        <is>
          <t>污染</t>
        </is>
      </c>
    </row>
    <row r="68" ht="18" customHeight="1" s="235">
      <c r="A68" s="163" t="n">
        <v>2014</v>
      </c>
      <c r="B68" s="159" t="inlineStr">
        <is>
          <t>燃煤锅炉除尘脱硫升级改造带来的二氧化硫减排</t>
        </is>
      </c>
      <c r="C68" s="163" t="inlineStr">
        <is>
          <t>实现</t>
        </is>
      </c>
      <c r="D68" s="163" t="inlineStr">
        <is>
          <t>40万吨</t>
        </is>
      </c>
      <c r="E68" s="163" t="n"/>
      <c r="F68" s="165" t="n">
        <v>2015</v>
      </c>
      <c r="G68" s="163" t="inlineStr">
        <is>
          <t>新目标</t>
        </is>
      </c>
      <c r="H68" s="159" t="inlineStr">
        <is>
          <t>污染控制</t>
        </is>
      </c>
      <c r="I68" s="163" t="inlineStr">
        <is>
          <t>不明确</t>
        </is>
      </c>
      <c r="J68" s="163" t="inlineStr">
        <is>
          <t>通过除尘脱硫升级改造，形成40万吨二氧化硫减排能力</t>
        </is>
      </c>
      <c r="K68" s="164" t="inlineStr">
        <is>
          <t>AP1404.htm</t>
        </is>
      </c>
      <c r="L68" s="161" t="inlineStr">
        <is>
          <t>污染</t>
        </is>
      </c>
    </row>
    <row r="69" ht="18" customHeight="1" s="235">
      <c r="A69" s="163" t="n">
        <v>2013</v>
      </c>
      <c r="B69" s="159" t="inlineStr">
        <is>
          <t>煤电二氧化硫排放系数</t>
        </is>
      </c>
      <c r="C69" s="163" t="inlineStr">
        <is>
          <t>降低至</t>
        </is>
      </c>
      <c r="D69" s="163" t="inlineStr">
        <is>
          <t>1.5克/千瓦时</t>
        </is>
      </c>
      <c r="E69" s="163" t="n"/>
      <c r="F69" s="163" t="inlineStr">
        <is>
          <t>2015</t>
        </is>
      </c>
      <c r="G69" s="163" t="inlineStr">
        <is>
          <t>新目标</t>
        </is>
      </c>
      <c r="H69" s="159" t="inlineStr">
        <is>
          <t>污染控制</t>
        </is>
      </c>
      <c r="I69" s="163" t="inlineStr">
        <is>
          <t>行业</t>
        </is>
      </c>
      <c r="J69" s="163" t="inlineStr">
        <is>
          <t>到2015年，每千瓦时煤电二氧化硫排放下降到1.5克。</t>
        </is>
      </c>
      <c r="K69" s="164" t="inlineStr">
        <is>
          <t>FYP1302.htm</t>
        </is>
      </c>
      <c r="L69" s="161" t="inlineStr">
        <is>
          <t>污染</t>
        </is>
      </c>
    </row>
    <row r="70" ht="18" customHeight="1" s="235">
      <c r="A70" s="163" t="n">
        <v>2016</v>
      </c>
      <c r="B70" s="159" t="inlineStr">
        <is>
          <t>吨钢二氧化硫排放量</t>
        </is>
      </c>
      <c r="C70" s="163" t="inlineStr">
        <is>
          <t>降低至</t>
        </is>
      </c>
      <c r="D70" s="163" t="inlineStr">
        <is>
          <t>≤0.68千克/吨</t>
        </is>
      </c>
      <c r="E70" s="163" t="n"/>
      <c r="F70" s="165" t="n">
        <v>2020</v>
      </c>
      <c r="G70" s="163" t="inlineStr">
        <is>
          <t>新目标</t>
        </is>
      </c>
      <c r="H70" s="159" t="inlineStr">
        <is>
          <t>污染控制</t>
        </is>
      </c>
      <c r="I70" s="163" t="inlineStr">
        <is>
          <t>行业</t>
        </is>
      </c>
      <c r="J70" s="163" t="inlineStr">
        <is>
          <t>到2020年，吨钢二氧化硫排放量由2015年的0.85千克/吨降至0.68千克/吨以下。</t>
        </is>
      </c>
      <c r="K70" s="164" t="inlineStr">
        <is>
          <t>FYP1626.pdf</t>
        </is>
      </c>
      <c r="L70" s="161" t="inlineStr">
        <is>
          <t>污染</t>
        </is>
      </c>
    </row>
    <row r="71" ht="18" customHeight="1" s="235">
      <c r="A71" s="163" t="n">
        <v>2013</v>
      </c>
      <c r="B71" s="159" t="inlineStr">
        <is>
          <t>重点行业排污强度</t>
        </is>
      </c>
      <c r="C71" s="163" t="inlineStr">
        <is>
          <t>降低</t>
        </is>
      </c>
      <c r="D71" s="163" t="inlineStr">
        <is>
          <t>30%</t>
        </is>
      </c>
      <c r="E71" s="163" t="n">
        <v>2012</v>
      </c>
      <c r="F71" s="163" t="inlineStr">
        <is>
          <t>2017</t>
        </is>
      </c>
      <c r="G71" s="163" t="inlineStr">
        <is>
          <t>新目标</t>
        </is>
      </c>
      <c r="H71" s="159" t="inlineStr">
        <is>
          <t>污染控制</t>
        </is>
      </c>
      <c r="I71" s="163" t="inlineStr">
        <is>
          <t>行业</t>
        </is>
      </c>
      <c r="J71" s="163" t="inlineStr">
        <is>
          <t>到2017年，重点行业排污强度比2012年下降30%以上。</t>
        </is>
      </c>
      <c r="K71" s="164" t="inlineStr">
        <is>
          <t>AP1302.htm</t>
        </is>
      </c>
      <c r="L71" s="161" t="inlineStr">
        <is>
          <t>污染</t>
        </is>
      </c>
    </row>
    <row r="72" ht="18" customHeight="1" s="235">
      <c r="A72" s="159" t="n">
        <v>2018</v>
      </c>
      <c r="B72" s="159" t="inlineStr">
        <is>
          <t>空气质量优良天数比率</t>
        </is>
      </c>
      <c r="C72" s="159" t="inlineStr">
        <is>
          <t>达到</t>
        </is>
      </c>
      <c r="D72" s="159" t="inlineStr">
        <is>
          <t>80%</t>
        </is>
      </c>
      <c r="E72" s="159" t="n"/>
      <c r="F72" s="159" t="inlineStr">
        <is>
          <t>2020</t>
        </is>
      </c>
      <c r="G72" s="159" t="inlineStr">
        <is>
          <t>新目标</t>
        </is>
      </c>
      <c r="H72" s="159" t="inlineStr">
        <is>
          <t>污染控制</t>
        </is>
      </c>
      <c r="I72" s="159" t="inlineStr">
        <is>
          <t>不明确</t>
        </is>
      </c>
      <c r="J72" s="159" t="inlineStr">
        <is>
          <t>到2020年，地级及以上城市空气质量优良天数比率达到80%。</t>
        </is>
      </c>
      <c r="K72" s="161" t="inlineStr">
        <is>
          <t>AP1802.htm</t>
        </is>
      </c>
      <c r="L72" s="161" t="inlineStr">
        <is>
          <t>污染</t>
        </is>
      </c>
    </row>
    <row r="73" ht="18" customHeight="1" s="235">
      <c r="A73" s="163" t="n">
        <v>2018</v>
      </c>
      <c r="B73" s="159" t="inlineStr">
        <is>
          <t>重度及以上污染天数比率</t>
        </is>
      </c>
      <c r="C73" s="163" t="inlineStr">
        <is>
          <t>降低</t>
        </is>
      </c>
      <c r="D73" s="163" t="inlineStr">
        <is>
          <t>25%</t>
        </is>
      </c>
      <c r="E73" s="163" t="n">
        <v>2015</v>
      </c>
      <c r="F73" s="163" t="inlineStr">
        <is>
          <t>2020</t>
        </is>
      </c>
      <c r="G73" s="163" t="inlineStr">
        <is>
          <t>新目标</t>
        </is>
      </c>
      <c r="H73" s="159" t="inlineStr">
        <is>
          <t>污染控制</t>
        </is>
      </c>
      <c r="I73" s="163" t="inlineStr">
        <is>
          <t>不明确</t>
        </is>
      </c>
      <c r="J73" s="163" t="inlineStr">
        <is>
          <t>到2020年，重度及以上污染天数比率比2015年下降25%以上。</t>
        </is>
      </c>
      <c r="K73" s="164" t="inlineStr">
        <is>
          <t>AP1802.htm</t>
        </is>
      </c>
      <c r="L73" s="161" t="inlineStr">
        <is>
          <t>污染</t>
        </is>
      </c>
    </row>
    <row r="74" ht="18" customHeight="1" s="235">
      <c r="A74" s="163" t="n">
        <v>2023</v>
      </c>
      <c r="B74" s="163" t="inlineStr">
        <is>
          <t>重度及以上污染天数比率</t>
        </is>
      </c>
      <c r="C74" s="163" t="inlineStr">
        <is>
          <t>控制在…以内</t>
        </is>
      </c>
      <c r="D74" s="163" t="inlineStr">
        <is>
          <t>1%</t>
        </is>
      </c>
      <c r="E74" s="163" t="n"/>
      <c r="F74" s="163" t="inlineStr">
        <is>
          <t>2025</t>
        </is>
      </c>
      <c r="G74" s="163" t="inlineStr">
        <is>
          <t>新目标</t>
        </is>
      </c>
      <c r="H74" s="159" t="inlineStr">
        <is>
          <t>污染控制</t>
        </is>
      </c>
      <c r="I74" s="163" t="inlineStr">
        <is>
          <t>不明确</t>
        </is>
      </c>
      <c r="J74" s="163" t="inlineStr">
        <is>
          <t>到2025年，重度及以上污染天数比率控制在1%以内。</t>
        </is>
      </c>
      <c r="K74" s="164" t="inlineStr">
        <is>
          <t>AP2304.htm</t>
        </is>
      </c>
      <c r="L74" s="161" t="inlineStr">
        <is>
          <t>污染</t>
        </is>
      </c>
    </row>
    <row r="75" ht="18" customHeight="1" s="235">
      <c r="A75" s="159" t="n">
        <v>2017</v>
      </c>
      <c r="B75" s="159" t="inlineStr">
        <is>
          <t>京津冀区域船舶硫氧化物、氮氧化物和颗粒物排放总量</t>
        </is>
      </c>
      <c r="C75" s="159" t="inlineStr">
        <is>
          <t>降低</t>
        </is>
      </c>
      <c r="D75" s="159" t="inlineStr">
        <is>
          <t>65%</t>
        </is>
      </c>
      <c r="E75" s="159" t="n">
        <v>2015</v>
      </c>
      <c r="F75" s="159" t="inlineStr">
        <is>
          <t>2020</t>
        </is>
      </c>
      <c r="G75" s="159" t="inlineStr">
        <is>
          <t>新目标</t>
        </is>
      </c>
      <c r="H75" s="159" t="inlineStr">
        <is>
          <t>污染控制</t>
        </is>
      </c>
      <c r="I75" s="159" t="inlineStr">
        <is>
          <t>地区</t>
        </is>
      </c>
      <c r="J75" s="159" t="inlineStr">
        <is>
          <t>到2020年，京津冀、长三角、珠三角区域的船舶硫氧化物、氮氧化物和颗粒物排放总量在2015年基础上分别下降65%、20%和30%。</t>
        </is>
      </c>
      <c r="K75" s="161" t="inlineStr">
        <is>
          <t>IP1701.htm</t>
        </is>
      </c>
      <c r="L75" s="161" t="inlineStr">
        <is>
          <t>污染</t>
        </is>
      </c>
    </row>
    <row r="76" ht="18" customHeight="1" s="235">
      <c r="A76" s="163" t="n">
        <v>2017</v>
      </c>
      <c r="B76" s="163" t="inlineStr">
        <is>
          <t>珠三角水域船舶硫氧化物、氮氧化物和颗粒物排放总量</t>
        </is>
      </c>
      <c r="C76" s="163" t="inlineStr">
        <is>
          <t>降低</t>
        </is>
      </c>
      <c r="D76" s="163" t="inlineStr">
        <is>
          <t>30%</t>
        </is>
      </c>
      <c r="E76" s="163" t="n">
        <v>2015</v>
      </c>
      <c r="F76" s="163" t="inlineStr">
        <is>
          <t>2020</t>
        </is>
      </c>
      <c r="G76" s="163" t="inlineStr">
        <is>
          <t>新目标</t>
        </is>
      </c>
      <c r="H76" s="159" t="inlineStr">
        <is>
          <t>污染控制</t>
        </is>
      </c>
      <c r="I76" s="163" t="inlineStr">
        <is>
          <t>地区</t>
        </is>
      </c>
      <c r="J76" s="163" t="inlineStr">
        <is>
          <t>到2020年，京津冀、长三角、珠三角区域的船舶硫氧化物、氮氧化物和颗粒物排放总量在2015年基础上分别下降65%、20%和30%。</t>
        </is>
      </c>
      <c r="K76" s="164" t="inlineStr">
        <is>
          <t>IP1701.htm</t>
        </is>
      </c>
      <c r="L76" s="161" t="inlineStr">
        <is>
          <t>污染</t>
        </is>
      </c>
    </row>
    <row r="77" ht="18" customHeight="1" s="235">
      <c r="A77" s="163" t="n">
        <v>2017</v>
      </c>
      <c r="B77" s="163" t="inlineStr">
        <is>
          <t>长三角区域船舶硫氧化物、氮氧化物和颗粒物排放总量</t>
        </is>
      </c>
      <c r="C77" s="163" t="inlineStr">
        <is>
          <t>降低</t>
        </is>
      </c>
      <c r="D77" s="163" t="inlineStr">
        <is>
          <t>20%</t>
        </is>
      </c>
      <c r="E77" s="163" t="n">
        <v>2015</v>
      </c>
      <c r="F77" s="163" t="inlineStr">
        <is>
          <t>2020</t>
        </is>
      </c>
      <c r="G77" s="163" t="inlineStr">
        <is>
          <t>新目标</t>
        </is>
      </c>
      <c r="H77" s="159" t="inlineStr">
        <is>
          <t>污染控制</t>
        </is>
      </c>
      <c r="I77" s="163" t="inlineStr">
        <is>
          <t>地区</t>
        </is>
      </c>
      <c r="J77" s="163" t="inlineStr">
        <is>
          <t>到2020年，京津冀、长三角、珠三角区域的船舶硫氧化物、氮氧化物和颗粒物排放总量在2015年基础上分别下降65%、20%和30%。</t>
        </is>
      </c>
      <c r="K77" s="164" t="inlineStr">
        <is>
          <t>IP1701.htm</t>
        </is>
      </c>
      <c r="L77" s="161" t="inlineStr">
        <is>
          <t>污染</t>
        </is>
      </c>
    </row>
    <row r="78" ht="18" customHeight="1" s="235">
      <c r="A78" s="163" t="n">
        <v>2016</v>
      </c>
      <c r="B78" s="163" t="inlineStr">
        <is>
          <t>钢铁行业污染物排放总量</t>
        </is>
      </c>
      <c r="C78" s="163" t="inlineStr">
        <is>
          <t>降低</t>
        </is>
      </c>
      <c r="D78" s="163" t="inlineStr">
        <is>
          <t>15%以上</t>
        </is>
      </c>
      <c r="E78" s="163" t="n"/>
      <c r="F78" s="163" t="inlineStr">
        <is>
          <t>十三五</t>
        </is>
      </c>
      <c r="G78" s="163" t="inlineStr">
        <is>
          <t>新目标</t>
        </is>
      </c>
      <c r="H78" s="159" t="inlineStr">
        <is>
          <t>污染控制</t>
        </is>
      </c>
      <c r="I78" s="163" t="inlineStr">
        <is>
          <t>行业</t>
        </is>
      </c>
      <c r="J78" s="163" t="inlineStr">
        <is>
          <t>“十三五”期间，钢铁行业污染物排放总量下降15%以上。</t>
        </is>
      </c>
      <c r="K78" s="164" t="inlineStr">
        <is>
          <t>FYP1626.pdf</t>
        </is>
      </c>
      <c r="L78" s="161" t="inlineStr">
        <is>
          <t>污染</t>
        </is>
      </c>
    </row>
    <row r="79" ht="18" customHeight="1" s="235">
      <c r="A79" s="159" t="n">
        <v>2021</v>
      </c>
      <c r="B79" s="159" t="inlineStr">
        <is>
          <t>挥发性有机物（VOCs）全国排放总量</t>
        </is>
      </c>
      <c r="C79" s="159" t="inlineStr">
        <is>
          <t>降低</t>
        </is>
      </c>
      <c r="D79" s="159" t="inlineStr">
        <is>
          <t>10%以上</t>
        </is>
      </c>
      <c r="E79" s="159" t="n">
        <v>2020</v>
      </c>
      <c r="F79" s="159" t="inlineStr">
        <is>
          <t>2025</t>
        </is>
      </c>
      <c r="G79" s="159" t="inlineStr">
        <is>
          <t>新目标</t>
        </is>
      </c>
      <c r="H79" s="159" t="inlineStr">
        <is>
          <t>污染控制</t>
        </is>
      </c>
      <c r="I79" s="159" t="inlineStr">
        <is>
          <t>全社会经济</t>
        </is>
      </c>
      <c r="J79" s="159" t="inlineStr">
        <is>
          <t>到2025年，挥发性有机物排放总量比2020年下降10%以上。</t>
        </is>
      </c>
      <c r="K79" s="159" t="inlineStr">
        <is>
          <t>FYP2107.htm</t>
        </is>
      </c>
      <c r="L79" s="161" t="inlineStr">
        <is>
          <t>污染</t>
        </is>
      </c>
    </row>
    <row r="80" ht="18" customHeight="1" s="235">
      <c r="A80" s="159" t="n">
        <v>2018</v>
      </c>
      <c r="B80" s="159" t="inlineStr">
        <is>
          <t>全国挥发性有机物（VOCs）排放总量</t>
        </is>
      </c>
      <c r="C80" s="159" t="inlineStr">
        <is>
          <t>降低</t>
        </is>
      </c>
      <c r="D80" s="159" t="inlineStr">
        <is>
          <t>10%以上</t>
        </is>
      </c>
      <c r="E80" s="159" t="n">
        <v>2015</v>
      </c>
      <c r="F80" s="159" t="inlineStr">
        <is>
          <t>2020</t>
        </is>
      </c>
      <c r="G80" s="159" t="inlineStr">
        <is>
          <t>新目标</t>
        </is>
      </c>
      <c r="H80" s="159" t="inlineStr">
        <is>
          <t>污染控制</t>
        </is>
      </c>
      <c r="I80" s="159" t="inlineStr">
        <is>
          <t>全社会经济</t>
        </is>
      </c>
      <c r="J80" s="159" t="inlineStr">
        <is>
          <t>到2020年，挥发性有机物排放总量比2015年下降10%以上。</t>
        </is>
      </c>
      <c r="K80" s="159" t="inlineStr">
        <is>
          <t>O1802.htm</t>
        </is>
      </c>
      <c r="L80" s="161" t="inlineStr">
        <is>
          <t>污染</t>
        </is>
      </c>
    </row>
    <row r="81" ht="18" customHeight="1" s="235">
      <c r="A81" s="159" t="n">
        <v>2022</v>
      </c>
      <c r="B81" s="159" t="inlineStr">
        <is>
          <t>全国挥发性有机物（VOCs）排放总量</t>
        </is>
      </c>
      <c r="C81" s="159" t="inlineStr">
        <is>
          <t>降低</t>
        </is>
      </c>
      <c r="D81" s="159" t="inlineStr">
        <is>
          <t>10%</t>
        </is>
      </c>
      <c r="E81" s="159" t="n">
        <v>2020</v>
      </c>
      <c r="F81" s="159" t="inlineStr">
        <is>
          <t>2025</t>
        </is>
      </c>
      <c r="G81" s="159" t="inlineStr">
        <is>
          <t>重申目标</t>
        </is>
      </c>
      <c r="H81" s="159" t="inlineStr">
        <is>
          <t>污染控制</t>
        </is>
      </c>
      <c r="I81" s="159" t="inlineStr">
        <is>
          <t>全社会经济</t>
        </is>
      </c>
      <c r="J81" s="159" t="inlineStr">
        <is>
          <t>到2025年，挥发性有机物排放总量较2020年下降10%以上。</t>
        </is>
      </c>
      <c r="K81" s="159" t="inlineStr">
        <is>
          <t>AP2206.pdf</t>
        </is>
      </c>
      <c r="L81" s="159" t="inlineStr">
        <is>
          <t>污染</t>
        </is>
      </c>
    </row>
    <row r="82" ht="17.5" customHeight="1" s="235"/>
    <row r="83" ht="18" customHeight="1" s="235"/>
    <row r="84" ht="18" customHeight="1" s="235"/>
    <row r="85" ht="18" customHeight="1" s="235"/>
    <row r="86" ht="18" customHeight="1" s="235"/>
    <row r="87" ht="18" customHeight="1" s="235"/>
    <row r="88" ht="18" customHeight="1" s="235"/>
    <row r="89" ht="18" customHeight="1" s="235"/>
    <row r="90" ht="18" customHeight="1" s="235"/>
    <row r="91" ht="18" customHeight="1" s="235"/>
    <row r="92" ht="18" customHeight="1" s="235"/>
    <row r="93" ht="18" customHeight="1" s="235"/>
    <row r="94" ht="18" customHeight="1" s="235"/>
    <row r="95" ht="18" customHeight="1" s="235"/>
    <row r="96" ht="18" customHeight="1" s="235"/>
    <row r="97" ht="18" customHeight="1" s="235"/>
    <row r="98" ht="18" customHeight="1" s="235"/>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row r="203" ht="18" customHeight="1" s="235"/>
    <row r="204"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0" summaryRight="0"/>
    <pageSetUpPr/>
  </sheetPr>
  <dimension ref="A1:L22"/>
  <sheetViews>
    <sheetView zoomScale="75" workbookViewId="0">
      <selection activeCell="B22" sqref="B22"/>
    </sheetView>
  </sheetViews>
  <sheetFormatPr baseColWidth="8" defaultColWidth="14" defaultRowHeight="13"/>
  <cols>
    <col width="11.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4"/>
    <col width="13" customWidth="1" style="235" min="15" max="20"/>
  </cols>
  <sheetData>
    <row r="1" ht="18" customHeight="1" s="235">
      <c r="A1" s="169" t="inlineStr">
        <is>
          <t>公布年份</t>
        </is>
      </c>
      <c r="B1" s="169" t="inlineStr">
        <is>
          <t>指标</t>
        </is>
      </c>
      <c r="C1" s="169" t="inlineStr">
        <is>
          <t>方向</t>
        </is>
      </c>
      <c r="D1" s="169" t="inlineStr">
        <is>
          <t>目标值</t>
        </is>
      </c>
      <c r="E1" s="169" t="inlineStr">
        <is>
          <t>基线</t>
        </is>
      </c>
      <c r="F1" s="169" t="inlineStr">
        <is>
          <t>目标年份/时期</t>
        </is>
      </c>
      <c r="G1" s="169" t="inlineStr">
        <is>
          <t>计数</t>
        </is>
      </c>
      <c r="H1" s="169" t="inlineStr">
        <is>
          <t>目标类别</t>
        </is>
      </c>
      <c r="I1" s="169" t="inlineStr">
        <is>
          <t>责任主体</t>
        </is>
      </c>
      <c r="J1" s="169" t="inlineStr">
        <is>
          <t>政策原文</t>
        </is>
      </c>
      <c r="K1" s="169" t="inlineStr">
        <is>
          <t>文件</t>
        </is>
      </c>
      <c r="L1" s="169" t="inlineStr">
        <is>
          <t>主题标签</t>
        </is>
      </c>
    </row>
    <row r="2" ht="18" customHeight="1" s="235">
      <c r="A2" s="170" t="n">
        <v>2023</v>
      </c>
      <c r="B2" s="170" t="inlineStr">
        <is>
          <t>中国适应气候变化工作的累计资金需求</t>
        </is>
      </c>
      <c r="C2" s="170" t="inlineStr">
        <is>
          <t>达到</t>
        </is>
      </c>
      <c r="D2" s="170" t="inlineStr">
        <is>
          <t>24万亿元人民币（基于2015年价格水平）</t>
        </is>
      </c>
      <c r="E2" s="170" t="n"/>
      <c r="F2" s="170" t="inlineStr">
        <is>
          <t>2016-2030</t>
        </is>
      </c>
      <c r="G2" s="170" t="inlineStr">
        <is>
          <t>新目标</t>
        </is>
      </c>
      <c r="H2" s="170" t="inlineStr">
        <is>
          <t>气候金融</t>
        </is>
      </c>
      <c r="I2" s="170" t="inlineStr">
        <is>
          <t>全社会经济</t>
        </is>
      </c>
      <c r="J2" s="170" t="inlineStr">
        <is>
          <t>根据2015年提交的国家自主贡献的政策目标和行动，《第三次气候变化国家信息通报》报告指出，2016年至2030年间，为完成中国国家自主贡献中的适应目标，中国将需要累计支出约24万亿元人民币，相当于年均约1.6万亿元人民币。</t>
        </is>
      </c>
      <c r="K2" s="170" t="inlineStr">
        <is>
          <t>HL2302.pdf</t>
        </is>
      </c>
      <c r="L2" s="170" t="inlineStr">
        <is>
          <t>金融</t>
        </is>
      </c>
    </row>
    <row r="3" ht="18" customHeight="1" s="235">
      <c r="A3" s="170" t="n">
        <v>2019</v>
      </c>
      <c r="B3" s="170" t="inlineStr">
        <is>
          <t>中国减缓和适应气候变化行动的累计资金需求</t>
        </is>
      </c>
      <c r="C3" s="170" t="inlineStr">
        <is>
          <t>达到</t>
        </is>
      </c>
      <c r="D3" s="170" t="inlineStr">
        <is>
          <t>56万亿元人民币（基于2015年价格水平）</t>
        </is>
      </c>
      <c r="E3" s="170" t="n"/>
      <c r="F3" s="170" t="inlineStr">
        <is>
          <t>2016-2030</t>
        </is>
      </c>
      <c r="G3" s="170" t="inlineStr">
        <is>
          <t>新目标</t>
        </is>
      </c>
      <c r="H3" s="170" t="inlineStr">
        <is>
          <t>气候金融</t>
        </is>
      </c>
      <c r="I3" s="170" t="inlineStr">
        <is>
          <t>全社会经济</t>
        </is>
      </c>
      <c r="J3" s="170" t="inlineStr">
        <is>
          <t>综合来看，2016年至2030年的15年间，中国履行其目标所需的资金总额将达到约56万亿元人民币，平均每年约3.7万亿元人民币，相当于2016年全国固定资产投资的6.3%。</t>
        </is>
      </c>
      <c r="K3" s="170" t="inlineStr">
        <is>
          <t>HL1902.pdf</t>
        </is>
      </c>
      <c r="L3" s="170" t="inlineStr">
        <is>
          <t>金融</t>
        </is>
      </c>
    </row>
    <row r="4" ht="18" customHeight="1" s="235">
      <c r="A4" s="170" t="n">
        <v>2023</v>
      </c>
      <c r="B4" s="170" t="inlineStr">
        <is>
          <t>中国减缓与适应气候变化行动的累计资金需求</t>
        </is>
      </c>
      <c r="C4" s="170" t="inlineStr">
        <is>
          <t>达到</t>
        </is>
      </c>
      <c r="D4" s="170" t="inlineStr">
        <is>
          <t>35.8万亿元</t>
        </is>
      </c>
      <c r="E4" s="170" t="n"/>
      <c r="F4" s="170" t="inlineStr">
        <is>
          <t>2021-2030</t>
        </is>
      </c>
      <c r="G4" s="170" t="inlineStr">
        <is>
          <t>新目标</t>
        </is>
      </c>
      <c r="H4" s="170" t="inlineStr">
        <is>
          <t>气候金融</t>
        </is>
      </c>
      <c r="I4" s="170" t="inlineStr">
        <is>
          <t>全社会经济</t>
        </is>
      </c>
      <c r="J4" s="170" t="inlineStr">
        <is>
          <t>2021年至2030年，中国应对气候变化与适应行动所需资金总额约为35.8万亿元人民币，相当于年均投入约3.6万亿元人民币。</t>
        </is>
      </c>
      <c r="K4" s="170" t="inlineStr">
        <is>
          <t>HL2302.pdf</t>
        </is>
      </c>
      <c r="L4" s="170" t="inlineStr">
        <is>
          <t>金融</t>
        </is>
      </c>
    </row>
    <row r="5" ht="18" customHeight="1" s="235">
      <c r="A5" s="170" t="n">
        <v>2023</v>
      </c>
      <c r="B5" s="170" t="inlineStr">
        <is>
          <t>中国减缓和适应气候变化工作的累计投资需求</t>
        </is>
      </c>
      <c r="C5" s="170" t="inlineStr">
        <is>
          <t>达到</t>
        </is>
      </c>
      <c r="D5" s="170" t="inlineStr">
        <is>
          <t>324万亿元人民币</t>
        </is>
      </c>
      <c r="E5" s="170" t="n"/>
      <c r="F5" s="170" t="inlineStr">
        <is>
          <t>2021-2060</t>
        </is>
      </c>
      <c r="G5" s="170" t="inlineStr">
        <is>
          <t>新目标</t>
        </is>
      </c>
      <c r="H5" s="170" t="inlineStr">
        <is>
          <t>气候金融</t>
        </is>
      </c>
      <c r="I5" s="170" t="inlineStr">
        <is>
          <t>全社会经济</t>
        </is>
      </c>
      <c r="J5" s="170" t="inlineStr">
        <is>
          <t>2021年至2060年，中国应对气候变化与适应行动所需资金总额约为324万亿元人民币，平均每年约需8.1万亿元人民币。</t>
        </is>
      </c>
      <c r="K5" s="170" t="inlineStr">
        <is>
          <t>HL2302.pdf</t>
        </is>
      </c>
      <c r="L5" s="170" t="inlineStr">
        <is>
          <t>金融</t>
        </is>
      </c>
    </row>
    <row r="6" ht="18" customHeight="1" s="235">
      <c r="A6" s="170" t="n">
        <v>2019</v>
      </c>
      <c r="B6" s="170" t="inlineStr">
        <is>
          <t>中国减缓气候变化行动累计投资需求</t>
        </is>
      </c>
      <c r="C6" s="170" t="inlineStr">
        <is>
          <t>投入</t>
        </is>
      </c>
      <c r="D6" s="170" t="inlineStr">
        <is>
          <t>32万亿元人民币（基于2015年价格水平）</t>
        </is>
      </c>
      <c r="E6" s="170" t="n"/>
      <c r="F6" s="170" t="inlineStr">
        <is>
          <t>2016-2030</t>
        </is>
      </c>
      <c r="G6" s="170" t="inlineStr">
        <is>
          <t>新目标</t>
        </is>
      </c>
      <c r="H6" s="170" t="inlineStr">
        <is>
          <t>气候金融</t>
        </is>
      </c>
      <c r="I6" s="170" t="inlineStr">
        <is>
          <t>全社会经济</t>
        </is>
      </c>
      <c r="J6" s="170" t="inlineStr">
        <is>
          <t>2016年至2030年，中国为完成国家自主贡献的减缓目标，累计投入约32万亿元人民币（基于2015年价格水平）。</t>
        </is>
      </c>
      <c r="K6" s="170" t="inlineStr">
        <is>
          <t>HL1902.pdf</t>
        </is>
      </c>
      <c r="L6" s="170" t="inlineStr">
        <is>
          <t>金融</t>
        </is>
      </c>
    </row>
    <row r="7" ht="18" customHeight="1" s="235">
      <c r="A7" s="170" t="n">
        <v>2023</v>
      </c>
      <c r="B7" s="170" t="inlineStr">
        <is>
          <t>中国减缓气候变化工作的累计资金需求</t>
        </is>
      </c>
      <c r="C7" s="170" t="inlineStr">
        <is>
          <t>达到</t>
        </is>
      </c>
      <c r="D7" s="170" t="inlineStr">
        <is>
          <t>19.8万亿元人民币</t>
        </is>
      </c>
      <c r="E7" s="170" t="n"/>
      <c r="F7" s="170" t="inlineStr">
        <is>
          <t>2021-2030</t>
        </is>
      </c>
      <c r="G7" s="170" t="inlineStr">
        <is>
          <t>新目标</t>
        </is>
      </c>
      <c r="H7" s="170" t="inlineStr">
        <is>
          <t>气候金融</t>
        </is>
      </c>
      <c r="I7" s="170" t="inlineStr">
        <is>
          <t>全社会经济</t>
        </is>
      </c>
      <c r="J7" s="170" t="inlineStr">
        <is>
          <t>根据新的目标和行动，部分研究估算，2021年至2030年，中国减缓气候变化工作资金总需求约为19.8万亿元人民币，相当于年均约2.0万亿元人民币；2021年至2060年资金总需求约为260万亿元人民币，相当于年均约6.5万亿元人民币。</t>
        </is>
      </c>
      <c r="K7" s="170" t="inlineStr">
        <is>
          <t>HL2302.pdf</t>
        </is>
      </c>
      <c r="L7" s="170" t="inlineStr">
        <is>
          <t>金融</t>
        </is>
      </c>
    </row>
    <row r="8" ht="18" customHeight="1" s="235">
      <c r="A8" s="170" t="n">
        <v>2023</v>
      </c>
      <c r="B8" s="170" t="inlineStr">
        <is>
          <t>中国减缓气候变化行动累计投资需求</t>
        </is>
      </c>
      <c r="C8" s="170" t="inlineStr">
        <is>
          <t>达到</t>
        </is>
      </c>
      <c r="D8" s="170" t="inlineStr">
        <is>
          <t>260万亿元人民币</t>
        </is>
      </c>
      <c r="E8" s="170" t="n"/>
      <c r="F8" s="170" t="inlineStr">
        <is>
          <t>2021-2060</t>
        </is>
      </c>
      <c r="G8" s="170" t="inlineStr">
        <is>
          <t>新目标</t>
        </is>
      </c>
      <c r="H8" s="170" t="inlineStr">
        <is>
          <t>气候金融</t>
        </is>
      </c>
      <c r="I8" s="170" t="inlineStr">
        <is>
          <t>全社会经济</t>
        </is>
      </c>
      <c r="J8" s="170" t="inlineStr">
        <is>
          <t>根据新的目标与行动方案，部分研究估算，2021至2030年间，中国气候减缓行动所需资金总额约为19.8万亿元人民币，年均成本约为2.0万亿元人民币；2021至2060年间，所需资金总额约为260万亿元人民币，年均成本约为6.5万亿元人民币。</t>
        </is>
      </c>
      <c r="K8" s="170" t="inlineStr">
        <is>
          <t>HL2302.pdf</t>
        </is>
      </c>
      <c r="L8" s="170" t="inlineStr">
        <is>
          <t>金融</t>
        </is>
      </c>
    </row>
    <row r="9" hidden="1" ht="18" customHeight="1" s="235">
      <c r="A9" s="170" t="n">
        <v>2023</v>
      </c>
      <c r="B9" s="170" t="inlineStr">
        <is>
          <t>中国减缓气候变化工作的资金需求</t>
        </is>
      </c>
      <c r="C9" s="170" t="inlineStr">
        <is>
          <t>需要</t>
        </is>
      </c>
      <c r="D9" s="170" t="inlineStr">
        <is>
          <t>32万亿元人民币（按2015年价格水平计）</t>
        </is>
      </c>
      <c r="E9" s="170" t="n"/>
      <c r="F9" s="170" t="inlineStr">
        <is>
          <t>2016-2030</t>
        </is>
      </c>
      <c r="G9" s="170" t="inlineStr">
        <is>
          <t>重申目标</t>
        </is>
      </c>
      <c r="H9" s="170" t="inlineStr">
        <is>
          <t>气候金融</t>
        </is>
      </c>
      <c r="I9" s="170" t="inlineStr">
        <is>
          <t>全社会经济</t>
        </is>
      </c>
      <c r="J9" s="170" t="inlineStr">
        <is>
          <t>从2016年到2030年，中国需要累计支出约32万亿元人民币（按2015年价格水平计），用于完成减缓目标和任务，相当于年均支出约2.1万亿元人民币。</t>
        </is>
      </c>
      <c r="K9" s="170" t="inlineStr">
        <is>
          <t>HL2302.pdf</t>
        </is>
      </c>
      <c r="L9" s="170" t="inlineStr">
        <is>
          <t>其他</t>
        </is>
      </c>
    </row>
    <row r="10" ht="18" customHeight="1" s="235">
      <c r="A10" s="170" t="n">
        <v>2019</v>
      </c>
      <c r="B10" s="170" t="inlineStr">
        <is>
          <t>中国减缓气候变化工作累计投资需求——全国节能投资</t>
        </is>
      </c>
      <c r="C10" s="170" t="inlineStr">
        <is>
          <t>达到</t>
        </is>
      </c>
      <c r="D10" s="170" t="inlineStr">
        <is>
          <t>13万亿元人民币</t>
        </is>
      </c>
      <c r="E10" s="170" t="n"/>
      <c r="F10" s="170" t="inlineStr">
        <is>
          <t>2016-2030</t>
        </is>
      </c>
      <c r="G10" s="170" t="inlineStr">
        <is>
          <t>新目标</t>
        </is>
      </c>
      <c r="H10" s="170" t="inlineStr">
        <is>
          <t>气候金融</t>
        </is>
      </c>
      <c r="I10" s="170" t="inlineStr">
        <is>
          <t>全社会经济</t>
        </is>
      </c>
      <c r="J10" s="170" t="inlineStr">
        <is>
          <t>根据国家气候战略中心的测算，2016年至2030年期间，中国用于新增节能投资的累计支出约需13万亿元人民币（基于2015年价格）。</t>
        </is>
      </c>
      <c r="K10" s="170" t="inlineStr">
        <is>
          <t>HL1902.pdf</t>
        </is>
      </c>
      <c r="L10" s="170" t="inlineStr">
        <is>
          <t>金融</t>
        </is>
      </c>
    </row>
    <row r="11" hidden="1" ht="18" customHeight="1" s="235">
      <c r="A11" s="170" t="n">
        <v>2023</v>
      </c>
      <c r="B11" s="170" t="inlineStr">
        <is>
          <t>中国减缓与适应气候变化行动的资金需求</t>
        </is>
      </c>
      <c r="C11" s="170" t="inlineStr">
        <is>
          <t>达到</t>
        </is>
      </c>
      <c r="D11" s="170" t="inlineStr">
        <is>
          <t>56万亿元</t>
        </is>
      </c>
      <c r="E11" s="170" t="n"/>
      <c r="F11" s="170" t="inlineStr">
        <is>
          <t>2016-2030</t>
        </is>
      </c>
      <c r="G11" s="170" t="inlineStr">
        <is>
          <t>重申目标</t>
        </is>
      </c>
      <c r="H11" s="170" t="inlineStr">
        <is>
          <t>气候金融</t>
        </is>
      </c>
      <c r="I11" s="170" t="inlineStr">
        <is>
          <t>全社会经济</t>
        </is>
      </c>
      <c r="J11" s="170" t="inlineStr">
        <is>
          <t>2016年至2030年期间，用于应对气候变化的资金总需求累计近56万亿元，年均约3.7万亿元，相当于2016年中国固定资产投资总额的6.3%。</t>
        </is>
      </c>
      <c r="K11" s="170" t="inlineStr">
        <is>
          <t>HL2302.pdf</t>
        </is>
      </c>
      <c r="L11" s="170" t="inlineStr">
        <is>
          <t>其他</t>
        </is>
      </c>
    </row>
    <row r="12" ht="18" customHeight="1" s="235">
      <c r="A12" s="170" t="n">
        <v>2019</v>
      </c>
      <c r="B12" s="170" t="inlineStr">
        <is>
          <t>中国减缓气候变化行动累计投资需求——国家森林碳汇投资</t>
        </is>
      </c>
      <c r="C12" s="170" t="inlineStr">
        <is>
          <t>达到</t>
        </is>
      </c>
      <c r="D12" s="170" t="inlineStr">
        <is>
          <t>1.3万亿元</t>
        </is>
      </c>
      <c r="E12" s="170" t="n"/>
      <c r="F12" s="170" t="inlineStr">
        <is>
          <t>2016-2030</t>
        </is>
      </c>
      <c r="G12" s="170" t="inlineStr">
        <is>
          <t>新目标</t>
        </is>
      </c>
      <c r="H12" s="170" t="inlineStr">
        <is>
          <t>气候金融</t>
        </is>
      </c>
      <c r="I12" s="170" t="inlineStr">
        <is>
          <t>全社会经济</t>
        </is>
      </c>
      <c r="J12" s="170" t="inlineStr">
        <is>
          <t>根据国家应对气候变化战略研究和国际合作中心的测算，2016年至2030年，中国用于森林碳汇投资的累计支出将约为1.3万亿元。</t>
        </is>
      </c>
      <c r="K12" s="170" t="inlineStr">
        <is>
          <t>HL1902.pdf</t>
        </is>
      </c>
      <c r="L12" s="170" t="inlineStr">
        <is>
          <t>金融</t>
        </is>
      </c>
    </row>
    <row r="13" ht="18" customHeight="1" s="235">
      <c r="A13" s="170" t="n">
        <v>2019</v>
      </c>
      <c r="B13" s="170" t="inlineStr">
        <is>
          <t>中国减缓气候变化努力的累计投资需求——国家低碳能源投资</t>
        </is>
      </c>
      <c r="C13" s="170" t="inlineStr">
        <is>
          <t>达到</t>
        </is>
      </c>
      <c r="D13" s="170" t="inlineStr">
        <is>
          <t>17.6万亿元人民币</t>
        </is>
      </c>
      <c r="E13" s="170" t="n"/>
      <c r="F13" s="170" t="inlineStr">
        <is>
          <t>2016-2030</t>
        </is>
      </c>
      <c r="G13" s="170" t="inlineStr">
        <is>
          <t>新目标</t>
        </is>
      </c>
      <c r="H13" s="170" t="inlineStr">
        <is>
          <t>气候金融</t>
        </is>
      </c>
      <c r="I13" s="170" t="inlineStr">
        <is>
          <t>全社会经济</t>
        </is>
      </c>
      <c r="J13" s="170" t="inlineStr">
        <is>
          <t>根据国家气候变化战略研究与国际合作中心的测算，2016年至2030年，中国在低碳能源投资方面的累计支出约为17.6万亿元人民币</t>
        </is>
      </c>
      <c r="K13" s="170" t="inlineStr">
        <is>
          <t>HL1902.pdf</t>
        </is>
      </c>
      <c r="L13" s="170" t="inlineStr">
        <is>
          <t>金融</t>
        </is>
      </c>
    </row>
    <row r="14" ht="18" customHeight="1" s="235">
      <c r="A14" s="170" t="n">
        <v>2023</v>
      </c>
      <c r="B14" s="170" t="inlineStr">
        <is>
          <t>中国建筑领域减缓气候变化行动的累计投资需求</t>
        </is>
      </c>
      <c r="C14" s="170" t="inlineStr">
        <is>
          <t>达到</t>
        </is>
      </c>
      <c r="D14" s="170" t="inlineStr">
        <is>
          <t>3.9万亿元</t>
        </is>
      </c>
      <c r="E14" s="170" t="n"/>
      <c r="F14" s="170" t="inlineStr">
        <is>
          <t>2021-2030</t>
        </is>
      </c>
      <c r="G14" s="170" t="inlineStr">
        <is>
          <t>新目标</t>
        </is>
      </c>
      <c r="H14" s="170" t="inlineStr">
        <is>
          <t>气候金融</t>
        </is>
      </c>
      <c r="I14" s="170" t="inlineStr">
        <is>
          <t>行业</t>
        </is>
      </c>
      <c r="J14" s="170" t="inlineStr">
        <is>
          <t>具体而言，中国的减缓气候变化资金支出主要来自电力部门（2021年至2030年约9.8万亿元，2030年至2060年约57.6万亿元）、交通部门（2021年至2030年约6.3万亿元，2030年至2060年约31.1万亿元）以及建筑领域（2021年至2030年约3.9万亿元，2030年至2060年约18.4万亿元）。</t>
        </is>
      </c>
      <c r="K14" s="170" t="inlineStr">
        <is>
          <t>HL2302.pdf</t>
        </is>
      </c>
      <c r="L14" s="170" t="inlineStr">
        <is>
          <t>金融</t>
        </is>
      </c>
    </row>
    <row r="15" ht="18" customHeight="1" s="235">
      <c r="A15" s="170" t="n">
        <v>2023</v>
      </c>
      <c r="B15" s="170" t="inlineStr">
        <is>
          <t>中国建筑领域减缓气候变化累计资金需求</t>
        </is>
      </c>
      <c r="C15" s="170" t="inlineStr">
        <is>
          <t>达到</t>
        </is>
      </c>
      <c r="D15" s="170" t="inlineStr">
        <is>
          <t>18.4万亿元</t>
        </is>
      </c>
      <c r="E15" s="170" t="n"/>
      <c r="F15" s="170" t="inlineStr">
        <is>
          <t>2021-2060</t>
        </is>
      </c>
      <c r="G15" s="170" t="inlineStr">
        <is>
          <t>新目标</t>
        </is>
      </c>
      <c r="H15" s="170" t="inlineStr">
        <is>
          <t>气候金融</t>
        </is>
      </c>
      <c r="I15" s="170" t="inlineStr">
        <is>
          <t>行业</t>
        </is>
      </c>
      <c r="J15" s="170" t="inlineStr">
        <is>
          <t>具体而言，中国减缓气候变化的资金投入主要来源于电力领域（2021年至2030年约9.8万亿元，2030年至2060年约57.6万亿元）、交通领域（2021年至2030年约6.3万亿元，2030年至2060年约31.1万亿元）以及建筑领域（2021年至2030年约3.9万亿元，2030年至2060年约18.4万亿元）。</t>
        </is>
      </c>
      <c r="K15" s="170" t="inlineStr">
        <is>
          <t>HL2302.pdf</t>
        </is>
      </c>
      <c r="L15" s="170" t="inlineStr">
        <is>
          <t>金融</t>
        </is>
      </c>
    </row>
    <row r="16" ht="18" customHeight="1" s="235">
      <c r="A16" s="170" t="n">
        <v>2023</v>
      </c>
      <c r="B16" s="170" t="inlineStr">
        <is>
          <t>中国电力行业减缓气候变化的累计投资需求</t>
        </is>
      </c>
      <c r="C16" s="170" t="inlineStr">
        <is>
          <t>达到</t>
        </is>
      </c>
      <c r="D16" s="170" t="inlineStr">
        <is>
          <t>9.8万亿元人民币</t>
        </is>
      </c>
      <c r="E16" s="170" t="n"/>
      <c r="F16" s="170" t="inlineStr">
        <is>
          <t>2021-2030</t>
        </is>
      </c>
      <c r="G16" s="170" t="inlineStr">
        <is>
          <t>新目标</t>
        </is>
      </c>
      <c r="H16" s="170" t="inlineStr">
        <is>
          <t>气候金融</t>
        </is>
      </c>
      <c r="I16" s="170" t="inlineStr">
        <is>
          <t>行业</t>
        </is>
      </c>
      <c r="J16" s="170" t="inlineStr">
        <is>
          <t>具体而言，中国用于减缓气候变化的资金支出主要来自电力行业（2021年至2030年约需9.8万亿元人民币，2030年至2060年约需57.6万亿元人民币）、交通行业（2021年至2030年约需6.3万亿元人民币，2030年至2060年约需31.1万亿元人民币）以及建筑行业（2021年至2030年约需3.9万亿元人民币，2030年至2060年约需18.4万亿元人民币）。</t>
        </is>
      </c>
      <c r="K16" s="170" t="inlineStr">
        <is>
          <t>HL2302.pdf</t>
        </is>
      </c>
      <c r="L16" s="170" t="inlineStr">
        <is>
          <t>金融</t>
        </is>
      </c>
    </row>
    <row r="17" ht="18" customHeight="1" s="235">
      <c r="A17" s="170" t="n">
        <v>2023</v>
      </c>
      <c r="B17" s="170" t="inlineStr">
        <is>
          <t>中国电力部门减缓气候变化的累计投资需求</t>
        </is>
      </c>
      <c r="C17" s="170" t="inlineStr">
        <is>
          <t>达到</t>
        </is>
      </c>
      <c r="D17" s="170" t="inlineStr">
        <is>
          <t>57.6万亿元人民币</t>
        </is>
      </c>
      <c r="E17" s="170" t="n"/>
      <c r="F17" s="170" t="inlineStr">
        <is>
          <t>2021-2060</t>
        </is>
      </c>
      <c r="G17" s="170" t="inlineStr">
        <is>
          <t>新目标</t>
        </is>
      </c>
      <c r="H17" s="170" t="inlineStr">
        <is>
          <t>气候金融</t>
        </is>
      </c>
      <c r="I17" s="170" t="inlineStr">
        <is>
          <t>行业</t>
        </is>
      </c>
      <c r="J17" s="170" t="inlineStr">
        <is>
          <t>具体而言，中国的减缓气候变化资金投入主要来自电力部门（2021至2030年约9.8万亿元人民币，2030至2060年约57.6万亿元人民币）、交通部门（2021至2030年约6.3万亿元人民币，2030至2060年约31.1万亿元人民币）和建筑部门（2021至2030年约3.9万亿元人民币，2030至2060年约18.4万亿元人民币）。</t>
        </is>
      </c>
      <c r="K17" s="170" t="inlineStr">
        <is>
          <t>HL2302.pdf</t>
        </is>
      </c>
      <c r="L17" s="170" t="inlineStr">
        <is>
          <t>金融</t>
        </is>
      </c>
    </row>
    <row r="18" ht="18" customHeight="1" s="235">
      <c r="A18" s="170" t="n">
        <v>2023</v>
      </c>
      <c r="B18" s="170" t="inlineStr">
        <is>
          <t>中国交通运输领域减缓气候变化累计投资需求</t>
        </is>
      </c>
      <c r="C18" s="170" t="inlineStr">
        <is>
          <t>达到</t>
        </is>
      </c>
      <c r="D18" s="170" t="inlineStr">
        <is>
          <t>6.3万亿元人民币</t>
        </is>
      </c>
      <c r="E18" s="170" t="n"/>
      <c r="F18" s="170" t="inlineStr">
        <is>
          <t>2021-2030</t>
        </is>
      </c>
      <c r="G18" s="170" t="inlineStr">
        <is>
          <t>新目标</t>
        </is>
      </c>
      <c r="H18" s="170" t="inlineStr">
        <is>
          <t>气候金融</t>
        </is>
      </c>
      <c r="I18" s="170" t="inlineStr">
        <is>
          <t>行业</t>
        </is>
      </c>
      <c r="J18" s="170" t="inlineStr">
        <is>
          <t>具体而言，中国用于减缓气候变化的资金投入主要来源于电力部门（2021年至2030年约9.8万亿元人民币，2030年至2060年约57.6万亿元人民币）、交通运输部门（2021年至2030年约6.3万亿元人民币，2030年至2060年约31.1万亿元人民币）、建筑部门（2021年至2030年约3.9万亿元人民币，2030年至2060年约18.4万亿元人民币）。</t>
        </is>
      </c>
      <c r="K18" s="170" t="inlineStr">
        <is>
          <t>HL2302.pdf</t>
        </is>
      </c>
      <c r="L18" s="170" t="inlineStr">
        <is>
          <t>金融</t>
        </is>
      </c>
    </row>
    <row r="19" ht="18" customHeight="1" s="235">
      <c r="A19" s="170" t="n">
        <v>2023</v>
      </c>
      <c r="B19" s="170" t="inlineStr">
        <is>
          <t>中国交通运输领域减缓气候变化累计投资需求</t>
        </is>
      </c>
      <c r="C19" s="170" t="inlineStr">
        <is>
          <t>达到</t>
        </is>
      </c>
      <c r="D19" s="170" t="inlineStr">
        <is>
          <t>31.1万亿元</t>
        </is>
      </c>
      <c r="E19" s="170" t="n"/>
      <c r="F19" s="170" t="inlineStr">
        <is>
          <t>2021-2060</t>
        </is>
      </c>
      <c r="G19" s="170" t="inlineStr">
        <is>
          <t>新目标</t>
        </is>
      </c>
      <c r="H19" s="170" t="inlineStr">
        <is>
          <t>气候金融</t>
        </is>
      </c>
      <c r="I19" s="170" t="inlineStr">
        <is>
          <t>行业</t>
        </is>
      </c>
      <c r="J19" s="170" t="inlineStr">
        <is>
          <t>具体而言，中国气候减缓资金投入主要来自电力部门（2021年至2030年约9.8万亿元，2030年至2060年约57.6万亿元）、交通运输部门（2021年至2030年约6.3万亿元，2030年至2060年约31.1万亿元）和建筑部门（2021年至2030年约3.9万亿元，2030年至2060年约18.4万亿元）。</t>
        </is>
      </c>
      <c r="K19" s="170" t="inlineStr">
        <is>
          <t>HL2302.pdf</t>
        </is>
      </c>
      <c r="L19" s="170" t="inlineStr">
        <is>
          <t>金融</t>
        </is>
      </c>
    </row>
    <row r="20" ht="18" customHeight="1" s="235">
      <c r="A20" s="170" t="n">
        <v>2025</v>
      </c>
      <c r="B20" s="170" t="inlineStr">
        <is>
          <t>新型储能项目带动直接投资</t>
        </is>
      </c>
      <c r="C20" s="170" t="inlineStr">
        <is>
          <t>达到</t>
        </is>
      </c>
      <c r="D20" s="170" t="inlineStr">
        <is>
          <t>约2500亿元</t>
        </is>
      </c>
      <c r="E20" s="170" t="n"/>
      <c r="F20" s="170" t="inlineStr">
        <is>
          <t>2025-2027</t>
        </is>
      </c>
      <c r="G20" s="170" t="inlineStr">
        <is>
          <t>新目标</t>
        </is>
      </c>
      <c r="H20" s="170" t="inlineStr">
        <is>
          <t>气候金融</t>
        </is>
      </c>
      <c r="I20" s="170" t="inlineStr">
        <is>
          <t>不明确</t>
        </is>
      </c>
      <c r="J20" s="170" t="inlineStr">
        <is>
          <t>到2027年，全国新型储能装机规模达到1.8亿千瓦以上，带动项目直接投资约2500亿元。</t>
        </is>
      </c>
      <c r="K20" s="170" t="inlineStr">
        <is>
          <t>AP2503.pdf</t>
        </is>
      </c>
      <c r="L20" s="170" t="inlineStr">
        <is>
          <t>金融</t>
        </is>
      </c>
    </row>
    <row r="21" ht="18" customHeight="1" s="235">
      <c r="A21" s="170" t="n">
        <v>2021</v>
      </c>
      <c r="B21" s="170" t="inlineStr">
        <is>
          <t>能源研发经费</t>
        </is>
      </c>
      <c r="C21" s="170" t="inlineStr">
        <is>
          <t>年均增长</t>
        </is>
      </c>
      <c r="D21" s="170" t="inlineStr">
        <is>
          <t>7%以上</t>
        </is>
      </c>
      <c r="E21" s="170" t="n"/>
      <c r="F21" s="170" t="inlineStr">
        <is>
          <t>十四五</t>
        </is>
      </c>
      <c r="G21" s="170" t="inlineStr">
        <is>
          <t>新目标</t>
        </is>
      </c>
      <c r="H21" s="170" t="inlineStr">
        <is>
          <t>气候金融</t>
        </is>
      </c>
      <c r="I21" s="170" t="inlineStr">
        <is>
          <t>不明确</t>
        </is>
      </c>
      <c r="J21" s="170" t="inlineStr">
        <is>
          <t>“十四五”期间能源研发经费投入年均增长7%以上</t>
        </is>
      </c>
      <c r="K21" s="170" t="inlineStr">
        <is>
          <t>FYP2105.pdf</t>
        </is>
      </c>
      <c r="L21" s="170" t="inlineStr">
        <is>
          <t>金融</t>
        </is>
      </c>
    </row>
    <row r="22" ht="18" customHeight="1" s="235">
      <c r="A22" s="170" t="n">
        <v>2019</v>
      </c>
      <c r="B22" s="170" t="inlineStr">
        <is>
          <t>年度额外气候资金需求</t>
        </is>
      </c>
      <c r="C22" s="170" t="inlineStr">
        <is>
          <t>达到</t>
        </is>
      </c>
      <c r="D22" s="170" t="inlineStr">
        <is>
          <t>1.3万亿元人民币</t>
        </is>
      </c>
      <c r="E22" s="170" t="n"/>
      <c r="F22" s="170" t="inlineStr">
        <is>
          <t>2016-2030</t>
        </is>
      </c>
      <c r="G22" s="170" t="inlineStr">
        <is>
          <t>新目标</t>
        </is>
      </c>
      <c r="H22" s="170" t="inlineStr">
        <is>
          <t>气候金融</t>
        </is>
      </c>
      <c r="I22" s="170" t="inlineStr">
        <is>
          <t>全社会经济</t>
        </is>
      </c>
      <c r="J22" s="170" t="inlineStr">
        <is>
          <t>2016年至2030年，除国内公共和私营部门的投入外，中国每年还将平均需要额外1.3万亿元人民币用于应对气候变化。</t>
        </is>
      </c>
      <c r="K22" s="170" t="inlineStr">
        <is>
          <t>HL1901.pdf</t>
        </is>
      </c>
      <c r="L22" s="170" t="inlineStr">
        <is>
          <t>金融</t>
        </is>
      </c>
    </row>
    <row r="23" ht="18" customHeight="1" s="235"/>
    <row r="24" ht="18" customHeight="1" s="235"/>
    <row r="25" ht="18" customHeight="1" s="235"/>
    <row r="26" ht="18" customHeight="1" s="235"/>
    <row r="27" ht="18" customHeight="1" s="235"/>
    <row r="28" ht="18" customHeight="1" s="235"/>
    <row r="29" ht="18" customHeight="1" s="235"/>
    <row r="30" ht="18" customHeight="1" s="235"/>
    <row r="31" ht="18" customHeight="1" s="235"/>
    <row r="32" ht="18" customHeight="1" s="235"/>
    <row r="33" ht="18" customHeight="1" s="235"/>
    <row r="34" ht="18" customHeight="1" s="235"/>
    <row r="35" ht="18" customHeight="1" s="235"/>
    <row r="36" ht="18" customHeight="1" s="235"/>
    <row r="37" ht="18" customHeight="1" s="235"/>
    <row r="38" ht="18" customHeight="1" s="235"/>
    <row r="39" ht="18" customHeight="1" s="235"/>
    <row r="40" ht="18" customHeight="1" s="235"/>
    <row r="41" ht="18" customHeight="1" s="235"/>
    <row r="42" ht="18" customHeight="1" s="235"/>
    <row r="43" ht="18" customHeight="1" s="235"/>
    <row r="44" ht="18" customHeight="1" s="235"/>
    <row r="45" ht="18" customHeight="1" s="235"/>
    <row r="46" ht="18" customHeight="1" s="235"/>
    <row r="47" ht="18" customHeight="1" s="235"/>
    <row r="48" ht="18" customHeight="1" s="235"/>
    <row r="49" ht="18" customHeight="1" s="235"/>
    <row r="50" ht="18" customHeight="1" s="235"/>
    <row r="51" ht="18" customHeight="1" s="235"/>
    <row r="52" ht="18" customHeight="1" s="235"/>
    <row r="53" ht="18" customHeight="1" s="235"/>
    <row r="54" ht="18" customHeight="1" s="235"/>
    <row r="55" ht="18" customHeight="1" s="235"/>
    <row r="56" ht="18" customHeight="1" s="235"/>
    <row r="57" ht="18" customHeight="1" s="235"/>
    <row r="58" ht="18" customHeight="1" s="235"/>
    <row r="59" ht="18" customHeight="1" s="235"/>
    <row r="60" ht="18" customHeight="1" s="235"/>
    <row r="61" ht="18" customHeight="1" s="235"/>
    <row r="62" ht="18" customHeight="1" s="235"/>
    <row r="63" ht="18" customHeight="1" s="235"/>
    <row r="64" ht="18" customHeight="1" s="235"/>
    <row r="65" ht="18" customHeight="1" s="235"/>
    <row r="66" ht="18" customHeight="1" s="235"/>
    <row r="67" ht="18" customHeight="1" s="235"/>
    <row r="68" ht="18" customHeight="1" s="235"/>
    <row r="69" ht="18" customHeight="1" s="235"/>
    <row r="70" ht="18" customHeight="1" s="235"/>
    <row r="71" ht="18" customHeight="1" s="235"/>
    <row r="72" ht="18" customHeight="1" s="235"/>
    <row r="73" ht="18" customHeight="1" s="235"/>
    <row r="74" ht="18" customHeight="1" s="235"/>
    <row r="75" ht="18" customHeight="1" s="235"/>
    <row r="76" ht="18" customHeight="1" s="235"/>
    <row r="77" ht="18" customHeight="1" s="235"/>
    <row r="78" ht="18" customHeight="1" s="235"/>
    <row r="79" ht="18" customHeight="1" s="235"/>
    <row r="80" ht="18" customHeight="1" s="235"/>
    <row r="81" ht="18" customHeight="1" s="235"/>
    <row r="82" ht="18" customHeight="1" s="235"/>
    <row r="83" ht="18" customHeight="1" s="235"/>
    <row r="84" ht="18" customHeight="1" s="235"/>
    <row r="85" ht="18" customHeight="1" s="235"/>
    <row r="86" ht="18" customHeight="1" s="235"/>
    <row r="87" ht="18" customHeight="1" s="235"/>
    <row r="88" ht="18" customHeight="1" s="235"/>
    <row r="89" ht="18" customHeight="1" s="235"/>
    <row r="90" ht="18" customHeight="1" s="235"/>
    <row r="91" ht="18" customHeight="1" s="235"/>
    <row r="92" ht="18" customHeight="1" s="235"/>
    <row r="93" ht="18" customHeight="1" s="235"/>
    <row r="94" ht="18" customHeight="1" s="235"/>
    <row r="95" ht="18" customHeight="1" s="235"/>
    <row r="96" ht="18" customHeight="1" s="235"/>
    <row r="97" ht="18" customHeight="1" s="235"/>
    <row r="98" ht="18" customHeight="1" s="235"/>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2:O530"/>
  <sheetViews>
    <sheetView tabSelected="1" zoomScale="147" workbookViewId="0">
      <selection activeCell="A410" sqref="A410:XFD410"/>
    </sheetView>
  </sheetViews>
  <sheetFormatPr baseColWidth="8" defaultColWidth="10.09765625" defaultRowHeight="14" zeroHeight="1"/>
  <cols>
    <col width="1.69921875" customWidth="1" style="171" min="1" max="1"/>
    <col width="8.19921875" customWidth="1" style="171" min="2" max="2"/>
    <col width="9.296875" customWidth="1" style="172" min="3" max="3"/>
    <col width="50.09765625" customWidth="1" style="171" min="4" max="4"/>
    <col width="82" customWidth="1" style="171" min="5" max="5"/>
    <col width="39.796875" customWidth="1" style="173" min="6" max="6"/>
    <col width="13.3984375" customWidth="1" style="173" min="7" max="7"/>
    <col width="10.3984375" customWidth="1" style="174" min="8" max="8"/>
    <col width="13.3984375" customWidth="1" style="171" min="9" max="9"/>
    <col width="13.3984375" customWidth="1" style="172" min="10" max="10"/>
    <col width="13.3984375" customWidth="1" style="171" min="11" max="11"/>
    <col width="14.5" customWidth="1" style="173" min="12" max="13"/>
    <col width="65.09765625" customWidth="1" style="171" min="14" max="14"/>
    <col hidden="1" width="12.59765625" customWidth="1" style="171" min="15" max="16"/>
    <col width="9.59765625" customWidth="1" style="171" min="17" max="19"/>
    <col width="10.09765625" customWidth="1" style="171" min="20" max="20"/>
    <col width="10.09765625" customWidth="1" style="171" min="21" max="16384"/>
  </cols>
  <sheetData>
    <row r="1" ht="4" customHeight="1" s="235"/>
    <row r="2" ht="23.15" customHeight="1" s="235">
      <c r="B2" s="175" t="inlineStr">
        <is>
          <t>用于目标识别的政策文件来源</t>
        </is>
      </c>
      <c r="C2" s="176" t="n"/>
      <c r="D2" s="177" t="n"/>
      <c r="E2" s="176" t="n"/>
      <c r="F2" s="176" t="n"/>
      <c r="G2" s="178" t="n"/>
      <c r="H2" s="179" t="n"/>
      <c r="I2" s="177" t="n"/>
      <c r="J2" s="176" t="n"/>
      <c r="K2" s="177" t="n"/>
      <c r="L2" s="178" t="n"/>
      <c r="M2" s="178" t="n"/>
      <c r="N2" s="177" t="n"/>
    </row>
    <row r="3" ht="18.5" customFormat="1" customHeight="1" s="180">
      <c r="B3" s="181" t="inlineStr">
        <is>
          <t>用于识别量化气候目标的中国政府发布的气候相关规划和战略文件。</t>
        </is>
      </c>
      <c r="C3" s="182" t="n"/>
      <c r="D3" s="183" t="n"/>
      <c r="E3" s="182" t="n"/>
      <c r="F3" s="182" t="n"/>
      <c r="G3" s="184" t="n"/>
      <c r="H3" s="185" t="n"/>
      <c r="I3" s="183" t="n"/>
      <c r="J3" s="182" t="n"/>
      <c r="K3" s="183" t="n"/>
      <c r="L3" s="184" t="n"/>
      <c r="M3" s="184" t="n"/>
      <c r="N3" s="183" t="n"/>
    </row>
    <row r="4" ht="3.65" customHeight="1" s="235">
      <c r="E4" s="172" t="n"/>
    </row>
    <row r="5" ht="17.5" customHeight="1" s="235">
      <c r="B5" s="186">
        <f>"战略文件总数："&amp;COUNTA(D9:D513)</f>
        <v/>
      </c>
      <c r="C5" s="187" t="n"/>
      <c r="D5" s="188" t="n"/>
      <c r="E5" s="188" t="n"/>
      <c r="F5" s="188" t="n"/>
      <c r="G5" s="188" t="n"/>
      <c r="H5" s="189" t="n"/>
      <c r="I5" s="188" t="n"/>
      <c r="J5" s="189" t="n"/>
      <c r="K5" s="188" t="n"/>
      <c r="L5" s="188" t="n"/>
      <c r="M5" s="188" t="n"/>
      <c r="N5" s="190" t="n"/>
    </row>
    <row r="6" ht="5.25" customHeight="1" s="235">
      <c r="B6" s="191" t="n"/>
      <c r="C6" s="191" t="n"/>
      <c r="D6" s="191" t="n"/>
      <c r="E6" s="191" t="n"/>
      <c r="F6" s="191" t="n"/>
      <c r="G6" s="191" t="n"/>
      <c r="H6" s="192" t="n"/>
      <c r="I6" s="191" t="n"/>
      <c r="J6" s="192" t="n"/>
      <c r="K6" s="191" t="n"/>
      <c r="L6" s="191" t="n"/>
      <c r="M6" s="191" t="n"/>
      <c r="N6" s="191" t="n"/>
    </row>
    <row r="7" customFormat="1" s="191">
      <c r="B7" s="193" t="inlineStr">
        <is>
          <t>编号</t>
        </is>
      </c>
      <c r="C7" s="194" t="inlineStr">
        <is>
          <t>年份</t>
        </is>
      </c>
      <c r="D7" s="193" t="inlineStr">
        <is>
          <t>中文文件名称</t>
        </is>
      </c>
      <c r="E7" s="193" t="inlineStr">
        <is>
          <t>英文文件名称</t>
        </is>
      </c>
      <c r="F7" s="193" t="inlineStr">
        <is>
          <t>发布机构</t>
        </is>
      </c>
      <c r="G7" s="193" t="inlineStr">
        <is>
          <t>文件类型</t>
        </is>
      </c>
      <c r="H7" s="194" t="inlineStr">
        <is>
          <t>气候关联性</t>
        </is>
      </c>
      <c r="I7" s="193" t="inlineStr">
        <is>
          <t>行动领域</t>
        </is>
      </c>
      <c r="J7" s="193" t="inlineStr">
        <is>
          <t>覆盖时期</t>
        </is>
      </c>
      <c r="K7" s="193" t="inlineStr">
        <is>
          <t>目标标记</t>
        </is>
      </c>
      <c r="L7" s="193" t="inlineStr">
        <is>
          <t>来源格式</t>
        </is>
      </c>
      <c r="M7" s="193" t="inlineStr">
        <is>
          <t>来源语言</t>
        </is>
      </c>
      <c r="N7" s="193" t="inlineStr">
        <is>
          <t>来源链接</t>
        </is>
      </c>
    </row>
    <row r="8">
      <c r="B8" s="195" t="inlineStr">
        <is>
          <t>主要高层级气候战略</t>
        </is>
      </c>
      <c r="C8" s="196" t="n"/>
      <c r="D8" s="196" t="n"/>
      <c r="E8" s="196" t="n"/>
      <c r="F8" s="196" t="n"/>
      <c r="G8" s="196" t="n"/>
      <c r="H8" s="196" t="n"/>
      <c r="I8" s="196" t="n"/>
      <c r="J8" s="196" t="n"/>
      <c r="K8" s="196" t="n"/>
      <c r="L8" s="196" t="n"/>
      <c r="M8" s="196" t="n"/>
      <c r="N8" s="197" t="n"/>
    </row>
    <row r="9">
      <c r="B9" s="198" t="inlineStr">
        <is>
          <t>HL0701</t>
        </is>
      </c>
      <c r="C9" s="199" t="n">
        <v>2007</v>
      </c>
      <c r="D9" s="200" t="inlineStr">
        <is>
          <t>中国应对气候变化国家方案</t>
        </is>
      </c>
      <c r="E9" s="200" t="inlineStr">
        <is>
          <t>China’s National Climate Change Programme</t>
        </is>
      </c>
      <c r="F9" s="200" t="inlineStr">
        <is>
          <t>国家发展和改革委员会</t>
        </is>
      </c>
      <c r="G9" s="200" t="inlineStr">
        <is>
          <t>国家方案</t>
        </is>
      </c>
      <c r="H9" s="201" t="inlineStr">
        <is>
          <t>明确减缓</t>
        </is>
      </c>
      <c r="I9" s="199" t="inlineStr">
        <is>
          <t>A</t>
        </is>
      </c>
      <c r="J9" s="199" t="inlineStr">
        <is>
          <t>-</t>
        </is>
      </c>
      <c r="K9" s="202" t="inlineStr">
        <is>
          <t>含目标</t>
        </is>
      </c>
      <c r="L9" s="200" t="inlineStr">
        <is>
          <t>PDF</t>
        </is>
      </c>
      <c r="M9" s="200" t="inlineStr">
        <is>
          <t>英文</t>
        </is>
      </c>
      <c r="N9" s="203" t="inlineStr">
        <is>
          <t>https://www.adaptation-undp.org/sites/default/files/resources/chinas_national_climate_change_program.pdf</t>
        </is>
      </c>
    </row>
    <row r="10">
      <c r="B10" s="198" t="inlineStr">
        <is>
          <t>HL1401</t>
        </is>
      </c>
      <c r="C10" s="199" t="n">
        <v>2014</v>
      </c>
      <c r="D10" s="200" t="inlineStr">
        <is>
          <t>国家应对气候变化规划（2014-2020年）</t>
        </is>
      </c>
      <c r="E10" s="200" t="inlineStr">
        <is>
          <t>National Plan on Climate Change (2014-2020)</t>
        </is>
      </c>
      <c r="F10" s="200" t="inlineStr">
        <is>
          <t>国家发展和改革委员会</t>
        </is>
      </c>
      <c r="G10" s="200" t="inlineStr">
        <is>
          <t>国家规划</t>
        </is>
      </c>
      <c r="H10" s="201" t="inlineStr">
        <is>
          <t>明确减缓</t>
        </is>
      </c>
      <c r="I10" s="199" t="inlineStr">
        <is>
          <t>A</t>
        </is>
      </c>
      <c r="J10" s="199" t="inlineStr">
        <is>
          <t>2014-2020</t>
        </is>
      </c>
      <c r="K10" s="202" t="inlineStr">
        <is>
          <t>无目标</t>
        </is>
      </c>
      <c r="L10" s="200" t="inlineStr">
        <is>
          <t>PDF</t>
        </is>
      </c>
      <c r="M10" s="200" t="inlineStr">
        <is>
          <t>中文</t>
        </is>
      </c>
      <c r="N10" s="203" t="inlineStr">
        <is>
          <t>https://zfxxgk.ndrc.gov.cn/web/iteminfo.jsp?id=298</t>
        </is>
      </c>
    </row>
    <row r="11">
      <c r="B11" s="198" t="inlineStr">
        <is>
          <t>HL2101</t>
        </is>
      </c>
      <c r="C11" s="199" t="n">
        <v>2021</v>
      </c>
      <c r="D11" s="200" t="inlineStr">
        <is>
          <t>关于完整准确全面贯彻新发展理念做好碳达峰碳中和工作的意见</t>
        </is>
      </c>
      <c r="E11" s="200" t="inlineStr">
        <is>
          <t>Working Guidance For Carbon Dioxide Peaking And Carbon Neutrality In Full And Faithful Implementation Of The New Development Philosophy (Literal translation from Chinese: Opinions on the Complete, Accurate, and Comprehensive Implementation of the New Development Concept to Do a Good Job in Carbon Peak and Carbon Neutrality)</t>
        </is>
      </c>
      <c r="F11" s="200" t="inlineStr">
        <is>
          <t>中共中央；国务院</t>
        </is>
      </c>
      <c r="G11" s="200" t="inlineStr">
        <is>
          <t>意见</t>
        </is>
      </c>
      <c r="H11" s="201" t="inlineStr">
        <is>
          <t>明确减缓</t>
        </is>
      </c>
      <c r="I11" s="199" t="inlineStr">
        <is>
          <t>A</t>
        </is>
      </c>
      <c r="J11" s="199" t="inlineStr">
        <is>
          <t>-</t>
        </is>
      </c>
      <c r="K11" s="202" t="inlineStr">
        <is>
          <t>含目标</t>
        </is>
      </c>
      <c r="L11" s="200" t="inlineStr">
        <is>
          <t>PDF</t>
        </is>
      </c>
      <c r="M11" s="200" t="inlineStr">
        <is>
          <t>英文</t>
        </is>
      </c>
      <c r="N11" s="203" t="inlineStr">
        <is>
          <t>https://english.www.gov.cn/policies/latestreleases/202110/25/content_WS61760047c6d0df57f98e3c21.html</t>
        </is>
      </c>
    </row>
    <row r="12">
      <c r="B12" s="198" t="inlineStr">
        <is>
          <t>HL2102</t>
        </is>
      </c>
      <c r="C12" s="199" t="n">
        <v>2021</v>
      </c>
      <c r="D12" s="200" t="inlineStr">
        <is>
          <t>2030年前碳达峰行动方案</t>
        </is>
      </c>
      <c r="E12" s="200" t="inlineStr">
        <is>
          <t>Action Plan for Carbon Dioxide Peaking before 2030</t>
        </is>
      </c>
      <c r="F12" s="200" t="inlineStr">
        <is>
          <t>国务院</t>
        </is>
      </c>
      <c r="G12" s="200" t="inlineStr">
        <is>
          <t>行动方案</t>
        </is>
      </c>
      <c r="H12" s="201" t="inlineStr">
        <is>
          <t>明确减缓</t>
        </is>
      </c>
      <c r="I12" s="199" t="inlineStr">
        <is>
          <t>A</t>
        </is>
      </c>
      <c r="J12" s="199" t="inlineStr">
        <is>
          <t>2021-2030</t>
        </is>
      </c>
      <c r="K12" s="202" t="inlineStr">
        <is>
          <t>含目标</t>
        </is>
      </c>
      <c r="L12" s="200" t="inlineStr">
        <is>
          <t>PDF</t>
        </is>
      </c>
      <c r="M12" s="200" t="inlineStr">
        <is>
          <t>英文</t>
        </is>
      </c>
      <c r="N12" s="203" t="inlineStr">
        <is>
          <t>https://english.www.gov.cn/policies/latestreleases/202110/27/content_WS6178a47ec6d0df57f98e3dfb.html</t>
        </is>
      </c>
    </row>
    <row r="13">
      <c r="B13" s="198" t="inlineStr">
        <is>
          <t>HL2104</t>
        </is>
      </c>
      <c r="C13" s="199" t="n">
        <v>2021</v>
      </c>
      <c r="D13" s="200" t="inlineStr">
        <is>
          <t>中国中长期低温室气体排放发展战略</t>
        </is>
      </c>
      <c r="E13" s="200" t="inlineStr">
        <is>
          <t>China’s Mid-Century Long-Term Low Greenhouse Gas Emission Development Strategy</t>
        </is>
      </c>
      <c r="F13" s="200" t="inlineStr">
        <is>
          <t>生态环境部</t>
        </is>
      </c>
      <c r="G13" s="200" t="inlineStr">
        <is>
          <t>发展战略</t>
        </is>
      </c>
      <c r="H13" s="201" t="inlineStr">
        <is>
          <t>明确减缓</t>
        </is>
      </c>
      <c r="I13" s="199" t="inlineStr">
        <is>
          <t>A</t>
        </is>
      </c>
      <c r="J13" s="199" t="inlineStr">
        <is>
          <t>-</t>
        </is>
      </c>
      <c r="K13" s="202" t="inlineStr">
        <is>
          <t>含目标</t>
        </is>
      </c>
      <c r="L13" s="200" t="inlineStr">
        <is>
          <t>PDF</t>
        </is>
      </c>
      <c r="M13" s="200" t="inlineStr">
        <is>
          <t>英文</t>
        </is>
      </c>
      <c r="N13" s="203" t="inlineStr">
        <is>
          <t>https://unfccc.int/sites/default/files/resource/China%E2%80%99s%20Mid-Century%20Long-Term%20Low%20Greenhouse%20Gas%20Emission%20Development%20Strategy.pdf</t>
        </is>
      </c>
    </row>
    <row r="14">
      <c r="B14" s="0" t="inlineStr">
        <is>
          <t>HL2603</t>
        </is>
      </c>
      <c r="C14" s="0" t="n">
        <v>2026</v>
      </c>
      <c r="D14" s="0" t="inlineStr">
        <is>
          <t>国家应对气候变化“十五五”规划</t>
        </is>
      </c>
      <c r="E14" s="0" t="inlineStr">
        <is>
          <t>National 15th Five-Year Plan for Addressing Climate Change</t>
        </is>
      </c>
      <c r="F14" s="0" t="inlineStr">
        <is>
          <t>生态环境部等部门</t>
        </is>
      </c>
      <c r="G14" s="0" t="inlineStr">
        <is>
          <t>国家规划</t>
        </is>
      </c>
      <c r="H14" s="0" t="inlineStr">
        <is>
          <t>明确减缓</t>
        </is>
      </c>
      <c r="I14" s="0" t="inlineStr">
        <is>
          <t>Explicit mitigation</t>
        </is>
      </c>
      <c r="J14" s="0" t="inlineStr">
        <is>
          <t>A</t>
        </is>
      </c>
      <c r="K14" s="0" t="inlineStr">
        <is>
          <t>含目标</t>
        </is>
      </c>
      <c r="L14" s="0" t="inlineStr">
        <is>
          <t>PDF</t>
        </is>
      </c>
      <c r="M14" s="0" t="inlineStr">
        <is>
          <t>中文</t>
        </is>
      </c>
      <c r="N14" s="0" t="inlineStr">
        <is>
          <t>https://www.mee.gov.cn/xxgk2018/xxgk/xxgk03/202607/W020260729367834048261.pdf</t>
        </is>
      </c>
    </row>
    <row r="15">
      <c r="B15" s="0" t="inlineStr">
        <is>
          <t>HL2604</t>
        </is>
      </c>
      <c r="C15" s="0" t="n">
        <v>2026</v>
      </c>
      <c r="D15" s="0" t="inlineStr">
        <is>
          <t>“十五五”碳达峰行动方案</t>
        </is>
      </c>
      <c r="E15" s="0" t="inlineStr">
        <is>
          <t>15th Five-Year Action Plan for Carbon Dioxide Peaking</t>
        </is>
      </c>
      <c r="F15" s="0" t="inlineStr">
        <is>
          <t>国务院</t>
        </is>
      </c>
      <c r="G15" s="0" t="inlineStr">
        <is>
          <t>行动方案</t>
        </is>
      </c>
      <c r="H15" s="0" t="inlineStr">
        <is>
          <t>明确减缓</t>
        </is>
      </c>
      <c r="I15" s="0" t="inlineStr">
        <is>
          <t>Explicit mitigation</t>
        </is>
      </c>
      <c r="J15" s="0" t="inlineStr">
        <is>
          <t>A</t>
        </is>
      </c>
      <c r="K15" s="0" t="inlineStr">
        <is>
          <t>含目标</t>
        </is>
      </c>
      <c r="L15" s="0" t="inlineStr">
        <is>
          <t>HTM</t>
        </is>
      </c>
      <c r="M15" s="0" t="inlineStr">
        <is>
          <t>中文</t>
        </is>
      </c>
      <c r="N15" s="0" t="inlineStr">
        <is>
          <t>https://www.gov.cn/zhengce/content/202607/content_7074826.htm</t>
        </is>
      </c>
    </row>
    <row r="16">
      <c r="B16" s="195" t="inlineStr">
        <is>
          <t>补充高层级气候战略</t>
        </is>
      </c>
      <c r="C16" s="196" t="n"/>
      <c r="D16" s="196" t="n"/>
      <c r="E16" s="196" t="n"/>
      <c r="F16" s="196" t="n"/>
      <c r="G16" s="196" t="n"/>
      <c r="H16" s="196" t="n"/>
      <c r="I16" s="196" t="n"/>
      <c r="J16" s="196" t="n"/>
      <c r="K16" s="196" t="n"/>
      <c r="L16" s="196" t="n"/>
      <c r="M16" s="196" t="n"/>
      <c r="N16" s="197" t="inlineStr">
        <is>
          <t>https://www.gov.cn/xinwen/2015-05/05/content_2857363.htm</t>
        </is>
      </c>
    </row>
    <row r="17">
      <c r="B17" s="198" t="inlineStr">
        <is>
          <t>HL1502</t>
        </is>
      </c>
      <c r="C17" s="199" t="n">
        <v>2015</v>
      </c>
      <c r="D17" s="200" t="inlineStr">
        <is>
          <t>生态文明体制改革总体方案</t>
        </is>
      </c>
      <c r="E17" s="200" t="inlineStr">
        <is>
          <t>Overall Plan of Ecological Civilization System Reform</t>
        </is>
      </c>
      <c r="F17" s="200" t="inlineStr">
        <is>
          <t>中共中央；国务院</t>
        </is>
      </c>
      <c r="G17" s="200" t="inlineStr">
        <is>
          <t>总体方案</t>
        </is>
      </c>
      <c r="H17" s="201" t="inlineStr">
        <is>
          <t>促进减缓</t>
        </is>
      </c>
      <c r="I17" s="199" t="inlineStr">
        <is>
          <t>A</t>
        </is>
      </c>
      <c r="J17" s="199" t="inlineStr">
        <is>
          <t>-</t>
        </is>
      </c>
      <c r="K17" s="202" t="inlineStr">
        <is>
          <t>无目标</t>
        </is>
      </c>
      <c r="L17" s="200" t="inlineStr">
        <is>
          <t>HTM</t>
        </is>
      </c>
      <c r="M17" s="200" t="inlineStr">
        <is>
          <t>中文</t>
        </is>
      </c>
      <c r="N17" s="203" t="inlineStr">
        <is>
          <t>https://www.gov.cn/guowuyuan/2015-09/21/content_2936327.htm</t>
        </is>
      </c>
    </row>
    <row r="18">
      <c r="B18" s="198" t="inlineStr">
        <is>
          <t>HL1503</t>
        </is>
      </c>
      <c r="C18" s="199" t="n">
        <v>2015</v>
      </c>
      <c r="D18" s="200" t="inlineStr">
        <is>
          <t>关于加快推进生态文明建设的意见</t>
        </is>
      </c>
      <c r="E18" s="200" t="inlineStr">
        <is>
          <t>Opinions of the CPC Central Committee and the State Council on Accelerating the Construction of Ecological Civilization</t>
        </is>
      </c>
      <c r="F18" s="200" t="inlineStr">
        <is>
          <t>中共中央；国务院</t>
        </is>
      </c>
      <c r="G18" s="200" t="inlineStr">
        <is>
          <t>意见</t>
        </is>
      </c>
      <c r="H18" s="201" t="inlineStr">
        <is>
          <t>促进减缓</t>
        </is>
      </c>
      <c r="I18" s="199" t="inlineStr">
        <is>
          <t>A</t>
        </is>
      </c>
      <c r="J18" s="199" t="inlineStr">
        <is>
          <t>-</t>
        </is>
      </c>
      <c r="K18" s="202" t="inlineStr">
        <is>
          <t>含目标</t>
        </is>
      </c>
      <c r="L18" s="200" t="inlineStr">
        <is>
          <t>HTM</t>
        </is>
      </c>
      <c r="M18" s="200" t="inlineStr">
        <is>
          <t>中文</t>
        </is>
      </c>
      <c r="N18" s="203" t="inlineStr">
        <is>
          <t>https://www.gov.cn/xinwen/2015-05/05/content_2857363.htm</t>
        </is>
      </c>
    </row>
    <row r="19">
      <c r="B19" s="198" t="inlineStr">
        <is>
          <t>HL2106</t>
        </is>
      </c>
      <c r="C19" s="199" t="n">
        <v>2021</v>
      </c>
      <c r="D19" s="200" t="inlineStr">
        <is>
          <t>国务院关于加快建立健全绿色低碳循环发展经济体系的指导意见</t>
        </is>
      </c>
      <c r="E19" s="200" t="inlineStr">
        <is>
          <t>Guiding Opinions on Accelerating the Establishment of a Sound Green, Low-Carbon, and Circular Development Economic System</t>
        </is>
      </c>
      <c r="F19" s="200" t="inlineStr">
        <is>
          <t>国务院</t>
        </is>
      </c>
      <c r="G19" s="200" t="inlineStr">
        <is>
          <t>指导意见</t>
        </is>
      </c>
      <c r="H19" s="201" t="inlineStr">
        <is>
          <t>明确减缓</t>
        </is>
      </c>
      <c r="I19" s="199" t="inlineStr">
        <is>
          <t>A</t>
        </is>
      </c>
      <c r="J19" s="199" t="inlineStr">
        <is>
          <t>-</t>
        </is>
      </c>
      <c r="K19" s="202" t="inlineStr">
        <is>
          <t>无目标</t>
        </is>
      </c>
      <c r="L19" s="200" t="inlineStr">
        <is>
          <t>HTM</t>
        </is>
      </c>
      <c r="M19" s="200" t="inlineStr">
        <is>
          <t>中文</t>
        </is>
      </c>
      <c r="N19" s="203" t="inlineStr">
        <is>
          <t>https://www.gov.cn/zhengce/content/2021-02/22/content_5588274.htm</t>
        </is>
      </c>
    </row>
    <row r="20">
      <c r="B20" s="198" t="inlineStr">
        <is>
          <t>HL2107</t>
        </is>
      </c>
      <c r="C20" s="199" t="n">
        <v>2021</v>
      </c>
      <c r="D20" s="200" t="inlineStr">
        <is>
          <t>中国应对气候变化的政策与行动</t>
        </is>
      </c>
      <c r="E20" s="200" t="inlineStr">
        <is>
          <t>Responding to Climate Change: China's Policies and Actions (White Paper)</t>
        </is>
      </c>
      <c r="F20" s="200" t="inlineStr">
        <is>
          <t>国务院</t>
        </is>
      </c>
      <c r="G20" s="200" t="inlineStr">
        <is>
          <t>白皮书</t>
        </is>
      </c>
      <c r="H20" s="201" t="inlineStr">
        <is>
          <t>明确减缓</t>
        </is>
      </c>
      <c r="I20" s="199" t="inlineStr">
        <is>
          <t>A</t>
        </is>
      </c>
      <c r="J20" s="199" t="inlineStr">
        <is>
          <t>-</t>
        </is>
      </c>
      <c r="K20" s="202" t="inlineStr">
        <is>
          <t>含目标</t>
        </is>
      </c>
      <c r="L20" s="200" t="inlineStr">
        <is>
          <t>PDF</t>
        </is>
      </c>
      <c r="M20" s="200" t="inlineStr">
        <is>
          <t>英文</t>
        </is>
      </c>
      <c r="N20" s="203" t="inlineStr">
        <is>
          <t>http://english.scio.gov.cn/m/whitepapers/2021-10/27/content_77836502_4.htm</t>
        </is>
      </c>
    </row>
    <row r="21">
      <c r="B21" s="198" t="inlineStr">
        <is>
          <t>HL2402</t>
        </is>
      </c>
      <c r="C21" s="199" t="n">
        <v>2024</v>
      </c>
      <c r="D21" s="200" t="inlineStr">
        <is>
          <t>中共中央 国务院关于加快经济社会发展全面绿色转型的意见</t>
        </is>
      </c>
      <c r="E21" s="200" t="inlineStr">
        <is>
          <t>Opinions of the Central Committee of the Communist Party of China and the State Council on Accelerating Comprehensive Green Transformation of Economic and Social Development</t>
        </is>
      </c>
      <c r="F21" s="200" t="inlineStr">
        <is>
          <t>中共中央；国务院</t>
        </is>
      </c>
      <c r="G21" s="200" t="inlineStr">
        <is>
          <t>意见</t>
        </is>
      </c>
      <c r="H21" s="201" t="inlineStr">
        <is>
          <t>明确减缓</t>
        </is>
      </c>
      <c r="I21" s="199" t="inlineStr">
        <is>
          <t>A</t>
        </is>
      </c>
      <c r="J21" s="199" t="inlineStr">
        <is>
          <t>-</t>
        </is>
      </c>
      <c r="K21" s="202" t="inlineStr">
        <is>
          <t>无目标</t>
        </is>
      </c>
      <c r="L21" s="200" t="inlineStr">
        <is>
          <t>HTM</t>
        </is>
      </c>
      <c r="M21" s="200" t="inlineStr">
        <is>
          <t>中文</t>
        </is>
      </c>
      <c r="N21" s="203" t="inlineStr">
        <is>
          <t>https://www.gov.cn/zhengce/202408/content_6967663.htm</t>
        </is>
      </c>
    </row>
    <row r="22">
      <c r="B22" s="198" t="inlineStr">
        <is>
          <t>HL2403</t>
        </is>
      </c>
      <c r="C22" s="199" t="n">
        <v>2024</v>
      </c>
      <c r="D22" s="200" t="inlineStr">
        <is>
          <t>中共中央 国务院关于全面推进美丽中国建设的意见</t>
        </is>
      </c>
      <c r="E22" s="200" t="inlineStr">
        <is>
          <t>Opinions of the Central Committee of the Communist Party of China and the State Council on Comprehensively Promoting the Building of a Beautiful China</t>
        </is>
      </c>
      <c r="F22" s="200" t="inlineStr">
        <is>
          <t>中共中央；国务院</t>
        </is>
      </c>
      <c r="G22" s="200" t="inlineStr">
        <is>
          <t>意见</t>
        </is>
      </c>
      <c r="H22" s="201" t="inlineStr">
        <is>
          <t>促进减缓</t>
        </is>
      </c>
      <c r="I22" s="199" t="inlineStr">
        <is>
          <t>A</t>
        </is>
      </c>
      <c r="J22" s="199" t="inlineStr">
        <is>
          <t>-</t>
        </is>
      </c>
      <c r="K22" s="202" t="inlineStr">
        <is>
          <t>无目标</t>
        </is>
      </c>
      <c r="L22" s="200" t="inlineStr">
        <is>
          <t>HTM</t>
        </is>
      </c>
      <c r="M22" s="200" t="inlineStr">
        <is>
          <t>中文</t>
        </is>
      </c>
      <c r="N22" s="203" t="inlineStr">
        <is>
          <t>https://www.gov.cn/zhengce/202401/content_6925405.htm</t>
        </is>
      </c>
    </row>
    <row r="23">
      <c r="B23" s="198" t="inlineStr">
        <is>
          <t>HL2406</t>
        </is>
      </c>
      <c r="C23" s="199" t="n">
        <v>2024</v>
      </c>
      <c r="D23" s="201" t="inlineStr">
        <is>
          <t>加快构建碳排放双控制度体系工作方案</t>
        </is>
      </c>
      <c r="E23" s="201" t="inlineStr">
        <is>
          <t>Work Plan for Accelerating the Construction of a Dual Control System for Carbon Emissions</t>
        </is>
      </c>
      <c r="F23" s="200" t="inlineStr">
        <is>
          <t>国务院</t>
        </is>
      </c>
      <c r="G23" s="200" t="inlineStr">
        <is>
          <t>工作方案</t>
        </is>
      </c>
      <c r="H23" s="201" t="inlineStr">
        <is>
          <t>明确减缓</t>
        </is>
      </c>
      <c r="I23" s="202" t="inlineStr">
        <is>
          <t>C.3</t>
        </is>
      </c>
      <c r="J23" s="202" t="inlineStr">
        <is>
          <t>-</t>
        </is>
      </c>
      <c r="K23" s="202" t="inlineStr">
        <is>
          <t>无目标</t>
        </is>
      </c>
      <c r="L23" s="200" t="inlineStr">
        <is>
          <t>HTM</t>
        </is>
      </c>
      <c r="M23" s="200" t="inlineStr">
        <is>
          <t>中文</t>
        </is>
      </c>
      <c r="N23" s="203" t="inlineStr">
        <is>
          <t>https://www.gov.cn/zhengce/content/202408/content_6966079.htm</t>
        </is>
      </c>
    </row>
    <row r="24">
      <c r="B24" s="195" t="inlineStr">
        <is>
          <t>主席重要气候讲话</t>
        </is>
      </c>
      <c r="C24" s="196" t="n"/>
      <c r="D24" s="196" t="n"/>
      <c r="E24" s="196" t="n"/>
      <c r="F24" s="196" t="n"/>
      <c r="G24" s="196" t="n"/>
      <c r="H24" s="196" t="n"/>
      <c r="I24" s="196" t="n"/>
      <c r="J24" s="196" t="n"/>
      <c r="K24" s="196" t="n"/>
      <c r="L24" s="196" t="n"/>
      <c r="M24" s="196" t="n"/>
      <c r="N24" s="197" t="inlineStr">
        <is>
          <t>https://www.chinadaily.com.cn/a/202104/22/WS60819863a31024ad0bab9b58.html?utm_source=chatgpt.com</t>
        </is>
      </c>
    </row>
    <row r="25">
      <c r="B25" s="198" t="inlineStr">
        <is>
          <t>PA2001</t>
        </is>
      </c>
      <c r="C25" s="199" t="n">
        <v>2020</v>
      </c>
      <c r="D25" s="200" t="inlineStr">
        <is>
          <t>中国国家主席在第七十五届联合国大会一般性辩论上的讲话</t>
        </is>
      </c>
      <c r="E25" s="200" t="inlineStr">
        <is>
          <t>Remarks by Chinese President Xi Jinping at Climate Ambition Summit 2020</t>
        </is>
      </c>
      <c r="F25" s="200" t="inlineStr">
        <is>
          <t>-</t>
        </is>
      </c>
      <c r="G25" s="200" t="inlineStr">
        <is>
          <t>演讲</t>
        </is>
      </c>
      <c r="H25" s="200" t="inlineStr">
        <is>
          <t>明确减缓</t>
        </is>
      </c>
      <c r="I25" s="199" t="inlineStr">
        <is>
          <t>A</t>
        </is>
      </c>
      <c r="J25" s="200" t="inlineStr">
        <is>
          <t>-</t>
        </is>
      </c>
      <c r="K25" s="202" t="inlineStr">
        <is>
          <t>含目标</t>
        </is>
      </c>
      <c r="L25" s="200" t="inlineStr">
        <is>
          <t>HTM</t>
        </is>
      </c>
      <c r="M25" s="200" t="inlineStr">
        <is>
          <t>英文</t>
        </is>
      </c>
      <c r="N25" s="203" t="inlineStr">
        <is>
          <t>https://english.mee.gov.cn/News_service/media_news/202012/t20201216_813364.shtml?utm_source=chatgpt.com</t>
        </is>
      </c>
    </row>
    <row r="26">
      <c r="B26" s="198" t="inlineStr">
        <is>
          <t>PA2101</t>
        </is>
      </c>
      <c r="C26" s="199" t="n">
        <v>2021</v>
      </c>
      <c r="D26" s="200" t="inlineStr">
        <is>
          <t>中国国家主席在2021年气候变化领导人峰会上的演讲</t>
        </is>
      </c>
      <c r="E26" s="200" t="inlineStr">
        <is>
          <t>Remarks by Chinese President Xi Jinping at Leaders Summit on Climate 2021</t>
        </is>
      </c>
      <c r="F26" s="200" t="inlineStr">
        <is>
          <t>-</t>
        </is>
      </c>
      <c r="G26" s="200" t="inlineStr">
        <is>
          <t>演讲</t>
        </is>
      </c>
      <c r="H26" s="200" t="inlineStr">
        <is>
          <t>明确减缓</t>
        </is>
      </c>
      <c r="I26" s="199" t="inlineStr">
        <is>
          <t>A</t>
        </is>
      </c>
      <c r="J26" s="200" t="inlineStr">
        <is>
          <t>-</t>
        </is>
      </c>
      <c r="K26" s="202" t="inlineStr">
        <is>
          <t>含目标</t>
        </is>
      </c>
      <c r="L26" s="200" t="inlineStr">
        <is>
          <t>HTM</t>
        </is>
      </c>
      <c r="M26" s="200" t="inlineStr">
        <is>
          <t>中文</t>
        </is>
      </c>
      <c r="N26" s="203" t="inlineStr">
        <is>
          <t>https://www.chinadaily.com.cn/a/202104/22/WS60819863a31024ad0bab9b58.html?utm_source=chatgpt.com</t>
        </is>
      </c>
    </row>
    <row r="27">
      <c r="B27" s="198" t="inlineStr">
        <is>
          <t>PA2501</t>
        </is>
      </c>
      <c r="C27" s="199" t="n">
        <v>2025</v>
      </c>
      <c r="D27" s="200" t="inlineStr">
        <is>
          <t>中国国家主席在2025年联合国气候峰会上的讲话</t>
        </is>
      </c>
      <c r="E27" s="200" t="inlineStr">
        <is>
          <t>Remarks by Chinese President Xi Jinping at United Nations Climate Summit 2025</t>
        </is>
      </c>
      <c r="F27" s="200" t="inlineStr">
        <is>
          <t>-</t>
        </is>
      </c>
      <c r="G27" s="200" t="inlineStr">
        <is>
          <t>演讲</t>
        </is>
      </c>
      <c r="H27" s="200" t="inlineStr">
        <is>
          <t>明确减缓</t>
        </is>
      </c>
      <c r="I27" s="199" t="inlineStr">
        <is>
          <t>A</t>
        </is>
      </c>
      <c r="J27" s="200" t="inlineStr">
        <is>
          <t>-</t>
        </is>
      </c>
      <c r="K27" s="202" t="inlineStr">
        <is>
          <t>含目标</t>
        </is>
      </c>
      <c r="L27" s="200" t="inlineStr">
        <is>
          <t>HTM</t>
        </is>
      </c>
      <c r="M27" s="200" t="inlineStr">
        <is>
          <t>英文</t>
        </is>
      </c>
      <c r="N27" s="203" t="inlineStr">
        <is>
          <t>https://english.www.gov.cn/news/202509/25/content_WS68d47dcac6d00ca5f9a066a5.html</t>
        </is>
      </c>
    </row>
    <row r="28">
      <c r="B28" s="195" t="inlineStr">
        <is>
          <t>UNFCCC提交文件</t>
        </is>
      </c>
      <c r="C28" s="196" t="n"/>
      <c r="D28" s="196" t="n"/>
      <c r="E28" s="196" t="n"/>
      <c r="F28" s="196" t="n"/>
      <c r="G28" s="196" t="n"/>
      <c r="H28" s="196" t="n"/>
      <c r="I28" s="196" t="n"/>
      <c r="J28" s="196" t="n"/>
      <c r="K28" s="196" t="n"/>
      <c r="L28" s="196" t="n"/>
      <c r="M28" s="196" t="n"/>
      <c r="N28" s="197" t="inlineStr">
        <is>
          <t>https://unfccc.int/resource/docs/natc/chnnc2e.pdf</t>
        </is>
      </c>
    </row>
    <row r="29">
      <c r="B29" s="198" t="inlineStr">
        <is>
          <t>HL0401</t>
        </is>
      </c>
      <c r="C29" s="199" t="n">
        <v>2004</v>
      </c>
      <c r="D29" s="200" t="inlineStr">
        <is>
          <t>中华人民共和国气候变化第初步次国家信息通报</t>
        </is>
      </c>
      <c r="E29" s="200" t="inlineStr">
        <is>
          <t>China's Initial National Communication on Climate Change</t>
        </is>
      </c>
      <c r="F29" s="200" t="inlineStr">
        <is>
          <t>生态环境部</t>
        </is>
      </c>
      <c r="G29" s="200" t="inlineStr">
        <is>
          <t>国家信息通报</t>
        </is>
      </c>
      <c r="H29" s="201" t="inlineStr">
        <is>
          <t>明确减缓</t>
        </is>
      </c>
      <c r="I29" s="199" t="inlineStr">
        <is>
          <t>A</t>
        </is>
      </c>
      <c r="J29" s="199" t="inlineStr">
        <is>
          <t>-</t>
        </is>
      </c>
      <c r="K29" s="202" t="inlineStr">
        <is>
          <t>含目标</t>
        </is>
      </c>
      <c r="L29" s="200" t="inlineStr">
        <is>
          <t>PDF</t>
        </is>
      </c>
      <c r="M29" s="200" t="inlineStr">
        <is>
          <t>英文</t>
        </is>
      </c>
      <c r="N29" s="203" t="inlineStr">
        <is>
          <t>https://unfccc.int/resource/docs/natc/chnnc1c.pdf</t>
        </is>
      </c>
    </row>
    <row r="30">
      <c r="B30" s="198" t="inlineStr">
        <is>
          <t>HL1201</t>
        </is>
      </c>
      <c r="C30" s="199" t="n">
        <v>2012</v>
      </c>
      <c r="D30" s="200" t="inlineStr">
        <is>
          <t>中华人民共和国气候变化第二次国家信息通报</t>
        </is>
      </c>
      <c r="E30" s="200" t="inlineStr">
        <is>
          <t>China's Second National Communication on Climate Change</t>
        </is>
      </c>
      <c r="F30" s="200" t="inlineStr">
        <is>
          <t>生态环境部</t>
        </is>
      </c>
      <c r="G30" s="200" t="inlineStr">
        <is>
          <t>国家信息通报</t>
        </is>
      </c>
      <c r="H30" s="201" t="inlineStr">
        <is>
          <t>明确减缓</t>
        </is>
      </c>
      <c r="I30" s="199" t="inlineStr">
        <is>
          <t>A</t>
        </is>
      </c>
      <c r="J30" s="199" t="inlineStr">
        <is>
          <t>-</t>
        </is>
      </c>
      <c r="K30" s="202" t="inlineStr">
        <is>
          <t>含目标</t>
        </is>
      </c>
      <c r="L30" s="200" t="inlineStr">
        <is>
          <t>PDF</t>
        </is>
      </c>
      <c r="M30" s="200" t="inlineStr">
        <is>
          <t>英文</t>
        </is>
      </c>
      <c r="N30" s="203" t="inlineStr">
        <is>
          <t>https://unfccc.int/resource/docs/natc/chnnc2e.pdf</t>
        </is>
      </c>
    </row>
    <row r="31">
      <c r="B31" s="198" t="inlineStr">
        <is>
          <t>HL1601</t>
        </is>
      </c>
      <c r="C31" s="199" t="n">
        <v>2016</v>
      </c>
      <c r="D31" s="200" t="inlineStr">
        <is>
          <t>中华人民共和国首次国家自主贡献</t>
        </is>
      </c>
      <c r="E31" s="200" t="inlineStr">
        <is>
          <t>China' First Nationally Determined Contribution / China's First NDC</t>
        </is>
      </c>
      <c r="F31" s="200" t="inlineStr">
        <is>
          <t>生态环境部</t>
        </is>
      </c>
      <c r="G31" s="200" t="inlineStr">
        <is>
          <t>国家自主贡献</t>
        </is>
      </c>
      <c r="H31" s="201" t="inlineStr">
        <is>
          <t>明确减缓</t>
        </is>
      </c>
      <c r="I31" s="199" t="inlineStr">
        <is>
          <t>A</t>
        </is>
      </c>
      <c r="J31" s="199" t="inlineStr">
        <is>
          <t>2016-2030</t>
        </is>
      </c>
      <c r="K31" s="202" t="inlineStr">
        <is>
          <t>含目标</t>
        </is>
      </c>
      <c r="L31" s="200" t="inlineStr">
        <is>
          <t>PDF</t>
        </is>
      </c>
      <c r="M31" s="200" t="inlineStr">
        <is>
          <t>中文</t>
        </is>
      </c>
      <c r="N31" s="203" t="inlineStr">
        <is>
          <t>https://www.greenpolicyplatform.org/national-documents/peoples-republic-china-nationally-determined-contribution-ndc-chinese</t>
        </is>
      </c>
    </row>
    <row r="32">
      <c r="B32" s="198" t="inlineStr">
        <is>
          <t>HL1701</t>
        </is>
      </c>
      <c r="C32" s="199" t="n">
        <v>2017</v>
      </c>
      <c r="D32" s="200" t="inlineStr">
        <is>
          <t>中华人民共和国应对气候变化的第一份双年度更新报告</t>
        </is>
      </c>
      <c r="E32" s="200" t="inlineStr">
        <is>
          <t>The First Biennial Update Report on Climate Change of the People's Republic of China</t>
        </is>
      </c>
      <c r="F32" s="200" t="inlineStr">
        <is>
          <t>生态环境部</t>
        </is>
      </c>
      <c r="G32" s="200" t="inlineStr">
        <is>
          <t>双年度更新报告</t>
        </is>
      </c>
      <c r="H32" s="201" t="inlineStr">
        <is>
          <t>明确减缓</t>
        </is>
      </c>
      <c r="I32" s="199" t="inlineStr">
        <is>
          <t>A</t>
        </is>
      </c>
      <c r="J32" s="199" t="inlineStr">
        <is>
          <t>-</t>
        </is>
      </c>
      <c r="K32" s="202" t="inlineStr">
        <is>
          <t>含目标</t>
        </is>
      </c>
      <c r="L32" s="200" t="inlineStr">
        <is>
          <t>PDF</t>
        </is>
      </c>
      <c r="M32" s="200" t="inlineStr">
        <is>
          <t>中文</t>
        </is>
      </c>
      <c r="N32" s="203" t="inlineStr">
        <is>
          <t>https://unfccc.int/sites/default/files/resource/The%20People%E2%80%99s%20Republic%20of%20China%20First%20Biennial%20Transparency%20Report%20on%20Climate%20Change.pdf</t>
        </is>
      </c>
    </row>
    <row r="33">
      <c r="B33" s="198" t="inlineStr">
        <is>
          <t>HL1901</t>
        </is>
      </c>
      <c r="C33" s="199" t="n">
        <v>2019</v>
      </c>
      <c r="D33" s="200" t="inlineStr">
        <is>
          <t>中华人民共和国应对气候变化的第二份双年度更新报告</t>
        </is>
      </c>
      <c r="E33" s="200" t="inlineStr">
        <is>
          <t>The Second Biennial Update Report on Climate Change of the People's Republic of China</t>
        </is>
      </c>
      <c r="F33" s="200" t="inlineStr">
        <is>
          <t>生态环境部</t>
        </is>
      </c>
      <c r="G33" s="200" t="inlineStr">
        <is>
          <t>双年度更新报告</t>
        </is>
      </c>
      <c r="H33" s="201" t="inlineStr">
        <is>
          <t>明确减缓</t>
        </is>
      </c>
      <c r="I33" s="199" t="inlineStr">
        <is>
          <t>A</t>
        </is>
      </c>
      <c r="J33" s="199" t="inlineStr">
        <is>
          <t>-</t>
        </is>
      </c>
      <c r="K33" s="202" t="inlineStr">
        <is>
          <t>含目标</t>
        </is>
      </c>
      <c r="L33" s="200" t="inlineStr">
        <is>
          <t>PDF</t>
        </is>
      </c>
      <c r="M33" s="200" t="inlineStr">
        <is>
          <t>英文</t>
        </is>
      </c>
      <c r="N33" s="203" t="inlineStr">
        <is>
          <t>https://unfccc.int/sites/default/files/resource/China%202BUR_English.pdf</t>
        </is>
      </c>
    </row>
    <row r="34">
      <c r="B34" s="198" t="inlineStr">
        <is>
          <t>HL1902</t>
        </is>
      </c>
      <c r="C34" s="199" t="n">
        <v>2019</v>
      </c>
      <c r="D34" s="200" t="inlineStr">
        <is>
          <t>中华人民共和国气候变化第三次国家信息通报</t>
        </is>
      </c>
      <c r="E34" s="200" t="inlineStr">
        <is>
          <t>China's Third National Communication on Climate Change</t>
        </is>
      </c>
      <c r="F34" s="200" t="inlineStr">
        <is>
          <t>生态环境部</t>
        </is>
      </c>
      <c r="G34" s="200" t="inlineStr">
        <is>
          <t>国家自主贡献</t>
        </is>
      </c>
      <c r="H34" s="201" t="inlineStr">
        <is>
          <t>明确减缓</t>
        </is>
      </c>
      <c r="I34" s="199" t="inlineStr">
        <is>
          <t>A</t>
        </is>
      </c>
      <c r="J34" s="199" t="inlineStr">
        <is>
          <t>-</t>
        </is>
      </c>
      <c r="K34" s="202" t="inlineStr">
        <is>
          <t>含目标</t>
        </is>
      </c>
      <c r="L34" s="200" t="inlineStr">
        <is>
          <t>PDF</t>
        </is>
      </c>
      <c r="M34" s="200" t="inlineStr">
        <is>
          <t>英文</t>
        </is>
      </c>
      <c r="N34" s="203" t="inlineStr">
        <is>
          <t>https://english.mee.gov.cn/Resources/Reports/reports/201907/P020190702566752327206.pdf</t>
        </is>
      </c>
    </row>
    <row r="35">
      <c r="B35" s="198" t="inlineStr">
        <is>
          <t>HL2105</t>
        </is>
      </c>
      <c r="C35" s="199" t="n">
        <v>2021</v>
      </c>
      <c r="D35" s="200" t="inlineStr">
        <is>
          <t>中国落实国家自主贡献成效和新目标新举措</t>
        </is>
      </c>
      <c r="E35" s="200" t="inlineStr">
        <is>
          <t>China’s Achievements, New Goals and New Measures for Nationally Determined Contributions / China's Updated NDC</t>
        </is>
      </c>
      <c r="F35" s="200" t="inlineStr">
        <is>
          <t>生态环境部</t>
        </is>
      </c>
      <c r="G35" s="200" t="inlineStr">
        <is>
          <t>国家自主贡献</t>
        </is>
      </c>
      <c r="H35" s="201" t="inlineStr">
        <is>
          <t>明确减缓</t>
        </is>
      </c>
      <c r="I35" s="199" t="inlineStr">
        <is>
          <t>A</t>
        </is>
      </c>
      <c r="J35" s="199" t="inlineStr">
        <is>
          <t>2021-2030</t>
        </is>
      </c>
      <c r="K35" s="202" t="inlineStr">
        <is>
          <t>含目标</t>
        </is>
      </c>
      <c r="L35" s="200" t="inlineStr">
        <is>
          <t>PDF</t>
        </is>
      </c>
      <c r="M35" s="200" t="inlineStr">
        <is>
          <t>英文</t>
        </is>
      </c>
      <c r="N35" s="203" t="inlineStr">
        <is>
          <t>https://unfccc.int/NDCREG</t>
        </is>
      </c>
    </row>
    <row r="36">
      <c r="B36" s="198" t="inlineStr">
        <is>
          <t>HL2201</t>
        </is>
      </c>
      <c r="C36" s="199" t="n">
        <v>2022</v>
      </c>
      <c r="D36" s="200" t="inlineStr">
        <is>
          <t>中国落实国家自主贡献目标进展报告（2022年）</t>
        </is>
      </c>
      <c r="E36" s="200" t="inlineStr">
        <is>
          <t>Progress on the Implementation of China’s Nationally Determined Contributions (2022)</t>
        </is>
      </c>
      <c r="F36" s="200" t="inlineStr">
        <is>
          <t>生态环境部</t>
        </is>
      </c>
      <c r="G36" s="200" t="inlineStr">
        <is>
          <t>目标进展报告</t>
        </is>
      </c>
      <c r="H36" s="201" t="inlineStr">
        <is>
          <t>明确减缓</t>
        </is>
      </c>
      <c r="I36" s="199" t="inlineStr">
        <is>
          <t>A</t>
        </is>
      </c>
      <c r="J36" s="199" t="inlineStr">
        <is>
          <t>-</t>
        </is>
      </c>
      <c r="K36" s="202" t="inlineStr">
        <is>
          <t>无目标</t>
        </is>
      </c>
      <c r="L36" s="200" t="inlineStr">
        <is>
          <t>PDF</t>
        </is>
      </c>
      <c r="M36" s="200" t="inlineStr">
        <is>
          <t>英文</t>
        </is>
      </c>
      <c r="N36" s="203" t="inlineStr">
        <is>
          <t>https://unfccc.int/NDCREG</t>
        </is>
      </c>
    </row>
    <row r="37">
      <c r="B37" s="198" t="inlineStr">
        <is>
          <t>HL2301</t>
        </is>
      </c>
      <c r="C37" s="199" t="n">
        <v>2023</v>
      </c>
      <c r="D37" s="200" t="inlineStr">
        <is>
          <t>中华人民共和国应对气候变化的第三份双年度更新报告</t>
        </is>
      </c>
      <c r="E37" s="200" t="inlineStr">
        <is>
          <t>The Third Biennial Update Report on Climate Change of the People's Republic of China</t>
        </is>
      </c>
      <c r="F37" s="200" t="inlineStr">
        <is>
          <t>生态环境部</t>
        </is>
      </c>
      <c r="G37" s="200" t="inlineStr">
        <is>
          <t>双年度更新报告</t>
        </is>
      </c>
      <c r="H37" s="201" t="inlineStr">
        <is>
          <t>明确减缓</t>
        </is>
      </c>
      <c r="I37" s="199" t="inlineStr">
        <is>
          <t>A</t>
        </is>
      </c>
      <c r="J37" s="199" t="inlineStr">
        <is>
          <t>-</t>
        </is>
      </c>
      <c r="K37" s="202" t="inlineStr">
        <is>
          <t>无目标</t>
        </is>
      </c>
      <c r="L37" s="200" t="inlineStr">
        <is>
          <t>PDF</t>
        </is>
      </c>
      <c r="M37" s="200" t="inlineStr">
        <is>
          <t>英文</t>
        </is>
      </c>
      <c r="N37" s="203" t="inlineStr">
        <is>
          <t>https://unfccc.int/sites/default/files/resource/China_BUR3_English.pdf</t>
        </is>
      </c>
    </row>
    <row r="38">
      <c r="B38" s="198" t="inlineStr">
        <is>
          <t>HL2302</t>
        </is>
      </c>
      <c r="C38" s="199" t="n">
        <v>2023</v>
      </c>
      <c r="D38" s="200" t="inlineStr">
        <is>
          <t>中华人民共和国气候变化第四次国家信息通报</t>
        </is>
      </c>
      <c r="E38" s="200" t="inlineStr">
        <is>
          <t>China's Fourth National Communication on Climate Change</t>
        </is>
      </c>
      <c r="F38" s="200" t="inlineStr">
        <is>
          <t>生态环境部</t>
        </is>
      </c>
      <c r="G38" s="200" t="inlineStr">
        <is>
          <t>国家信息通报</t>
        </is>
      </c>
      <c r="H38" s="201" t="inlineStr">
        <is>
          <t>明确减缓</t>
        </is>
      </c>
      <c r="I38" s="199" t="inlineStr">
        <is>
          <t>A</t>
        </is>
      </c>
      <c r="J38" s="199" t="inlineStr">
        <is>
          <t>-</t>
        </is>
      </c>
      <c r="K38" s="202" t="inlineStr">
        <is>
          <t>含目标</t>
        </is>
      </c>
      <c r="L38" s="200" t="inlineStr">
        <is>
          <t>PDF</t>
        </is>
      </c>
      <c r="M38" s="200" t="inlineStr">
        <is>
          <t>英文</t>
        </is>
      </c>
      <c r="N38" s="203" t="inlineStr">
        <is>
          <t>https://unfccc.int/sites/default/files/resource/China_NC4_English.pdf</t>
        </is>
      </c>
    </row>
    <row r="39" ht="14.5" customHeight="1" s="235">
      <c r="B39" s="198" t="inlineStr">
        <is>
          <t>HL2401</t>
        </is>
      </c>
      <c r="C39" s="199" t="n">
        <v>2024</v>
      </c>
      <c r="D39" s="200" t="inlineStr">
        <is>
          <t>中华人民共和国应对气候变化的第一份双年度透明度报告</t>
        </is>
      </c>
      <c r="E39" s="200" t="inlineStr">
        <is>
          <t>The First Biennial Transparency Report on Climate Change of the People's Republic of China</t>
        </is>
      </c>
      <c r="F39" s="200" t="inlineStr">
        <is>
          <t>生态环境部</t>
        </is>
      </c>
      <c r="G39" s="200" t="inlineStr">
        <is>
          <t>双年度透明度报告</t>
        </is>
      </c>
      <c r="H39" s="201" t="inlineStr">
        <is>
          <t>明确减缓</t>
        </is>
      </c>
      <c r="I39" s="199" t="inlineStr">
        <is>
          <t>A</t>
        </is>
      </c>
      <c r="J39" s="199" t="inlineStr">
        <is>
          <t>-</t>
        </is>
      </c>
      <c r="K39" s="202" t="inlineStr">
        <is>
          <t>含目标</t>
        </is>
      </c>
      <c r="L39" s="200" t="inlineStr">
        <is>
          <t>PDF</t>
        </is>
      </c>
      <c r="M39" s="200" t="inlineStr">
        <is>
          <t>英文</t>
        </is>
      </c>
      <c r="N39" s="203" t="inlineStr">
        <is>
          <t>https://www.mee.gov.cn/ywdt/hjywnews/202312/t20231229_1060290.shtml</t>
        </is>
      </c>
    </row>
    <row r="40">
      <c r="B40" s="198" t="inlineStr">
        <is>
          <t>HL2503</t>
        </is>
      </c>
      <c r="C40" s="199" t="n">
        <v>2025</v>
      </c>
      <c r="D40" s="200" t="inlineStr">
        <is>
          <t>2035 年中国国家自主贡献报告</t>
        </is>
      </c>
      <c r="E40" s="200" t="inlineStr">
        <is>
          <t>China's Nationally Determined Contribution for 2035</t>
        </is>
      </c>
      <c r="F40" s="200" t="inlineStr">
        <is>
          <t>生态环境部</t>
        </is>
      </c>
      <c r="G40" s="200" t="inlineStr">
        <is>
          <t>国家自主贡献</t>
        </is>
      </c>
      <c r="H40" s="201" t="inlineStr">
        <is>
          <t>明确减缓</t>
        </is>
      </c>
      <c r="I40" s="199" t="inlineStr">
        <is>
          <t>A</t>
        </is>
      </c>
      <c r="J40" s="199" t="inlineStr">
        <is>
          <t>2026-2035</t>
        </is>
      </c>
      <c r="K40" s="202" t="inlineStr">
        <is>
          <t>含目标</t>
        </is>
      </c>
      <c r="L40" s="200" t="inlineStr">
        <is>
          <t>PDF</t>
        </is>
      </c>
      <c r="M40" s="200" t="inlineStr">
        <is>
          <t>中文</t>
        </is>
      </c>
      <c r="N40" s="203" t="inlineStr">
        <is>
          <t>https://unfccc.int/sites/default/files/2025-11/2035%E5%B9%B4%E4%B8%AD%E5%9B%BD%E5%9B%BD%E5%AE%B6%E8%87%AA%E4%B8%BB%E8%B4%A1%E7%8C%AE%E6%8A%A5%E5%91%8A.pdf</t>
        </is>
      </c>
    </row>
    <row r="41">
      <c r="B41" s="195" t="inlineStr">
        <is>
          <t>年度气候报告</t>
        </is>
      </c>
      <c r="C41" s="196" t="n"/>
      <c r="D41" s="196" t="n"/>
      <c r="E41" s="196" t="n"/>
      <c r="F41" s="196" t="n"/>
      <c r="G41" s="196" t="n"/>
      <c r="H41" s="196" t="n"/>
      <c r="I41" s="196" t="n"/>
      <c r="J41" s="196" t="n"/>
      <c r="K41" s="196" t="n"/>
      <c r="L41" s="196" t="n"/>
      <c r="M41" s="196" t="n"/>
      <c r="N41" s="197" t="inlineStr">
        <is>
          <t>https://www.ccchina.org.cn/WebSite/CCChina/UpFile/File571.pdf</t>
        </is>
      </c>
    </row>
    <row r="42">
      <c r="B42" s="198" t="inlineStr">
        <is>
          <t>HL0801</t>
        </is>
      </c>
      <c r="C42" s="199" t="n">
        <v>2008</v>
      </c>
      <c r="D42" s="200" t="inlineStr">
        <is>
          <t>中国应对气候变化的政策与行动2008年度报告</t>
        </is>
      </c>
      <c r="E42" s="200" t="inlineStr">
        <is>
          <t>China's Policies and Actions on Climate Change 2008 Annual Report</t>
        </is>
      </c>
      <c r="F42" s="200" t="inlineStr">
        <is>
          <t>国家发展和改革委员会</t>
        </is>
      </c>
      <c r="G42" s="200" t="inlineStr">
        <is>
          <t>年度报告</t>
        </is>
      </c>
      <c r="H42" s="201" t="inlineStr">
        <is>
          <t>明确减缓</t>
        </is>
      </c>
      <c r="I42" s="199" t="inlineStr">
        <is>
          <t>A</t>
        </is>
      </c>
      <c r="J42" s="199" t="n">
        <v>2008</v>
      </c>
      <c r="K42" s="202" t="inlineStr">
        <is>
          <t>含目标</t>
        </is>
      </c>
      <c r="L42" s="200" t="inlineStr">
        <is>
          <t>PDF</t>
        </is>
      </c>
      <c r="M42" s="200" t="inlineStr">
        <is>
          <t>英文</t>
        </is>
      </c>
      <c r="N42" s="203" t="inlineStr">
        <is>
          <t>http://bb.china-embassy.gov.cn/eng/sgxw/200811/P020210724224798219558.pdf</t>
        </is>
      </c>
    </row>
    <row r="43">
      <c r="B43" s="198" t="inlineStr">
        <is>
          <t>HL0901</t>
        </is>
      </c>
      <c r="C43" s="199" t="n">
        <v>2009</v>
      </c>
      <c r="D43" s="200" t="inlineStr">
        <is>
          <t>中国应对气候变化的政策与行动2009年度报告</t>
        </is>
      </c>
      <c r="E43" s="200" t="inlineStr">
        <is>
          <t>China's Policies and Actions on Climate Change 2009 Annual Report</t>
        </is>
      </c>
      <c r="F43" s="200" t="inlineStr">
        <is>
          <t>国家发展和改革委员会</t>
        </is>
      </c>
      <c r="G43" s="200" t="inlineStr">
        <is>
          <t>年度报告</t>
        </is>
      </c>
      <c r="H43" s="201" t="inlineStr">
        <is>
          <t>明确减缓</t>
        </is>
      </c>
      <c r="I43" s="199" t="inlineStr">
        <is>
          <t>A</t>
        </is>
      </c>
      <c r="J43" s="199" t="n">
        <v>2009</v>
      </c>
      <c r="K43" s="202" t="inlineStr">
        <is>
          <t>含目标</t>
        </is>
      </c>
      <c r="L43" s="200" t="inlineStr">
        <is>
          <t>PDF</t>
        </is>
      </c>
      <c r="M43" s="200" t="inlineStr">
        <is>
          <t>英文</t>
        </is>
      </c>
      <c r="N43" s="203" t="inlineStr">
        <is>
          <t>https://www.ccchina.org.cn/WebSite/CCChina/UpFile/File571.pdf</t>
        </is>
      </c>
    </row>
    <row r="44">
      <c r="B44" s="198" t="inlineStr">
        <is>
          <t>HL1002</t>
        </is>
      </c>
      <c r="C44" s="199" t="n">
        <v>2010</v>
      </c>
      <c r="D44" s="200" t="inlineStr">
        <is>
          <t>中国应对气候变化的政策与行动2010年度报告</t>
        </is>
      </c>
      <c r="E44" s="200" t="inlineStr">
        <is>
          <t>China's Policies and Actions on Climate Change 2010 Annual Report</t>
        </is>
      </c>
      <c r="F44" s="200" t="inlineStr">
        <is>
          <t>国家发展和改革委员会</t>
        </is>
      </c>
      <c r="G44" s="200" t="inlineStr">
        <is>
          <t>年度报告</t>
        </is>
      </c>
      <c r="H44" s="201" t="inlineStr">
        <is>
          <t>明确减缓</t>
        </is>
      </c>
      <c r="I44" s="199" t="inlineStr">
        <is>
          <t>A</t>
        </is>
      </c>
      <c r="J44" s="199" t="n">
        <v>2010</v>
      </c>
      <c r="K44" s="202" t="inlineStr">
        <is>
          <t>无目标</t>
        </is>
      </c>
      <c r="L44" s="200" t="inlineStr">
        <is>
          <t>PDF</t>
        </is>
      </c>
      <c r="M44" s="200" t="inlineStr">
        <is>
          <t>中文</t>
        </is>
      </c>
      <c r="N44" s="203" t="inlineStr">
        <is>
          <t>http://www.ncsc.org.cn/yjcg/cbw/201307/W020180920484673915021.pdf</t>
        </is>
      </c>
    </row>
    <row r="45">
      <c r="B45" s="198" t="inlineStr">
        <is>
          <t>HL1101</t>
        </is>
      </c>
      <c r="C45" s="199" t="n">
        <v>2011</v>
      </c>
      <c r="D45" s="200" t="inlineStr">
        <is>
          <t>中国应对气候变化的政策与行动（2011）白皮书</t>
        </is>
      </c>
      <c r="E45" s="200" t="inlineStr">
        <is>
          <t>China's Policies and Actions on Climate Change 2011 White Paper</t>
        </is>
      </c>
      <c r="F45" s="200" t="inlineStr">
        <is>
          <t>国家发展和改革委员会</t>
        </is>
      </c>
      <c r="G45" s="200" t="inlineStr">
        <is>
          <t>白皮书</t>
        </is>
      </c>
      <c r="H45" s="201" t="inlineStr">
        <is>
          <t>明确减缓</t>
        </is>
      </c>
      <c r="I45" s="199" t="inlineStr">
        <is>
          <t>A</t>
        </is>
      </c>
      <c r="J45" s="199" t="n">
        <v>2011</v>
      </c>
      <c r="K45" s="202" t="inlineStr">
        <is>
          <t>含目标</t>
        </is>
      </c>
      <c r="L45" s="200" t="inlineStr">
        <is>
          <t>HTM</t>
        </is>
      </c>
      <c r="M45" s="200" t="inlineStr">
        <is>
          <t>中文</t>
        </is>
      </c>
      <c r="N45" s="203" t="inlineStr">
        <is>
          <t>https://www.gov.cn/jrzg/2011-11/22/content_2000047.htm</t>
        </is>
      </c>
    </row>
    <row r="46">
      <c r="B46" s="198" t="inlineStr">
        <is>
          <t>HL1202</t>
        </is>
      </c>
      <c r="C46" s="199" t="n">
        <v>2012</v>
      </c>
      <c r="D46" s="200" t="inlineStr">
        <is>
          <t>中国应对气候变化的政策与行动2012年度报告</t>
        </is>
      </c>
      <c r="E46" s="200" t="inlineStr">
        <is>
          <t>China's Policies and Actions on Climate Change 2012 Annual Report</t>
        </is>
      </c>
      <c r="F46" s="200" t="inlineStr">
        <is>
          <t>国家发展和改革委员会</t>
        </is>
      </c>
      <c r="G46" s="200" t="inlineStr">
        <is>
          <t>年度报告</t>
        </is>
      </c>
      <c r="H46" s="201" t="inlineStr">
        <is>
          <t>明确减缓</t>
        </is>
      </c>
      <c r="I46" s="199" t="inlineStr">
        <is>
          <t>A</t>
        </is>
      </c>
      <c r="J46" s="199" t="n">
        <v>2012</v>
      </c>
      <c r="K46" s="202" t="inlineStr">
        <is>
          <t>含目标</t>
        </is>
      </c>
      <c r="L46" s="200" t="inlineStr">
        <is>
          <t>PDF</t>
        </is>
      </c>
      <c r="M46" s="200" t="inlineStr">
        <is>
          <t>英文</t>
        </is>
      </c>
      <c r="N46" s="203" t="inlineStr">
        <is>
          <t>http://www.ncsc.org.cn/yjcg/cbw/201307/W020180920484675924333.pdf</t>
        </is>
      </c>
    </row>
    <row r="47">
      <c r="B47" s="198" t="inlineStr">
        <is>
          <t>HL1301</t>
        </is>
      </c>
      <c r="C47" s="199" t="n">
        <v>2013</v>
      </c>
      <c r="D47" s="200" t="inlineStr">
        <is>
          <t>中国应对气候变化的政策与行动2013年度报告</t>
        </is>
      </c>
      <c r="E47" s="200" t="inlineStr">
        <is>
          <t>China's Policies and Actions on Climate Change 2013 Annual Report</t>
        </is>
      </c>
      <c r="F47" s="200" t="inlineStr">
        <is>
          <t>国家发展和改革委员会</t>
        </is>
      </c>
      <c r="G47" s="200" t="inlineStr">
        <is>
          <t>年度报告</t>
        </is>
      </c>
      <c r="H47" s="201" t="inlineStr">
        <is>
          <t>明确减缓</t>
        </is>
      </c>
      <c r="I47" s="199" t="inlineStr">
        <is>
          <t>A</t>
        </is>
      </c>
      <c r="J47" s="199" t="n">
        <v>2013</v>
      </c>
      <c r="K47" s="202" t="inlineStr">
        <is>
          <t>无目标</t>
        </is>
      </c>
      <c r="L47" s="200" t="inlineStr">
        <is>
          <t>PDF</t>
        </is>
      </c>
      <c r="M47" s="200" t="inlineStr">
        <is>
          <t>英文</t>
        </is>
      </c>
      <c r="N47" s="203" t="inlineStr">
        <is>
          <t>http://www.ncsc.org.cn/yjcg/cbw/201311/W020180920484676540025.pdf</t>
        </is>
      </c>
    </row>
    <row r="48">
      <c r="B48" s="198" t="inlineStr">
        <is>
          <t>HL1402</t>
        </is>
      </c>
      <c r="C48" s="199" t="n">
        <v>2014</v>
      </c>
      <c r="D48" s="200" t="inlineStr">
        <is>
          <t>中国应对气候变化的政策与行动2014年度报告</t>
        </is>
      </c>
      <c r="E48" s="200" t="inlineStr">
        <is>
          <t>China's Policies and Actions on Climate Change 2014 Annual Report</t>
        </is>
      </c>
      <c r="F48" s="200" t="inlineStr">
        <is>
          <t>国家发展和改革委员会</t>
        </is>
      </c>
      <c r="G48" s="200" t="inlineStr">
        <is>
          <t>年度报告</t>
        </is>
      </c>
      <c r="H48" s="201" t="inlineStr">
        <is>
          <t>明确减缓</t>
        </is>
      </c>
      <c r="I48" s="199" t="inlineStr">
        <is>
          <t>A</t>
        </is>
      </c>
      <c r="J48" s="199" t="n">
        <v>2014</v>
      </c>
      <c r="K48" s="202" t="inlineStr">
        <is>
          <t>含目标</t>
        </is>
      </c>
      <c r="L48" s="200" t="inlineStr">
        <is>
          <t>PDF</t>
        </is>
      </c>
      <c r="M48" s="200" t="inlineStr">
        <is>
          <t>英文</t>
        </is>
      </c>
      <c r="N48" s="203" t="inlineStr">
        <is>
          <t>https://faolex.fao.org/docs/pdf/chn229788.pdf</t>
        </is>
      </c>
    </row>
    <row r="49">
      <c r="B49" s="198" t="inlineStr">
        <is>
          <t>HL1505</t>
        </is>
      </c>
      <c r="C49" s="199" t="n">
        <v>2015</v>
      </c>
      <c r="D49" s="200" t="inlineStr">
        <is>
          <t>中国应对气候变化的政策与行动2015年度报告</t>
        </is>
      </c>
      <c r="E49" s="200" t="inlineStr">
        <is>
          <t>China's Policies and Actions on Climate Change 2015 Annual Report</t>
        </is>
      </c>
      <c r="F49" s="200" t="inlineStr">
        <is>
          <t>国家发展和改革委员会</t>
        </is>
      </c>
      <c r="G49" s="200" t="inlineStr">
        <is>
          <t>年度报告</t>
        </is>
      </c>
      <c r="H49" s="201" t="inlineStr">
        <is>
          <t>明确减缓</t>
        </is>
      </c>
      <c r="I49" s="199" t="inlineStr">
        <is>
          <t>A</t>
        </is>
      </c>
      <c r="J49" s="199" t="n">
        <v>2015</v>
      </c>
      <c r="K49" s="202" t="inlineStr">
        <is>
          <t>无目标</t>
        </is>
      </c>
      <c r="L49" s="200" t="inlineStr">
        <is>
          <t>PDF</t>
        </is>
      </c>
      <c r="M49" s="200" t="inlineStr">
        <is>
          <t>英文</t>
        </is>
      </c>
      <c r="N49" s="203" t="inlineStr">
        <is>
          <t>https://www.cma.gov.cn/en2014/climate/featutes/201511/P020151120633951236905.pdf</t>
        </is>
      </c>
    </row>
    <row r="50">
      <c r="B50" s="198" t="inlineStr">
        <is>
          <t>HL1602</t>
        </is>
      </c>
      <c r="C50" s="199" t="n">
        <v>2016</v>
      </c>
      <c r="D50" s="200" t="inlineStr">
        <is>
          <t>中国应对气候变化的政策与行动2016年度报告</t>
        </is>
      </c>
      <c r="E50" s="200" t="inlineStr">
        <is>
          <t>China's Policies and Actions on Climate Change 2016 Annual Report</t>
        </is>
      </c>
      <c r="F50" s="200" t="inlineStr">
        <is>
          <t>国家发展和改革委员会</t>
        </is>
      </c>
      <c r="G50" s="200" t="inlineStr">
        <is>
          <t>年度报告</t>
        </is>
      </c>
      <c r="H50" s="201" t="inlineStr">
        <is>
          <t>明确减缓</t>
        </is>
      </c>
      <c r="I50" s="199" t="inlineStr">
        <is>
          <t>A</t>
        </is>
      </c>
      <c r="J50" s="199" t="n">
        <v>2016</v>
      </c>
      <c r="K50" s="202" t="inlineStr">
        <is>
          <t>无目标</t>
        </is>
      </c>
      <c r="L50" s="200" t="inlineStr">
        <is>
          <t>PDF</t>
        </is>
      </c>
      <c r="M50" s="200" t="inlineStr">
        <is>
          <t>英文</t>
        </is>
      </c>
      <c r="N50" s="203" t="inlineStr">
        <is>
          <t>http://english.mee.gov.cn/Resources/Reports/reports/201812/P020181203551911199524.pdf</t>
        </is>
      </c>
    </row>
    <row r="51">
      <c r="B51" s="198" t="inlineStr">
        <is>
          <t>HL1702</t>
        </is>
      </c>
      <c r="C51" s="199" t="n">
        <v>2017</v>
      </c>
      <c r="D51" s="200" t="inlineStr">
        <is>
          <t>中国应对气候变化的政策与行动2017年度报告</t>
        </is>
      </c>
      <c r="E51" s="200" t="inlineStr">
        <is>
          <t>China's Policies and Actions on Climate Change 2017 Annual Report</t>
        </is>
      </c>
      <c r="F51" s="200" t="inlineStr">
        <is>
          <t>国家发展和改革委员会</t>
        </is>
      </c>
      <c r="G51" s="200" t="inlineStr">
        <is>
          <t>年度报告</t>
        </is>
      </c>
      <c r="H51" s="201" t="inlineStr">
        <is>
          <t>明确减缓</t>
        </is>
      </c>
      <c r="I51" s="199" t="inlineStr">
        <is>
          <t>A</t>
        </is>
      </c>
      <c r="J51" s="199" t="n">
        <v>2017</v>
      </c>
      <c r="K51" s="202" t="inlineStr">
        <is>
          <t>无目标</t>
        </is>
      </c>
      <c r="L51" s="200" t="inlineStr">
        <is>
          <t>PDF</t>
        </is>
      </c>
      <c r="M51" s="200" t="inlineStr">
        <is>
          <t>英文</t>
        </is>
      </c>
      <c r="N51" s="203" t="inlineStr">
        <is>
          <t>https://en.ndrc.gov.cn/news/pressreleases/202105/P020210527390986419589.pdf</t>
        </is>
      </c>
    </row>
    <row r="52">
      <c r="B52" s="198" t="inlineStr">
        <is>
          <t>HL1801</t>
        </is>
      </c>
      <c r="C52" s="199" t="n">
        <v>2018</v>
      </c>
      <c r="D52" s="200" t="inlineStr">
        <is>
          <t>中国应对气候变化的政策与行动2018年度报告</t>
        </is>
      </c>
      <c r="E52" s="200" t="inlineStr">
        <is>
          <t>China's Policies and Actions on Climate Change 2018 Annual Report</t>
        </is>
      </c>
      <c r="F52" s="200" t="inlineStr">
        <is>
          <t>生态环境部</t>
        </is>
      </c>
      <c r="G52" s="200" t="inlineStr">
        <is>
          <t>年度报告</t>
        </is>
      </c>
      <c r="H52" s="201" t="inlineStr">
        <is>
          <t>明确减缓</t>
        </is>
      </c>
      <c r="I52" s="199" t="inlineStr">
        <is>
          <t>A</t>
        </is>
      </c>
      <c r="J52" s="199" t="n">
        <v>2018</v>
      </c>
      <c r="K52" s="202" t="inlineStr">
        <is>
          <t>含目标</t>
        </is>
      </c>
      <c r="L52" s="200" t="inlineStr">
        <is>
          <t>PDF</t>
        </is>
      </c>
      <c r="M52" s="200" t="inlineStr">
        <is>
          <t>英文</t>
        </is>
      </c>
      <c r="N52" s="203" t="inlineStr">
        <is>
          <t>https://english.mee.gov.cn/News_service/news_release/201812/P020181203536441502157.pdf</t>
        </is>
      </c>
    </row>
    <row r="53">
      <c r="B53" s="198" t="inlineStr">
        <is>
          <t>HL1903</t>
        </is>
      </c>
      <c r="C53" s="199" t="n">
        <v>2019</v>
      </c>
      <c r="D53" s="200" t="inlineStr">
        <is>
          <t>中国应对气候变化的政策与行动2019年度报告</t>
        </is>
      </c>
      <c r="E53" s="200" t="inlineStr">
        <is>
          <t>China's Policies and Actions on Climate Change 2019 Annual Report</t>
        </is>
      </c>
      <c r="F53" s="200" t="inlineStr">
        <is>
          <t>生态环境部</t>
        </is>
      </c>
      <c r="G53" s="200" t="inlineStr">
        <is>
          <t>年度报告</t>
        </is>
      </c>
      <c r="H53" s="201" t="inlineStr">
        <is>
          <t>明确减缓</t>
        </is>
      </c>
      <c r="I53" s="199" t="inlineStr">
        <is>
          <t>A</t>
        </is>
      </c>
      <c r="J53" s="199" t="n">
        <v>2019</v>
      </c>
      <c r="K53" s="202" t="inlineStr">
        <is>
          <t>含目标</t>
        </is>
      </c>
      <c r="L53" s="200" t="inlineStr">
        <is>
          <t>PDF</t>
        </is>
      </c>
      <c r="M53" s="200" t="inlineStr">
        <is>
          <t>英文</t>
        </is>
      </c>
      <c r="N53" s="203" t="inlineStr">
        <is>
          <t>https://english.mee.gov.cn/Resources/Reports/reports/201912/P020191204495763994956.pdf</t>
        </is>
      </c>
    </row>
    <row r="54">
      <c r="B54" s="198" t="inlineStr">
        <is>
          <t>HL2001</t>
        </is>
      </c>
      <c r="C54" s="199" t="n">
        <v>2020</v>
      </c>
      <c r="D54" s="200" t="inlineStr">
        <is>
          <t>中国应对气候变化的政策与行动2020年度报告</t>
        </is>
      </c>
      <c r="E54" s="200" t="inlineStr">
        <is>
          <t>China's Policies and Actions on Climate Change 2020 Annual Report</t>
        </is>
      </c>
      <c r="F54" s="200" t="inlineStr">
        <is>
          <t>生态环境部</t>
        </is>
      </c>
      <c r="G54" s="200" t="inlineStr">
        <is>
          <t>年度报告</t>
        </is>
      </c>
      <c r="H54" s="201" t="inlineStr">
        <is>
          <t>明确减缓</t>
        </is>
      </c>
      <c r="I54" s="199" t="inlineStr">
        <is>
          <t>A</t>
        </is>
      </c>
      <c r="J54" s="199" t="n">
        <v>2020</v>
      </c>
      <c r="K54" s="202" t="inlineStr">
        <is>
          <t>无目标</t>
        </is>
      </c>
      <c r="L54" s="200" t="inlineStr">
        <is>
          <t>PDF</t>
        </is>
      </c>
      <c r="M54" s="200" t="inlineStr">
        <is>
          <t>英文</t>
        </is>
      </c>
      <c r="N54" s="203" t="inlineStr">
        <is>
          <t>http://www.ncsc.org.cn/yjcg/cbw/202111/P020211117418821628432.pdf</t>
        </is>
      </c>
    </row>
    <row r="55">
      <c r="B55" s="198" t="inlineStr">
        <is>
          <t>HL2202</t>
        </is>
      </c>
      <c r="C55" s="199" t="n">
        <v>2022</v>
      </c>
      <c r="D55" s="200" t="inlineStr">
        <is>
          <t>中国应对气候变化的政策与行动2022年度报告</t>
        </is>
      </c>
      <c r="E55" s="200" t="inlineStr">
        <is>
          <t>China's Policies and Actions on Climate Change 2022 Annual Report</t>
        </is>
      </c>
      <c r="F55" s="200" t="inlineStr">
        <is>
          <t>生态环境部</t>
        </is>
      </c>
      <c r="G55" s="200" t="inlineStr">
        <is>
          <t>年度报告</t>
        </is>
      </c>
      <c r="H55" s="201" t="inlineStr">
        <is>
          <t>明确减缓</t>
        </is>
      </c>
      <c r="I55" s="199" t="inlineStr">
        <is>
          <t>A</t>
        </is>
      </c>
      <c r="J55" s="199" t="n">
        <v>2022</v>
      </c>
      <c r="K55" s="202" t="inlineStr">
        <is>
          <t>无目标</t>
        </is>
      </c>
      <c r="L55" s="200" t="inlineStr">
        <is>
          <t>PDF</t>
        </is>
      </c>
      <c r="M55" s="200" t="inlineStr">
        <is>
          <t>英文</t>
        </is>
      </c>
      <c r="N55" s="203" t="inlineStr">
        <is>
          <t>https://english.mee.gov.cn/Resources/Reports/reports/202211/P020221110605466439270.pdf</t>
        </is>
      </c>
    </row>
    <row r="56">
      <c r="B56" s="198" t="inlineStr">
        <is>
          <t>HL2303</t>
        </is>
      </c>
      <c r="C56" s="199" t="n">
        <v>2023</v>
      </c>
      <c r="D56" s="200" t="inlineStr">
        <is>
          <t>中国应对气候变化的政策与行动2023年度报告</t>
        </is>
      </c>
      <c r="E56" s="200" t="inlineStr">
        <is>
          <t>China's Policies and Actions on Climate Change 2023 Annual Report</t>
        </is>
      </c>
      <c r="F56" s="200" t="inlineStr">
        <is>
          <t>生态环境部</t>
        </is>
      </c>
      <c r="G56" s="200" t="inlineStr">
        <is>
          <t>年度报告</t>
        </is>
      </c>
      <c r="H56" s="201" t="inlineStr">
        <is>
          <t>明确减缓</t>
        </is>
      </c>
      <c r="I56" s="199" t="inlineStr">
        <is>
          <t>A</t>
        </is>
      </c>
      <c r="J56" s="199" t="n">
        <v>2023</v>
      </c>
      <c r="K56" s="202" t="inlineStr">
        <is>
          <t>无目标</t>
        </is>
      </c>
      <c r="L56" s="200" t="inlineStr">
        <is>
          <t>HTM</t>
        </is>
      </c>
      <c r="M56" s="200" t="inlineStr">
        <is>
          <t>中文</t>
        </is>
      </c>
      <c r="N56" s="203" t="inlineStr">
        <is>
          <t>https://www.mee.gov.cn/ywgz/ydqhbh/wsqtkz/202310/W020231027674250657087.pdf</t>
        </is>
      </c>
    </row>
    <row r="57">
      <c r="B57" s="198" t="inlineStr">
        <is>
          <t>HL2404</t>
        </is>
      </c>
      <c r="C57" s="199" t="n">
        <v>2024</v>
      </c>
      <c r="D57" s="200" t="inlineStr">
        <is>
          <t>中国应对气候变化的政策与行动2024年度报告</t>
        </is>
      </c>
      <c r="E57" s="200" t="inlineStr">
        <is>
          <t>China's Policies and Actions on Climate Change 2024 Annual Report</t>
        </is>
      </c>
      <c r="F57" s="200" t="inlineStr">
        <is>
          <t>生态环境部</t>
        </is>
      </c>
      <c r="G57" s="200" t="inlineStr">
        <is>
          <t>年度报告</t>
        </is>
      </c>
      <c r="H57" s="201" t="inlineStr">
        <is>
          <t>明确减缓</t>
        </is>
      </c>
      <c r="I57" s="199" t="inlineStr">
        <is>
          <t>A</t>
        </is>
      </c>
      <c r="J57" s="199" t="n">
        <v>2024</v>
      </c>
      <c r="K57" s="202" t="inlineStr">
        <is>
          <t>含目标</t>
        </is>
      </c>
      <c r="L57" s="200" t="inlineStr">
        <is>
          <t>PDF</t>
        </is>
      </c>
      <c r="M57" s="200" t="inlineStr">
        <is>
          <t>英文</t>
        </is>
      </c>
      <c r="N57" s="203" t="inlineStr">
        <is>
          <t>https://english.mee.gov.cn/News_service/news_release/202501/P020250122370358250549.pdf</t>
        </is>
      </c>
    </row>
    <row r="58">
      <c r="B58" s="198" t="inlineStr">
        <is>
          <t>HL2502</t>
        </is>
      </c>
      <c r="C58" s="199" t="n">
        <v>2025</v>
      </c>
      <c r="D58" s="200" t="inlineStr">
        <is>
          <t>中国应对气候变化的政策与行动2025年度报告</t>
        </is>
      </c>
      <c r="E58" s="200" t="inlineStr">
        <is>
          <t>China's Policies and Actions on Climate Change 2025 Annual Report</t>
        </is>
      </c>
      <c r="F58" s="200" t="inlineStr">
        <is>
          <t>生态环境部</t>
        </is>
      </c>
      <c r="G58" s="200" t="inlineStr">
        <is>
          <t>年度报告</t>
        </is>
      </c>
      <c r="H58" s="201" t="inlineStr">
        <is>
          <t>明确减缓</t>
        </is>
      </c>
      <c r="I58" s="199" t="inlineStr">
        <is>
          <t>A</t>
        </is>
      </c>
      <c r="J58" s="199" t="n">
        <v>2025</v>
      </c>
      <c r="K58" s="202" t="inlineStr">
        <is>
          <t>含目标</t>
        </is>
      </c>
      <c r="L58" s="200" t="inlineStr">
        <is>
          <t>PDF</t>
        </is>
      </c>
      <c r="M58" s="200" t="inlineStr">
        <is>
          <t>英文</t>
        </is>
      </c>
      <c r="N58" s="203" t="inlineStr">
        <is>
          <t>https://www.gov.cn/lianbo/bumen/202510/content_7046295.htm</t>
        </is>
      </c>
    </row>
    <row r="59">
      <c r="B59" s="195" t="inlineStr">
        <is>
          <t>国家五年规划纲要</t>
        </is>
      </c>
      <c r="C59" s="196" t="n"/>
      <c r="D59" s="196" t="n"/>
      <c r="E59" s="196" t="n"/>
      <c r="F59" s="196" t="n"/>
      <c r="G59" s="196" t="n"/>
      <c r="H59" s="196" t="n"/>
      <c r="I59" s="196" t="n"/>
      <c r="J59" s="196" t="n"/>
      <c r="K59" s="196" t="n"/>
      <c r="L59" s="196" t="n"/>
      <c r="M59" s="196" t="n"/>
      <c r="N59" s="197" t="inlineStr">
        <is>
          <t>https://policy.asiapacificenergy.org/node/37</t>
        </is>
      </c>
    </row>
    <row r="60">
      <c r="B60" s="198" t="inlineStr">
        <is>
          <t>HL0601</t>
        </is>
      </c>
      <c r="C60" s="199" t="n">
        <v>2006</v>
      </c>
      <c r="D60" s="200" t="inlineStr">
        <is>
          <t>中华人民共和国国民经济和社会发展第十一个五年规划纲要</t>
        </is>
      </c>
      <c r="E60" s="200" t="inlineStr">
        <is>
          <t xml:space="preserve">China’s 11th Five-Year Plan </t>
        </is>
      </c>
      <c r="F60" s="200" t="inlineStr">
        <is>
          <t>国家发展和改革委员会</t>
        </is>
      </c>
      <c r="G60" s="200" t="inlineStr">
        <is>
          <t>五年规划</t>
        </is>
      </c>
      <c r="H60" s="201" t="inlineStr">
        <is>
          <t>经济规划（含气候）</t>
        </is>
      </c>
      <c r="I60" s="199" t="inlineStr">
        <is>
          <t>A</t>
        </is>
      </c>
      <c r="J60" s="199" t="inlineStr">
        <is>
          <t>十一五</t>
        </is>
      </c>
      <c r="K60" s="202" t="inlineStr">
        <is>
          <t>含目标</t>
        </is>
      </c>
      <c r="L60" s="200" t="inlineStr">
        <is>
          <t>PDF</t>
        </is>
      </c>
      <c r="M60" s="200" t="inlineStr">
        <is>
          <t>英文</t>
        </is>
      </c>
      <c r="N60" s="203" t="inlineStr">
        <is>
          <t>https://policy.asiapacificenergy.org/sites/default/files/11th%20Five-Year%20Plan%20%282006-2010%29%20for%20National%20Economic%20and%20Social%20Development%20%28EN%29.pdf?utm_source=chatgpt.com</t>
        </is>
      </c>
    </row>
    <row r="61">
      <c r="B61" s="198" t="inlineStr">
        <is>
          <t>HL1001</t>
        </is>
      </c>
      <c r="C61" s="199" t="n">
        <v>2010</v>
      </c>
      <c r="D61" s="200" t="inlineStr">
        <is>
          <t>中华人民共和国国民经济和社会发展第十二个五年规划纲要</t>
        </is>
      </c>
      <c r="E61" s="200" t="inlineStr">
        <is>
          <t xml:space="preserve">China’s 12th Five-Year Plan </t>
        </is>
      </c>
      <c r="F61" s="200" t="inlineStr">
        <is>
          <t>国家发展和改革委员会</t>
        </is>
      </c>
      <c r="G61" s="200" t="inlineStr">
        <is>
          <t>五年规划</t>
        </is>
      </c>
      <c r="H61" s="201" t="inlineStr">
        <is>
          <t>经济规划（含气候）</t>
        </is>
      </c>
      <c r="I61" s="199" t="inlineStr">
        <is>
          <t>A</t>
        </is>
      </c>
      <c r="J61" s="199" t="inlineStr">
        <is>
          <t>十二五</t>
        </is>
      </c>
      <c r="K61" s="202" t="inlineStr">
        <is>
          <t>含目标</t>
        </is>
      </c>
      <c r="L61" s="200" t="inlineStr">
        <is>
          <t>PDF</t>
        </is>
      </c>
      <c r="M61" s="200" t="inlineStr">
        <is>
          <t>英文</t>
        </is>
      </c>
      <c r="N61" s="203" t="inlineStr">
        <is>
          <t>https://policy.asiapacificenergy.org/node/37</t>
        </is>
      </c>
    </row>
    <row r="62">
      <c r="B62" s="198" t="inlineStr">
        <is>
          <t>HL1501</t>
        </is>
      </c>
      <c r="C62" s="199" t="n">
        <v>2015</v>
      </c>
      <c r="D62" s="200" t="inlineStr">
        <is>
          <t>中华人民共和国国民经济和社会发展第十三个五年规划纲要</t>
        </is>
      </c>
      <c r="E62" s="200" t="inlineStr">
        <is>
          <t xml:space="preserve">China’s 13th Five-Year Plan </t>
        </is>
      </c>
      <c r="F62" s="200" t="inlineStr">
        <is>
          <t>国家发展和改革委员会</t>
        </is>
      </c>
      <c r="G62" s="200" t="inlineStr">
        <is>
          <t>五年规划</t>
        </is>
      </c>
      <c r="H62" s="201" t="inlineStr">
        <is>
          <t>经济规划（含气候）</t>
        </is>
      </c>
      <c r="I62" s="199" t="inlineStr">
        <is>
          <t>A</t>
        </is>
      </c>
      <c r="J62" s="199" t="inlineStr">
        <is>
          <t>十三五</t>
        </is>
      </c>
      <c r="K62" s="202" t="inlineStr">
        <is>
          <t>含目标</t>
        </is>
      </c>
      <c r="L62" s="200" t="inlineStr">
        <is>
          <t>PDF</t>
        </is>
      </c>
      <c r="M62" s="200" t="inlineStr">
        <is>
          <t>英文</t>
        </is>
      </c>
      <c r="N62" s="203" t="inlineStr">
        <is>
          <t>https://en.ndrc.gov.cn/policies/202105/P020210527785800103339.pdf?utm_source=chatgpt.com</t>
        </is>
      </c>
    </row>
    <row r="63">
      <c r="B63" s="198" t="inlineStr">
        <is>
          <t>HL2103</t>
        </is>
      </c>
      <c r="C63" s="199" t="n">
        <v>2021</v>
      </c>
      <c r="D63" s="200" t="inlineStr">
        <is>
          <t xml:space="preserve">中华人民共和国国民经济和社会发展第十四个五年规划和2035年远景目标纲要 </t>
        </is>
      </c>
      <c r="E63" s="200" t="inlineStr">
        <is>
          <t>China’s 14th Five-Year Plan and Outline of the Long-Term Goals for 2035</t>
        </is>
      </c>
      <c r="F63" s="200" t="inlineStr">
        <is>
          <t>国家发展和改革委员会</t>
        </is>
      </c>
      <c r="G63" s="200" t="inlineStr">
        <is>
          <t>五年规划</t>
        </is>
      </c>
      <c r="H63" s="201" t="inlineStr">
        <is>
          <t>经济规划（含气候）</t>
        </is>
      </c>
      <c r="I63" s="199" t="inlineStr">
        <is>
          <t>A</t>
        </is>
      </c>
      <c r="J63" s="199" t="inlineStr">
        <is>
          <t>十四五，至2035年</t>
        </is>
      </c>
      <c r="K63" s="202" t="inlineStr">
        <is>
          <t>含目标</t>
        </is>
      </c>
      <c r="L63" s="200" t="inlineStr">
        <is>
          <t>HTM</t>
        </is>
      </c>
      <c r="M63" s="200" t="inlineStr">
        <is>
          <t>中文</t>
        </is>
      </c>
      <c r="N63" s="203" t="inlineStr">
        <is>
          <t>https://www.gov.cn/xinwen/2021-03/13/content_5592681.htm</t>
        </is>
      </c>
    </row>
    <row r="64">
      <c r="B64" s="198" t="inlineStr">
        <is>
          <t>HL2601</t>
        </is>
      </c>
      <c r="C64" s="199" t="n">
        <v>2026</v>
      </c>
      <c r="D64" s="200" t="inlineStr">
        <is>
          <t>中华人民共和国国民经济和社会发展第十五个五年规划纲要</t>
        </is>
      </c>
      <c r="E64" s="200" t="inlineStr">
        <is>
          <t xml:space="preserve">China’s 15th Five-Year Plan </t>
        </is>
      </c>
      <c r="F64" s="200" t="inlineStr">
        <is>
          <t>国家发展和改革委员会</t>
        </is>
      </c>
      <c r="G64" s="200" t="inlineStr">
        <is>
          <t>五年规划</t>
        </is>
      </c>
      <c r="H64" s="201" t="inlineStr">
        <is>
          <t>经济规划（含气候）</t>
        </is>
      </c>
      <c r="I64" s="199" t="inlineStr">
        <is>
          <t>A</t>
        </is>
      </c>
      <c r="J64" s="199" t="inlineStr">
        <is>
          <t>十五五</t>
        </is>
      </c>
      <c r="K64" s="202" t="inlineStr">
        <is>
          <t>含目标</t>
        </is>
      </c>
      <c r="L64" s="200" t="inlineStr">
        <is>
          <t>PDF</t>
        </is>
      </c>
      <c r="M64" s="200" t="inlineStr">
        <is>
          <t>中文</t>
        </is>
      </c>
      <c r="N64" s="203" t="inlineStr">
        <is>
          <t>https://www.ndrc.gov.cn/fggz/fzzlgh/gjfzgh/202603/U020260317369114704096.pdf</t>
        </is>
      </c>
    </row>
    <row r="65">
      <c r="B65" s="195" t="inlineStr">
        <is>
          <t>国务院政府工作报告</t>
        </is>
      </c>
      <c r="C65" s="196" t="n"/>
      <c r="D65" s="196" t="n"/>
      <c r="E65" s="196" t="n"/>
      <c r="F65" s="196" t="n"/>
      <c r="G65" s="196" t="n"/>
      <c r="H65" s="196" t="n"/>
      <c r="I65" s="196" t="n"/>
      <c r="J65" s="196" t="n"/>
      <c r="K65" s="196" t="n"/>
      <c r="L65" s="196" t="n"/>
      <c r="M65" s="196" t="n"/>
      <c r="N65" s="197" t="inlineStr">
        <is>
          <t>https://www.gov.cn/test/2006-02/16/content_201218.htm</t>
        </is>
      </c>
    </row>
    <row r="66">
      <c r="B66" s="198" t="inlineStr">
        <is>
          <t>HL0402</t>
        </is>
      </c>
      <c r="C66" s="199" t="n">
        <v>2004</v>
      </c>
      <c r="D66" s="200" t="inlineStr">
        <is>
          <t>2004年国务院政府工作报告</t>
        </is>
      </c>
      <c r="E66" s="200" t="inlineStr">
        <is>
          <t>2004 State Council Report on the Work of the Government</t>
        </is>
      </c>
      <c r="F66" s="200" t="inlineStr">
        <is>
          <t>国务院</t>
        </is>
      </c>
      <c r="G66" s="200" t="inlineStr">
        <is>
          <t>工作报告</t>
        </is>
      </c>
      <c r="H66" s="201" t="inlineStr">
        <is>
          <t>经济规划（含气候）</t>
        </is>
      </c>
      <c r="I66" s="199" t="inlineStr">
        <is>
          <t>A</t>
        </is>
      </c>
      <c r="J66" s="199" t="n">
        <v>2004</v>
      </c>
      <c r="K66" s="202" t="inlineStr">
        <is>
          <t>无目标</t>
        </is>
      </c>
      <c r="L66" s="200" t="inlineStr">
        <is>
          <t>PDF</t>
        </is>
      </c>
      <c r="M66" s="200" t="inlineStr">
        <is>
          <t>中文</t>
        </is>
      </c>
      <c r="N66" s="203" t="inlineStr">
        <is>
          <t>https://www.gov.cn/test/2006-02/16/content_201193.htm</t>
        </is>
      </c>
    </row>
    <row r="67">
      <c r="B67" s="198" t="inlineStr">
        <is>
          <t>HL0501</t>
        </is>
      </c>
      <c r="C67" s="199" t="n">
        <v>2005</v>
      </c>
      <c r="D67" s="200" t="inlineStr">
        <is>
          <t>2005年国务院政府工作报告</t>
        </is>
      </c>
      <c r="E67" s="200" t="inlineStr">
        <is>
          <t>2005 State Council Report on the Work of the Government</t>
        </is>
      </c>
      <c r="F67" s="200" t="inlineStr">
        <is>
          <t>国务院</t>
        </is>
      </c>
      <c r="G67" s="200" t="inlineStr">
        <is>
          <t>工作报告</t>
        </is>
      </c>
      <c r="H67" s="201" t="inlineStr">
        <is>
          <t>经济规划（含气候）</t>
        </is>
      </c>
      <c r="I67" s="199" t="inlineStr">
        <is>
          <t>A</t>
        </is>
      </c>
      <c r="J67" s="199" t="n">
        <v>2005</v>
      </c>
      <c r="K67" s="202" t="inlineStr">
        <is>
          <t>无目标</t>
        </is>
      </c>
      <c r="L67" s="200" t="inlineStr">
        <is>
          <t>PDF</t>
        </is>
      </c>
      <c r="M67" s="200" t="inlineStr">
        <is>
          <t>中文</t>
        </is>
      </c>
      <c r="N67" s="203" t="inlineStr">
        <is>
          <t>https://www.gov.cn/test/2006-02/16/content_201218.htm</t>
        </is>
      </c>
    </row>
    <row r="68">
      <c r="B68" s="198" t="inlineStr">
        <is>
          <t>HL0602</t>
        </is>
      </c>
      <c r="C68" s="199" t="n">
        <v>2006</v>
      </c>
      <c r="D68" s="200" t="inlineStr">
        <is>
          <t>2006年国务院政府工作报告</t>
        </is>
      </c>
      <c r="E68" s="200" t="inlineStr">
        <is>
          <t>2006 State Council Report on the Work of the Government</t>
        </is>
      </c>
      <c r="F68" s="200" t="inlineStr">
        <is>
          <t>国务院</t>
        </is>
      </c>
      <c r="G68" s="200" t="inlineStr">
        <is>
          <t>工作报告</t>
        </is>
      </c>
      <c r="H68" s="201" t="inlineStr">
        <is>
          <t>经济规划（含气候）</t>
        </is>
      </c>
      <c r="I68" s="199" t="inlineStr">
        <is>
          <t>A</t>
        </is>
      </c>
      <c r="J68" s="199" t="n">
        <v>2006</v>
      </c>
      <c r="K68" s="202" t="inlineStr">
        <is>
          <t>无目标</t>
        </is>
      </c>
      <c r="L68" s="200" t="inlineStr">
        <is>
          <t>PDF</t>
        </is>
      </c>
      <c r="M68" s="200" t="inlineStr">
        <is>
          <t>中文</t>
        </is>
      </c>
      <c r="N68" s="203" t="inlineStr">
        <is>
          <t>https://www.gov.cn/test/2009-03/16/content_1260216.htm</t>
        </is>
      </c>
    </row>
    <row r="69">
      <c r="B69" s="198" t="inlineStr">
        <is>
          <t>HL0702</t>
        </is>
      </c>
      <c r="C69" s="199" t="n">
        <v>2007</v>
      </c>
      <c r="D69" s="200" t="inlineStr">
        <is>
          <t>2007年国务院政府工作报告</t>
        </is>
      </c>
      <c r="E69" s="200" t="inlineStr">
        <is>
          <t>2007 State Council Report on the Work of the Government</t>
        </is>
      </c>
      <c r="F69" s="200" t="inlineStr">
        <is>
          <t>国务院</t>
        </is>
      </c>
      <c r="G69" s="200" t="inlineStr">
        <is>
          <t>工作报告</t>
        </is>
      </c>
      <c r="H69" s="201" t="inlineStr">
        <is>
          <t>经济规划（含气候）</t>
        </is>
      </c>
      <c r="I69" s="199" t="inlineStr">
        <is>
          <t>A</t>
        </is>
      </c>
      <c r="J69" s="199" t="n">
        <v>2007</v>
      </c>
      <c r="K69" s="202" t="inlineStr">
        <is>
          <t>无目标</t>
        </is>
      </c>
      <c r="L69" s="200" t="inlineStr">
        <is>
          <t>PDF</t>
        </is>
      </c>
      <c r="M69" s="200" t="inlineStr">
        <is>
          <t>中文</t>
        </is>
      </c>
      <c r="N69" s="203" t="inlineStr">
        <is>
          <t>https://baike.baidu.com/item/2007%E5%B9%B4%E5%9B%BD%E5%8A%A1%E9%99%A2%E6%94%BF%E5%BA%9C%E5%B7%A5%E4%BD%9C%E6%8A%A5%E5%91%8A/23324579?svcp_stk=1_MKwirz1vv4tNwJFmio_uUop4XWwiEISBAqnODFVnKpoAz-EiVMShmrtRb2f9WNliJ8JxnxqnK-jq_R7JOOQWf9FbR2BCRywc3PGi3mRcDxm-2zK5k3tOs_qk_XF9DQa4mTT4ADjyAlbL5n-QPRHE4aLJOJu-np5irKqXAmrEFPnrU1bFztdOEKyUoQqfgvY3oetREA_yfEMg-6LyeV0dj6L7FqkXf2jkOq71kI-cYEI%3D</t>
        </is>
      </c>
    </row>
    <row r="70">
      <c r="B70" s="198" t="inlineStr">
        <is>
          <t>HL0802</t>
        </is>
      </c>
      <c r="C70" s="199" t="n">
        <v>2008</v>
      </c>
      <c r="D70" s="200" t="inlineStr">
        <is>
          <t>2008年国务院政府工作报告</t>
        </is>
      </c>
      <c r="E70" s="200" t="inlineStr">
        <is>
          <t>2008 State Council Report on the Work of the Government</t>
        </is>
      </c>
      <c r="F70" s="200" t="inlineStr">
        <is>
          <t>国务院</t>
        </is>
      </c>
      <c r="G70" s="200" t="inlineStr">
        <is>
          <t>工作报告</t>
        </is>
      </c>
      <c r="H70" s="201" t="inlineStr">
        <is>
          <t>经济规划（含气候）</t>
        </is>
      </c>
      <c r="I70" s="199" t="inlineStr">
        <is>
          <t>A</t>
        </is>
      </c>
      <c r="J70" s="199" t="n">
        <v>2008</v>
      </c>
      <c r="K70" s="202" t="inlineStr">
        <is>
          <t>无目标</t>
        </is>
      </c>
      <c r="L70" s="200" t="inlineStr">
        <is>
          <t>PDF</t>
        </is>
      </c>
      <c r="M70" s="200" t="inlineStr">
        <is>
          <t>中文</t>
        </is>
      </c>
      <c r="N70" s="203" t="inlineStr">
        <is>
          <t>https://www.gov.cn/test/2009-03/16/content_1260198.htm</t>
        </is>
      </c>
    </row>
    <row r="71">
      <c r="B71" s="198" t="inlineStr">
        <is>
          <t>HL0902</t>
        </is>
      </c>
      <c r="C71" s="199" t="n">
        <v>2009</v>
      </c>
      <c r="D71" s="200" t="inlineStr">
        <is>
          <t>2009年国务院政府工作报告</t>
        </is>
      </c>
      <c r="E71" s="200" t="inlineStr">
        <is>
          <t>2009 State Council Report on the Work of the Government</t>
        </is>
      </c>
      <c r="F71" s="200" t="inlineStr">
        <is>
          <t>国务院</t>
        </is>
      </c>
      <c r="G71" s="200" t="inlineStr">
        <is>
          <t>工作报告</t>
        </is>
      </c>
      <c r="H71" s="201" t="inlineStr">
        <is>
          <t>经济规划（含气候）</t>
        </is>
      </c>
      <c r="I71" s="199" t="inlineStr">
        <is>
          <t>A</t>
        </is>
      </c>
      <c r="J71" s="199" t="n">
        <v>2009</v>
      </c>
      <c r="K71" s="202" t="inlineStr">
        <is>
          <t>无目标</t>
        </is>
      </c>
      <c r="L71" s="200" t="inlineStr">
        <is>
          <t>PDF</t>
        </is>
      </c>
      <c r="M71" s="200" t="inlineStr">
        <is>
          <t>中文</t>
        </is>
      </c>
      <c r="N71" s="203" t="inlineStr">
        <is>
          <t>https://www.gov.cn/test/2009-03/16/content_1260221.htm</t>
        </is>
      </c>
    </row>
    <row r="72">
      <c r="B72" s="198" t="inlineStr">
        <is>
          <t>HL1003</t>
        </is>
      </c>
      <c r="C72" s="199" t="n">
        <v>2010</v>
      </c>
      <c r="D72" s="200" t="inlineStr">
        <is>
          <t>2010年国务院政府工作报告</t>
        </is>
      </c>
      <c r="E72" s="200" t="inlineStr">
        <is>
          <t>2010 State Council Report on the Work of the Government</t>
        </is>
      </c>
      <c r="F72" s="200" t="inlineStr">
        <is>
          <t>国务院</t>
        </is>
      </c>
      <c r="G72" s="200" t="inlineStr">
        <is>
          <t>工作报告</t>
        </is>
      </c>
      <c r="H72" s="201" t="inlineStr">
        <is>
          <t>经济规划（含气候）</t>
        </is>
      </c>
      <c r="I72" s="199" t="inlineStr">
        <is>
          <t>A</t>
        </is>
      </c>
      <c r="J72" s="199" t="n">
        <v>2010</v>
      </c>
      <c r="K72" s="202" t="inlineStr">
        <is>
          <t>无目标</t>
        </is>
      </c>
      <c r="L72" s="200" t="inlineStr">
        <is>
          <t>PDF</t>
        </is>
      </c>
      <c r="M72" s="200" t="inlineStr">
        <is>
          <t>中文</t>
        </is>
      </c>
      <c r="N72" s="203" t="inlineStr">
        <is>
          <t>https://www.most.gov.cn/ztzl/lhzt/lhzt2010/zxdtlhzt2010/201003/t20100316_76307.html</t>
        </is>
      </c>
    </row>
    <row r="73">
      <c r="B73" s="198" t="inlineStr">
        <is>
          <t>HL1004</t>
        </is>
      </c>
      <c r="C73" s="199" t="n">
        <v>2010</v>
      </c>
      <c r="D73" s="200" t="inlineStr">
        <is>
          <t>关于今年以来国民经济和社会发展计划执行情况的报告</t>
        </is>
      </c>
      <c r="E73" s="200" t="inlineStr">
        <is>
          <t>Report on the Implementation of the National Economic and Social Development Plan Since the Beginning of The Year</t>
        </is>
      </c>
      <c r="F73" s="200" t="inlineStr">
        <is>
          <t>国务院</t>
        </is>
      </c>
      <c r="G73" s="200" t="inlineStr">
        <is>
          <t>报告</t>
        </is>
      </c>
      <c r="H73" s="201" t="inlineStr">
        <is>
          <t>经济规划（含气候）</t>
        </is>
      </c>
      <c r="I73" s="199" t="inlineStr">
        <is>
          <t>A</t>
        </is>
      </c>
      <c r="J73" s="199" t="n">
        <v>2010</v>
      </c>
      <c r="K73" s="202" t="inlineStr">
        <is>
          <t>含目标</t>
        </is>
      </c>
      <c r="L73" s="200" t="inlineStr">
        <is>
          <t>HTM</t>
        </is>
      </c>
      <c r="M73" s="200" t="inlineStr">
        <is>
          <t>中文</t>
        </is>
      </c>
      <c r="N73" s="203" t="inlineStr">
        <is>
          <t>https://www.ndrc.gov.cn/xwdt/gdzt/2009gmjj2010gmjj/gy2010jjsh/201009/t20100909_1198236.html</t>
        </is>
      </c>
    </row>
    <row r="74">
      <c r="B74" s="198" t="inlineStr">
        <is>
          <t>HL1102</t>
        </is>
      </c>
      <c r="C74" s="199" t="n">
        <v>2011</v>
      </c>
      <c r="D74" s="200" t="inlineStr">
        <is>
          <t>2011年国务院政府工作报告</t>
        </is>
      </c>
      <c r="E74" s="200" t="inlineStr">
        <is>
          <t>2011 State Council Report on the Work of the Government</t>
        </is>
      </c>
      <c r="F74" s="200" t="inlineStr">
        <is>
          <t>国务院</t>
        </is>
      </c>
      <c r="G74" s="200" t="inlineStr">
        <is>
          <t>工作报告</t>
        </is>
      </c>
      <c r="H74" s="201" t="inlineStr">
        <is>
          <t>经济规划（含气候）</t>
        </is>
      </c>
      <c r="I74" s="199" t="inlineStr">
        <is>
          <t>A</t>
        </is>
      </c>
      <c r="J74" s="199" t="n">
        <v>2011</v>
      </c>
      <c r="K74" s="202" t="inlineStr">
        <is>
          <t>无目标</t>
        </is>
      </c>
      <c r="L74" s="200" t="inlineStr">
        <is>
          <t>PDF</t>
        </is>
      </c>
      <c r="M74" s="200" t="inlineStr">
        <is>
          <t>中文</t>
        </is>
      </c>
      <c r="N74" s="203" t="inlineStr">
        <is>
          <t>https://www.gov.cn/test/2011-03/15/content_1825270.htm</t>
        </is>
      </c>
    </row>
    <row r="75">
      <c r="B75" s="198" t="inlineStr">
        <is>
          <t>HL1103</t>
        </is>
      </c>
      <c r="C75" s="199" t="n">
        <v>2011</v>
      </c>
      <c r="D75" s="200" t="inlineStr">
        <is>
          <t>关于2010年国民经济和社会发展计划执行情况与2011年国民经济和社会发展计划草案的报告</t>
        </is>
      </c>
      <c r="E75" s="200" t="inlineStr">
        <is>
          <t>Report on the Implementation of the 2010 Plan for National Economic and Social Development and on the 2011 Draft Plan for National Economic and Social Development</t>
        </is>
      </c>
      <c r="F75" s="200" t="inlineStr">
        <is>
          <t>国务院</t>
        </is>
      </c>
      <c r="G75" s="200" t="inlineStr">
        <is>
          <t>报告</t>
        </is>
      </c>
      <c r="H75" s="201" t="inlineStr">
        <is>
          <t>经济规划（含气候）</t>
        </is>
      </c>
      <c r="I75" s="199" t="inlineStr">
        <is>
          <t>A</t>
        </is>
      </c>
      <c r="J75" s="199" t="inlineStr">
        <is>
          <t>2010-2011</t>
        </is>
      </c>
      <c r="K75" s="202" t="inlineStr">
        <is>
          <t>含目标</t>
        </is>
      </c>
      <c r="L75" s="200" t="inlineStr">
        <is>
          <t>HTM</t>
        </is>
      </c>
      <c r="M75" s="200" t="inlineStr">
        <is>
          <t>中文</t>
        </is>
      </c>
      <c r="N75" s="203" t="inlineStr">
        <is>
          <t>https://www.12371.cn/2013/02/21/ARTI1361412057772396_all.shtml</t>
        </is>
      </c>
    </row>
    <row r="76">
      <c r="B76" s="198" t="inlineStr">
        <is>
          <t>HL1203</t>
        </is>
      </c>
      <c r="C76" s="199" t="n">
        <v>2012</v>
      </c>
      <c r="D76" s="200" t="inlineStr">
        <is>
          <t>2012年国务院政府工作报告</t>
        </is>
      </c>
      <c r="E76" s="200" t="inlineStr">
        <is>
          <t>2012 State Council Report on the Work of the Government</t>
        </is>
      </c>
      <c r="F76" s="200" t="inlineStr">
        <is>
          <t>国务院</t>
        </is>
      </c>
      <c r="G76" s="200" t="inlineStr">
        <is>
          <t>工作报告</t>
        </is>
      </c>
      <c r="H76" s="201" t="inlineStr">
        <is>
          <t>经济规划（含气候）</t>
        </is>
      </c>
      <c r="I76" s="199" t="inlineStr">
        <is>
          <t>A</t>
        </is>
      </c>
      <c r="J76" s="199" t="n">
        <v>2012</v>
      </c>
      <c r="K76" s="202" t="inlineStr">
        <is>
          <t>无目标</t>
        </is>
      </c>
      <c r="L76" s="200" t="inlineStr">
        <is>
          <t>PDF</t>
        </is>
      </c>
      <c r="M76" s="200" t="inlineStr">
        <is>
          <t>中文</t>
        </is>
      </c>
      <c r="N76" s="203" t="inlineStr">
        <is>
          <t>https://www.gov.cn/test/2012-03/15/content_2067314.htm</t>
        </is>
      </c>
    </row>
    <row r="77">
      <c r="B77" s="198" t="inlineStr">
        <is>
          <t>HL1204</t>
        </is>
      </c>
      <c r="C77" s="199" t="n">
        <v>2012</v>
      </c>
      <c r="D77" s="200" t="inlineStr">
        <is>
          <t>关于2011年国民经济和社会发展计划执行情况与2012年国民经济和社会发展计划草案的报告</t>
        </is>
      </c>
      <c r="E77" s="200" t="inlineStr">
        <is>
          <t>Report on the Implementation of the 2011 Plan for National Economic and Social Development and on the 2012 Draft Plan for National Economic and Social Development</t>
        </is>
      </c>
      <c r="F77" s="200" t="inlineStr">
        <is>
          <t>国务院</t>
        </is>
      </c>
      <c r="G77" s="200" t="inlineStr">
        <is>
          <t>报告</t>
        </is>
      </c>
      <c r="H77" s="201" t="inlineStr">
        <is>
          <t>经济规划（含气候）</t>
        </is>
      </c>
      <c r="I77" s="199" t="inlineStr">
        <is>
          <t>A</t>
        </is>
      </c>
      <c r="J77" s="199" t="inlineStr">
        <is>
          <t>2011-2012</t>
        </is>
      </c>
      <c r="K77" s="202" t="inlineStr">
        <is>
          <t>含目标</t>
        </is>
      </c>
      <c r="L77" s="200" t="inlineStr">
        <is>
          <t>HTM</t>
        </is>
      </c>
      <c r="M77" s="200" t="inlineStr">
        <is>
          <t>中文</t>
        </is>
      </c>
      <c r="N77" s="203" t="inlineStr">
        <is>
          <t>https://epaper.gmw.cn/gmrb/html/2012-03/17/nw.D110000gmrb_20120317_1-04.htm</t>
        </is>
      </c>
    </row>
    <row r="78">
      <c r="B78" s="198" t="inlineStr">
        <is>
          <t>HL1302</t>
        </is>
      </c>
      <c r="C78" s="199" t="n">
        <v>2013</v>
      </c>
      <c r="D78" s="200" t="inlineStr">
        <is>
          <t>2013年国务院政府工作报告</t>
        </is>
      </c>
      <c r="E78" s="200" t="inlineStr">
        <is>
          <t>2013 State Council Report on the Work of the Government</t>
        </is>
      </c>
      <c r="F78" s="200" t="inlineStr">
        <is>
          <t>国务院</t>
        </is>
      </c>
      <c r="G78" s="200" t="inlineStr">
        <is>
          <t>工作报告</t>
        </is>
      </c>
      <c r="H78" s="201" t="inlineStr">
        <is>
          <t>经济规划（含气候）</t>
        </is>
      </c>
      <c r="I78" s="199" t="inlineStr">
        <is>
          <t>A</t>
        </is>
      </c>
      <c r="J78" s="199" t="n">
        <v>2013</v>
      </c>
      <c r="K78" s="202" t="inlineStr">
        <is>
          <t>无目标</t>
        </is>
      </c>
      <c r="L78" s="200" t="inlineStr">
        <is>
          <t>PDF</t>
        </is>
      </c>
      <c r="M78" s="200" t="inlineStr">
        <is>
          <t>中文</t>
        </is>
      </c>
      <c r="N78" s="203" t="inlineStr">
        <is>
          <t>https://www.gov.cn/test/2013-03/19/content_2357136.htm</t>
        </is>
      </c>
    </row>
    <row r="79">
      <c r="B79" s="198" t="inlineStr">
        <is>
          <t>HL1403</t>
        </is>
      </c>
      <c r="C79" s="199" t="n">
        <v>2014</v>
      </c>
      <c r="D79" s="200" t="inlineStr">
        <is>
          <t>2014年国务院政府工作报告</t>
        </is>
      </c>
      <c r="E79" s="200" t="inlineStr">
        <is>
          <t>2014 State Council Report on the Work of the Government</t>
        </is>
      </c>
      <c r="F79" s="200" t="inlineStr">
        <is>
          <t>国务院</t>
        </is>
      </c>
      <c r="G79" s="200" t="inlineStr">
        <is>
          <t>工作报告</t>
        </is>
      </c>
      <c r="H79" s="201" t="inlineStr">
        <is>
          <t>经济规划（含气候）</t>
        </is>
      </c>
      <c r="I79" s="199" t="inlineStr">
        <is>
          <t>A</t>
        </is>
      </c>
      <c r="J79" s="199" t="n">
        <v>2014</v>
      </c>
      <c r="K79" s="202" t="inlineStr">
        <is>
          <t>含目标</t>
        </is>
      </c>
      <c r="L79" s="200" t="inlineStr">
        <is>
          <t>PDF</t>
        </is>
      </c>
      <c r="M79" s="200" t="inlineStr">
        <is>
          <t>中文</t>
        </is>
      </c>
      <c r="N79" s="203" t="inlineStr">
        <is>
          <t>https://www.gov.cn/guowuyuan/2014-03/14/content_2638989.htm</t>
        </is>
      </c>
    </row>
    <row r="80">
      <c r="B80" s="198" t="inlineStr">
        <is>
          <t>HL1506</t>
        </is>
      </c>
      <c r="C80" s="199" t="n">
        <v>2015</v>
      </c>
      <c r="D80" s="200" t="inlineStr">
        <is>
          <t>2015年国务院政府工作报告</t>
        </is>
      </c>
      <c r="E80" s="200" t="inlineStr">
        <is>
          <t>2015 State Council Report on the Work of the Government</t>
        </is>
      </c>
      <c r="F80" s="200" t="inlineStr">
        <is>
          <t>国务院</t>
        </is>
      </c>
      <c r="G80" s="200" t="inlineStr">
        <is>
          <t>工作报告</t>
        </is>
      </c>
      <c r="H80" s="201" t="inlineStr">
        <is>
          <t>经济规划（含气候）</t>
        </is>
      </c>
      <c r="I80" s="199" t="inlineStr">
        <is>
          <t>A</t>
        </is>
      </c>
      <c r="J80" s="199" t="n">
        <v>2015</v>
      </c>
      <c r="K80" s="202" t="inlineStr">
        <is>
          <t>含目标</t>
        </is>
      </c>
      <c r="L80" s="200" t="inlineStr">
        <is>
          <t>PDF</t>
        </is>
      </c>
      <c r="M80" s="200" t="inlineStr">
        <is>
          <t>中文</t>
        </is>
      </c>
      <c r="N80" s="203" t="inlineStr">
        <is>
          <t>https://www.gov.cn/guowuyuan/2015-03/16/content_2835101.htm</t>
        </is>
      </c>
    </row>
    <row r="81">
      <c r="B81" s="198" t="inlineStr">
        <is>
          <t>HL1603</t>
        </is>
      </c>
      <c r="C81" s="199" t="n">
        <v>2016</v>
      </c>
      <c r="D81" s="200" t="inlineStr">
        <is>
          <t>2016年国务院政府工作报告</t>
        </is>
      </c>
      <c r="E81" s="200" t="inlineStr">
        <is>
          <t>2016 State Council Report on the Work of the Government</t>
        </is>
      </c>
      <c r="F81" s="200" t="inlineStr">
        <is>
          <t>国务院</t>
        </is>
      </c>
      <c r="G81" s="200" t="inlineStr">
        <is>
          <t>工作报告</t>
        </is>
      </c>
      <c r="H81" s="201" t="inlineStr">
        <is>
          <t>经济规划（含气候）</t>
        </is>
      </c>
      <c r="I81" s="199" t="inlineStr">
        <is>
          <t>A</t>
        </is>
      </c>
      <c r="J81" s="199" t="n">
        <v>2016</v>
      </c>
      <c r="K81" s="202" t="inlineStr">
        <is>
          <t>含目标</t>
        </is>
      </c>
      <c r="L81" s="200" t="inlineStr">
        <is>
          <t>PDF</t>
        </is>
      </c>
      <c r="M81" s="200" t="inlineStr">
        <is>
          <t>中文</t>
        </is>
      </c>
      <c r="N81" s="203" t="inlineStr">
        <is>
          <t>https://www.gov.cn/guowuyuan/2016-03/17/content_5054901.htm</t>
        </is>
      </c>
    </row>
    <row r="82">
      <c r="B82" s="198" t="inlineStr">
        <is>
          <t>HL1604</t>
        </is>
      </c>
      <c r="C82" s="199" t="n">
        <v>2016</v>
      </c>
      <c r="D82" s="200" t="inlineStr">
        <is>
          <t>关于2015年国民经济和社会发展计划执行情况与2016年国民经济和社会发展计划草案的报告</t>
        </is>
      </c>
      <c r="E82" s="200" t="inlineStr">
        <is>
          <t>Report on the Implementation of the 2015 Plan for National Economic and Social Development and on the 2016 Draft Plan for National Economic and Social Development</t>
        </is>
      </c>
      <c r="F82" s="200" t="inlineStr">
        <is>
          <t>国务院</t>
        </is>
      </c>
      <c r="G82" s="200" t="inlineStr">
        <is>
          <t>报告</t>
        </is>
      </c>
      <c r="H82" s="201" t="inlineStr">
        <is>
          <t>经济规划（含气候）</t>
        </is>
      </c>
      <c r="I82" s="199" t="inlineStr">
        <is>
          <t>A</t>
        </is>
      </c>
      <c r="J82" s="199" t="inlineStr">
        <is>
          <t>2015-2016</t>
        </is>
      </c>
      <c r="K82" s="202" t="inlineStr">
        <is>
          <t>含目标</t>
        </is>
      </c>
      <c r="L82" s="200" t="inlineStr">
        <is>
          <t>HTM</t>
        </is>
      </c>
      <c r="M82" s="200" t="inlineStr">
        <is>
          <t>中文</t>
        </is>
      </c>
      <c r="N82" s="203" t="inlineStr">
        <is>
          <t>https://english.www.gov.cn/news/top_news/2016/03/19/content_281475310332486.htm</t>
        </is>
      </c>
    </row>
    <row r="83">
      <c r="B83" s="198" t="inlineStr">
        <is>
          <t>HL1703</t>
        </is>
      </c>
      <c r="C83" s="199" t="n">
        <v>2017</v>
      </c>
      <c r="D83" s="200" t="inlineStr">
        <is>
          <t>2017年国务院政府工作报告</t>
        </is>
      </c>
      <c r="E83" s="200" t="inlineStr">
        <is>
          <t>2017 State Council Report on the Work of the Government</t>
        </is>
      </c>
      <c r="F83" s="200" t="inlineStr">
        <is>
          <t>国务院</t>
        </is>
      </c>
      <c r="G83" s="200" t="inlineStr">
        <is>
          <t>工作报告</t>
        </is>
      </c>
      <c r="H83" s="201" t="inlineStr">
        <is>
          <t>经济规划（含气候）</t>
        </is>
      </c>
      <c r="I83" s="199" t="inlineStr">
        <is>
          <t>A</t>
        </is>
      </c>
      <c r="J83" s="199" t="n">
        <v>2017</v>
      </c>
      <c r="K83" s="202" t="inlineStr">
        <is>
          <t>含目标</t>
        </is>
      </c>
      <c r="L83" s="200" t="inlineStr">
        <is>
          <t>PDF</t>
        </is>
      </c>
      <c r="M83" s="200" t="inlineStr">
        <is>
          <t>中文</t>
        </is>
      </c>
      <c r="N83" s="203" t="inlineStr">
        <is>
          <t>http://lianghui.people.com.cn/2017/n1/2017/0316/c410899-29150065.html</t>
        </is>
      </c>
    </row>
    <row r="84">
      <c r="B84" s="198" t="inlineStr">
        <is>
          <t>HL1802</t>
        </is>
      </c>
      <c r="C84" s="199" t="n">
        <v>2018</v>
      </c>
      <c r="D84" s="200" t="inlineStr">
        <is>
          <t>2018年国务院政府工作报告</t>
        </is>
      </c>
      <c r="E84" s="200" t="inlineStr">
        <is>
          <t>2018 State Council Report on the Work of the Government</t>
        </is>
      </c>
      <c r="F84" s="200" t="inlineStr">
        <is>
          <t>国务院</t>
        </is>
      </c>
      <c r="G84" s="200" t="inlineStr">
        <is>
          <t>工作报告</t>
        </is>
      </c>
      <c r="H84" s="201" t="inlineStr">
        <is>
          <t>经济规划（含气候）</t>
        </is>
      </c>
      <c r="I84" s="199" t="inlineStr">
        <is>
          <t>A</t>
        </is>
      </c>
      <c r="J84" s="199" t="n">
        <v>2018</v>
      </c>
      <c r="K84" s="202" t="inlineStr">
        <is>
          <t>含目标</t>
        </is>
      </c>
      <c r="L84" s="200" t="inlineStr">
        <is>
          <t>PDF</t>
        </is>
      </c>
      <c r="M84" s="200" t="inlineStr">
        <is>
          <t>中文</t>
        </is>
      </c>
      <c r="N84" s="203" t="inlineStr">
        <is>
          <t>https://www.gov.cn/zhuanti/2018lh/2018zfgzbg/zfgzbg.htm</t>
        </is>
      </c>
    </row>
    <row r="85">
      <c r="B85" s="198" t="inlineStr">
        <is>
          <t>HL1803</t>
        </is>
      </c>
      <c r="C85" s="199" t="n">
        <v>2018</v>
      </c>
      <c r="D85" s="200" t="inlineStr">
        <is>
          <t>关于2017年国民经济和社会发展计划执行情况与2018年国民经济和社会发展计划草案的报告</t>
        </is>
      </c>
      <c r="E85" s="200" t="inlineStr">
        <is>
          <t>Report on the Implementation of the 2017 Plan for National Economic and Social Development and on the 2018 Draft Plan for National Economic and Social Development</t>
        </is>
      </c>
      <c r="F85" s="200" t="inlineStr">
        <is>
          <t>国务院</t>
        </is>
      </c>
      <c r="G85" s="200" t="inlineStr">
        <is>
          <t>报告</t>
        </is>
      </c>
      <c r="H85" s="201" t="inlineStr">
        <is>
          <t>经济规划（含气候）</t>
        </is>
      </c>
      <c r="I85" s="199" t="inlineStr">
        <is>
          <t>A</t>
        </is>
      </c>
      <c r="J85" s="199" t="inlineStr">
        <is>
          <t>2017-2018</t>
        </is>
      </c>
      <c r="K85" s="202" t="inlineStr">
        <is>
          <t>含目标</t>
        </is>
      </c>
      <c r="L85" s="200" t="inlineStr">
        <is>
          <t>HTM</t>
        </is>
      </c>
      <c r="M85" s="200" t="inlineStr">
        <is>
          <t>中文</t>
        </is>
      </c>
      <c r="N85" s="203" t="inlineStr">
        <is>
          <t>https://www.xinhuanet.com/politics/2018lh/2018-03/23/c_1122583261.htm</t>
        </is>
      </c>
    </row>
    <row r="86">
      <c r="B86" s="198" t="inlineStr">
        <is>
          <t>HL1904</t>
        </is>
      </c>
      <c r="C86" s="199" t="n">
        <v>2019</v>
      </c>
      <c r="D86" s="200" t="inlineStr">
        <is>
          <t>2019年国务院政府工作报告</t>
        </is>
      </c>
      <c r="E86" s="200" t="inlineStr">
        <is>
          <t>2019 State Council Report on the Work of the Government</t>
        </is>
      </c>
      <c r="F86" s="200" t="inlineStr">
        <is>
          <t>国务院</t>
        </is>
      </c>
      <c r="G86" s="200" t="inlineStr">
        <is>
          <t>工作报告</t>
        </is>
      </c>
      <c r="H86" s="201" t="inlineStr">
        <is>
          <t>经济规划（含气候）</t>
        </is>
      </c>
      <c r="I86" s="199" t="inlineStr">
        <is>
          <t>A</t>
        </is>
      </c>
      <c r="J86" s="199" t="n">
        <v>2019</v>
      </c>
      <c r="K86" s="202" t="inlineStr">
        <is>
          <t>含目标</t>
        </is>
      </c>
      <c r="L86" s="200" t="inlineStr">
        <is>
          <t>PDF</t>
        </is>
      </c>
      <c r="M86" s="200" t="inlineStr">
        <is>
          <t>中文</t>
        </is>
      </c>
      <c r="N86" s="203" t="inlineStr">
        <is>
          <t>https://www.gov.cn/zhuanti/2019qglh/2019lhzfgzbg/index.htm</t>
        </is>
      </c>
    </row>
    <row r="87">
      <c r="B87" s="198" t="inlineStr">
        <is>
          <t>HL2002</t>
        </is>
      </c>
      <c r="C87" s="199" t="n">
        <v>2020</v>
      </c>
      <c r="D87" s="200" t="inlineStr">
        <is>
          <t>2020年国务院政府工作报告</t>
        </is>
      </c>
      <c r="E87" s="200" t="inlineStr">
        <is>
          <t>2020 State Council Report on the Work of the Government</t>
        </is>
      </c>
      <c r="F87" s="200" t="inlineStr">
        <is>
          <t>国务院</t>
        </is>
      </c>
      <c r="G87" s="200" t="inlineStr">
        <is>
          <t>工作报告</t>
        </is>
      </c>
      <c r="H87" s="201" t="inlineStr">
        <is>
          <t>经济规划（含气候）</t>
        </is>
      </c>
      <c r="I87" s="199" t="inlineStr">
        <is>
          <t>A</t>
        </is>
      </c>
      <c r="J87" s="199" t="n">
        <v>2020</v>
      </c>
      <c r="K87" s="202" t="inlineStr">
        <is>
          <t>含目标</t>
        </is>
      </c>
      <c r="L87" s="200" t="inlineStr">
        <is>
          <t>PDF</t>
        </is>
      </c>
      <c r="M87" s="200" t="inlineStr">
        <is>
          <t>中文</t>
        </is>
      </c>
      <c r="N87" s="203" t="inlineStr">
        <is>
          <t>https://www.gov.cn/gongbao/content/2020/content_5517495.htm</t>
        </is>
      </c>
    </row>
    <row r="88">
      <c r="B88" s="198" t="inlineStr">
        <is>
          <t>HL2003</t>
        </is>
      </c>
      <c r="C88" s="199" t="n">
        <v>2020</v>
      </c>
      <c r="D88" s="200" t="inlineStr">
        <is>
          <t>关于2019年国民经济和社会发展计划执行情况与2020年国民经济和社会发展计划草案的报告</t>
        </is>
      </c>
      <c r="E88" s="200" t="inlineStr">
        <is>
          <t>Report on the Implementation of the 2019 Plan for National Economic and Social Development and on the 2020 Draft Plan for National Economic and Social Development</t>
        </is>
      </c>
      <c r="F88" s="200" t="inlineStr">
        <is>
          <t>国务院</t>
        </is>
      </c>
      <c r="G88" s="200" t="inlineStr">
        <is>
          <t>报告</t>
        </is>
      </c>
      <c r="H88" s="201" t="inlineStr">
        <is>
          <t>经济规划（含气候）</t>
        </is>
      </c>
      <c r="I88" s="199" t="inlineStr">
        <is>
          <t>A</t>
        </is>
      </c>
      <c r="J88" s="199" t="inlineStr">
        <is>
          <t>2019-2020</t>
        </is>
      </c>
      <c r="K88" s="202" t="inlineStr">
        <is>
          <t>含目标</t>
        </is>
      </c>
      <c r="L88" s="200" t="inlineStr">
        <is>
          <t>PDF</t>
        </is>
      </c>
      <c r="M88" s="200" t="inlineStr">
        <is>
          <t>中文</t>
        </is>
      </c>
      <c r="N88" s="203" t="inlineStr">
        <is>
          <t>https://english.www.gov.cn/news/topnews/202005/30/content_WS5ed24e81c6d0b3f0e9499215.html</t>
        </is>
      </c>
    </row>
    <row r="89">
      <c r="B89" s="198" t="inlineStr">
        <is>
          <t>HL2108</t>
        </is>
      </c>
      <c r="C89" s="199" t="n">
        <v>2021</v>
      </c>
      <c r="D89" s="200" t="inlineStr">
        <is>
          <t>2021年国务院政府工作报告</t>
        </is>
      </c>
      <c r="E89" s="200" t="inlineStr">
        <is>
          <t>2021 State Council Report on the Work of the Government</t>
        </is>
      </c>
      <c r="F89" s="200" t="inlineStr">
        <is>
          <t>国务院</t>
        </is>
      </c>
      <c r="G89" s="200" t="inlineStr">
        <is>
          <t>工作报告</t>
        </is>
      </c>
      <c r="H89" s="201" t="inlineStr">
        <is>
          <t>经济规划（含气候）</t>
        </is>
      </c>
      <c r="I89" s="199" t="inlineStr">
        <is>
          <t>A</t>
        </is>
      </c>
      <c r="J89" s="199" t="n">
        <v>2021</v>
      </c>
      <c r="K89" s="202" t="inlineStr">
        <is>
          <t>含目标</t>
        </is>
      </c>
      <c r="L89" s="200" t="inlineStr">
        <is>
          <t>PDF</t>
        </is>
      </c>
      <c r="M89" s="200" t="inlineStr">
        <is>
          <t>中文</t>
        </is>
      </c>
      <c r="N89" s="203" t="inlineStr">
        <is>
          <t>https://www.gov.cn/gongbao/content/2021/content_5593438.htm</t>
        </is>
      </c>
    </row>
    <row r="90">
      <c r="B90" s="198" t="inlineStr">
        <is>
          <t>HL2203</t>
        </is>
      </c>
      <c r="C90" s="199" t="n">
        <v>2022</v>
      </c>
      <c r="D90" s="200" t="inlineStr">
        <is>
          <t>2022年国务院政府工作报告</t>
        </is>
      </c>
      <c r="E90" s="200" t="inlineStr">
        <is>
          <t>2022 State Council Report on the Work of the Government</t>
        </is>
      </c>
      <c r="F90" s="200" t="inlineStr">
        <is>
          <t>国务院</t>
        </is>
      </c>
      <c r="G90" s="200" t="inlineStr">
        <is>
          <t>工作报告</t>
        </is>
      </c>
      <c r="H90" s="201" t="inlineStr">
        <is>
          <t>经济规划（含气候）</t>
        </is>
      </c>
      <c r="I90" s="199" t="inlineStr">
        <is>
          <t>A</t>
        </is>
      </c>
      <c r="J90" s="199" t="n">
        <v>2022</v>
      </c>
      <c r="K90" s="202" t="inlineStr">
        <is>
          <t>含目标</t>
        </is>
      </c>
      <c r="L90" s="200" t="inlineStr">
        <is>
          <t>PDF</t>
        </is>
      </c>
      <c r="M90" s="200" t="inlineStr">
        <is>
          <t>中文</t>
        </is>
      </c>
      <c r="N90" s="203" t="inlineStr">
        <is>
          <t>https://www.gov.cn/gongbao/content/2022/content_5679681.htm</t>
        </is>
      </c>
    </row>
    <row r="91">
      <c r="B91" s="198" t="inlineStr">
        <is>
          <t>HL2304</t>
        </is>
      </c>
      <c r="C91" s="199" t="n">
        <v>2023</v>
      </c>
      <c r="D91" s="200" t="inlineStr">
        <is>
          <t>2023年国务院政府工作报告</t>
        </is>
      </c>
      <c r="E91" s="200" t="inlineStr">
        <is>
          <t>2023 State Council Report on the Work of the Government</t>
        </is>
      </c>
      <c r="F91" s="200" t="inlineStr">
        <is>
          <t>国务院</t>
        </is>
      </c>
      <c r="G91" s="200" t="inlineStr">
        <is>
          <t>工作报告</t>
        </is>
      </c>
      <c r="H91" s="201" t="inlineStr">
        <is>
          <t>经济规划（含气候）</t>
        </is>
      </c>
      <c r="I91" s="199" t="inlineStr">
        <is>
          <t>A</t>
        </is>
      </c>
      <c r="J91" s="199" t="n">
        <v>2023</v>
      </c>
      <c r="K91" s="202" t="inlineStr">
        <is>
          <t>含目标</t>
        </is>
      </c>
      <c r="L91" s="200" t="inlineStr">
        <is>
          <t>PDF</t>
        </is>
      </c>
      <c r="M91" s="200" t="inlineStr">
        <is>
          <t>中文</t>
        </is>
      </c>
      <c r="N91" s="203" t="inlineStr">
        <is>
          <t>https://www.gov.cn/gongbao/content/2023/content_5747260.htm</t>
        </is>
      </c>
    </row>
    <row r="92">
      <c r="B92" s="198" t="inlineStr">
        <is>
          <t>HL2405</t>
        </is>
      </c>
      <c r="C92" s="199" t="n">
        <v>2024</v>
      </c>
      <c r="D92" s="200" t="inlineStr">
        <is>
          <t>2024年国务院政府工作报告</t>
        </is>
      </c>
      <c r="E92" s="200" t="inlineStr">
        <is>
          <t>2024 State Council Report on the Work of the Government</t>
        </is>
      </c>
      <c r="F92" s="200" t="inlineStr">
        <is>
          <t>国务院</t>
        </is>
      </c>
      <c r="G92" s="200" t="inlineStr">
        <is>
          <t>工作报告</t>
        </is>
      </c>
      <c r="H92" s="201" t="inlineStr">
        <is>
          <t>经济规划（含气候）</t>
        </is>
      </c>
      <c r="I92" s="199" t="inlineStr">
        <is>
          <t>A</t>
        </is>
      </c>
      <c r="J92" s="199" t="n">
        <v>2024</v>
      </c>
      <c r="K92" s="202" t="inlineStr">
        <is>
          <t>含目标</t>
        </is>
      </c>
      <c r="L92" s="200" t="inlineStr">
        <is>
          <t>PDF</t>
        </is>
      </c>
      <c r="M92" s="200" t="inlineStr">
        <is>
          <t>中文</t>
        </is>
      </c>
      <c r="N92" s="203" t="inlineStr">
        <is>
          <t>https://www.gov.cn/gongbao/2024/issue_11246/202403/content_6941846.html</t>
        </is>
      </c>
    </row>
    <row r="93" ht="14.5" customHeight="1" s="235">
      <c r="B93" s="198" t="inlineStr">
        <is>
          <t>HL2501</t>
        </is>
      </c>
      <c r="C93" s="199" t="n">
        <v>2025</v>
      </c>
      <c r="D93" s="200" t="inlineStr">
        <is>
          <t>2025年国务院政府工作报告</t>
        </is>
      </c>
      <c r="E93" s="200" t="inlineStr">
        <is>
          <t>2025 State Council Report on the Work of the Government</t>
        </is>
      </c>
      <c r="F93" s="200" t="inlineStr">
        <is>
          <t>国务院</t>
        </is>
      </c>
      <c r="G93" s="200" t="inlineStr">
        <is>
          <t>工作报告</t>
        </is>
      </c>
      <c r="H93" s="201" t="inlineStr">
        <is>
          <t>经济规划（含气候）</t>
        </is>
      </c>
      <c r="I93" s="199" t="inlineStr">
        <is>
          <t>A</t>
        </is>
      </c>
      <c r="J93" s="199" t="n">
        <v>2025</v>
      </c>
      <c r="K93" s="202" t="inlineStr">
        <is>
          <t>含目标</t>
        </is>
      </c>
      <c r="L93" s="200" t="inlineStr">
        <is>
          <t>PDF</t>
        </is>
      </c>
      <c r="M93" s="200" t="inlineStr">
        <is>
          <t>中文</t>
        </is>
      </c>
      <c r="N93" s="203" t="inlineStr">
        <is>
          <t>https://www.gov.cn/gongbao/2025/issue_11946/202503/content_7015861.html</t>
        </is>
      </c>
    </row>
    <row r="94">
      <c r="B94" s="198" t="inlineStr">
        <is>
          <t>HL2602</t>
        </is>
      </c>
      <c r="C94" s="204" t="n">
        <v>2026</v>
      </c>
      <c r="D94" s="200" t="inlineStr">
        <is>
          <t>2026年国务院政府工作报告</t>
        </is>
      </c>
      <c r="E94" s="200" t="inlineStr">
        <is>
          <t>2026 State Council Report on the Work of the Government</t>
        </is>
      </c>
      <c r="F94" s="200" t="inlineStr">
        <is>
          <t>国务院</t>
        </is>
      </c>
      <c r="G94" s="200" t="inlineStr">
        <is>
          <t>工作报告</t>
        </is>
      </c>
      <c r="H94" s="201" t="inlineStr">
        <is>
          <t>经济规划（含气候）</t>
        </is>
      </c>
      <c r="I94" s="199" t="inlineStr">
        <is>
          <t>A</t>
        </is>
      </c>
      <c r="J94" s="199" t="n">
        <v>2026</v>
      </c>
      <c r="K94" s="202" t="inlineStr">
        <is>
          <t>含目标</t>
        </is>
      </c>
      <c r="L94" s="200" t="inlineStr">
        <is>
          <t>HTM</t>
        </is>
      </c>
      <c r="M94" s="200" t="inlineStr">
        <is>
          <t>中文</t>
        </is>
      </c>
      <c r="N94" s="203" t="inlineStr">
        <is>
          <t>https://www.spp.gov.cn/spp/tt/202603/t20260313_723952.shtml</t>
        </is>
      </c>
    </row>
    <row r="95">
      <c r="B95" s="205" t="inlineStr">
        <is>
          <t>中长期发展规划</t>
        </is>
      </c>
      <c r="C95" s="206" t="n"/>
      <c r="D95" s="206" t="n"/>
      <c r="E95" s="206" t="n"/>
      <c r="F95" s="206" t="n"/>
      <c r="G95" s="206" t="n"/>
      <c r="H95" s="206" t="n"/>
      <c r="I95" s="206" t="n"/>
      <c r="J95" s="206" t="n"/>
      <c r="K95" s="206" t="n"/>
      <c r="L95" s="206" t="n"/>
      <c r="M95" s="206" t="n"/>
      <c r="N95" s="207" t="inlineStr">
        <is>
          <t>https://policy.asiapacificenergy.org/sites/default/files/China_Energy_Saving_Plan.pdf?utm_source=chatgpt.com</t>
        </is>
      </c>
    </row>
    <row r="96">
      <c r="B96" s="198" t="inlineStr">
        <is>
          <t>MLT0401</t>
        </is>
      </c>
      <c r="C96" s="208" t="n">
        <v>2004</v>
      </c>
      <c r="D96" s="209" t="inlineStr">
        <is>
          <t>能源中长期发展规划纲要（2004-2020年）</t>
        </is>
      </c>
      <c r="E96" s="210" t="inlineStr">
        <is>
          <t>Medium and Long Term Energy Development Plan Outline (2004-2020)</t>
        </is>
      </c>
      <c r="F96" s="209" t="inlineStr">
        <is>
          <t>国务院</t>
        </is>
      </c>
      <c r="G96" s="209" t="inlineStr">
        <is>
          <t>中长期规划</t>
        </is>
      </c>
      <c r="H96" s="210" t="inlineStr">
        <is>
          <t>经济规划（含气候）</t>
        </is>
      </c>
      <c r="I96" s="211" t="inlineStr">
        <is>
          <t>B.1</t>
        </is>
      </c>
      <c r="J96" s="208" t="inlineStr">
        <is>
          <t>2004-2020</t>
        </is>
      </c>
      <c r="K96" s="211" t="inlineStr">
        <is>
          <t>含目标</t>
        </is>
      </c>
      <c r="L96" s="209" t="inlineStr">
        <is>
          <t>PDF</t>
        </is>
      </c>
      <c r="M96" s="209" t="inlineStr">
        <is>
          <t>中文</t>
        </is>
      </c>
      <c r="N96" s="203" t="inlineStr">
        <is>
          <t>https://www.renrendoc.com/paper/132337830.html</t>
        </is>
      </c>
    </row>
    <row r="97">
      <c r="B97" s="198" t="inlineStr">
        <is>
          <t>MLT0402</t>
        </is>
      </c>
      <c r="C97" s="208" t="n">
        <v>2004</v>
      </c>
      <c r="D97" s="209" t="inlineStr">
        <is>
          <t>国家中长期能源节约规划：十大节能工程</t>
        </is>
      </c>
      <c r="E97" s="210" t="inlineStr">
        <is>
          <t>Medium and Long Term Plan of Energy Conservation: 10 Energy Conservation Programmes</t>
        </is>
      </c>
      <c r="F97" s="209" t="inlineStr">
        <is>
          <t>国家发展和改革委员会</t>
        </is>
      </c>
      <c r="G97" s="209" t="inlineStr">
        <is>
          <t>中长期规划</t>
        </is>
      </c>
      <c r="H97" s="210" t="inlineStr">
        <is>
          <t>促进减缓</t>
        </is>
      </c>
      <c r="I97" s="211" t="inlineStr">
        <is>
          <t>B.1, B.2, B.3., B.4, C.4</t>
        </is>
      </c>
      <c r="J97" s="208" t="inlineStr">
        <is>
          <t>-</t>
        </is>
      </c>
      <c r="K97" s="211" t="inlineStr">
        <is>
          <t>含目标</t>
        </is>
      </c>
      <c r="L97" s="209" t="inlineStr">
        <is>
          <t>PDF</t>
        </is>
      </c>
      <c r="M97" s="209" t="inlineStr">
        <is>
          <t>英文</t>
        </is>
      </c>
      <c r="N97" s="203" t="inlineStr">
        <is>
          <t>https://policy.asiapacificenergy.org/sites/default/files/China_Energy_Saving_Plan.pdf?utm_source=chatgpt.com</t>
        </is>
      </c>
    </row>
    <row r="98">
      <c r="B98" s="198" t="inlineStr">
        <is>
          <t>MLT0701</t>
        </is>
      </c>
      <c r="C98" s="208" t="n">
        <v>2007</v>
      </c>
      <c r="D98" s="209" t="inlineStr">
        <is>
          <t>可再生能源中长期发展规划</t>
        </is>
      </c>
      <c r="E98" s="210" t="inlineStr">
        <is>
          <t>Medium and Long Term Plan for Renewable Energy Development</t>
        </is>
      </c>
      <c r="F98" s="209" t="inlineStr">
        <is>
          <t>国家发展和改革委员会</t>
        </is>
      </c>
      <c r="G98" s="209" t="inlineStr">
        <is>
          <t>中长期规划</t>
        </is>
      </c>
      <c r="H98" s="210" t="inlineStr">
        <is>
          <t>促进减缓</t>
        </is>
      </c>
      <c r="I98" s="211" t="inlineStr">
        <is>
          <t>B.1</t>
        </is>
      </c>
      <c r="J98" s="208" t="inlineStr">
        <is>
          <t>-</t>
        </is>
      </c>
      <c r="K98" s="211" t="inlineStr">
        <is>
          <t>含目标</t>
        </is>
      </c>
      <c r="L98" s="209" t="inlineStr">
        <is>
          <t>PDF</t>
        </is>
      </c>
      <c r="M98" s="209" t="inlineStr">
        <is>
          <t>中文</t>
        </is>
      </c>
      <c r="N98" s="203" t="inlineStr">
        <is>
          <t>https://www.nea.gov.cn/131215784_11n.pdf</t>
        </is>
      </c>
    </row>
    <row r="99">
      <c r="B99" s="198" t="inlineStr">
        <is>
          <t>MLT1301</t>
        </is>
      </c>
      <c r="C99" s="208" t="n">
        <v>2013</v>
      </c>
      <c r="D99" s="209" t="inlineStr">
        <is>
          <t>国家重大科技基础设施建设中长期规划（2012-2030年）</t>
        </is>
      </c>
      <c r="E99" s="210" t="inlineStr">
        <is>
          <t>Medium and Long Term Plan for the Construction of National Major Science and Technology Infrastructure (2012–2030)</t>
        </is>
      </c>
      <c r="F99" s="209" t="inlineStr">
        <is>
          <t>国务院</t>
        </is>
      </c>
      <c r="G99" s="209" t="inlineStr">
        <is>
          <t>中长期规划</t>
        </is>
      </c>
      <c r="H99" s="210" t="inlineStr">
        <is>
          <t>经济规划（含气候）</t>
        </is>
      </c>
      <c r="I99" s="211" t="inlineStr">
        <is>
          <t>C.1</t>
        </is>
      </c>
      <c r="J99" s="208" t="inlineStr">
        <is>
          <t>2012-2030</t>
        </is>
      </c>
      <c r="K99" s="211" t="inlineStr">
        <is>
          <t>无目标</t>
        </is>
      </c>
      <c r="L99" s="209" t="inlineStr">
        <is>
          <t>HTM</t>
        </is>
      </c>
      <c r="M99" s="209" t="inlineStr">
        <is>
          <t>中文</t>
        </is>
      </c>
      <c r="N99" s="203" t="inlineStr">
        <is>
          <t>https://baike.baidu.com/item/%E5%9B%BD%E5%AE%B6%E9%87%8D%E5%A4%A7%E7%A7%91%E6%8A%80%E5%9F%BA%E7%A1%80%E8%AE%BE%E6%96%BD%E5%BB%BA%E8%AE%BE%E4%B8%AD%E9%95%BF%E6%9C%9F%E8%A7%84%E5%88%92%EF%BC%882012%E2%80%942030%E5%B9%B4%EF%BC%89/7276618</t>
        </is>
      </c>
    </row>
    <row r="100">
      <c r="B100" s="198" t="inlineStr">
        <is>
          <t>HL1504</t>
        </is>
      </c>
      <c r="C100" s="208" t="n">
        <v>2016</v>
      </c>
      <c r="D100" s="209" t="inlineStr">
        <is>
          <t>中国制造2025</t>
        </is>
      </c>
      <c r="E100" s="209" t="inlineStr">
        <is>
          <t>Made in China 2025</t>
        </is>
      </c>
      <c r="F100" s="209" t="inlineStr">
        <is>
          <t>国务院</t>
        </is>
      </c>
      <c r="G100" s="209" t="n"/>
      <c r="H100" s="210" t="inlineStr">
        <is>
          <t>经济规划（含气候）</t>
        </is>
      </c>
      <c r="I100" s="208" t="inlineStr">
        <is>
          <t>A</t>
        </is>
      </c>
      <c r="J100" s="208" t="inlineStr">
        <is>
          <t>2015-2025</t>
        </is>
      </c>
      <c r="K100" s="211" t="inlineStr">
        <is>
          <t>含目标</t>
        </is>
      </c>
      <c r="L100" s="209" t="inlineStr">
        <is>
          <t>HTM</t>
        </is>
      </c>
      <c r="M100" s="209" t="inlineStr">
        <is>
          <t>中文</t>
        </is>
      </c>
      <c r="N100" s="203" t="inlineStr">
        <is>
          <t>https://www.gov.cn/zhengce/zhengceku/2015-05/19/content_9784.htm</t>
        </is>
      </c>
    </row>
    <row r="101">
      <c r="B101" s="198" t="inlineStr">
        <is>
          <t>DP1701</t>
        </is>
      </c>
      <c r="C101" s="208" t="n">
        <v>2017</v>
      </c>
      <c r="D101" s="210" t="inlineStr">
        <is>
          <t>汽车产业中长期发展规划</t>
        </is>
      </c>
      <c r="E101" s="210" t="inlineStr">
        <is>
          <t>Medium and Long Term Development Plan for the Automotive Industry</t>
        </is>
      </c>
      <c r="F101" s="209" t="inlineStr">
        <is>
          <t>工业和信息化部；国家发展和改革委员会；科学技术部</t>
        </is>
      </c>
      <c r="G101" s="209" t="inlineStr">
        <is>
          <t>发展规划</t>
        </is>
      </c>
      <c r="H101" s="210" t="inlineStr">
        <is>
          <t>经济规划（含气候）</t>
        </is>
      </c>
      <c r="I101" s="211" t="inlineStr">
        <is>
          <t>B.2, B.4</t>
        </is>
      </c>
      <c r="J101" s="208" t="inlineStr">
        <is>
          <t>-</t>
        </is>
      </c>
      <c r="K101" s="211" t="inlineStr">
        <is>
          <t>含目标</t>
        </is>
      </c>
      <c r="L101" s="209" t="inlineStr">
        <is>
          <t>HTM</t>
        </is>
      </c>
      <c r="M101" s="209" t="inlineStr">
        <is>
          <t>中文</t>
        </is>
      </c>
      <c r="N101" s="203" t="inlineStr">
        <is>
          <t>https://www.gov.cn/gongbao/content/2017/content_5230289.htm</t>
        </is>
      </c>
    </row>
    <row r="102">
      <c r="B102" s="198" t="inlineStr">
        <is>
          <t>MLT2101</t>
        </is>
      </c>
      <c r="C102" s="208" t="n">
        <v>2021</v>
      </c>
      <c r="D102" s="209" t="inlineStr">
        <is>
          <t>抽水蓄能中长期发展规划 (2021-2035 年)</t>
        </is>
      </c>
      <c r="E102" s="210" t="inlineStr">
        <is>
          <t>Medium and Long Term Development Plan for Pumped Storage Energy (2021-2035)</t>
        </is>
      </c>
      <c r="F102" s="209" t="inlineStr">
        <is>
          <t>国家能源局</t>
        </is>
      </c>
      <c r="G102" s="209" t="inlineStr">
        <is>
          <t>中长期规划</t>
        </is>
      </c>
      <c r="H102" s="210" t="inlineStr">
        <is>
          <t>促进减缓</t>
        </is>
      </c>
      <c r="I102" s="211" t="inlineStr">
        <is>
          <t>B.1</t>
        </is>
      </c>
      <c r="J102" s="208" t="inlineStr">
        <is>
          <t>2021-2035</t>
        </is>
      </c>
      <c r="K102" s="211" t="inlineStr">
        <is>
          <t>无目标</t>
        </is>
      </c>
      <c r="L102" s="209" t="inlineStr">
        <is>
          <t>PDF</t>
        </is>
      </c>
      <c r="M102" s="209" t="inlineStr">
        <is>
          <t>中文</t>
        </is>
      </c>
      <c r="N102" s="203" t="inlineStr">
        <is>
          <t>http://zfxxgk.nea.gov.cn/2021-09/17/c_1310193456.htm</t>
        </is>
      </c>
    </row>
    <row r="103" ht="14.5" customHeight="1" s="235">
      <c r="B103" s="198" t="inlineStr">
        <is>
          <t>MLT2201</t>
        </is>
      </c>
      <c r="C103" s="208" t="n">
        <v>2022</v>
      </c>
      <c r="D103" s="209" t="inlineStr">
        <is>
          <t>氢能产业发展中长期规划（2021-2035年）</t>
        </is>
      </c>
      <c r="E103" s="210" t="inlineStr">
        <is>
          <t>Medium and Long Term Plan for the Development of the Hydrogen Energy Industry (2021-2035)</t>
        </is>
      </c>
      <c r="F103" s="209" t="inlineStr">
        <is>
          <t>国家发展和改革委员会；国家能源局</t>
        </is>
      </c>
      <c r="G103" s="209" t="inlineStr">
        <is>
          <t>中长期规划</t>
        </is>
      </c>
      <c r="H103" s="210" t="inlineStr">
        <is>
          <t>促进减缓</t>
        </is>
      </c>
      <c r="I103" s="211" t="inlineStr">
        <is>
          <t>B.1</t>
        </is>
      </c>
      <c r="J103" s="208" t="inlineStr">
        <is>
          <t>2021-2035</t>
        </is>
      </c>
      <c r="K103" s="211" t="inlineStr">
        <is>
          <t>无目标</t>
        </is>
      </c>
      <c r="L103" s="209" t="inlineStr">
        <is>
          <t>PDF</t>
        </is>
      </c>
      <c r="M103" s="209" t="inlineStr">
        <is>
          <t>中文</t>
        </is>
      </c>
      <c r="N103" s="203" t="inlineStr">
        <is>
          <t>https://www.ndrc.gov.cn/xxgk/zcfb/ghwb/202203/P020220323314396580505.pdf</t>
        </is>
      </c>
    </row>
    <row r="104">
      <c r="B104" s="198" t="inlineStr">
        <is>
          <t>MLT2202</t>
        </is>
      </c>
      <c r="C104" s="208" t="n">
        <v>2021</v>
      </c>
      <c r="D104" s="210" t="inlineStr">
        <is>
          <t>交通领域科技创新中长期发展规划纲要（2021—2035年）</t>
        </is>
      </c>
      <c r="E104" s="210" t="inlineStr">
        <is>
          <t>Outline of Medium and Long Term Development Plan for Technological Innovation in the Transportation Sector (2021-2035)</t>
        </is>
      </c>
      <c r="F104" s="209" t="inlineStr">
        <is>
          <t>交通运输部；科学技术部</t>
        </is>
      </c>
      <c r="G104" s="209" t="inlineStr">
        <is>
          <t>中长期规划</t>
        </is>
      </c>
      <c r="H104" s="210" t="inlineStr">
        <is>
          <t>经济规划（含气候）</t>
        </is>
      </c>
      <c r="I104" s="211" t="inlineStr">
        <is>
          <t>B.2</t>
        </is>
      </c>
      <c r="J104" s="208" t="inlineStr">
        <is>
          <t>2021-2035</t>
        </is>
      </c>
      <c r="K104" s="211" t="inlineStr">
        <is>
          <t>无目标</t>
        </is>
      </c>
      <c r="L104" s="209" t="inlineStr">
        <is>
          <t>HTM</t>
        </is>
      </c>
      <c r="M104" s="209" t="inlineStr">
        <is>
          <t>中文</t>
        </is>
      </c>
      <c r="N104" s="203" t="inlineStr">
        <is>
          <t>https://xxgk.mot.gov.cn/jigou/kjs/202203/t20220325_3647752.html</t>
        </is>
      </c>
    </row>
    <row r="105">
      <c r="B105" s="205" t="inlineStr">
        <is>
          <t>五年规划</t>
        </is>
      </c>
      <c r="C105" s="206" t="n"/>
      <c r="D105" s="206" t="n"/>
      <c r="E105" s="206" t="n"/>
      <c r="F105" s="206" t="n"/>
      <c r="G105" s="206" t="n"/>
      <c r="H105" s="206" t="n"/>
      <c r="I105" s="206" t="n"/>
      <c r="J105" s="206" t="n"/>
      <c r="K105" s="206" t="n"/>
      <c r="L105" s="206" t="n"/>
      <c r="M105" s="206" t="n"/>
      <c r="N105" s="207" t="inlineStr">
        <is>
          <t>https://zfxxgk.nea.gov.cn/auto79/201109/P020110921527315023013.pdf</t>
        </is>
      </c>
    </row>
    <row r="106">
      <c r="B106" s="198" t="inlineStr">
        <is>
          <t>FYP0701</t>
        </is>
      </c>
      <c r="C106" s="208" t="n">
        <v>2007</v>
      </c>
      <c r="D106" s="209" t="inlineStr">
        <is>
          <t>煤炭工业发展“十一五”规划</t>
        </is>
      </c>
      <c r="E106" s="210" t="inlineStr">
        <is>
          <t>11th Five-Year Plan for the Coal Industry</t>
        </is>
      </c>
      <c r="F106" s="209" t="inlineStr">
        <is>
          <t>国家发展和改革委员会</t>
        </is>
      </c>
      <c r="G106" s="209" t="inlineStr">
        <is>
          <t>五年规划</t>
        </is>
      </c>
      <c r="H106" s="210" t="inlineStr">
        <is>
          <t>化石能源</t>
        </is>
      </c>
      <c r="I106" s="211" t="inlineStr">
        <is>
          <t>B.1, B.2</t>
        </is>
      </c>
      <c r="J106" s="208" t="inlineStr">
        <is>
          <t>十一五</t>
        </is>
      </c>
      <c r="K106" s="211" t="inlineStr">
        <is>
          <t>含目标</t>
        </is>
      </c>
      <c r="L106" s="209" t="inlineStr">
        <is>
          <t>HTM</t>
        </is>
      </c>
      <c r="M106" s="209" t="inlineStr">
        <is>
          <t>中文</t>
        </is>
      </c>
      <c r="N106" s="203" t="inlineStr">
        <is>
          <t>https://baike.baidu.com/item/%E7%85%A4%E7%82%AD%E5%B7%A5%E4%B8%9A%E5%8F%91%E5%B1%95%E2%80%9C%E5%8D%81%E4%B8%80%E4%BA%94%E2%80%9D%E8%A7%84%E5%88%92/4073357</t>
        </is>
      </c>
    </row>
    <row r="107">
      <c r="B107" s="198" t="inlineStr">
        <is>
          <t>FYP0702</t>
        </is>
      </c>
      <c r="C107" s="208" t="n">
        <v>2007</v>
      </c>
      <c r="D107" s="209" t="inlineStr">
        <is>
          <t>能源发展“十一五”规划</t>
        </is>
      </c>
      <c r="E107" s="210" t="inlineStr">
        <is>
          <t>11th Five-Year Plan on Energy Development</t>
        </is>
      </c>
      <c r="F107" s="209" t="inlineStr">
        <is>
          <t>国家发展和改革委员会</t>
        </is>
      </c>
      <c r="G107" s="209" t="inlineStr">
        <is>
          <t>五年规划</t>
        </is>
      </c>
      <c r="H107" s="210" t="inlineStr">
        <is>
          <t>经济规划（含气候）</t>
        </is>
      </c>
      <c r="I107" s="211" t="inlineStr">
        <is>
          <t>B.1</t>
        </is>
      </c>
      <c r="J107" s="208" t="inlineStr">
        <is>
          <t>十一五</t>
        </is>
      </c>
      <c r="K107" s="211" t="inlineStr">
        <is>
          <t>无目标</t>
        </is>
      </c>
      <c r="L107" s="209" t="inlineStr">
        <is>
          <t>PDF</t>
        </is>
      </c>
      <c r="M107" s="209" t="inlineStr">
        <is>
          <t>中文</t>
        </is>
      </c>
      <c r="N107" s="203" t="inlineStr">
        <is>
          <t>https://zfxxgk.nea.gov.cn/auto79/201109/P020110921527315023013.pdf</t>
        </is>
      </c>
    </row>
    <row r="108">
      <c r="B108" s="198" t="inlineStr">
        <is>
          <t>FYP0801</t>
        </is>
      </c>
      <c r="C108" s="208" t="n">
        <v>2008</v>
      </c>
      <c r="D108" s="209" t="inlineStr">
        <is>
          <t>煤层气（煤矿瓦斯）开发利用“十一五”规划</t>
        </is>
      </c>
      <c r="E108" s="210" t="inlineStr">
        <is>
          <t>11th Five-Year Plan for Development and Utilization of Coalbed Methane (Coal Mine Methane)</t>
        </is>
      </c>
      <c r="F108" s="209" t="inlineStr">
        <is>
          <t>国家发展和改革委员会</t>
        </is>
      </c>
      <c r="G108" s="209" t="inlineStr">
        <is>
          <t>五年规划</t>
        </is>
      </c>
      <c r="H108" s="210" t="inlineStr">
        <is>
          <t>化石能源</t>
        </is>
      </c>
      <c r="I108" s="211" t="inlineStr">
        <is>
          <t>B.1, B.2</t>
        </is>
      </c>
      <c r="J108" s="208" t="inlineStr">
        <is>
          <t>十一五</t>
        </is>
      </c>
      <c r="K108" s="211" t="inlineStr">
        <is>
          <t>含目标</t>
        </is>
      </c>
      <c r="L108" s="209" t="inlineStr">
        <is>
          <t>HTM</t>
        </is>
      </c>
      <c r="M108" s="209" t="inlineStr">
        <is>
          <t>中文</t>
        </is>
      </c>
      <c r="N108" s="203" t="inlineStr">
        <is>
          <t>https://www.nea.gov.cn/2006-06/28/c_131215308.htm</t>
        </is>
      </c>
    </row>
    <row r="109">
      <c r="B109" s="198" t="inlineStr">
        <is>
          <t>FYP1101</t>
        </is>
      </c>
      <c r="C109" s="208" t="n">
        <v>2011</v>
      </c>
      <c r="D109" s="209" t="inlineStr">
        <is>
          <t>“十二五”控制温室气体排放工作方案</t>
        </is>
      </c>
      <c r="E109" s="210" t="inlineStr">
        <is>
          <t>12th Five-Year Plan for Greenhouse Gas Emission Control</t>
        </is>
      </c>
      <c r="F109" s="209" t="inlineStr">
        <is>
          <t>国务院</t>
        </is>
      </c>
      <c r="G109" s="209" t="inlineStr">
        <is>
          <t>工作方案</t>
        </is>
      </c>
      <c r="H109" s="210" t="inlineStr">
        <is>
          <t>明确减缓</t>
        </is>
      </c>
      <c r="I109" s="211" t="inlineStr">
        <is>
          <t>A</t>
        </is>
      </c>
      <c r="J109" s="208" t="inlineStr">
        <is>
          <t>十二五</t>
        </is>
      </c>
      <c r="K109" s="211" t="inlineStr">
        <is>
          <t>含目标</t>
        </is>
      </c>
      <c r="L109" s="209" t="inlineStr">
        <is>
          <t>HTM</t>
        </is>
      </c>
      <c r="M109" s="209" t="inlineStr">
        <is>
          <t>中文</t>
        </is>
      </c>
      <c r="N109" s="203" t="inlineStr">
        <is>
          <t>https://www.gov.cn/zhengce/zhengceku/2012-01/13/content_1294.htm</t>
        </is>
      </c>
    </row>
    <row r="110">
      <c r="B110" s="198" t="inlineStr">
        <is>
          <t>FYP1102</t>
        </is>
      </c>
      <c r="C110" s="208" t="n">
        <v>2011</v>
      </c>
      <c r="D110" s="209" t="inlineStr">
        <is>
          <t>公路水路交通运输节能减排“十二五”规划</t>
        </is>
      </c>
      <c r="E110" s="210" t="inlineStr">
        <is>
          <t>12th Five-Year Plan for Energy Conservation and Emissions Reduction in Road and Water Transport</t>
        </is>
      </c>
      <c r="F110" s="209" t="inlineStr">
        <is>
          <t>交通运输部</t>
        </is>
      </c>
      <c r="G110" s="209" t="inlineStr">
        <is>
          <t>五年规划</t>
        </is>
      </c>
      <c r="H110" s="210" t="inlineStr">
        <is>
          <t>明确减缓</t>
        </is>
      </c>
      <c r="I110" s="211" t="inlineStr">
        <is>
          <t>B.4</t>
        </is>
      </c>
      <c r="J110" s="208" t="inlineStr">
        <is>
          <t>十二五</t>
        </is>
      </c>
      <c r="K110" s="211" t="inlineStr">
        <is>
          <t>含目标</t>
        </is>
      </c>
      <c r="L110" s="209" t="inlineStr">
        <is>
          <t>HTM</t>
        </is>
      </c>
      <c r="M110" s="209" t="inlineStr">
        <is>
          <t>中文</t>
        </is>
      </c>
      <c r="N110" s="203" t="inlineStr">
        <is>
          <t>https://baike.baidu.com/item/%E5%85%AC%E8%B7%AF%E6%B0%B4%E8%B7%AF%E4%BA%A4%E9%80%9A%E8%BF%90%E8%BE%93%E8%8A%82%E8%83%BD%E5%87%8F%E6%8E%92%E2%80%9C%E5%8D%81%E4%BA%8C%E4%BA%94%E2%80%9D%E8%A7%84%E5%88%92/3380241</t>
        </is>
      </c>
    </row>
    <row r="111">
      <c r="B111" s="198" t="inlineStr">
        <is>
          <t>FYP1103</t>
        </is>
      </c>
      <c r="C111" s="208" t="n">
        <v>2011</v>
      </c>
      <c r="D111" s="209" t="inlineStr">
        <is>
          <t>煤层气（煤矿瓦斯）开发利用“十二五”规划</t>
        </is>
      </c>
      <c r="E111" s="210" t="inlineStr">
        <is>
          <t>12th Five-Year Plan for Development and Utilization of Coalbed Methane (Coal Mine Methane)</t>
        </is>
      </c>
      <c r="F111" s="209" t="inlineStr">
        <is>
          <t>国家发展和改革委员会；国家能源局</t>
        </is>
      </c>
      <c r="G111" s="209" t="inlineStr">
        <is>
          <t>五年规划</t>
        </is>
      </c>
      <c r="H111" s="210" t="inlineStr">
        <is>
          <t>化石能源</t>
        </is>
      </c>
      <c r="I111" s="211" t="inlineStr">
        <is>
          <t>B.1, B.2</t>
        </is>
      </c>
      <c r="J111" s="208" t="inlineStr">
        <is>
          <t>十二五</t>
        </is>
      </c>
      <c r="K111" s="211" t="inlineStr">
        <is>
          <t>含目标</t>
        </is>
      </c>
      <c r="L111" s="209" t="inlineStr">
        <is>
          <t>HTM</t>
        </is>
      </c>
      <c r="M111" s="209" t="inlineStr">
        <is>
          <t>中文</t>
        </is>
      </c>
      <c r="N111" s="203" t="inlineStr">
        <is>
          <t>https://baike.baidu.com/item/%E7%85%A4%E5%B1%82%E6%B0%94%EF%BC%88%E7%85%A4%E7%9F%BF%E7%93%A6%E6%96%AF%EF%BC%89%E5%BC%80%E5%8F%91%E5%88%A9%E7%94%A8%E2%80%9C%E5%8D%81%E4%BA%8C%E4%BA%94%E2%80%9D%E8%A7%84%E5%88%92/5838983?fromModule=search-result_lemma</t>
        </is>
      </c>
    </row>
    <row r="112">
      <c r="B112" s="198" t="inlineStr">
        <is>
          <t>FYP1201</t>
        </is>
      </c>
      <c r="C112" s="208" t="n">
        <v>2012</v>
      </c>
      <c r="D112" s="209" t="inlineStr">
        <is>
          <t>节能减排“十二五”规划</t>
        </is>
      </c>
      <c r="E112" s="210" t="inlineStr">
        <is>
          <t>12th Five-Year Plan for Energy Efficiency and Emission Reduction</t>
        </is>
      </c>
      <c r="F112" s="209" t="inlineStr">
        <is>
          <t>国务院</t>
        </is>
      </c>
      <c r="G112" s="209" t="inlineStr">
        <is>
          <t>五年规划</t>
        </is>
      </c>
      <c r="H112" s="210" t="inlineStr">
        <is>
          <t>明确减缓</t>
        </is>
      </c>
      <c r="I112" s="211" t="inlineStr">
        <is>
          <t>A</t>
        </is>
      </c>
      <c r="J112" s="208" t="inlineStr">
        <is>
          <t>十二五</t>
        </is>
      </c>
      <c r="K112" s="211" t="inlineStr">
        <is>
          <t>含目标</t>
        </is>
      </c>
      <c r="L112" s="209" t="inlineStr">
        <is>
          <t>HTM</t>
        </is>
      </c>
      <c r="M112" s="209" t="inlineStr">
        <is>
          <t>中文</t>
        </is>
      </c>
      <c r="N112" s="203" t="inlineStr">
        <is>
          <t>https://www.gov.cn/zwgk/2012-08/21/content_2207867.htm</t>
        </is>
      </c>
    </row>
    <row r="113">
      <c r="B113" s="198" t="inlineStr">
        <is>
          <t>FYP1202</t>
        </is>
      </c>
      <c r="C113" s="208" t="n">
        <v>2012</v>
      </c>
      <c r="D113" s="209" t="inlineStr">
        <is>
          <t>"十二五"国家应对气候变化科技发展专项规划</t>
        </is>
      </c>
      <c r="E113" s="210" t="inlineStr">
        <is>
          <t>12th Five-Year Plan for National Science and Technology Development to Address Climate Change</t>
        </is>
      </c>
      <c r="F113" s="209" t="inlineStr">
        <is>
          <t>科学技术部；国家发展和改革委员会；财政部；生态环境部；教育部；工业和信息化部；国土资源部；住房和城乡建设部；水利部；农业部；国家税务总局；国家质量监督检验检疫总局；国家能源局；国家林业局；国家自然科学基金委员会；中国科学院；中国气象局；中国科学技术协会</t>
        </is>
      </c>
      <c r="G113" s="209" t="inlineStr">
        <is>
          <t>发展规划</t>
        </is>
      </c>
      <c r="H113" s="210" t="inlineStr">
        <is>
          <t>明确减缓</t>
        </is>
      </c>
      <c r="I113" s="211" t="inlineStr">
        <is>
          <t>C.1</t>
        </is>
      </c>
      <c r="J113" s="208" t="inlineStr">
        <is>
          <t>十二五</t>
        </is>
      </c>
      <c r="K113" s="211" t="inlineStr">
        <is>
          <t>无目标</t>
        </is>
      </c>
      <c r="L113" s="209" t="inlineStr">
        <is>
          <t>HTM</t>
        </is>
      </c>
      <c r="M113" s="209" t="inlineStr">
        <is>
          <t>中文</t>
        </is>
      </c>
      <c r="N113" s="203" t="inlineStr">
        <is>
          <t>https://www.most.gov.cn/xxgk/xinxifenlei/fdzdgknr/fgzc/gfxwj/gfxwj2012/201211/t20121101_97552.html</t>
        </is>
      </c>
    </row>
    <row r="114">
      <c r="B114" s="198" t="inlineStr">
        <is>
          <t>FYP1203</t>
        </is>
      </c>
      <c r="C114" s="208" t="n">
        <v>2012</v>
      </c>
      <c r="D114" s="212" t="inlineStr">
        <is>
          <t>“十二五”国家战略性新兴产业发展规划</t>
        </is>
      </c>
      <c r="E114" s="210" t="inlineStr">
        <is>
          <t>12th Five-Year Plan for National Strategic Emerging Industries</t>
        </is>
      </c>
      <c r="F114" s="209" t="inlineStr">
        <is>
          <t>国务院</t>
        </is>
      </c>
      <c r="G114" s="209" t="inlineStr">
        <is>
          <t>发展规划</t>
        </is>
      </c>
      <c r="H114" s="210" t="inlineStr">
        <is>
          <t>化石能源</t>
        </is>
      </c>
      <c r="I114" s="211" t="inlineStr">
        <is>
          <t>B.2</t>
        </is>
      </c>
      <c r="J114" s="208" t="inlineStr">
        <is>
          <t>十二五</t>
        </is>
      </c>
      <c r="K114" s="211" t="inlineStr">
        <is>
          <t>含目标</t>
        </is>
      </c>
      <c r="L114" s="209" t="inlineStr">
        <is>
          <t>HTM</t>
        </is>
      </c>
      <c r="M114" s="209" t="inlineStr">
        <is>
          <t>中文</t>
        </is>
      </c>
      <c r="N114" s="203" t="inlineStr">
        <is>
          <t>https://www.gov.cn/gongbao/content/2012/content_2192397.htm</t>
        </is>
      </c>
    </row>
    <row r="115">
      <c r="B115" s="198" t="inlineStr">
        <is>
          <t>FYP1204</t>
        </is>
      </c>
      <c r="C115" s="208" t="n">
        <v>2012</v>
      </c>
      <c r="D115" s="209" t="inlineStr">
        <is>
          <t>太阳能发电发展“十二五”规划</t>
        </is>
      </c>
      <c r="E115" s="210" t="inlineStr">
        <is>
          <t>12th Five-Year Plan for Solar Power Development</t>
        </is>
      </c>
      <c r="F115" s="209" t="inlineStr">
        <is>
          <t>国家能源局</t>
        </is>
      </c>
      <c r="G115" s="209" t="inlineStr">
        <is>
          <t>五年规划</t>
        </is>
      </c>
      <c r="H115" s="210" t="inlineStr">
        <is>
          <t>促进减缓</t>
        </is>
      </c>
      <c r="I115" s="211" t="inlineStr">
        <is>
          <t>B.1</t>
        </is>
      </c>
      <c r="J115" s="208" t="inlineStr">
        <is>
          <t>十二五</t>
        </is>
      </c>
      <c r="K115" s="211" t="inlineStr">
        <is>
          <t>无目标</t>
        </is>
      </c>
      <c r="L115" s="209" t="inlineStr">
        <is>
          <t>PDF</t>
        </is>
      </c>
      <c r="M115" s="209" t="inlineStr">
        <is>
          <t>中文</t>
        </is>
      </c>
      <c r="N115" s="203" t="inlineStr">
        <is>
          <t>https://zfxxgk.nea.gov.cn/auto87/201209/t20120912_1510.htm</t>
        </is>
      </c>
    </row>
    <row r="116">
      <c r="B116" s="198" t="inlineStr">
        <is>
          <t>FYP1205</t>
        </is>
      </c>
      <c r="C116" s="208" t="n">
        <v>2012</v>
      </c>
      <c r="D116" s="209" t="inlineStr">
        <is>
          <t>太阳能发电科技发展“十二五”专项规划</t>
        </is>
      </c>
      <c r="E116" s="210" t="inlineStr">
        <is>
          <t>12th Five-Year Special Plan for Solar Power Technology Development</t>
        </is>
      </c>
      <c r="F116" s="209" t="inlineStr">
        <is>
          <t>科学技术部</t>
        </is>
      </c>
      <c r="G116" s="209" t="inlineStr">
        <is>
          <t>五年规划</t>
        </is>
      </c>
      <c r="H116" s="210" t="inlineStr">
        <is>
          <t>促进减缓</t>
        </is>
      </c>
      <c r="I116" s="211" t="inlineStr">
        <is>
          <t>B.1, B.2, C.1</t>
        </is>
      </c>
      <c r="J116" s="208" t="inlineStr">
        <is>
          <t>十二五</t>
        </is>
      </c>
      <c r="K116" s="211" t="inlineStr">
        <is>
          <t>含目标</t>
        </is>
      </c>
      <c r="L116" s="209" t="inlineStr">
        <is>
          <t>PDF</t>
        </is>
      </c>
      <c r="M116" s="209" t="inlineStr">
        <is>
          <t>中文</t>
        </is>
      </c>
      <c r="N116" s="203" t="inlineStr">
        <is>
          <t>https://www.nea.gov.cn/2012-04/26/c_131551940.htm</t>
        </is>
      </c>
    </row>
    <row r="117">
      <c r="B117" s="198" t="inlineStr">
        <is>
          <t>FYP1206</t>
        </is>
      </c>
      <c r="C117" s="208" t="n">
        <v>2012</v>
      </c>
      <c r="D117" s="209" t="inlineStr">
        <is>
          <t>风力发电科技发展“十二五”专项规划</t>
        </is>
      </c>
      <c r="E117" s="210" t="inlineStr">
        <is>
          <t>12th Five-Year Special Plan for Wind Power Technology Development</t>
        </is>
      </c>
      <c r="F117" s="209" t="inlineStr">
        <is>
          <t>科学技术部</t>
        </is>
      </c>
      <c r="G117" s="209" t="inlineStr">
        <is>
          <t>五年规划</t>
        </is>
      </c>
      <c r="H117" s="210" t="inlineStr">
        <is>
          <t>促进减缓</t>
        </is>
      </c>
      <c r="I117" s="211" t="inlineStr">
        <is>
          <t>B.1, B.2, C.1</t>
        </is>
      </c>
      <c r="J117" s="208" t="inlineStr">
        <is>
          <t>十二五</t>
        </is>
      </c>
      <c r="K117" s="211" t="inlineStr">
        <is>
          <t>含目标</t>
        </is>
      </c>
      <c r="L117" s="209" t="inlineStr">
        <is>
          <t>PDF</t>
        </is>
      </c>
      <c r="M117" s="209" t="inlineStr">
        <is>
          <t>中文</t>
        </is>
      </c>
      <c r="N117" s="203" t="inlineStr">
        <is>
          <t>https://www.iea.org/policies/5471-wind-power-technology-development-12th-five-year-special-planning</t>
        </is>
      </c>
    </row>
    <row r="118">
      <c r="B118" s="198" t="inlineStr">
        <is>
          <t>FYP1207</t>
        </is>
      </c>
      <c r="C118" s="208" t="n">
        <v>2012</v>
      </c>
      <c r="D118" s="209" t="inlineStr">
        <is>
          <t>可再生能源发展“十二五”规划</t>
        </is>
      </c>
      <c r="E118" s="210" t="inlineStr">
        <is>
          <t>12th Five-Year Plan for Renewable Energy Development</t>
        </is>
      </c>
      <c r="F118" s="209" t="inlineStr">
        <is>
          <t>国家发展和改革委员会</t>
        </is>
      </c>
      <c r="G118" s="209" t="inlineStr">
        <is>
          <t>五年规划</t>
        </is>
      </c>
      <c r="H118" s="210" t="inlineStr">
        <is>
          <t>促进减缓</t>
        </is>
      </c>
      <c r="I118" s="211" t="inlineStr">
        <is>
          <t>B.1</t>
        </is>
      </c>
      <c r="J118" s="208" t="inlineStr">
        <is>
          <t>十二五</t>
        </is>
      </c>
      <c r="K118" s="211" t="inlineStr">
        <is>
          <t>无目标</t>
        </is>
      </c>
      <c r="L118" s="209" t="inlineStr">
        <is>
          <t>HTM</t>
        </is>
      </c>
      <c r="M118" s="209" t="inlineStr">
        <is>
          <t>中文</t>
        </is>
      </c>
      <c r="N118" s="203" t="inlineStr">
        <is>
          <t>https://policy.asiapacificenergy.org/sites/default/files/12th%20Five%20Year%20Plan%20of%20Renewable%20Energy%20Development%20%28CH%29.pdf</t>
        </is>
      </c>
    </row>
    <row r="119">
      <c r="B119" s="198" t="inlineStr">
        <is>
          <t>FYP1208</t>
        </is>
      </c>
      <c r="C119" s="208" t="n">
        <v>2012</v>
      </c>
      <c r="D119" s="209" t="inlineStr">
        <is>
          <t>煤炭工业发展“十二五”规划</t>
        </is>
      </c>
      <c r="E119" s="210" t="inlineStr">
        <is>
          <t>12th Five-Year Plan for the Coal Industry</t>
        </is>
      </c>
      <c r="F119" s="209" t="inlineStr">
        <is>
          <t>国家发展和改革委员会</t>
        </is>
      </c>
      <c r="G119" s="209" t="inlineStr">
        <is>
          <t>五年规划</t>
        </is>
      </c>
      <c r="H119" s="210" t="inlineStr">
        <is>
          <t>化石能源</t>
        </is>
      </c>
      <c r="I119" s="211" t="inlineStr">
        <is>
          <t>B.1, B.2</t>
        </is>
      </c>
      <c r="J119" s="208" t="inlineStr">
        <is>
          <t>十二五</t>
        </is>
      </c>
      <c r="K119" s="211" t="inlineStr">
        <is>
          <t>无目标</t>
        </is>
      </c>
      <c r="L119" s="209" t="inlineStr">
        <is>
          <t>HTM</t>
        </is>
      </c>
      <c r="M119" s="209" t="inlineStr">
        <is>
          <t>中文</t>
        </is>
      </c>
      <c r="N119" s="203" t="inlineStr">
        <is>
          <t>https://baike.baidu.com/item/%E7%85%A4%E7%82%AD%E5%B7%A5%E4%B8%9A%E5%8F%91%E5%B1%95%E2%80%9C%E5%8D%81%E4%BA%8C%E4%BA%94%E2%80%9D%E8%A7%84%E5%88%92?fromModule=lemma_search-box</t>
        </is>
      </c>
    </row>
    <row r="120">
      <c r="B120" s="198" t="inlineStr">
        <is>
          <t>FYP1301</t>
        </is>
      </c>
      <c r="C120" s="208" t="n">
        <v>2013</v>
      </c>
      <c r="D120" s="210" t="inlineStr">
        <is>
          <t>“十二五”国家碳捕集利用与封存科技发展专项规划</t>
        </is>
      </c>
      <c r="E120" s="210" t="inlineStr">
        <is>
          <t>12th Five-Year Special Plan for the Development of National Carbon Capture, Utilization, and Storage Technology</t>
        </is>
      </c>
      <c r="F120" s="209" t="inlineStr">
        <is>
          <t>科学技术部</t>
        </is>
      </c>
      <c r="G120" s="209" t="inlineStr">
        <is>
          <t>发展规划</t>
        </is>
      </c>
      <c r="H120" s="210" t="inlineStr">
        <is>
          <t>明确减缓</t>
        </is>
      </c>
      <c r="I120" s="211" t="inlineStr">
        <is>
          <t>B.5</t>
        </is>
      </c>
      <c r="J120" s="208" t="inlineStr">
        <is>
          <t>十二五</t>
        </is>
      </c>
      <c r="K120" s="211" t="inlineStr">
        <is>
          <t>无目标</t>
        </is>
      </c>
      <c r="L120" s="209" t="inlineStr">
        <is>
          <t>PDF</t>
        </is>
      </c>
      <c r="M120" s="209" t="inlineStr">
        <is>
          <t>中文</t>
        </is>
      </c>
      <c r="N120" s="203" t="inlineStr">
        <is>
          <t>https://www.most.gov.cn/xxgk/xinxifenlei/fdzdgknr/fgzc/gfxwj/gfxwj2013/201303/t20130315_100225.html</t>
        </is>
      </c>
    </row>
    <row r="121">
      <c r="B121" s="198" t="inlineStr">
        <is>
          <t>FYP1302</t>
        </is>
      </c>
      <c r="C121" s="208" t="n">
        <v>2013</v>
      </c>
      <c r="D121" s="210" t="inlineStr">
        <is>
          <t>能源发展“十二五”规划</t>
        </is>
      </c>
      <c r="E121" s="210" t="inlineStr">
        <is>
          <t>12th Five-Year Plan on Energy Development</t>
        </is>
      </c>
      <c r="F121" s="209" t="inlineStr">
        <is>
          <t>国务院</t>
        </is>
      </c>
      <c r="G121" s="209" t="inlineStr">
        <is>
          <t>五年规划</t>
        </is>
      </c>
      <c r="H121" s="210" t="inlineStr">
        <is>
          <t>经济规划（含气候）</t>
        </is>
      </c>
      <c r="I121" s="211" t="inlineStr">
        <is>
          <t>B.1</t>
        </is>
      </c>
      <c r="J121" s="208" t="inlineStr">
        <is>
          <t>十二五</t>
        </is>
      </c>
      <c r="K121" s="211" t="inlineStr">
        <is>
          <t>含目标</t>
        </is>
      </c>
      <c r="L121" s="209" t="inlineStr">
        <is>
          <t>HTM</t>
        </is>
      </c>
      <c r="M121" s="209" t="inlineStr">
        <is>
          <t>中文</t>
        </is>
      </c>
      <c r="N121" s="203" t="inlineStr">
        <is>
          <t>https://www.gov.cn/zwgk/2013-01/23/content_2318554.htm</t>
        </is>
      </c>
    </row>
    <row r="122">
      <c r="B122" s="198" t="inlineStr">
        <is>
          <t>FYP1601</t>
        </is>
      </c>
      <c r="C122" s="208" t="n">
        <v>2016</v>
      </c>
      <c r="D122" s="209" t="inlineStr">
        <is>
          <t>“十三五”节能减排综合工作方案</t>
        </is>
      </c>
      <c r="E122" s="210" t="inlineStr">
        <is>
          <t>13th Five-Year Plan on Energy Efficiency and Emission Reduction</t>
        </is>
      </c>
      <c r="F122" s="209" t="inlineStr">
        <is>
          <t>国务院</t>
        </is>
      </c>
      <c r="G122" s="209" t="inlineStr">
        <is>
          <t>工作方案</t>
        </is>
      </c>
      <c r="H122" s="210" t="inlineStr">
        <is>
          <t>明确减缓</t>
        </is>
      </c>
      <c r="I122" s="211" t="inlineStr">
        <is>
          <t>A</t>
        </is>
      </c>
      <c r="J122" s="208" t="inlineStr">
        <is>
          <t>十三五</t>
        </is>
      </c>
      <c r="K122" s="211" t="inlineStr">
        <is>
          <t>含目标</t>
        </is>
      </c>
      <c r="L122" s="209" t="inlineStr">
        <is>
          <t>HTM</t>
        </is>
      </c>
      <c r="M122" s="209" t="inlineStr">
        <is>
          <t>中文</t>
        </is>
      </c>
      <c r="N122" s="203" t="inlineStr">
        <is>
          <t>https://www.gov.cn/zhengce/zhengceku/2017-01/05/content_5156789.htm</t>
        </is>
      </c>
    </row>
    <row r="123">
      <c r="B123" s="198" t="inlineStr">
        <is>
          <t>FYP1602</t>
        </is>
      </c>
      <c r="C123" s="208" t="n">
        <v>2016</v>
      </c>
      <c r="D123" s="209" t="inlineStr">
        <is>
          <t>能源技术创新“十三五”规划</t>
        </is>
      </c>
      <c r="E123" s="210" t="inlineStr">
        <is>
          <t>13th Five-Year Plan on Energy Technology Innovation</t>
        </is>
      </c>
      <c r="F123" s="209" t="inlineStr">
        <is>
          <t>国家能源局</t>
        </is>
      </c>
      <c r="G123" s="209" t="inlineStr">
        <is>
          <t>五年规划</t>
        </is>
      </c>
      <c r="H123" s="210" t="inlineStr">
        <is>
          <t>经济规划（含气候）</t>
        </is>
      </c>
      <c r="I123" s="211" t="inlineStr">
        <is>
          <t>C.1</t>
        </is>
      </c>
      <c r="J123" s="208" t="inlineStr">
        <is>
          <t>十三五</t>
        </is>
      </c>
      <c r="K123" s="211" t="inlineStr">
        <is>
          <t>无目标</t>
        </is>
      </c>
      <c r="L123" s="209" t="inlineStr">
        <is>
          <t>PDF</t>
        </is>
      </c>
      <c r="M123" s="209" t="inlineStr">
        <is>
          <t>中文</t>
        </is>
      </c>
      <c r="N123" s="203" t="inlineStr">
        <is>
          <t>https://www.ndrc.gov.cn/fggz/fzzlgh/gjjzxgh/201708/t20170809_1196881.html?code=&amp;state=123</t>
        </is>
      </c>
    </row>
    <row r="124">
      <c r="B124" s="198" t="inlineStr">
        <is>
          <t>FYP1603</t>
        </is>
      </c>
      <c r="C124" s="208" t="n">
        <v>2016</v>
      </c>
      <c r="D124" s="210" t="inlineStr">
        <is>
          <t>能源发展“十三五”规划</t>
        </is>
      </c>
      <c r="E124" s="210" t="inlineStr">
        <is>
          <t>13th Five-Year Plan on Energy Development</t>
        </is>
      </c>
      <c r="F124" s="209" t="inlineStr">
        <is>
          <t>国家发展和改革委员会；国家能源局</t>
        </is>
      </c>
      <c r="G124" s="209" t="inlineStr">
        <is>
          <t>五年规划</t>
        </is>
      </c>
      <c r="H124" s="210" t="inlineStr">
        <is>
          <t>经济规划（含气候）</t>
        </is>
      </c>
      <c r="I124" s="211" t="inlineStr">
        <is>
          <t>B.1</t>
        </is>
      </c>
      <c r="J124" s="208" t="inlineStr">
        <is>
          <t>十三五</t>
        </is>
      </c>
      <c r="K124" s="211" t="inlineStr">
        <is>
          <t>含目标</t>
        </is>
      </c>
      <c r="L124" s="209" t="inlineStr">
        <is>
          <t>PDF</t>
        </is>
      </c>
      <c r="M124" s="209" t="inlineStr">
        <is>
          <t>中文</t>
        </is>
      </c>
      <c r="N124" s="203" t="inlineStr">
        <is>
          <t>https://www.ndrc.gov.cn/xxgk/zcfb/tz/201701/t20170117_962873.html?code=&amp;state=123</t>
        </is>
      </c>
    </row>
    <row r="125">
      <c r="B125" s="198" t="inlineStr">
        <is>
          <t>FYP1604</t>
        </is>
      </c>
      <c r="C125" s="208" t="n">
        <v>2016</v>
      </c>
      <c r="D125" s="209" t="inlineStr">
        <is>
          <t>煤炭工业发展“十三五”规划</t>
        </is>
      </c>
      <c r="E125" s="210" t="inlineStr">
        <is>
          <t>13th Five-Year Plan for the Coal Industry</t>
        </is>
      </c>
      <c r="F125" s="209" t="inlineStr">
        <is>
          <t>国家发展和改革委员会；国家能源局</t>
        </is>
      </c>
      <c r="G125" s="209" t="inlineStr">
        <is>
          <t>五年规划</t>
        </is>
      </c>
      <c r="H125" s="210" t="inlineStr">
        <is>
          <t>化石能源</t>
        </is>
      </c>
      <c r="I125" s="211" t="inlineStr">
        <is>
          <t>B.1, B.2</t>
        </is>
      </c>
      <c r="J125" s="208" t="inlineStr">
        <is>
          <t>十三五</t>
        </is>
      </c>
      <c r="K125" s="211" t="inlineStr">
        <is>
          <t>无目标</t>
        </is>
      </c>
      <c r="L125" s="209" t="inlineStr">
        <is>
          <t>PDF</t>
        </is>
      </c>
      <c r="M125" s="209" t="inlineStr">
        <is>
          <t>中文</t>
        </is>
      </c>
      <c r="N125" s="203" t="inlineStr">
        <is>
          <t>https://www.ndrc.gov.cn/xxgk/zcfb/tz/201612/t20161230_962836.html</t>
        </is>
      </c>
    </row>
    <row r="126">
      <c r="B126" s="198" t="inlineStr">
        <is>
          <t>FYP1605</t>
        </is>
      </c>
      <c r="C126" s="208" t="n">
        <v>2016</v>
      </c>
      <c r="D126" s="209" t="inlineStr">
        <is>
          <t>煤层气（煤矿瓦斯）开发利用“十三五”规划</t>
        </is>
      </c>
      <c r="E126" s="210" t="inlineStr">
        <is>
          <t>13th Five-Year Plan for Development and Utilization of Coalbed Methane (Coal Mine Methane)</t>
        </is>
      </c>
      <c r="F126" s="209" t="inlineStr">
        <is>
          <t>国家能源局</t>
        </is>
      </c>
      <c r="G126" s="209" t="inlineStr">
        <is>
          <t>五年规划</t>
        </is>
      </c>
      <c r="H126" s="210" t="inlineStr">
        <is>
          <t>化石能源</t>
        </is>
      </c>
      <c r="I126" s="211" t="inlineStr">
        <is>
          <t>B.1, B.2</t>
        </is>
      </c>
      <c r="J126" s="208" t="inlineStr">
        <is>
          <t>十三五</t>
        </is>
      </c>
      <c r="K126" s="211" t="inlineStr">
        <is>
          <t>含目标</t>
        </is>
      </c>
      <c r="L126" s="209" t="inlineStr">
        <is>
          <t>PDF</t>
        </is>
      </c>
      <c r="M126" s="209" t="inlineStr">
        <is>
          <t>中文</t>
        </is>
      </c>
      <c r="N126" s="203" t="inlineStr">
        <is>
          <t>https://fjb.nea.gov.cn/xxgk/zcfg/202311/t20231114_217580.html</t>
        </is>
      </c>
    </row>
    <row r="127">
      <c r="B127" s="198" t="inlineStr">
        <is>
          <t>FYP1606</t>
        </is>
      </c>
      <c r="C127" s="208" t="n">
        <v>2016</v>
      </c>
      <c r="D127" s="209" t="inlineStr">
        <is>
          <t>生物质能发展“十三五”规划</t>
        </is>
      </c>
      <c r="E127" s="210" t="inlineStr">
        <is>
          <t>13th Five-Year Plan for Biomass Energy Development</t>
        </is>
      </c>
      <c r="F127" s="209" t="inlineStr">
        <is>
          <t>国家能源局</t>
        </is>
      </c>
      <c r="G127" s="209" t="inlineStr">
        <is>
          <t>五年规划</t>
        </is>
      </c>
      <c r="H127" s="210" t="inlineStr">
        <is>
          <t>促进减缓</t>
        </is>
      </c>
      <c r="I127" s="211" t="inlineStr">
        <is>
          <t>B.1</t>
        </is>
      </c>
      <c r="J127" s="208" t="inlineStr">
        <is>
          <t>十三五</t>
        </is>
      </c>
      <c r="K127" s="211" t="inlineStr">
        <is>
          <t>无目标</t>
        </is>
      </c>
      <c r="L127" s="209" t="inlineStr">
        <is>
          <t>PDF</t>
        </is>
      </c>
      <c r="M127" s="209" t="inlineStr">
        <is>
          <t>中文</t>
        </is>
      </c>
      <c r="N127" s="203" t="inlineStr">
        <is>
          <t>http://www.gov.cn/xinwen/2016-12/06/content_5143612.htm</t>
        </is>
      </c>
    </row>
    <row r="128">
      <c r="B128" s="198" t="inlineStr">
        <is>
          <t>FYP1607</t>
        </is>
      </c>
      <c r="C128" s="208" t="n">
        <v>2016</v>
      </c>
      <c r="D128" s="210" t="inlineStr">
        <is>
          <t>电力发展“十三五”规划</t>
        </is>
      </c>
      <c r="E128" s="210" t="inlineStr">
        <is>
          <t>13th Five-Year Plan for Electric Power Development</t>
        </is>
      </c>
      <c r="F128" s="209" t="inlineStr">
        <is>
          <t>国家发展和改革委员会；国家能源局</t>
        </is>
      </c>
      <c r="G128" s="209" t="inlineStr">
        <is>
          <t>五年规划</t>
        </is>
      </c>
      <c r="H128" s="210" t="inlineStr">
        <is>
          <t>经济规划（含气候）</t>
        </is>
      </c>
      <c r="I128" s="211" t="inlineStr">
        <is>
          <t>B.1</t>
        </is>
      </c>
      <c r="J128" s="208" t="inlineStr">
        <is>
          <t>十三五</t>
        </is>
      </c>
      <c r="K128" s="211" t="inlineStr">
        <is>
          <t>含目标</t>
        </is>
      </c>
      <c r="L128" s="209" t="inlineStr">
        <is>
          <t>PDF</t>
        </is>
      </c>
      <c r="M128" s="209" t="inlineStr">
        <is>
          <t>中文</t>
        </is>
      </c>
      <c r="N128" s="203" t="inlineStr">
        <is>
          <t>https://zfxxgk.ndrc.gov.cn/web/iteminfo.jsp?id=398</t>
        </is>
      </c>
    </row>
    <row r="129">
      <c r="B129" s="198" t="inlineStr">
        <is>
          <t>FYP1608</t>
        </is>
      </c>
      <c r="C129" s="208" t="n">
        <v>2016</v>
      </c>
      <c r="D129" s="209" t="inlineStr">
        <is>
          <t>风电发展“十三五”规划</t>
        </is>
      </c>
      <c r="E129" s="210" t="inlineStr">
        <is>
          <t>13th Five-Year Plan for Wind Power Development</t>
        </is>
      </c>
      <c r="F129" s="209" t="inlineStr">
        <is>
          <t>国家能源局</t>
        </is>
      </c>
      <c r="G129" s="209" t="inlineStr">
        <is>
          <t>五年规划</t>
        </is>
      </c>
      <c r="H129" s="210" t="inlineStr">
        <is>
          <t>促进减缓</t>
        </is>
      </c>
      <c r="I129" s="211" t="inlineStr">
        <is>
          <t>B.1</t>
        </is>
      </c>
      <c r="J129" s="208" t="inlineStr">
        <is>
          <t>十三五</t>
        </is>
      </c>
      <c r="K129" s="211" t="inlineStr">
        <is>
          <t>含目标</t>
        </is>
      </c>
      <c r="L129" s="209" t="inlineStr">
        <is>
          <t>PDF</t>
        </is>
      </c>
      <c r="M129" s="209" t="inlineStr">
        <is>
          <t>中文</t>
        </is>
      </c>
      <c r="N129" s="203" t="inlineStr">
        <is>
          <t>http://www.nea.gov.cn/2016-11/29/c_135867633.htm</t>
        </is>
      </c>
    </row>
    <row r="130">
      <c r="B130" s="198" t="inlineStr">
        <is>
          <t>FYP1609</t>
        </is>
      </c>
      <c r="C130" s="208" t="n">
        <v>2016</v>
      </c>
      <c r="D130" s="209" t="inlineStr">
        <is>
          <t>太阳能发展“十三五”规划</t>
        </is>
      </c>
      <c r="E130" s="210" t="inlineStr">
        <is>
          <t>13th Five-Year Plan for Solar Power Development</t>
        </is>
      </c>
      <c r="F130" s="209" t="inlineStr">
        <is>
          <t>国家能源局</t>
        </is>
      </c>
      <c r="G130" s="209" t="inlineStr">
        <is>
          <t>五年规划</t>
        </is>
      </c>
      <c r="H130" s="210" t="inlineStr">
        <is>
          <t>促进减缓</t>
        </is>
      </c>
      <c r="I130" s="211" t="inlineStr">
        <is>
          <t>B.1</t>
        </is>
      </c>
      <c r="J130" s="208" t="inlineStr">
        <is>
          <t>十三五</t>
        </is>
      </c>
      <c r="K130" s="211" t="inlineStr">
        <is>
          <t>无目标</t>
        </is>
      </c>
      <c r="L130" s="209" t="inlineStr">
        <is>
          <t>PDF</t>
        </is>
      </c>
      <c r="M130" s="209" t="inlineStr">
        <is>
          <t>中文</t>
        </is>
      </c>
      <c r="N130" s="203" t="inlineStr">
        <is>
          <t>http://zfxxgk.nea.gov.cn/auto87/201612/t20161216_2358.htm</t>
        </is>
      </c>
    </row>
    <row r="131">
      <c r="B131" s="198" t="inlineStr">
        <is>
          <t>FYP1611</t>
        </is>
      </c>
      <c r="C131" s="208" t="n">
        <v>2016</v>
      </c>
      <c r="D131" s="209" t="inlineStr">
        <is>
          <t>林业发展“十三五”规划</t>
        </is>
      </c>
      <c r="E131" s="210" t="inlineStr">
        <is>
          <t>13th Five-Year Plan for China’s National Forestry Development</t>
        </is>
      </c>
      <c r="F131" s="209" t="inlineStr">
        <is>
          <t>国家林业局</t>
        </is>
      </c>
      <c r="G131" s="209" t="inlineStr">
        <is>
          <t>五年规划</t>
        </is>
      </c>
      <c r="H131" s="210" t="inlineStr">
        <is>
          <t>经济规划（含气候）</t>
        </is>
      </c>
      <c r="I131" s="211" t="inlineStr">
        <is>
          <t>B.5</t>
        </is>
      </c>
      <c r="J131" s="208" t="inlineStr">
        <is>
          <t>十三五</t>
        </is>
      </c>
      <c r="K131" s="211" t="inlineStr">
        <is>
          <t>含目标</t>
        </is>
      </c>
      <c r="L131" s="209" t="inlineStr">
        <is>
          <t>PDF</t>
        </is>
      </c>
      <c r="M131" s="209" t="inlineStr">
        <is>
          <t>中文</t>
        </is>
      </c>
      <c r="N131" s="203" t="inlineStr">
        <is>
          <t>http://www.gov.cn/xinwen/2016-05/20/content_5074981.htm</t>
        </is>
      </c>
    </row>
    <row r="132">
      <c r="B132" s="198" t="inlineStr">
        <is>
          <t>FYP1612</t>
        </is>
      </c>
      <c r="C132" s="208" t="n">
        <v>2016</v>
      </c>
      <c r="D132" s="209" t="inlineStr">
        <is>
          <t>“十三五”全国城镇污水处理及再生利用设施建设规划</t>
        </is>
      </c>
      <c r="E132" s="210" t="inlineStr">
        <is>
          <t>13th Five-Year Plan for the Construction of Urban Sewage Treatment and Recycling Facilities in China</t>
        </is>
      </c>
      <c r="F132" s="209" t="inlineStr">
        <is>
          <t>国家发展和改革委员会；住房和城乡建设部</t>
        </is>
      </c>
      <c r="G132" s="209" t="inlineStr">
        <is>
          <t>建设规划</t>
        </is>
      </c>
      <c r="H132" s="210" t="inlineStr">
        <is>
          <t>促进减缓</t>
        </is>
      </c>
      <c r="I132" s="211" t="inlineStr">
        <is>
          <t>D.2</t>
        </is>
      </c>
      <c r="J132" s="208" t="inlineStr">
        <is>
          <t>十三五</t>
        </is>
      </c>
      <c r="K132" s="211" t="inlineStr">
        <is>
          <t>含目标</t>
        </is>
      </c>
      <c r="L132" s="209" t="inlineStr">
        <is>
          <t>PDF</t>
        </is>
      </c>
      <c r="M132" s="209" t="inlineStr">
        <is>
          <t>中文</t>
        </is>
      </c>
      <c r="N132" s="203" t="inlineStr">
        <is>
          <t>https://www.ndrc.gov.cn/xxgk/zcfb/ghwb/201701/t20170122_962224.html</t>
        </is>
      </c>
    </row>
    <row r="133">
      <c r="B133" s="198" t="inlineStr">
        <is>
          <t>FYP1613</t>
        </is>
      </c>
      <c r="C133" s="208" t="n">
        <v>2016</v>
      </c>
      <c r="D133" s="210" t="inlineStr">
        <is>
          <t>“十三五”国家战略性新兴产业发展规划</t>
        </is>
      </c>
      <c r="E133" s="210" t="inlineStr">
        <is>
          <t>13th Five-Year Plan for National Strategic Emerging Industries</t>
        </is>
      </c>
      <c r="F133" s="209" t="inlineStr">
        <is>
          <t>国务院</t>
        </is>
      </c>
      <c r="G133" s="209" t="inlineStr">
        <is>
          <t>发展规划</t>
        </is>
      </c>
      <c r="H133" s="210" t="inlineStr">
        <is>
          <t>经济规划（含气候）</t>
        </is>
      </c>
      <c r="I133" s="211" t="inlineStr">
        <is>
          <t>B.2</t>
        </is>
      </c>
      <c r="J133" s="208" t="inlineStr">
        <is>
          <t>十三五</t>
        </is>
      </c>
      <c r="K133" s="211" t="inlineStr">
        <is>
          <t>含目标</t>
        </is>
      </c>
      <c r="L133" s="209" t="inlineStr">
        <is>
          <t>HTM</t>
        </is>
      </c>
      <c r="M133" s="209" t="inlineStr">
        <is>
          <t>中文</t>
        </is>
      </c>
      <c r="N133" s="203" t="inlineStr">
        <is>
          <t>https://www.gov.cn/zhengce/content/2016-12/19/content_5150090.htm</t>
        </is>
      </c>
    </row>
    <row r="134">
      <c r="B134" s="198" t="inlineStr">
        <is>
          <t>FYP1614</t>
        </is>
      </c>
      <c r="C134" s="208" t="n">
        <v>2016</v>
      </c>
      <c r="D134" s="209" t="inlineStr">
        <is>
          <t>页岩气发展规划（2016-2020年）</t>
        </is>
      </c>
      <c r="E134" s="210" t="inlineStr">
        <is>
          <t>13th Five-Year Plan for Shale Gas (2016–2020)</t>
        </is>
      </c>
      <c r="F134" s="209" t="inlineStr">
        <is>
          <t>国家能源局</t>
        </is>
      </c>
      <c r="G134" s="209" t="inlineStr">
        <is>
          <t>发展规划</t>
        </is>
      </c>
      <c r="H134" s="210" t="inlineStr">
        <is>
          <t>化石能源</t>
        </is>
      </c>
      <c r="I134" s="211" t="inlineStr">
        <is>
          <t>B.1, B.2</t>
        </is>
      </c>
      <c r="J134" s="208" t="inlineStr">
        <is>
          <t>十三五</t>
        </is>
      </c>
      <c r="K134" s="211" t="inlineStr">
        <is>
          <t>含目标</t>
        </is>
      </c>
      <c r="L134" s="209" t="inlineStr">
        <is>
          <t>HTM</t>
        </is>
      </c>
      <c r="M134" s="209" t="inlineStr">
        <is>
          <t>中文</t>
        </is>
      </c>
      <c r="N134" s="203" t="inlineStr">
        <is>
          <t>http://www.gov.cn/xinwen/2016-09/30/content_5114313.htm</t>
        </is>
      </c>
    </row>
    <row r="135">
      <c r="B135" s="198" t="inlineStr">
        <is>
          <t>FYP1615</t>
        </is>
      </c>
      <c r="C135" s="208" t="n">
        <v>2016</v>
      </c>
      <c r="D135" s="209" t="inlineStr">
        <is>
          <t>“十三五”控制温室气体排放工作方案</t>
        </is>
      </c>
      <c r="E135" s="210" t="inlineStr">
        <is>
          <t>13th Five-Year Plan for Greenhouse Gas Emission Control</t>
        </is>
      </c>
      <c r="F135" s="209" t="inlineStr">
        <is>
          <t>国务院</t>
        </is>
      </c>
      <c r="G135" s="209" t="inlineStr">
        <is>
          <t>工作方案</t>
        </is>
      </c>
      <c r="H135" s="210" t="inlineStr">
        <is>
          <t>明确减缓</t>
        </is>
      </c>
      <c r="I135" s="211" t="inlineStr">
        <is>
          <t>A</t>
        </is>
      </c>
      <c r="J135" s="208" t="inlineStr">
        <is>
          <t>十三五</t>
        </is>
      </c>
      <c r="K135" s="211" t="inlineStr">
        <is>
          <t>含目标</t>
        </is>
      </c>
      <c r="L135" s="209" t="inlineStr">
        <is>
          <t>HTM</t>
        </is>
      </c>
      <c r="M135" s="209" t="inlineStr">
        <is>
          <t>中文</t>
        </is>
      </c>
      <c r="N135" s="203" t="inlineStr">
        <is>
          <t>https://www.mee.gov.cn/ywgz/ydqhbh/wsqtkz/201904/t20190419_700360.shtml</t>
        </is>
      </c>
    </row>
    <row r="136">
      <c r="B136" s="198" t="inlineStr">
        <is>
          <t>FYP1616</t>
        </is>
      </c>
      <c r="C136" s="208" t="n">
        <v>2016</v>
      </c>
      <c r="D136" s="209" t="inlineStr">
        <is>
          <t>可再生能源发展“十三五”规划</t>
        </is>
      </c>
      <c r="E136" s="210" t="inlineStr">
        <is>
          <t>13th Five-Year Plan for Renewable Energy Development</t>
        </is>
      </c>
      <c r="F136" s="209" t="inlineStr">
        <is>
          <t>国家发展和改革委员会</t>
        </is>
      </c>
      <c r="G136" s="209" t="inlineStr">
        <is>
          <t>五年规划</t>
        </is>
      </c>
      <c r="H136" s="210" t="inlineStr">
        <is>
          <t>促进减缓</t>
        </is>
      </c>
      <c r="I136" s="211" t="inlineStr">
        <is>
          <t>B.1</t>
        </is>
      </c>
      <c r="J136" s="208" t="inlineStr">
        <is>
          <t>十三五</t>
        </is>
      </c>
      <c r="K136" s="211" t="inlineStr">
        <is>
          <t>含目标</t>
        </is>
      </c>
      <c r="L136" s="209" t="inlineStr">
        <is>
          <t>HTM</t>
        </is>
      </c>
      <c r="M136" s="209" t="inlineStr">
        <is>
          <t>中文</t>
        </is>
      </c>
      <c r="N136" s="203" t="inlineStr">
        <is>
          <t>https://www.ndrc.gov.cn/xxgk/zcfb/ghwb/201612/t20161216_962211.html</t>
        </is>
      </c>
    </row>
    <row r="137" ht="14.5" customHeight="1" s="235">
      <c r="B137" s="198" t="inlineStr">
        <is>
          <t>FYP1617</t>
        </is>
      </c>
      <c r="C137" s="208" t="n">
        <v>2016</v>
      </c>
      <c r="D137" s="209" t="inlineStr">
        <is>
          <t>交通运输节能环保“十三五”发展规划</t>
        </is>
      </c>
      <c r="E137" s="210" t="inlineStr">
        <is>
          <t>13th Five-Year Development Plan for Energy Conservation and Environmental Protection in Transportation</t>
        </is>
      </c>
      <c r="F137" s="209" t="inlineStr">
        <is>
          <t>交通运输部</t>
        </is>
      </c>
      <c r="G137" s="209" t="inlineStr">
        <is>
          <t>发展规划</t>
        </is>
      </c>
      <c r="H137" s="210" t="inlineStr">
        <is>
          <t>促进减缓</t>
        </is>
      </c>
      <c r="I137" s="211" t="inlineStr">
        <is>
          <t>B.4</t>
        </is>
      </c>
      <c r="J137" s="208" t="inlineStr">
        <is>
          <t>十三五</t>
        </is>
      </c>
      <c r="K137" s="211" t="inlineStr">
        <is>
          <t>含目标</t>
        </is>
      </c>
      <c r="L137" s="209" t="inlineStr">
        <is>
          <t>PDF</t>
        </is>
      </c>
      <c r="M137" s="209" t="inlineStr">
        <is>
          <t>中文</t>
        </is>
      </c>
      <c r="N137" s="203" t="inlineStr">
        <is>
          <t>https://zjjcmspublic.oss-cn-hangzhou-zwynet-d01-a.internet.cloud.zj.gov.cn/jcms_files/jcms1/web3234/site/attach/0/562db9fdbf644a6996c8e7dc97c18dfc.pdf</t>
        </is>
      </c>
    </row>
    <row r="138">
      <c r="B138" s="198" t="inlineStr">
        <is>
          <t>FYP1618</t>
        </is>
      </c>
      <c r="C138" s="208" t="n">
        <v>2016</v>
      </c>
      <c r="D138" s="209" t="inlineStr">
        <is>
          <t>公共机构节约能源资源十三五规划</t>
        </is>
      </c>
      <c r="E138" s="210" t="inlineStr">
        <is>
          <t>13th Five-Year Plan for Energy and Resource Conservation by Public Institutions</t>
        </is>
      </c>
      <c r="F138" s="209" t="inlineStr">
        <is>
          <t>国家机关事务管理局；国家发展和改革委员会</t>
        </is>
      </c>
      <c r="G138" s="209" t="inlineStr">
        <is>
          <t>五年规划</t>
        </is>
      </c>
      <c r="H138" s="210" t="inlineStr">
        <is>
          <t>促进减缓</t>
        </is>
      </c>
      <c r="I138" s="211" t="inlineStr">
        <is>
          <t>B.3</t>
        </is>
      </c>
      <c r="J138" s="208" t="inlineStr">
        <is>
          <t>十三五</t>
        </is>
      </c>
      <c r="K138" s="211" t="inlineStr">
        <is>
          <t>含目标</t>
        </is>
      </c>
      <c r="L138" s="209" t="inlineStr">
        <is>
          <t>HTM</t>
        </is>
      </c>
      <c r="M138" s="209" t="inlineStr">
        <is>
          <t>中文</t>
        </is>
      </c>
      <c r="N138" s="203" t="inlineStr">
        <is>
          <t>https://baike.baidu.com/item/%E5%85%AC%E5%85%B1%E6%9C%BA%E6%9E%84%E8%8A%82%E7%BA%A6%E8%83%BD%E6%BA%90%E8%B5%84%E6%BA%90%E5%8D%81%E4%B8%89%E4%BA%94%E8%A7%84%E5%88%92/19879514</t>
        </is>
      </c>
    </row>
    <row r="139">
      <c r="B139" s="198" t="inlineStr">
        <is>
          <t>FYP1619</t>
        </is>
      </c>
      <c r="C139" s="208" t="n">
        <v>2016</v>
      </c>
      <c r="D139" s="209" t="inlineStr">
        <is>
          <t>公路水路交通运输节能减排“十三五”规划</t>
        </is>
      </c>
      <c r="E139" s="210" t="inlineStr">
        <is>
          <t>13th Five-Year Plan for Energy Conservation and Emissions Reduction in Road and Water Transport</t>
        </is>
      </c>
      <c r="F139" s="209" t="inlineStr">
        <is>
          <t>交通运输部</t>
        </is>
      </c>
      <c r="G139" s="209" t="inlineStr">
        <is>
          <t>五年规划</t>
        </is>
      </c>
      <c r="H139" s="210" t="inlineStr">
        <is>
          <t>明确减缓</t>
        </is>
      </c>
      <c r="I139" s="211" t="inlineStr">
        <is>
          <t>B.4</t>
        </is>
      </c>
      <c r="J139" s="208" t="inlineStr">
        <is>
          <t>十三五</t>
        </is>
      </c>
      <c r="K139" s="211" t="inlineStr">
        <is>
          <t>无目标</t>
        </is>
      </c>
      <c r="L139" s="209" t="inlineStr">
        <is>
          <t>PDF</t>
        </is>
      </c>
      <c r="M139" s="209" t="inlineStr">
        <is>
          <t>中文</t>
        </is>
      </c>
      <c r="N139" s="203" t="inlineStr">
        <is>
          <t>https://xxgk.mot.gov.cn/jigou/fgs/202006/t20200623_3307639.html</t>
        </is>
      </c>
      <c r="O139" s="213" t="n"/>
    </row>
    <row r="140">
      <c r="B140" s="198" t="inlineStr">
        <is>
          <t>FYP1620</t>
        </is>
      </c>
      <c r="C140" s="208" t="n">
        <v>2016</v>
      </c>
      <c r="D140" s="209" t="inlineStr">
        <is>
          <t>海洋可再生能源发展“十三五”规划</t>
        </is>
      </c>
      <c r="E140" s="210" t="inlineStr">
        <is>
          <t>13th Five-Year Plan for Ocean Energy Development</t>
        </is>
      </c>
      <c r="F140" s="209" t="inlineStr">
        <is>
          <t>国家海洋局</t>
        </is>
      </c>
      <c r="G140" s="209" t="inlineStr">
        <is>
          <t>五年规划</t>
        </is>
      </c>
      <c r="H140" s="210" t="inlineStr">
        <is>
          <t>促进减缓</t>
        </is>
      </c>
      <c r="I140" s="211" t="inlineStr">
        <is>
          <t>B.1</t>
        </is>
      </c>
      <c r="J140" s="208" t="inlineStr">
        <is>
          <t>十三五</t>
        </is>
      </c>
      <c r="K140" s="211" t="inlineStr">
        <is>
          <t>含目标</t>
        </is>
      </c>
      <c r="L140" s="209" t="inlineStr">
        <is>
          <t>HTM</t>
        </is>
      </c>
      <c r="M140" s="209" t="inlineStr">
        <is>
          <t>中文</t>
        </is>
      </c>
      <c r="N140" s="203" t="inlineStr">
        <is>
          <t>https://gc.mnr.gov.cn/201806/t20180614_1796496.html</t>
        </is>
      </c>
    </row>
    <row r="141" ht="14.5" customHeight="1" s="235">
      <c r="B141" s="198" t="inlineStr">
        <is>
          <t>FYP1622</t>
        </is>
      </c>
      <c r="C141" s="208" t="n">
        <v>2016</v>
      </c>
      <c r="D141" s="209" t="inlineStr">
        <is>
          <t>“十三五”节能环保产业发展规划</t>
        </is>
      </c>
      <c r="E141" s="210" t="inlineStr">
        <is>
          <t>13th FYP for Developing Energy Conservation and Environmental Protection Industries</t>
        </is>
      </c>
      <c r="F141" s="209" t="inlineStr">
        <is>
          <t>国家发展和改革委员会；科学技术部；工业和信息化部；环境保护部</t>
        </is>
      </c>
      <c r="G141" s="209" t="inlineStr">
        <is>
          <t>五年规划</t>
        </is>
      </c>
      <c r="H141" s="210" t="inlineStr">
        <is>
          <t>促进减缓</t>
        </is>
      </c>
      <c r="I141" s="211" t="inlineStr">
        <is>
          <t>B.2</t>
        </is>
      </c>
      <c r="J141" s="208" t="inlineStr">
        <is>
          <t>十三五</t>
        </is>
      </c>
      <c r="K141" s="211" t="inlineStr">
        <is>
          <t>无目标</t>
        </is>
      </c>
      <c r="L141" s="209" t="inlineStr">
        <is>
          <t>PDF</t>
        </is>
      </c>
      <c r="M141" s="209" t="inlineStr">
        <is>
          <t>中文</t>
        </is>
      </c>
      <c r="N141" s="203" t="inlineStr">
        <is>
          <t>https://en.gem.com.cn/upload/2017-01/06/6guanyuyinfashisanwujienenghuanbaochanyefazhanguihuadetongzhi.pdf</t>
        </is>
      </c>
    </row>
    <row r="142">
      <c r="B142" s="198" t="inlineStr">
        <is>
          <t>FYP1623</t>
        </is>
      </c>
      <c r="C142" s="208" t="n">
        <v>2016</v>
      </c>
      <c r="D142" s="209" t="inlineStr">
        <is>
          <t>“十三五”全民节能行动计划</t>
        </is>
      </c>
      <c r="E142" s="210" t="inlineStr">
        <is>
          <t>13th Five-Year Plan for National Energy Conservation Action</t>
        </is>
      </c>
      <c r="F142" s="209" t="inlineStr">
        <is>
          <t>国家发展和改革委员会；科学技术部；工业和信息化部；财政部；住房和城乡建设部；交通运输部；农业部；国务院国有资产监督管理委员会；国家税务总局；国家统计局；国家能源局</t>
        </is>
      </c>
      <c r="G142" s="209" t="inlineStr">
        <is>
          <t>行动计划</t>
        </is>
      </c>
      <c r="H142" s="210" t="inlineStr">
        <is>
          <t>促进减缓</t>
        </is>
      </c>
      <c r="I142" s="211" t="inlineStr">
        <is>
          <t>B.1</t>
        </is>
      </c>
      <c r="J142" s="208" t="inlineStr">
        <is>
          <t>十三五</t>
        </is>
      </c>
      <c r="K142" s="211" t="inlineStr">
        <is>
          <t>含目标</t>
        </is>
      </c>
      <c r="L142" s="209" t="inlineStr">
        <is>
          <t>PDF</t>
        </is>
      </c>
      <c r="M142" s="209" t="inlineStr">
        <is>
          <t>中文</t>
        </is>
      </c>
      <c r="N142" s="203" t="inlineStr">
        <is>
          <t>https://www.ndrc.gov.cn/fggz/hjyzy/jnhnx/201701/t20170105_1134128.html?code=&amp;state=123</t>
        </is>
      </c>
    </row>
    <row r="143">
      <c r="B143" s="198" t="inlineStr">
        <is>
          <t>FYP1624</t>
        </is>
      </c>
      <c r="C143" s="208" t="n">
        <v>2016</v>
      </c>
      <c r="D143" s="209" t="inlineStr">
        <is>
          <t>石油天然气发展“十三五”规划</t>
        </is>
      </c>
      <c r="E143" s="210" t="inlineStr">
        <is>
          <t>13th Five-Year Plan for the Development of Oil and Natural Gas</t>
        </is>
      </c>
      <c r="F143" s="209" t="inlineStr">
        <is>
          <t>国家发展和改革委员会</t>
        </is>
      </c>
      <c r="G143" s="209" t="inlineStr">
        <is>
          <t>五年规划</t>
        </is>
      </c>
      <c r="H143" s="210" t="inlineStr">
        <is>
          <t>化石能源</t>
        </is>
      </c>
      <c r="I143" s="211" t="inlineStr">
        <is>
          <t>B.1</t>
        </is>
      </c>
      <c r="J143" s="208" t="inlineStr">
        <is>
          <t>十三五</t>
        </is>
      </c>
      <c r="K143" s="211" t="inlineStr">
        <is>
          <t>含目标</t>
        </is>
      </c>
      <c r="L143" s="209" t="inlineStr">
        <is>
          <t>PDF</t>
        </is>
      </c>
      <c r="M143" s="209" t="inlineStr">
        <is>
          <t>中文</t>
        </is>
      </c>
      <c r="N143" s="214" t="inlineStr">
        <is>
          <t>https://www.ndrc.gov.cn/xxgk/zcfb/tz/201701/t20170119_962876.html?code=&amp;state=123</t>
        </is>
      </c>
    </row>
    <row r="144">
      <c r="B144" s="198" t="inlineStr">
        <is>
          <t>FYP1625</t>
        </is>
      </c>
      <c r="C144" s="208" t="n">
        <v>2016</v>
      </c>
      <c r="D144" s="209" t="inlineStr">
        <is>
          <t>天然气发展“十三五”规划</t>
        </is>
      </c>
      <c r="E144" s="210" t="inlineStr">
        <is>
          <t>13th Five-Year Plan for Natural Gas Development</t>
        </is>
      </c>
      <c r="F144" s="209" t="inlineStr">
        <is>
          <t>国家发展和改革委员会</t>
        </is>
      </c>
      <c r="G144" s="209" t="inlineStr">
        <is>
          <t>五年规划</t>
        </is>
      </c>
      <c r="H144" s="210" t="inlineStr">
        <is>
          <t>化石能源</t>
        </is>
      </c>
      <c r="I144" s="211" t="inlineStr">
        <is>
          <t>B.1</t>
        </is>
      </c>
      <c r="J144" s="208" t="inlineStr">
        <is>
          <t>十三五</t>
        </is>
      </c>
      <c r="K144" s="211" t="inlineStr">
        <is>
          <t>含目标</t>
        </is>
      </c>
      <c r="L144" s="209" t="inlineStr">
        <is>
          <t>PDF</t>
        </is>
      </c>
      <c r="M144" s="209" t="inlineStr">
        <is>
          <t>中文</t>
        </is>
      </c>
      <c r="N144" s="203" t="inlineStr">
        <is>
          <t>https://www.ndrc.gov.cn/xxgk/zcfb/tz/201701/t20170119_962876.html?code=&amp;state=123</t>
        </is>
      </c>
    </row>
    <row r="145">
      <c r="B145" s="198" t="inlineStr">
        <is>
          <t>FYP1626</t>
        </is>
      </c>
      <c r="C145" s="208" t="n">
        <v>2016</v>
      </c>
      <c r="D145" s="209" t="inlineStr">
        <is>
          <t>钢铁工业调整升级规划（2016－2020年）</t>
        </is>
      </c>
      <c r="E145" s="210" t="inlineStr">
        <is>
          <t>13th Five-Year Steel Industry Adjustment and Upgrading Plan (2016–2020)</t>
        </is>
      </c>
      <c r="F145" s="209" t="inlineStr">
        <is>
          <t>工业和信息化部</t>
        </is>
      </c>
      <c r="G145" s="209" t="inlineStr">
        <is>
          <t>规划</t>
        </is>
      </c>
      <c r="H145" s="210" t="inlineStr">
        <is>
          <t>经济规划（含气候）</t>
        </is>
      </c>
      <c r="I145" s="211" t="inlineStr">
        <is>
          <t>B.2</t>
        </is>
      </c>
      <c r="J145" s="208" t="inlineStr">
        <is>
          <t>十三五</t>
        </is>
      </c>
      <c r="K145" s="211" t="inlineStr">
        <is>
          <t>含目标</t>
        </is>
      </c>
      <c r="L145" s="209" t="inlineStr">
        <is>
          <t>PDF</t>
        </is>
      </c>
      <c r="M145" s="209" t="inlineStr">
        <is>
          <t>中文</t>
        </is>
      </c>
      <c r="N145" s="203" t="inlineStr">
        <is>
          <t>https://www.ndrc.gov.cn/fggz/fzzlgh/gjjzxgh/201706/t20170621_1196816.html</t>
        </is>
      </c>
    </row>
    <row r="146">
      <c r="B146" s="198" t="inlineStr">
        <is>
          <t>FYP1702</t>
        </is>
      </c>
      <c r="C146" s="208" t="n">
        <v>2017</v>
      </c>
      <c r="D146" s="209" t="inlineStr">
        <is>
          <t>民航节能减排“十三五”规划</t>
        </is>
      </c>
      <c r="E146" s="210" t="inlineStr">
        <is>
          <t>13th Five-Year Plan for Energy Conservation and Emission Reduction in Civil Aviation</t>
        </is>
      </c>
      <c r="F146" s="209" t="inlineStr">
        <is>
          <t>中国民用航空局</t>
        </is>
      </c>
      <c r="G146" s="209" t="inlineStr">
        <is>
          <t>五年规划</t>
        </is>
      </c>
      <c r="H146" s="210" t="inlineStr">
        <is>
          <t>明确减缓</t>
        </is>
      </c>
      <c r="I146" s="211" t="inlineStr">
        <is>
          <t>B.4</t>
        </is>
      </c>
      <c r="J146" s="208" t="inlineStr">
        <is>
          <t>十三五</t>
        </is>
      </c>
      <c r="K146" s="211" t="inlineStr">
        <is>
          <t>含目标</t>
        </is>
      </c>
      <c r="L146" s="209" t="inlineStr">
        <is>
          <t>PDF</t>
        </is>
      </c>
      <c r="M146" s="209" t="inlineStr">
        <is>
          <t>中文</t>
        </is>
      </c>
      <c r="N146" s="203" t="inlineStr">
        <is>
          <t>https://ccnt.igdp.cn/en/action-database/details/39e0200d00a3f18ff35701521411b80549eb9ab764543c50978e38d3fa57e438</t>
        </is>
      </c>
    </row>
    <row r="147">
      <c r="B147" s="198" t="inlineStr">
        <is>
          <t>FYP1703</t>
        </is>
      </c>
      <c r="C147" s="208" t="n">
        <v>2017</v>
      </c>
      <c r="D147" s="209" t="inlineStr">
        <is>
          <t>地热能开发利用“十三五”规划</t>
        </is>
      </c>
      <c r="E147" s="210" t="inlineStr">
        <is>
          <t>13th Five-Year Plan for Geothermal Energy Development and Utilization</t>
        </is>
      </c>
      <c r="F147" s="209" t="inlineStr">
        <is>
          <t>国家发展和改革委员会；国家能源局；国土资源部</t>
        </is>
      </c>
      <c r="G147" s="209" t="inlineStr">
        <is>
          <t>五年规划</t>
        </is>
      </c>
      <c r="H147" s="210" t="inlineStr">
        <is>
          <t>促进减缓</t>
        </is>
      </c>
      <c r="I147" s="211" t="inlineStr">
        <is>
          <t>B.1</t>
        </is>
      </c>
      <c r="J147" s="208" t="inlineStr">
        <is>
          <t>十三五</t>
        </is>
      </c>
      <c r="K147" s="211" t="inlineStr">
        <is>
          <t>无目标</t>
        </is>
      </c>
      <c r="L147" s="209" t="inlineStr">
        <is>
          <t>PDF</t>
        </is>
      </c>
      <c r="M147" s="209" t="inlineStr">
        <is>
          <t>中文</t>
        </is>
      </c>
      <c r="N147" s="203" t="inlineStr">
        <is>
          <t>http://www.nea.gov.cn/2017-02/06/c_136035635.htm</t>
        </is>
      </c>
    </row>
    <row r="148">
      <c r="B148" s="198" t="inlineStr">
        <is>
          <t>FYP1704</t>
        </is>
      </c>
      <c r="C148" s="208" t="n">
        <v>2017</v>
      </c>
      <c r="D148" s="209" t="inlineStr">
        <is>
          <t>“十三五”应对气候变化科技创新专项规划</t>
        </is>
      </c>
      <c r="E148" s="210" t="inlineStr">
        <is>
          <t>13th Five-Year Plan on Science and Technology Development in Tackling Climate Change</t>
        </is>
      </c>
      <c r="F148" s="209" t="inlineStr">
        <is>
          <t>科学技术部；环境保护部；中国气象局</t>
        </is>
      </c>
      <c r="G148" s="209" t="inlineStr">
        <is>
          <t>五年规划</t>
        </is>
      </c>
      <c r="H148" s="210" t="inlineStr">
        <is>
          <t>明确减缓</t>
        </is>
      </c>
      <c r="I148" s="211" t="inlineStr">
        <is>
          <t>C.1</t>
        </is>
      </c>
      <c r="J148" s="208" t="inlineStr">
        <is>
          <t>十三五</t>
        </is>
      </c>
      <c r="K148" s="211" t="inlineStr">
        <is>
          <t>无目标</t>
        </is>
      </c>
      <c r="L148" s="209" t="inlineStr">
        <is>
          <t>HTM</t>
        </is>
      </c>
      <c r="M148" s="209" t="inlineStr">
        <is>
          <t>中文</t>
        </is>
      </c>
      <c r="N148" s="203" t="inlineStr">
        <is>
          <t>https://www.most.gov.cn/xxgk/xinxifenlei/fdzdgknr/fgzc/gfxwj/gfxwj2017/201705/t20170517_132850.html</t>
        </is>
      </c>
    </row>
    <row r="149">
      <c r="B149" s="198" t="inlineStr">
        <is>
          <t>FYP1705</t>
        </is>
      </c>
      <c r="C149" s="208" t="n">
        <v>2017</v>
      </c>
      <c r="D149" s="209" t="inlineStr">
        <is>
          <t>“十三五”现代综合交通运输体系发展规划</t>
        </is>
      </c>
      <c r="E149" s="210" t="inlineStr">
        <is>
          <t>13th Five-Year Plan for the Development of Modern Comprehensive Transportation System</t>
        </is>
      </c>
      <c r="F149" s="209" t="inlineStr">
        <is>
          <t>国务院</t>
        </is>
      </c>
      <c r="G149" s="209" t="inlineStr">
        <is>
          <t>发展规划</t>
        </is>
      </c>
      <c r="H149" s="210" t="inlineStr">
        <is>
          <t>经济规划（含气候）</t>
        </is>
      </c>
      <c r="I149" s="211" t="inlineStr">
        <is>
          <t>B.4</t>
        </is>
      </c>
      <c r="J149" s="208" t="inlineStr">
        <is>
          <t>十三五</t>
        </is>
      </c>
      <c r="K149" s="211" t="inlineStr">
        <is>
          <t>含目标</t>
        </is>
      </c>
      <c r="L149" s="209" t="inlineStr">
        <is>
          <t>HTM</t>
        </is>
      </c>
      <c r="M149" s="209" t="inlineStr">
        <is>
          <t>中文</t>
        </is>
      </c>
      <c r="N149" s="203" t="inlineStr">
        <is>
          <t>https://baike.baidu.com/item/%E2%80%9C%E5%8D%81%E4%B8%89%E4%BA%94%E2%80%9D%E7%8E%B0%E4%BB%A3%E7%BB%BC%E5%90%88%E4%BA%A4%E9%80%9A%E8%BF%90%E8%BE%93%E4%BD%93%E7%B3%BB%E5%8F%91%E5%B1%95%E8%A7%84%E5%88%92/20457990</t>
        </is>
      </c>
    </row>
    <row r="150">
      <c r="B150" s="198" t="inlineStr">
        <is>
          <t>FYP1706</t>
        </is>
      </c>
      <c r="C150" s="208" t="n">
        <v>2017</v>
      </c>
      <c r="D150" s="209" t="inlineStr">
        <is>
          <t>建筑节能与绿色建筑发展“十三五”规划</t>
        </is>
      </c>
      <c r="E150" s="210" t="inlineStr">
        <is>
          <t>13th Five-Year Plan for the Development of Energy Efficient and Green Buildings</t>
        </is>
      </c>
      <c r="F150" s="209" t="inlineStr">
        <is>
          <t>住房和城乡建设部</t>
        </is>
      </c>
      <c r="G150" s="209" t="inlineStr">
        <is>
          <t>五年规划</t>
        </is>
      </c>
      <c r="H150" s="210" t="inlineStr">
        <is>
          <t>明确减缓</t>
        </is>
      </c>
      <c r="I150" s="211" t="inlineStr">
        <is>
          <t>B.3</t>
        </is>
      </c>
      <c r="J150" s="208" t="inlineStr">
        <is>
          <t>十三五</t>
        </is>
      </c>
      <c r="K150" s="211" t="inlineStr">
        <is>
          <t>含目标</t>
        </is>
      </c>
      <c r="L150" s="209" t="inlineStr">
        <is>
          <t>PDF</t>
        </is>
      </c>
      <c r="M150" s="209" t="inlineStr">
        <is>
          <t>中文</t>
        </is>
      </c>
      <c r="N150" s="203" t="inlineStr">
        <is>
          <t>https://www.chinanecc.cn/upload/File/1489627753056.pdf</t>
        </is>
      </c>
    </row>
    <row r="151">
      <c r="B151" s="198" t="inlineStr">
        <is>
          <t>FYP2101</t>
        </is>
      </c>
      <c r="C151" s="208" t="n">
        <v>2021</v>
      </c>
      <c r="D151" s="209" t="inlineStr">
        <is>
          <t>“十四五”工业绿色发展规划</t>
        </is>
      </c>
      <c r="E151" s="210" t="inlineStr">
        <is>
          <t>14th Five-Year Plan for Green Industrial Development</t>
        </is>
      </c>
      <c r="F151" s="209" t="inlineStr">
        <is>
          <t>工业和信息化部；国家发展和改革委员会；生态环境部</t>
        </is>
      </c>
      <c r="G151" s="209" t="inlineStr">
        <is>
          <t>发展规划</t>
        </is>
      </c>
      <c r="H151" s="210" t="inlineStr">
        <is>
          <t>明确减缓</t>
        </is>
      </c>
      <c r="I151" s="211" t="inlineStr">
        <is>
          <t>B.2</t>
        </is>
      </c>
      <c r="J151" s="208" t="inlineStr">
        <is>
          <t>十四五</t>
        </is>
      </c>
      <c r="K151" s="211" t="inlineStr">
        <is>
          <t>含目标</t>
        </is>
      </c>
      <c r="L151" s="209" t="inlineStr">
        <is>
          <t>PDF</t>
        </is>
      </c>
      <c r="M151" s="209" t="inlineStr">
        <is>
          <t>中文</t>
        </is>
      </c>
      <c r="N151" s="203" t="inlineStr">
        <is>
          <t>http://www.gov.cn/zhengce/zhengceku/2021-12/03/content_5655701.htm</t>
        </is>
      </c>
    </row>
    <row r="152">
      <c r="B152" s="198" t="inlineStr">
        <is>
          <t>FYP2102</t>
        </is>
      </c>
      <c r="C152" s="208" t="n">
        <v>2021</v>
      </c>
      <c r="D152" s="209" t="inlineStr">
        <is>
          <t>“十四五”原材料工业发展规划</t>
        </is>
      </c>
      <c r="E152" s="210" t="inlineStr">
        <is>
          <t>14th Five-Year Plan for the Development of Raw Materials Industry</t>
        </is>
      </c>
      <c r="F152" s="209" t="inlineStr">
        <is>
          <t>工业和信息化部；科学技术部；自然资源部</t>
        </is>
      </c>
      <c r="G152" s="209" t="inlineStr">
        <is>
          <t>发展规划</t>
        </is>
      </c>
      <c r="H152" s="210" t="inlineStr">
        <is>
          <t>经济规划（含气候）</t>
        </is>
      </c>
      <c r="I152" s="211" t="inlineStr">
        <is>
          <t>B.2</t>
        </is>
      </c>
      <c r="J152" s="208" t="inlineStr">
        <is>
          <t>十四五</t>
        </is>
      </c>
      <c r="K152" s="211" t="inlineStr">
        <is>
          <t>无目标</t>
        </is>
      </c>
      <c r="L152" s="209" t="inlineStr">
        <is>
          <t>PDF</t>
        </is>
      </c>
      <c r="M152" s="209" t="inlineStr">
        <is>
          <t>中文</t>
        </is>
      </c>
      <c r="N152" s="203" t="inlineStr">
        <is>
          <t>https://www.gov.cn/zhengce/zhengceku/2021-12/29/5665166/files/90c1c79a00b44c67b59c29392476c862.pdf</t>
        </is>
      </c>
    </row>
    <row r="153">
      <c r="B153" s="198" t="inlineStr">
        <is>
          <t>FYP2103</t>
        </is>
      </c>
      <c r="C153" s="208" t="n">
        <v>2021</v>
      </c>
      <c r="D153" s="209" t="inlineStr">
        <is>
          <t>“十四五”现代综合交通运输体系发展规划</t>
        </is>
      </c>
      <c r="E153" s="210" t="inlineStr">
        <is>
          <t>14th Five-Year Plan for the Development of Modern Comprehensive Transportation System</t>
        </is>
      </c>
      <c r="F153" s="209" t="inlineStr">
        <is>
          <t>国务院</t>
        </is>
      </c>
      <c r="G153" s="209" t="inlineStr">
        <is>
          <t>发展规划</t>
        </is>
      </c>
      <c r="H153" s="210" t="inlineStr">
        <is>
          <t>经济规划（含气候）</t>
        </is>
      </c>
      <c r="I153" s="211" t="inlineStr">
        <is>
          <t>B.4</t>
        </is>
      </c>
      <c r="J153" s="208" t="inlineStr">
        <is>
          <t>十四五</t>
        </is>
      </c>
      <c r="K153" s="211" t="inlineStr">
        <is>
          <t>无目标</t>
        </is>
      </c>
      <c r="L153" s="209" t="inlineStr">
        <is>
          <t>HTM</t>
        </is>
      </c>
      <c r="M153" s="209" t="inlineStr">
        <is>
          <t>中文</t>
        </is>
      </c>
      <c r="N153" s="203" t="inlineStr">
        <is>
          <t>https://www.gov.cn/zhengce/content/2022-01/18/content_5669049.htm</t>
        </is>
      </c>
    </row>
    <row r="154">
      <c r="B154" s="198" t="inlineStr">
        <is>
          <t>FYP2104</t>
        </is>
      </c>
      <c r="C154" s="208" t="n">
        <v>2021</v>
      </c>
      <c r="D154" s="209" t="inlineStr">
        <is>
          <t>绿色交通“十四五”发展规划</t>
        </is>
      </c>
      <c r="E154" s="210" t="inlineStr">
        <is>
          <t>14th Five-Year Plan for the Development of Green Transportation</t>
        </is>
      </c>
      <c r="F154" s="209" t="inlineStr">
        <is>
          <t>交通运输部</t>
        </is>
      </c>
      <c r="G154" s="209" t="inlineStr">
        <is>
          <t>发展规划</t>
        </is>
      </c>
      <c r="H154" s="210" t="inlineStr">
        <is>
          <t>明确减缓</t>
        </is>
      </c>
      <c r="I154" s="211" t="inlineStr">
        <is>
          <t>B.4</t>
        </is>
      </c>
      <c r="J154" s="208" t="inlineStr">
        <is>
          <t>十四五</t>
        </is>
      </c>
      <c r="K154" s="211" t="inlineStr">
        <is>
          <t>无目标</t>
        </is>
      </c>
      <c r="L154" s="209" t="inlineStr">
        <is>
          <t>PDF</t>
        </is>
      </c>
      <c r="M154" s="209" t="inlineStr">
        <is>
          <t>中文</t>
        </is>
      </c>
      <c r="N154" s="203" t="inlineStr">
        <is>
          <t>https://www.gov.cn/zhengce/zhengceku/2022-01/21/content_5669662.htm</t>
        </is>
      </c>
    </row>
    <row r="155">
      <c r="B155" s="198" t="inlineStr">
        <is>
          <t>FYP2106</t>
        </is>
      </c>
      <c r="C155" s="208" t="n">
        <v>2021</v>
      </c>
      <c r="D155" s="209" t="inlineStr">
        <is>
          <t>“十四五”可再生能源发展规划</t>
        </is>
      </c>
      <c r="E155" s="210" t="inlineStr">
        <is>
          <t>14th Five-Year Plan for Renewable Energy Development</t>
        </is>
      </c>
      <c r="F155" s="209" t="inlineStr">
        <is>
          <t>国家发展和改革委员会；国家能源局；财政部；自然资源部；生态环境部；住房和城乡建设部；农业农村部；中国气象局；国家林业和草原局</t>
        </is>
      </c>
      <c r="G155" s="209" t="inlineStr">
        <is>
          <t>发展规划</t>
        </is>
      </c>
      <c r="H155" s="210" t="inlineStr">
        <is>
          <t>促进减缓</t>
        </is>
      </c>
      <c r="I155" s="211" t="inlineStr">
        <is>
          <t>B.1</t>
        </is>
      </c>
      <c r="J155" s="208" t="inlineStr">
        <is>
          <t>十四五</t>
        </is>
      </c>
      <c r="K155" s="211" t="inlineStr">
        <is>
          <t>含目标</t>
        </is>
      </c>
      <c r="L155" s="209" t="inlineStr">
        <is>
          <t>PDF</t>
        </is>
      </c>
      <c r="M155" s="209" t="inlineStr">
        <is>
          <t>中文</t>
        </is>
      </c>
      <c r="N155" s="203" t="inlineStr">
        <is>
          <t>https://www.ndrc.gov.cn/xxgk/zcfb/ghwb/202206/t20220601_1326719.html</t>
        </is>
      </c>
    </row>
    <row r="156">
      <c r="B156" s="198" t="inlineStr">
        <is>
          <t>FYP2107</t>
        </is>
      </c>
      <c r="C156" s="208" t="n">
        <v>2021</v>
      </c>
      <c r="D156" s="209" t="inlineStr">
        <is>
          <t>“十四五”节能减排综合工作方案</t>
        </is>
      </c>
      <c r="E156" s="210" t="inlineStr">
        <is>
          <t>14th Five-Year Plan on Energy Efficiency and Emission Reduction</t>
        </is>
      </c>
      <c r="F156" s="209" t="inlineStr">
        <is>
          <t>国务院</t>
        </is>
      </c>
      <c r="G156" s="209" t="inlineStr">
        <is>
          <t>工作方案</t>
        </is>
      </c>
      <c r="H156" s="210" t="inlineStr">
        <is>
          <t>明确减缓</t>
        </is>
      </c>
      <c r="I156" s="211" t="inlineStr">
        <is>
          <t>A</t>
        </is>
      </c>
      <c r="J156" s="208" t="inlineStr">
        <is>
          <t>十四五</t>
        </is>
      </c>
      <c r="K156" s="211" t="inlineStr">
        <is>
          <t>含目标</t>
        </is>
      </c>
      <c r="L156" s="209" t="inlineStr">
        <is>
          <t>HTM</t>
        </is>
      </c>
      <c r="M156" s="209" t="inlineStr">
        <is>
          <t>中文</t>
        </is>
      </c>
      <c r="N156" s="203" t="inlineStr">
        <is>
          <t>https://www.gov.cn/zhengce/content/2022-01/24/content_5670202.htm</t>
        </is>
      </c>
    </row>
    <row r="157">
      <c r="B157" s="198" t="inlineStr">
        <is>
          <t>FYP2108</t>
        </is>
      </c>
      <c r="C157" s="208" t="n">
        <v>2021</v>
      </c>
      <c r="D157" s="212" t="inlineStr">
        <is>
          <t>推进资源型地区高质量发展“十四五”实施方案</t>
        </is>
      </c>
      <c r="E157" s="210" t="inlineStr">
        <is>
          <t>14th Five-Year Plan for Promoting High-quality Development in Resource-based Areas</t>
        </is>
      </c>
      <c r="F157" s="209" t="inlineStr">
        <is>
          <t>国家发展和改革委员会；财政部；自然资源部</t>
        </is>
      </c>
      <c r="G157" s="209" t="inlineStr">
        <is>
          <t>实施方案</t>
        </is>
      </c>
      <c r="H157" s="210" t="inlineStr">
        <is>
          <t>经济规划（含气候）</t>
        </is>
      </c>
      <c r="I157" s="211" t="inlineStr">
        <is>
          <t>C.6</t>
        </is>
      </c>
      <c r="J157" s="208" t="inlineStr">
        <is>
          <t>十四五</t>
        </is>
      </c>
      <c r="K157" s="211" t="inlineStr">
        <is>
          <t>无目标</t>
        </is>
      </c>
      <c r="L157" s="209" t="inlineStr">
        <is>
          <t>PDF</t>
        </is>
      </c>
      <c r="M157" s="209" t="inlineStr">
        <is>
          <t>中文</t>
        </is>
      </c>
      <c r="N157" s="203" t="inlineStr">
        <is>
          <t>https://www.gov.cn/zhengce/zhengceku/2021-11/14/content_5650830.htm</t>
        </is>
      </c>
    </row>
    <row r="158">
      <c r="B158" s="198" t="inlineStr">
        <is>
          <t>FYP2109</t>
        </is>
      </c>
      <c r="C158" s="208" t="n">
        <v>2021</v>
      </c>
      <c r="D158" s="209" t="inlineStr">
        <is>
          <t>“十四五”林业草原保护发展规划纲要</t>
        </is>
      </c>
      <c r="E158" s="210" t="inlineStr">
        <is>
          <t>14th Five-Year Plan for Forestry and Grassland Protection and Development</t>
        </is>
      </c>
      <c r="F158" s="209" t="inlineStr">
        <is>
          <t>农业农村部；国家发展和改革委员会；科学技术部；自然资源部；生态环境部；国家林业和草原局</t>
        </is>
      </c>
      <c r="G158" s="209" t="inlineStr">
        <is>
          <t>发展规划</t>
        </is>
      </c>
      <c r="H158" s="210" t="inlineStr">
        <is>
          <t>促进减缓</t>
        </is>
      </c>
      <c r="I158" s="211" t="inlineStr">
        <is>
          <t>B.5</t>
        </is>
      </c>
      <c r="J158" s="208" t="inlineStr">
        <is>
          <t>十四五</t>
        </is>
      </c>
      <c r="K158" s="211" t="inlineStr">
        <is>
          <t>无目标</t>
        </is>
      </c>
      <c r="L158" s="209" t="inlineStr">
        <is>
          <t>HTM</t>
        </is>
      </c>
      <c r="M158" s="209" t="inlineStr">
        <is>
          <t>中文</t>
        </is>
      </c>
      <c r="N158" s="203" t="inlineStr">
        <is>
          <t>http://www.forestry.gov.cn/c/www/lczc/44287.jhtml</t>
        </is>
      </c>
    </row>
    <row r="159">
      <c r="B159" s="198" t="inlineStr">
        <is>
          <t>FYP2110</t>
        </is>
      </c>
      <c r="C159" s="208" t="n">
        <v>2021</v>
      </c>
      <c r="D159" s="209" t="inlineStr">
        <is>
          <t>“十四五”全国农业绿色发展规划</t>
        </is>
      </c>
      <c r="E159" s="210" t="inlineStr">
        <is>
          <t>14th Five-Year Plan for Agricultural Green Development</t>
        </is>
      </c>
      <c r="F159" s="209" t="inlineStr">
        <is>
          <t>农业部；国家发展和改革委员会；科学技术部</t>
        </is>
      </c>
      <c r="G159" s="209" t="inlineStr">
        <is>
          <t>发展规划</t>
        </is>
      </c>
      <c r="H159" s="210" t="inlineStr">
        <is>
          <t>明确减缓</t>
        </is>
      </c>
      <c r="I159" s="211" t="inlineStr">
        <is>
          <t>B.5</t>
        </is>
      </c>
      <c r="J159" s="208" t="inlineStr">
        <is>
          <t>十四五</t>
        </is>
      </c>
      <c r="K159" s="211" t="inlineStr">
        <is>
          <t>无目标</t>
        </is>
      </c>
      <c r="L159" s="209" t="inlineStr">
        <is>
          <t>PDF</t>
        </is>
      </c>
      <c r="M159" s="209" t="inlineStr">
        <is>
          <t>中文</t>
        </is>
      </c>
      <c r="N159" s="203" t="inlineStr">
        <is>
          <t>http://www.moa.gov.cn/govpublic/FZJHS/202109/t20210907_6375844.htm</t>
        </is>
      </c>
    </row>
    <row r="160">
      <c r="B160" s="198" t="inlineStr">
        <is>
          <t>FYP2111</t>
        </is>
      </c>
      <c r="C160" s="208" t="n">
        <v>2021</v>
      </c>
      <c r="D160" s="209" t="inlineStr">
        <is>
          <t>“十四五”能源领域科技创新规划</t>
        </is>
      </c>
      <c r="E160" s="210" t="inlineStr">
        <is>
          <t>14th Five-Year Plan for Scientific Innovations in the Energy Sector</t>
        </is>
      </c>
      <c r="F160" s="209" t="inlineStr">
        <is>
          <t>国家能源局；科学技术部</t>
        </is>
      </c>
      <c r="G160" s="209" t="inlineStr">
        <is>
          <t>五年规划</t>
        </is>
      </c>
      <c r="H160" s="210" t="inlineStr">
        <is>
          <t>经济规划（含气候）</t>
        </is>
      </c>
      <c r="I160" s="211" t="inlineStr">
        <is>
          <t>B.1, C.1</t>
        </is>
      </c>
      <c r="J160" s="208" t="inlineStr">
        <is>
          <t>十四五</t>
        </is>
      </c>
      <c r="K160" s="211" t="inlineStr">
        <is>
          <t>无目标</t>
        </is>
      </c>
      <c r="L160" s="209" t="inlineStr">
        <is>
          <t>PDF</t>
        </is>
      </c>
      <c r="M160" s="209" t="inlineStr">
        <is>
          <t>中文</t>
        </is>
      </c>
      <c r="N160" s="203" t="inlineStr">
        <is>
          <t>http://zfxxgk.nea.gov.cn/1310540453_16488637054861n.pdf</t>
        </is>
      </c>
    </row>
    <row r="161">
      <c r="B161" s="198" t="inlineStr">
        <is>
          <t>FYP2113</t>
        </is>
      </c>
      <c r="C161" s="208" t="n">
        <v>2021</v>
      </c>
      <c r="D161" s="209" t="inlineStr">
        <is>
          <t>“十四五”冷链物流发展规划</t>
        </is>
      </c>
      <c r="E161" s="210" t="inlineStr">
        <is>
          <t>14th Five-Year Plan for Cold Chain Logistics Development</t>
        </is>
      </c>
      <c r="F161" s="209" t="inlineStr">
        <is>
          <t>国务院</t>
        </is>
      </c>
      <c r="G161" s="209" t="inlineStr">
        <is>
          <t>发展规划</t>
        </is>
      </c>
      <c r="H161" s="210" t="inlineStr">
        <is>
          <t>经济规划（含气候）</t>
        </is>
      </c>
      <c r="I161" s="211" t="inlineStr">
        <is>
          <t>B.2, B.4</t>
        </is>
      </c>
      <c r="J161" s="208" t="inlineStr">
        <is>
          <t>十四五</t>
        </is>
      </c>
      <c r="K161" s="211" t="inlineStr">
        <is>
          <t>无目标</t>
        </is>
      </c>
      <c r="L161" s="209" t="inlineStr">
        <is>
          <t>HTM</t>
        </is>
      </c>
      <c r="M161" s="209" t="inlineStr">
        <is>
          <t>中文</t>
        </is>
      </c>
      <c r="N161" s="203" t="inlineStr">
        <is>
          <t>https://www.gov.cn/zhengce/content/2021-12/12/content_5660244.htm</t>
        </is>
      </c>
    </row>
    <row r="162">
      <c r="B162" s="198" t="inlineStr">
        <is>
          <t>FYP2114</t>
        </is>
      </c>
      <c r="C162" s="208" t="n">
        <v>2021</v>
      </c>
      <c r="D162" s="209" t="inlineStr">
        <is>
          <t>绿色食品产业“十四五”发展规划纲要（2021-2025年）</t>
        </is>
      </c>
      <c r="E162" s="210" t="inlineStr">
        <is>
          <t>14th Five-Year Plan for the Development of the Green Food Industry (2021–2025)</t>
        </is>
      </c>
      <c r="F162" s="209" t="inlineStr">
        <is>
          <t>中国绿色食品发展中心</t>
        </is>
      </c>
      <c r="G162" s="209" t="inlineStr">
        <is>
          <t>发展规划</t>
        </is>
      </c>
      <c r="H162" s="210" t="inlineStr">
        <is>
          <t>明确减缓</t>
        </is>
      </c>
      <c r="I162" s="211" t="inlineStr">
        <is>
          <t>B.2, B.5</t>
        </is>
      </c>
      <c r="J162" s="208" t="inlineStr">
        <is>
          <t>十四五</t>
        </is>
      </c>
      <c r="K162" s="211" t="inlineStr">
        <is>
          <t>无目标</t>
        </is>
      </c>
      <c r="L162" s="209" t="inlineStr">
        <is>
          <t>PDF</t>
        </is>
      </c>
      <c r="M162" s="209" t="inlineStr">
        <is>
          <t>中文</t>
        </is>
      </c>
      <c r="N162" s="203" t="inlineStr">
        <is>
          <t>http://www.greenfood.agri.cn/tzgg/202306/t20230612_7995081.htm</t>
        </is>
      </c>
    </row>
    <row r="163">
      <c r="B163" s="198" t="inlineStr">
        <is>
          <t>FYP2115</t>
        </is>
      </c>
      <c r="C163" s="208" t="n">
        <v>2021</v>
      </c>
      <c r="D163" s="209" t="inlineStr">
        <is>
          <t>“十四五”循环经济发展规划</t>
        </is>
      </c>
      <c r="E163" s="210" t="inlineStr">
        <is>
          <t>14th Five-Year Plan for Circular Economy Development</t>
        </is>
      </c>
      <c r="F163" s="209" t="inlineStr">
        <is>
          <t>国家发展和改革委员会</t>
        </is>
      </c>
      <c r="G163" s="209" t="inlineStr">
        <is>
          <t>发展规划</t>
        </is>
      </c>
      <c r="H163" s="210" t="inlineStr">
        <is>
          <t>促进减缓</t>
        </is>
      </c>
      <c r="I163" s="211" t="inlineStr">
        <is>
          <t>D.2</t>
        </is>
      </c>
      <c r="J163" s="208" t="inlineStr">
        <is>
          <t>十四五</t>
        </is>
      </c>
      <c r="K163" s="211" t="inlineStr">
        <is>
          <t>含目标</t>
        </is>
      </c>
      <c r="L163" s="209" t="inlineStr">
        <is>
          <t>PDF</t>
        </is>
      </c>
      <c r="M163" s="209" t="inlineStr">
        <is>
          <t>中文</t>
        </is>
      </c>
      <c r="N163" s="203" t="inlineStr">
        <is>
          <t>https://www.ndrc.gov.cn/xxgk/zcfb/ghwb/202107/t20210707_1285527.html?code=&amp;state=123</t>
        </is>
      </c>
    </row>
    <row r="164">
      <c r="B164" s="198" t="inlineStr">
        <is>
          <t>FYP2117</t>
        </is>
      </c>
      <c r="C164" s="208" t="n">
        <v>2021</v>
      </c>
      <c r="D164" s="210" t="inlineStr">
        <is>
          <t>“十四五”全国清洁生产推行方案</t>
        </is>
      </c>
      <c r="E164" s="210" t="inlineStr">
        <is>
          <t>14th Five-Year Plan for National Clean Production Promotion</t>
        </is>
      </c>
      <c r="F164" s="209" t="inlineStr">
        <is>
          <t>国家发展和改革委员会；生态环境部；工业和信息化部；科学技术部；财政部；住房和城乡建设部；交通运输部；农业农村部；商务部；国家市场监督管理总局</t>
        </is>
      </c>
      <c r="G164" s="209" t="inlineStr">
        <is>
          <t>五年规划</t>
        </is>
      </c>
      <c r="H164" s="210" t="inlineStr">
        <is>
          <t>明确减缓</t>
        </is>
      </c>
      <c r="I164" s="211" t="inlineStr">
        <is>
          <t>B.2, D.3</t>
        </is>
      </c>
      <c r="J164" s="208" t="inlineStr">
        <is>
          <t>十四五</t>
        </is>
      </c>
      <c r="K164" s="211" t="inlineStr">
        <is>
          <t>无目标</t>
        </is>
      </c>
      <c r="L164" s="209" t="inlineStr">
        <is>
          <t>PDF</t>
        </is>
      </c>
      <c r="M164" s="209" t="inlineStr">
        <is>
          <t>中文</t>
        </is>
      </c>
      <c r="N164" s="203" t="inlineStr">
        <is>
          <t>https://www.ndrc.gov.cn/xxgk/zcfb/tz/202111/t20211109_1303467.html?code=&amp;state=123</t>
        </is>
      </c>
    </row>
    <row r="165">
      <c r="B165" s="198" t="inlineStr">
        <is>
          <t>FYP2118</t>
        </is>
      </c>
      <c r="C165" s="208" t="n">
        <v>2021</v>
      </c>
      <c r="D165" s="209" t="inlineStr">
        <is>
          <t>“十四五”公共机构节约能源资源工作规划</t>
        </is>
      </c>
      <c r="E165" s="210" t="inlineStr">
        <is>
          <t>14th Five-Year Plan for Energy and Resource Conservation by Public Institutions</t>
        </is>
      </c>
      <c r="F165" s="209" t="inlineStr">
        <is>
          <t>国家机关事务管理局；国家发展和改革委员会</t>
        </is>
      </c>
      <c r="G165" s="209" t="inlineStr">
        <is>
          <t>五年规划</t>
        </is>
      </c>
      <c r="H165" s="210" t="inlineStr">
        <is>
          <t>促进减缓</t>
        </is>
      </c>
      <c r="I165" s="211" t="inlineStr">
        <is>
          <t>B.3</t>
        </is>
      </c>
      <c r="J165" s="208" t="inlineStr">
        <is>
          <t>十四五</t>
        </is>
      </c>
      <c r="K165" s="211" t="inlineStr">
        <is>
          <t>无目标</t>
        </is>
      </c>
      <c r="L165" s="209" t="inlineStr">
        <is>
          <t>HTM</t>
        </is>
      </c>
      <c r="M165" s="209" t="inlineStr">
        <is>
          <t>中文</t>
        </is>
      </c>
      <c r="N165" s="203" t="inlineStr">
        <is>
          <t>https://www.ggj.gov.cn/tzgg/202106/t20210604_32593.htm</t>
        </is>
      </c>
    </row>
    <row r="166">
      <c r="B166" s="198" t="inlineStr">
        <is>
          <t>FYP2119</t>
        </is>
      </c>
      <c r="C166" s="208" t="n">
        <v>2021</v>
      </c>
      <c r="D166" s="209" t="inlineStr">
        <is>
          <t>“十四五”时期“无废城市”建设工作方案</t>
        </is>
      </c>
      <c r="E166" s="210" t="inlineStr">
        <is>
          <t>14th Five-Year Plan for the Construction of "No Waste Cities"</t>
        </is>
      </c>
      <c r="F166" s="209" t="inlineStr">
        <is>
          <t>生态环境部；国家发展和改革委员会；工业和信息化部；财政部；自然资源部；住房和城乡建设部；农业农村部；商务部；文化和旅游部；国家卫生健康委员会；中国人民银行；国家税务总局；国家市场监督管理总局；国家统计局；国家机关事务管理局；中国银行保险监督管理委员会；国家邮政局；中华全国供销合作总社</t>
        </is>
      </c>
      <c r="G166" s="209" t="inlineStr">
        <is>
          <t>工作方案</t>
        </is>
      </c>
      <c r="H166" s="210" t="inlineStr">
        <is>
          <t>促进减缓</t>
        </is>
      </c>
      <c r="I166" s="211" t="inlineStr">
        <is>
          <t>C.6, D.2</t>
        </is>
      </c>
      <c r="J166" s="208" t="inlineStr">
        <is>
          <t>十四五</t>
        </is>
      </c>
      <c r="K166" s="211" t="inlineStr">
        <is>
          <t>无目标</t>
        </is>
      </c>
      <c r="L166" s="209" t="inlineStr">
        <is>
          <t>PDF</t>
        </is>
      </c>
      <c r="M166" s="209" t="inlineStr">
        <is>
          <t>中文</t>
        </is>
      </c>
      <c r="N166" s="203" t="inlineStr">
        <is>
          <t>https://www.mee.gov.cn/xxgk2018/xxgk/xxgk03/202112/t20211215_964275.html</t>
        </is>
      </c>
    </row>
    <row r="167">
      <c r="B167" s="198" t="inlineStr">
        <is>
          <t>FYP2120</t>
        </is>
      </c>
      <c r="C167" s="208" t="n">
        <v>2021</v>
      </c>
      <c r="D167" s="210" t="inlineStr">
        <is>
          <t>“十四五”推动高质量发展的国家标准体系建设规划</t>
        </is>
      </c>
      <c r="E167" s="210" t="inlineStr">
        <is>
          <t>14th Five-Year National Standard System Construction Plan for Promoting High-quality Development</t>
        </is>
      </c>
      <c r="F167" s="209" t="inlineStr">
        <is>
          <t>国家标准化管理委员会；国家互联网信息办公室；科学技术部；工业和信息化部；民政部；生态环境部；住房和城乡建设部；农业农村部；商务部；应急管理部</t>
        </is>
      </c>
      <c r="G167" s="209" t="inlineStr">
        <is>
          <t>建设规划</t>
        </is>
      </c>
      <c r="H167" s="210" t="inlineStr">
        <is>
          <t>经济规划（含气候）</t>
        </is>
      </c>
      <c r="I167" s="211" t="inlineStr">
        <is>
          <t>A</t>
        </is>
      </c>
      <c r="J167" s="208" t="inlineStr">
        <is>
          <t>十四五</t>
        </is>
      </c>
      <c r="K167" s="211" t="inlineStr">
        <is>
          <t>无目标</t>
        </is>
      </c>
      <c r="L167" s="209" t="inlineStr">
        <is>
          <t>PDF</t>
        </is>
      </c>
      <c r="M167" s="209" t="inlineStr">
        <is>
          <t>中文</t>
        </is>
      </c>
      <c r="N167" s="203" t="inlineStr">
        <is>
          <t>https://www.sac.gov.cn/xxgk/zcwj/art/2021/art_51ab9411394a44d78985f6f5efdc80a7.html</t>
        </is>
      </c>
    </row>
    <row r="168">
      <c r="B168" s="198" t="inlineStr">
        <is>
          <t>FYP2105</t>
        </is>
      </c>
      <c r="C168" s="208" t="n">
        <v>2022</v>
      </c>
      <c r="D168" s="209" t="inlineStr">
        <is>
          <t>“十四五”现代能源体系规划</t>
        </is>
      </c>
      <c r="E168" s="210" t="inlineStr">
        <is>
          <t>14th Five-Year Plan for a Modern Energy System</t>
        </is>
      </c>
      <c r="F168" s="209" t="inlineStr">
        <is>
          <t>国家发展和改革委员会；国家能源局</t>
        </is>
      </c>
      <c r="G168" s="209" t="inlineStr">
        <is>
          <t>五年规划</t>
        </is>
      </c>
      <c r="H168" s="210" t="inlineStr">
        <is>
          <t>经济规划（含气候）</t>
        </is>
      </c>
      <c r="I168" s="211" t="inlineStr">
        <is>
          <t>B.1</t>
        </is>
      </c>
      <c r="J168" s="208" t="inlineStr">
        <is>
          <t>十四五</t>
        </is>
      </c>
      <c r="K168" s="211" t="inlineStr">
        <is>
          <t>含目标</t>
        </is>
      </c>
      <c r="L168" s="209" t="inlineStr">
        <is>
          <t>PDF</t>
        </is>
      </c>
      <c r="M168" s="209" t="inlineStr">
        <is>
          <t>中文</t>
        </is>
      </c>
      <c r="N168" s="203" t="inlineStr">
        <is>
          <t>https://www.ndrc.gov.cn/xxgk/zcfb/ghwb/202203/t20220322_1320016.html?code=&amp;state=123</t>
        </is>
      </c>
    </row>
    <row r="169">
      <c r="B169" s="198" t="inlineStr">
        <is>
          <t>FYP2201</t>
        </is>
      </c>
      <c r="C169" s="208" t="n">
        <v>2022</v>
      </c>
      <c r="D169" s="209" t="inlineStr">
        <is>
          <t>“十四五”建筑业发展规划</t>
        </is>
      </c>
      <c r="E169" s="210" t="inlineStr">
        <is>
          <t>14th Five-Year Plan for the Construction Industry</t>
        </is>
      </c>
      <c r="F169" s="209" t="inlineStr">
        <is>
          <t>住房和城乡建设部</t>
        </is>
      </c>
      <c r="G169" s="209" t="inlineStr">
        <is>
          <t>发展规划</t>
        </is>
      </c>
      <c r="H169" s="210" t="inlineStr">
        <is>
          <t>经济规划（含气候）</t>
        </is>
      </c>
      <c r="I169" s="211" t="inlineStr">
        <is>
          <t>B.3</t>
        </is>
      </c>
      <c r="J169" s="208" t="inlineStr">
        <is>
          <t>十四五</t>
        </is>
      </c>
      <c r="K169" s="211" t="inlineStr">
        <is>
          <t>无目标</t>
        </is>
      </c>
      <c r="L169" s="209" t="inlineStr">
        <is>
          <t>PDF</t>
        </is>
      </c>
      <c r="M169" s="209" t="inlineStr">
        <is>
          <t>中文</t>
        </is>
      </c>
      <c r="N169" s="203" t="inlineStr">
        <is>
          <t>https://www.gov.cn/zhengce/zhengceku/2022-01/27/5670687/files/12d50c613b344165afb21bc596a190fc.pdf</t>
        </is>
      </c>
    </row>
    <row r="170">
      <c r="B170" s="198" t="inlineStr">
        <is>
          <t>FYP2202</t>
        </is>
      </c>
      <c r="C170" s="208" t="n">
        <v>2022</v>
      </c>
      <c r="D170" s="209" t="inlineStr">
        <is>
          <t>“十四五”新型储能发展实施方案</t>
        </is>
      </c>
      <c r="E170" s="210" t="inlineStr">
        <is>
          <t>14th Five-Year Plan for New Energy Storage</t>
        </is>
      </c>
      <c r="F170" s="209" t="inlineStr">
        <is>
          <t>国家发展和改革委员会；国家能源局</t>
        </is>
      </c>
      <c r="G170" s="209" t="inlineStr">
        <is>
          <t>实施方案</t>
        </is>
      </c>
      <c r="H170" s="210" t="inlineStr">
        <is>
          <t>促进减缓</t>
        </is>
      </c>
      <c r="I170" s="211" t="inlineStr">
        <is>
          <t>B.1</t>
        </is>
      </c>
      <c r="J170" s="208" t="inlineStr">
        <is>
          <t>十四五</t>
        </is>
      </c>
      <c r="K170" s="211" t="inlineStr">
        <is>
          <t>无目标</t>
        </is>
      </c>
      <c r="L170" s="209" t="inlineStr">
        <is>
          <t>PDF</t>
        </is>
      </c>
      <c r="M170" s="209" t="inlineStr">
        <is>
          <t>中文</t>
        </is>
      </c>
      <c r="N170" s="203" t="inlineStr">
        <is>
          <t>http://zfxxgk.nea.gov.cn/2022-01/29/c_1310523208.htm</t>
        </is>
      </c>
    </row>
    <row r="171">
      <c r="B171" s="198" t="inlineStr">
        <is>
          <t>FYP2203</t>
        </is>
      </c>
      <c r="C171" s="208" t="n">
        <v>2022</v>
      </c>
      <c r="D171" s="209" t="inlineStr">
        <is>
          <t>“十四五”推进农业农村现代化规划</t>
        </is>
      </c>
      <c r="E171" s="210" t="inlineStr">
        <is>
          <t>14th Five-Year Plan to Promote the Modernization of Agriculture and Rural Areas</t>
        </is>
      </c>
      <c r="F171" s="209" t="inlineStr">
        <is>
          <t>国务院</t>
        </is>
      </c>
      <c r="G171" s="209" t="inlineStr">
        <is>
          <t>五年规划</t>
        </is>
      </c>
      <c r="H171" s="210" t="inlineStr">
        <is>
          <t>经济规划（含气候）</t>
        </is>
      </c>
      <c r="I171" s="211" t="inlineStr">
        <is>
          <t>B.5, C.6</t>
        </is>
      </c>
      <c r="J171" s="208" t="inlineStr">
        <is>
          <t>十四五</t>
        </is>
      </c>
      <c r="K171" s="211" t="inlineStr">
        <is>
          <t>含目标</t>
        </is>
      </c>
      <c r="L171" s="209" t="inlineStr">
        <is>
          <t>HTM</t>
        </is>
      </c>
      <c r="M171" s="209" t="inlineStr">
        <is>
          <t>中文</t>
        </is>
      </c>
      <c r="N171" s="203" t="inlineStr">
        <is>
          <t>https://www.gov.cn/zhengce/content/2022-02/11/content_5673082.htm</t>
        </is>
      </c>
    </row>
    <row r="172">
      <c r="B172" s="198" t="inlineStr">
        <is>
          <t>FYP2204</t>
        </is>
      </c>
      <c r="C172" s="208" t="n">
        <v>2022</v>
      </c>
      <c r="D172" s="209" t="inlineStr">
        <is>
          <t>“十四五”生物经济发展规划</t>
        </is>
      </c>
      <c r="E172" s="210" t="inlineStr">
        <is>
          <t>14th Five-Year Plan for the Development of Bio-economy</t>
        </is>
      </c>
      <c r="F172" s="209" t="inlineStr">
        <is>
          <t>国家发展和改革委员会</t>
        </is>
      </c>
      <c r="G172" s="209" t="inlineStr">
        <is>
          <t>发展规划</t>
        </is>
      </c>
      <c r="H172" s="210" t="inlineStr">
        <is>
          <t>促进减缓</t>
        </is>
      </c>
      <c r="I172" s="211" t="inlineStr">
        <is>
          <t>B.2, D.3</t>
        </is>
      </c>
      <c r="J172" s="208" t="inlineStr">
        <is>
          <t>十四五</t>
        </is>
      </c>
      <c r="K172" s="211" t="inlineStr">
        <is>
          <t>无目标</t>
        </is>
      </c>
      <c r="L172" s="209" t="inlineStr">
        <is>
          <t>PDF</t>
        </is>
      </c>
      <c r="M172" s="209" t="inlineStr">
        <is>
          <t>中文</t>
        </is>
      </c>
      <c r="N172" s="203" t="inlineStr">
        <is>
          <t>https://www.ndrc.gov.cn/xwdt/tzgg/202205/P020220510324283427632.pdf</t>
        </is>
      </c>
    </row>
    <row r="173">
      <c r="B173" s="198" t="inlineStr">
        <is>
          <t>FYP2205</t>
        </is>
      </c>
      <c r="C173" s="208" t="n">
        <v>2022</v>
      </c>
      <c r="D173" s="209" t="inlineStr">
        <is>
          <t>“十四五”生态环境领域科技创新专项规划</t>
        </is>
      </c>
      <c r="E173" s="210" t="inlineStr">
        <is>
          <t>14th Five-Year Plan for Scientific and Technological Innovation in the Field of Ecological Environment</t>
        </is>
      </c>
      <c r="F173" s="209" t="inlineStr">
        <is>
          <t>科学技术部；生态环境部；住房和城乡建设部；中国气象局；国家林业和草原局</t>
        </is>
      </c>
      <c r="G173" s="209" t="inlineStr">
        <is>
          <t>五年规划</t>
        </is>
      </c>
      <c r="H173" s="210" t="inlineStr">
        <is>
          <t>促进减缓</t>
        </is>
      </c>
      <c r="I173" s="211" t="inlineStr">
        <is>
          <t>C.1</t>
        </is>
      </c>
      <c r="J173" s="208" t="inlineStr">
        <is>
          <t>十四五</t>
        </is>
      </c>
      <c r="K173" s="211" t="inlineStr">
        <is>
          <t>无目标</t>
        </is>
      </c>
      <c r="L173" s="209" t="inlineStr">
        <is>
          <t>HTM</t>
        </is>
      </c>
      <c r="M173" s="209" t="inlineStr">
        <is>
          <t>中文</t>
        </is>
      </c>
      <c r="N173" s="203" t="inlineStr">
        <is>
          <t>https://www.mee.gov.cn/xxgk2018/xxgk/xxgk10/202211/t20221102_999489.html</t>
        </is>
      </c>
    </row>
    <row r="174">
      <c r="B174" s="198" t="inlineStr">
        <is>
          <t>FYP2206</t>
        </is>
      </c>
      <c r="C174" s="208" t="n">
        <v>2022</v>
      </c>
      <c r="D174" s="209" t="inlineStr">
        <is>
          <t>“十四五”建筑节能与绿色建筑发展规划</t>
        </is>
      </c>
      <c r="E174" s="210" t="inlineStr">
        <is>
          <t>14th Five-Year Plan for the Development of Energy Efficient and Green Buildings</t>
        </is>
      </c>
      <c r="F174" s="209" t="inlineStr">
        <is>
          <t>住房和城乡建设部</t>
        </is>
      </c>
      <c r="G174" s="209" t="inlineStr">
        <is>
          <t>发展规划</t>
        </is>
      </c>
      <c r="H174" s="210" t="inlineStr">
        <is>
          <t>明确减缓</t>
        </is>
      </c>
      <c r="I174" s="211" t="inlineStr">
        <is>
          <t>B.3</t>
        </is>
      </c>
      <c r="J174" s="208" t="inlineStr">
        <is>
          <t>十四五</t>
        </is>
      </c>
      <c r="K174" s="211" t="inlineStr">
        <is>
          <t>含目标</t>
        </is>
      </c>
      <c r="L174" s="209" t="inlineStr">
        <is>
          <t>PDF</t>
        </is>
      </c>
      <c r="M174" s="209" t="inlineStr">
        <is>
          <t>中文</t>
        </is>
      </c>
      <c r="N174" s="203" t="inlineStr">
        <is>
          <t>https://www.gov.cn/zhengce/zhengceku/2022-03/12/content_5678698.htm</t>
        </is>
      </c>
    </row>
    <row r="175" ht="14.5" customHeight="1" s="235">
      <c r="B175" s="215" t="inlineStr">
        <is>
          <t>FYP2208</t>
        </is>
      </c>
      <c r="C175" s="216" t="n">
        <v>2022</v>
      </c>
      <c r="D175" s="217" t="inlineStr">
        <is>
          <t>“十四五”现代物流发展规划</t>
        </is>
      </c>
      <c r="E175" s="218" t="inlineStr">
        <is>
          <t>14th Five-Year Plan for the Development of Modern Logistics</t>
        </is>
      </c>
      <c r="F175" s="217" t="inlineStr">
        <is>
          <t>国务院</t>
        </is>
      </c>
      <c r="G175" s="217" t="inlineStr">
        <is>
          <t>发展规划</t>
        </is>
      </c>
      <c r="H175" s="218" t="inlineStr">
        <is>
          <t>经济规划（含气候）</t>
        </is>
      </c>
      <c r="I175" s="219" t="inlineStr">
        <is>
          <t>B.4</t>
        </is>
      </c>
      <c r="J175" s="216" t="inlineStr">
        <is>
          <t>十四五</t>
        </is>
      </c>
      <c r="K175" s="219" t="inlineStr">
        <is>
          <t>无目标</t>
        </is>
      </c>
      <c r="L175" s="217" t="inlineStr">
        <is>
          <t>HTM</t>
        </is>
      </c>
      <c r="M175" s="217" t="inlineStr">
        <is>
          <t>中文</t>
        </is>
      </c>
      <c r="N175" s="220" t="inlineStr">
        <is>
          <t>https://www.gov.cn/zhengce/content/2022-12/15/content_5732092.htm</t>
        </is>
      </c>
    </row>
    <row r="176">
      <c r="B176" s="198" t="inlineStr">
        <is>
          <t>FYP2601</t>
        </is>
      </c>
      <c r="C176" s="208" t="n">
        <v>2026</v>
      </c>
      <c r="D176" s="209" t="inlineStr">
        <is>
          <t>城市更新“十五五”规划</t>
        </is>
      </c>
      <c r="E176" s="210" t="inlineStr">
        <is>
          <t>15th Five-Year Plan for Urban Renewal</t>
        </is>
      </c>
      <c r="F176" s="209" t="inlineStr">
        <is>
          <t>国务院</t>
        </is>
      </c>
      <c r="G176" s="209" t="inlineStr">
        <is>
          <t>五年规划</t>
        </is>
      </c>
      <c r="H176" s="210" t="inlineStr">
        <is>
          <t>促进减缓</t>
        </is>
      </c>
      <c r="I176" s="211" t="inlineStr">
        <is>
          <t>C.6</t>
        </is>
      </c>
      <c r="J176" s="208" t="inlineStr">
        <is>
          <t>十五五</t>
        </is>
      </c>
      <c r="K176" s="211" t="inlineStr">
        <is>
          <t>含目标</t>
        </is>
      </c>
      <c r="L176" s="209" t="inlineStr">
        <is>
          <t>HTM</t>
        </is>
      </c>
      <c r="M176" s="209" t="inlineStr">
        <is>
          <t>中文</t>
        </is>
      </c>
      <c r="N176" s="220" t="inlineStr">
        <is>
          <t>https://www.gov.cn/zhengce/content/202605/content_7070539.htm</t>
        </is>
      </c>
    </row>
    <row r="177">
      <c r="B177" s="0" t="inlineStr">
        <is>
          <t>FYP2602</t>
        </is>
      </c>
      <c r="C177" s="0" t="n">
        <v>2026</v>
      </c>
      <c r="D177" s="0" t="inlineStr">
        <is>
          <t>新型能源体系建设“十五五”规划</t>
        </is>
      </c>
      <c r="E177" s="0" t="inlineStr">
        <is>
          <t>15th Five-Year Plan for Building a New Energy System</t>
        </is>
      </c>
      <c r="F177" s="0" t="inlineStr">
        <is>
          <t>国家发展和改革委员会；国家能源局</t>
        </is>
      </c>
      <c r="G177" s="0" t="inlineStr">
        <is>
          <t>五年规划</t>
        </is>
      </c>
      <c r="H177" s="0" t="inlineStr">
        <is>
          <t>经济规划（含气候）</t>
        </is>
      </c>
      <c r="I177" s="0" t="inlineStr">
        <is>
          <t>Economy planning incl. climate</t>
        </is>
      </c>
      <c r="J177" s="0" t="inlineStr">
        <is>
          <t>B.1</t>
        </is>
      </c>
      <c r="K177" s="0" t="inlineStr">
        <is>
          <t>含目标</t>
        </is>
      </c>
      <c r="L177" s="0" t="inlineStr">
        <is>
          <t>HTM</t>
        </is>
      </c>
      <c r="M177" s="0" t="inlineStr">
        <is>
          <t>中文</t>
        </is>
      </c>
      <c r="N177" s="0" t="inlineStr">
        <is>
          <t>https://www.gov.cn/zhengce/zhengceku/202606/content_7073322.htm</t>
        </is>
      </c>
    </row>
    <row r="178">
      <c r="B178" s="0" t="inlineStr">
        <is>
          <t>FYP2603</t>
        </is>
      </c>
      <c r="C178" s="0" t="n">
        <v>2026</v>
      </c>
      <c r="D178" s="0" t="inlineStr">
        <is>
          <t>加快农业农村现代化“十五五”规划</t>
        </is>
      </c>
      <c r="E178" s="0" t="inlineStr">
        <is>
          <t>15th Five-Year Plan for Accelerating Agricultural and Rural Modernization</t>
        </is>
      </c>
      <c r="F178" s="0" t="inlineStr">
        <is>
          <t>国务院</t>
        </is>
      </c>
      <c r="G178" s="0" t="inlineStr">
        <is>
          <t>五年规划</t>
        </is>
      </c>
      <c r="H178" s="0" t="inlineStr">
        <is>
          <t>经济规划（含气候）</t>
        </is>
      </c>
      <c r="I178" s="0" t="inlineStr">
        <is>
          <t>Economy planning incl. climate</t>
        </is>
      </c>
      <c r="J178" s="0" t="inlineStr">
        <is>
          <t>B.5, C.6</t>
        </is>
      </c>
      <c r="K178" s="0" t="inlineStr">
        <is>
          <t>无目标</t>
        </is>
      </c>
      <c r="L178" s="0" t="inlineStr">
        <is>
          <t>HTM</t>
        </is>
      </c>
      <c r="M178" s="0" t="inlineStr">
        <is>
          <t>中文</t>
        </is>
      </c>
      <c r="N178" s="0" t="inlineStr">
        <is>
          <t>https://www.gov.cn/zhengce/content/202606/content_7070901.htm</t>
        </is>
      </c>
    </row>
    <row r="179">
      <c r="B179" s="0" t="inlineStr">
        <is>
          <t>FYP2604</t>
        </is>
      </c>
      <c r="C179" s="0" t="n">
        <v>2026</v>
      </c>
      <c r="D179" s="0" t="inlineStr">
        <is>
          <t>综合运输服务发展“十五五”规划</t>
        </is>
      </c>
      <c r="E179" s="0" t="inlineStr">
        <is>
          <t>15th Five-Year Plan for the Development of Comprehensive Transport Services</t>
        </is>
      </c>
      <c r="F179" s="0" t="inlineStr">
        <is>
          <t>交通运输部等部门</t>
        </is>
      </c>
      <c r="G179" s="0" t="inlineStr">
        <is>
          <t>五年规划</t>
        </is>
      </c>
      <c r="H179" s="0" t="inlineStr">
        <is>
          <t>经济规划（含气候）</t>
        </is>
      </c>
      <c r="I179" s="0" t="inlineStr">
        <is>
          <t>Economy planning incl. climate</t>
        </is>
      </c>
      <c r="J179" s="0" t="inlineStr">
        <is>
          <t>B.4</t>
        </is>
      </c>
      <c r="K179" s="0" t="inlineStr">
        <is>
          <t>含目标</t>
        </is>
      </c>
      <c r="L179" s="0" t="inlineStr">
        <is>
          <t>HTM</t>
        </is>
      </c>
      <c r="M179" s="0" t="inlineStr">
        <is>
          <t>中文</t>
        </is>
      </c>
      <c r="N179" s="0" t="inlineStr">
        <is>
          <t>https://www.gov.cn/zhengce/zhengceku/202607/content_7076565.htm</t>
        </is>
      </c>
    </row>
    <row r="180">
      <c r="B180" s="0" t="inlineStr">
        <is>
          <t>FYP2605</t>
        </is>
      </c>
      <c r="C180" s="0" t="n">
        <v>2026</v>
      </c>
      <c r="D180" s="0" t="inlineStr">
        <is>
          <t>工业绿色低碳发展“十五五”规划</t>
        </is>
      </c>
      <c r="E180" s="0" t="inlineStr">
        <is>
          <t>15th Five-Year Plan for Green and Low-Carbon Development of Industry</t>
        </is>
      </c>
      <c r="F180" s="0" t="inlineStr">
        <is>
          <t>工业和信息化部</t>
        </is>
      </c>
      <c r="G180" s="0" t="inlineStr">
        <is>
          <t>五年规划</t>
        </is>
      </c>
      <c r="H180" s="0" t="inlineStr">
        <is>
          <t>明确减缓</t>
        </is>
      </c>
      <c r="I180" s="0" t="inlineStr">
        <is>
          <t>Explicit mitigation</t>
        </is>
      </c>
      <c r="J180" s="0" t="inlineStr">
        <is>
          <t>B.2</t>
        </is>
      </c>
      <c r="K180" s="0" t="inlineStr">
        <is>
          <t>含目标</t>
        </is>
      </c>
      <c r="L180" s="0" t="inlineStr">
        <is>
          <t>HTM</t>
        </is>
      </c>
      <c r="M180" s="0" t="inlineStr">
        <is>
          <t>中文</t>
        </is>
      </c>
      <c r="N180" s="0" t="inlineStr">
        <is>
          <t>https://www.miit.gov.cn/jgsj/jns/wjfb/art/2026/art_7af1d02a062e473a8aacaa1abb65bd74.html</t>
        </is>
      </c>
    </row>
    <row r="181">
      <c r="B181" s="0" t="inlineStr">
        <is>
          <t>FYP2606</t>
        </is>
      </c>
      <c r="C181" s="0" t="n">
        <v>2026</v>
      </c>
      <c r="D181" s="0" t="inlineStr">
        <is>
          <t>土壤、地下水和农业农村生态环境保护“十五五”规划</t>
        </is>
      </c>
      <c r="E181" s="0" t="inlineStr">
        <is>
          <t>15th Five-Year Plan for the Protection of Soil, Groundwater and the Agro-Rural Ecological Environment</t>
        </is>
      </c>
      <c r="F181" s="0" t="inlineStr">
        <is>
          <t>生态环境部等部门</t>
        </is>
      </c>
      <c r="G181" s="0" t="inlineStr">
        <is>
          <t>五年规划</t>
        </is>
      </c>
      <c r="H181" s="0" t="inlineStr">
        <is>
          <t>促进减缓</t>
        </is>
      </c>
      <c r="I181" s="0" t="inlineStr">
        <is>
          <t>Mitigation-enabling</t>
        </is>
      </c>
      <c r="J181" s="0" t="inlineStr">
        <is>
          <t>B.5</t>
        </is>
      </c>
      <c r="K181" s="0" t="inlineStr">
        <is>
          <t>含目标</t>
        </is>
      </c>
      <c r="L181" s="0" t="inlineStr">
        <is>
          <t>PDF</t>
        </is>
      </c>
      <c r="M181" s="0" t="inlineStr">
        <is>
          <t>中文</t>
        </is>
      </c>
      <c r="N181" s="0" t="inlineStr">
        <is>
          <t>https://www.gov.cn/zhengce/zhengceku/202607/P020260717824101220629.pdf</t>
        </is>
      </c>
    </row>
    <row r="182">
      <c r="B182" s="0" t="inlineStr">
        <is>
          <t>FYP2607</t>
        </is>
      </c>
      <c r="C182" s="0" t="n">
        <v>2026</v>
      </c>
      <c r="D182" s="0" t="inlineStr">
        <is>
          <t>可再生能源发展“十五五”规划</t>
        </is>
      </c>
      <c r="E182" s="0" t="inlineStr">
        <is>
          <t>15th Five-Year Plan for Renewable Energy Development</t>
        </is>
      </c>
      <c r="F182" s="0" t="inlineStr">
        <is>
          <t>国家发展和改革委员会；国家能源局</t>
        </is>
      </c>
      <c r="G182" s="0" t="inlineStr">
        <is>
          <t>五年规划</t>
        </is>
      </c>
      <c r="H182" s="0" t="inlineStr">
        <is>
          <t>促进减缓</t>
        </is>
      </c>
      <c r="I182" s="0" t="inlineStr">
        <is>
          <t>Mitigation-enabling</t>
        </is>
      </c>
      <c r="J182" s="0" t="inlineStr">
        <is>
          <t>B.1</t>
        </is>
      </c>
      <c r="K182" s="0" t="inlineStr">
        <is>
          <t>含目标</t>
        </is>
      </c>
      <c r="L182" s="0" t="inlineStr">
        <is>
          <t>PDF</t>
        </is>
      </c>
      <c r="M182" s="0" t="inlineStr">
        <is>
          <t>中文</t>
        </is>
      </c>
      <c r="N182" s="0" t="inlineStr">
        <is>
          <t>https://www.ndrc.gov.cn/xxgk/zcfb/tz/202607/P020260723324126838297.pdf</t>
        </is>
      </c>
    </row>
    <row r="183" ht="14.5" customHeight="1" s="235">
      <c r="B183" s="0" t="inlineStr">
        <is>
          <t>FYP2608</t>
        </is>
      </c>
      <c r="C183" s="0" t="n">
        <v>2026</v>
      </c>
      <c r="D183" s="0" t="inlineStr">
        <is>
          <t>固体废物污染防治“十五五”规划</t>
        </is>
      </c>
      <c r="E183" s="0" t="inlineStr">
        <is>
          <t>15th Five-Year Plan for the Prevention and Control of Solid Waste Pollution</t>
        </is>
      </c>
      <c r="F183" s="0" t="inlineStr">
        <is>
          <t>生态环境部等部门</t>
        </is>
      </c>
      <c r="G183" s="0" t="inlineStr">
        <is>
          <t>五年规划</t>
        </is>
      </c>
      <c r="H183" s="0" t="inlineStr">
        <is>
          <t>促进减缓</t>
        </is>
      </c>
      <c r="I183" s="0" t="inlineStr">
        <is>
          <t>Mitigation-enabling</t>
        </is>
      </c>
      <c r="J183" s="0" t="inlineStr">
        <is>
          <t>D.2</t>
        </is>
      </c>
      <c r="K183" s="0" t="inlineStr">
        <is>
          <t>含目标</t>
        </is>
      </c>
      <c r="L183" s="0" t="inlineStr">
        <is>
          <t>PDF</t>
        </is>
      </c>
      <c r="M183" s="0" t="inlineStr">
        <is>
          <t>中文</t>
        </is>
      </c>
      <c r="N183" s="0" t="inlineStr">
        <is>
          <t>https://www.gov.cn/zhengce/zhengceku/202607/P020260714732186443280.pdf</t>
        </is>
      </c>
    </row>
    <row r="184">
      <c r="B184" s="0" t="inlineStr">
        <is>
          <t>FYP2609</t>
        </is>
      </c>
      <c r="C184" s="0" t="n">
        <v>2026</v>
      </c>
      <c r="D184" s="0" t="inlineStr">
        <is>
          <t>美丽中国建设“十五五”规划</t>
        </is>
      </c>
      <c r="E184" s="0" t="inlineStr">
        <is>
          <t>15th Five-Year Plan for Building a Beautiful China</t>
        </is>
      </c>
      <c r="F184" s="0" t="inlineStr">
        <is>
          <t>国务院</t>
        </is>
      </c>
      <c r="G184" s="0" t="inlineStr">
        <is>
          <t>五年规划</t>
        </is>
      </c>
      <c r="H184" s="0" t="inlineStr">
        <is>
          <t>明确减缓</t>
        </is>
      </c>
      <c r="I184" s="0" t="inlineStr">
        <is>
          <t>Explicit mitigation</t>
        </is>
      </c>
      <c r="J184" s="0" t="inlineStr">
        <is>
          <t>A</t>
        </is>
      </c>
      <c r="K184" s="0" t="inlineStr">
        <is>
          <t>含目标</t>
        </is>
      </c>
      <c r="L184" s="0" t="inlineStr">
        <is>
          <t>HTM</t>
        </is>
      </c>
      <c r="M184" s="0" t="inlineStr">
        <is>
          <t>中文</t>
        </is>
      </c>
      <c r="N184" s="0" t="inlineStr">
        <is>
          <t>https://www.gov.cn/zhengce/content/202607/content_7074199.htm</t>
        </is>
      </c>
    </row>
    <row r="185">
      <c r="B185" s="0" t="inlineStr">
        <is>
          <t>FYP2610</t>
        </is>
      </c>
      <c r="C185" s="0" t="n">
        <v>2026</v>
      </c>
      <c r="D185" s="0" t="inlineStr">
        <is>
          <t>生态保护“十五五”规划</t>
        </is>
      </c>
      <c r="E185" s="0" t="inlineStr">
        <is>
          <t>15th Five-Year Plan for Ecological Protection</t>
        </is>
      </c>
      <c r="F185" s="0" t="inlineStr">
        <is>
          <t>生态环境部等部门</t>
        </is>
      </c>
      <c r="G185" s="0" t="inlineStr">
        <is>
          <t>五年规划</t>
        </is>
      </c>
      <c r="H185" s="0" t="inlineStr">
        <is>
          <t>促进减缓</t>
        </is>
      </c>
      <c r="I185" s="0" t="inlineStr">
        <is>
          <t>Mitigation-enabling</t>
        </is>
      </c>
      <c r="J185" s="0" t="inlineStr">
        <is>
          <t>D.3</t>
        </is>
      </c>
      <c r="K185" s="0" t="inlineStr">
        <is>
          <t>含目标</t>
        </is>
      </c>
      <c r="L185" s="0" t="inlineStr">
        <is>
          <t>PDF</t>
        </is>
      </c>
      <c r="M185" s="0" t="inlineStr">
        <is>
          <t>中文</t>
        </is>
      </c>
      <c r="N185" s="0" t="inlineStr">
        <is>
          <t>https://www.gov.cn/zhengce/zhengceku/202608/P020260811799477450940.pdf</t>
        </is>
      </c>
    </row>
    <row r="186">
      <c r="B186" s="0" t="inlineStr">
        <is>
          <t>FYP2611</t>
        </is>
      </c>
      <c r="C186" s="0" t="n">
        <v>2026</v>
      </c>
      <c r="D186" s="0" t="inlineStr">
        <is>
          <t>煤炭工业发展“十五五”规划</t>
        </is>
      </c>
      <c r="E186" s="0" t="inlineStr">
        <is>
          <t>15th Five-Year Plan for the Development of the Coal Industry</t>
        </is>
      </c>
      <c r="F186" s="0" t="inlineStr">
        <is>
          <t>国家发展和改革委员会；国家能源局</t>
        </is>
      </c>
      <c r="G186" s="0" t="inlineStr">
        <is>
          <t>五年规划</t>
        </is>
      </c>
      <c r="H186" s="0" t="inlineStr">
        <is>
          <t>化石能源</t>
        </is>
      </c>
      <c r="I186" s="0" t="inlineStr">
        <is>
          <t>Fossil-fuel</t>
        </is>
      </c>
      <c r="J186" s="0" t="inlineStr">
        <is>
          <t>B.1</t>
        </is>
      </c>
      <c r="K186" s="0" t="inlineStr">
        <is>
          <t>含目标</t>
        </is>
      </c>
      <c r="L186" s="0" t="inlineStr">
        <is>
          <t>PDF</t>
        </is>
      </c>
      <c r="M186" s="0" t="inlineStr">
        <is>
          <t>中文</t>
        </is>
      </c>
      <c r="N186" s="0" t="inlineStr">
        <is>
          <t>https://www.ndrc.gov.cn/xxgk/zcfb/tz/202608/P020260810576358158489.pdf</t>
        </is>
      </c>
    </row>
    <row r="187">
      <c r="B187" s="0" t="inlineStr">
        <is>
          <t>FYP2612</t>
        </is>
      </c>
      <c r="C187" s="0" t="n">
        <v>2026</v>
      </c>
      <c r="D187" s="0" t="inlineStr">
        <is>
          <t>新型电力系统建设“十五五”规划</t>
        </is>
      </c>
      <c r="E187" s="0" t="inlineStr">
        <is>
          <t>15th Five-Year Plan for Building a New Power System</t>
        </is>
      </c>
      <c r="F187" s="0" t="inlineStr">
        <is>
          <t>国家发展和改革委员会；国家能源局</t>
        </is>
      </c>
      <c r="G187" s="0" t="inlineStr">
        <is>
          <t>五年规划</t>
        </is>
      </c>
      <c r="H187" s="0" t="inlineStr">
        <is>
          <t>经济规划（含气候）</t>
        </is>
      </c>
      <c r="I187" s="0" t="inlineStr">
        <is>
          <t>Economy planning incl. climate</t>
        </is>
      </c>
      <c r="J187" s="0" t="inlineStr">
        <is>
          <t>B.1</t>
        </is>
      </c>
      <c r="K187" s="0" t="inlineStr">
        <is>
          <t>含目标</t>
        </is>
      </c>
      <c r="L187" s="0" t="inlineStr">
        <is>
          <t>PDF</t>
        </is>
      </c>
      <c r="M187" s="0" t="inlineStr">
        <is>
          <t>中文</t>
        </is>
      </c>
      <c r="N187" s="0" t="inlineStr">
        <is>
          <t>https://www.nea.gov.cn/20260803/f90e2bdec3744f3c90898ca65e31e597/20260803f90e2bdec3744f3c90898ca65e31e597_4493375545420246b5a2efa9b0e3fe7bda.pdf</t>
        </is>
      </c>
    </row>
    <row r="188">
      <c r="B188" s="221" t="inlineStr">
        <is>
          <t>发展规划/战略</t>
        </is>
      </c>
      <c r="C188" s="222" t="n"/>
      <c r="D188" s="222" t="n"/>
      <c r="E188" s="222" t="n"/>
      <c r="F188" s="222" t="n"/>
      <c r="G188" s="222" t="n"/>
      <c r="H188" s="222" t="n"/>
      <c r="I188" s="222" t="n"/>
      <c r="J188" s="222" t="n"/>
      <c r="K188" s="222" t="n"/>
      <c r="L188" s="222" t="n"/>
      <c r="M188" s="222" t="n"/>
      <c r="N188" s="223" t="inlineStr">
        <is>
          <t>https://wenku.baidu.com/view/d47e12424b2fb4daa58da0116c175f0e7cd119d4.html?fr=aladdin266&amp;ind=1&amp;aigcsid=0&amp;qtype=0&amp;lcid=1&amp;queryKey=加快生产性服务业发展推动产业结构调整升级的指导意见+2014&amp;verifyType=undefined&amp;_wkts_=1745937405223&amp;bdQuery=加快生产性服务业发展推动产业结构调整升级的指导意见+2014</t>
        </is>
      </c>
    </row>
    <row r="189">
      <c r="B189" s="198" t="inlineStr">
        <is>
          <t>DP1201</t>
        </is>
      </c>
      <c r="C189" s="208" t="n">
        <v>2012</v>
      </c>
      <c r="D189" s="210" t="inlineStr">
        <is>
          <t>节能与新能源汽车产业发展规划（2012―2020年）</t>
        </is>
      </c>
      <c r="E189" s="210" t="inlineStr">
        <is>
          <t>New Energy Vehicle Industry Development Plan 2012–2020</t>
        </is>
      </c>
      <c r="F189" s="209" t="inlineStr">
        <is>
          <t>国务院</t>
        </is>
      </c>
      <c r="G189" s="209" t="inlineStr">
        <is>
          <t>发展规划</t>
        </is>
      </c>
      <c r="H189" s="210" t="inlineStr">
        <is>
          <t>促进减缓</t>
        </is>
      </c>
      <c r="I189" s="211" t="inlineStr">
        <is>
          <t>B.2, B.4</t>
        </is>
      </c>
      <c r="J189" s="208" t="inlineStr">
        <is>
          <t>2012-2020</t>
        </is>
      </c>
      <c r="K189" s="211" t="inlineStr">
        <is>
          <t>含目标</t>
        </is>
      </c>
      <c r="L189" s="209" t="inlineStr">
        <is>
          <t>HTM</t>
        </is>
      </c>
      <c r="M189" s="209" t="inlineStr">
        <is>
          <t>中文</t>
        </is>
      </c>
      <c r="N189" s="203" t="inlineStr">
        <is>
          <t>https://www.gov.cn/gongbao/content/2012/content_2182749.htm</t>
        </is>
      </c>
    </row>
    <row r="190">
      <c r="B190" s="198" t="inlineStr">
        <is>
          <t>DP1301</t>
        </is>
      </c>
      <c r="C190" s="208" t="n">
        <v>2013</v>
      </c>
      <c r="D190" s="210" t="inlineStr">
        <is>
          <t>循环经济发展战略及近期行动计划</t>
        </is>
      </c>
      <c r="E190" s="210" t="inlineStr">
        <is>
          <t>Circular Economy Development Strategy</t>
        </is>
      </c>
      <c r="F190" s="209" t="inlineStr">
        <is>
          <t>国务院</t>
        </is>
      </c>
      <c r="G190" s="209" t="inlineStr">
        <is>
          <t>行动计划</t>
        </is>
      </c>
      <c r="H190" s="210" t="inlineStr">
        <is>
          <t>促进减缓</t>
        </is>
      </c>
      <c r="I190" s="211" t="inlineStr">
        <is>
          <t>D.2</t>
        </is>
      </c>
      <c r="J190" s="208" t="inlineStr">
        <is>
          <t>-</t>
        </is>
      </c>
      <c r="K190" s="211" t="inlineStr">
        <is>
          <t>含目标</t>
        </is>
      </c>
      <c r="L190" s="209" t="inlineStr">
        <is>
          <t>HTM</t>
        </is>
      </c>
      <c r="M190" s="209" t="inlineStr">
        <is>
          <t>中文</t>
        </is>
      </c>
      <c r="N190" s="203" t="inlineStr">
        <is>
          <t>https://www.gov.cn/gongbao/content/2013/content_2339517.htm</t>
        </is>
      </c>
    </row>
    <row r="191">
      <c r="B191" s="198" t="inlineStr">
        <is>
          <t>DP1401</t>
        </is>
      </c>
      <c r="C191" s="208" t="n">
        <v>2014</v>
      </c>
      <c r="D191" s="210" t="inlineStr">
        <is>
          <t>全国海上风电开发建设方案(2014-2016)</t>
        </is>
      </c>
      <c r="E191" s="210" t="inlineStr">
        <is>
          <t>China Offshore Wind Power Development Plan (2014–2016)</t>
        </is>
      </c>
      <c r="F191" s="209" t="inlineStr">
        <is>
          <t>国家能源局</t>
        </is>
      </c>
      <c r="G191" s="209" t="inlineStr">
        <is>
          <t>方案</t>
        </is>
      </c>
      <c r="H191" s="210" t="inlineStr">
        <is>
          <t>促进减缓</t>
        </is>
      </c>
      <c r="I191" s="211" t="inlineStr">
        <is>
          <t>B.1</t>
        </is>
      </c>
      <c r="J191" s="208" t="inlineStr">
        <is>
          <t>2014-2016</t>
        </is>
      </c>
      <c r="K191" s="211" t="inlineStr">
        <is>
          <t>无目标</t>
        </is>
      </c>
      <c r="L191" s="209" t="inlineStr">
        <is>
          <t>HTM</t>
        </is>
      </c>
      <c r="M191" s="209" t="inlineStr">
        <is>
          <t>中文</t>
        </is>
      </c>
      <c r="N191" s="203" t="inlineStr">
        <is>
          <t>https://fjb.nea.gov.cn/xxgk/zcfg/202311/t20231114_217452.html</t>
        </is>
      </c>
    </row>
    <row r="192">
      <c r="B192" s="198" t="inlineStr">
        <is>
          <t>DP1501</t>
        </is>
      </c>
      <c r="C192" s="208" t="n">
        <v>2015</v>
      </c>
      <c r="D192" s="210" t="inlineStr">
        <is>
          <t>全国农业可持续发展规划（2015-2030年）</t>
        </is>
      </c>
      <c r="E192" s="210" t="inlineStr">
        <is>
          <t>National Sustainable Agricultural Development Plan (2015-2030)</t>
        </is>
      </c>
      <c r="F192" s="209" t="inlineStr">
        <is>
          <t>农业部；国家发展和改革委员会；科学技术部；财政部；国土资源部；环境保护部；水利部；国家林业局</t>
        </is>
      </c>
      <c r="G192" s="209" t="inlineStr">
        <is>
          <t>发展规划</t>
        </is>
      </c>
      <c r="H192" s="210" t="inlineStr">
        <is>
          <t>促进减缓</t>
        </is>
      </c>
      <c r="I192" s="211" t="inlineStr">
        <is>
          <t>B.5</t>
        </is>
      </c>
      <c r="J192" s="208" t="inlineStr">
        <is>
          <t>2015-2030</t>
        </is>
      </c>
      <c r="K192" s="211" t="inlineStr">
        <is>
          <t>无目标</t>
        </is>
      </c>
      <c r="L192" s="209" t="inlineStr">
        <is>
          <t>PDF</t>
        </is>
      </c>
      <c r="M192" s="209" t="inlineStr">
        <is>
          <t>中文</t>
        </is>
      </c>
      <c r="N192" s="203" t="inlineStr">
        <is>
          <t>https://www.gov.cn/xinwen/2015-05/28/content_2869902.htm</t>
        </is>
      </c>
    </row>
    <row r="193">
      <c r="B193" s="198" t="inlineStr">
        <is>
          <t>DP1601</t>
        </is>
      </c>
      <c r="C193" s="208" t="n">
        <v>2016</v>
      </c>
      <c r="D193" s="210" t="inlineStr">
        <is>
          <t>工业和信息化部关于印发工业绿色发展规划</t>
        </is>
      </c>
      <c r="E193" s="210" t="inlineStr">
        <is>
          <t>Industrial Green Development Plan</t>
        </is>
      </c>
      <c r="F193" s="209" t="inlineStr">
        <is>
          <t>工业和信息化部</t>
        </is>
      </c>
      <c r="G193" s="209" t="inlineStr">
        <is>
          <t>发展规划</t>
        </is>
      </c>
      <c r="H193" s="210" t="inlineStr">
        <is>
          <t>明确减缓</t>
        </is>
      </c>
      <c r="I193" s="211" t="inlineStr">
        <is>
          <t>B.2</t>
        </is>
      </c>
      <c r="J193" s="208" t="inlineStr">
        <is>
          <t>2016-2020</t>
        </is>
      </c>
      <c r="K193" s="211" t="inlineStr">
        <is>
          <t>含目标</t>
        </is>
      </c>
      <c r="L193" s="209" t="inlineStr">
        <is>
          <t>HTM</t>
        </is>
      </c>
      <c r="M193" s="209" t="inlineStr">
        <is>
          <t>中文</t>
        </is>
      </c>
      <c r="N193" s="203" t="inlineStr">
        <is>
          <t>http://www.scio.gov.cn/xwfbh/xwbfbh/wqfbh/33978/34888/xgzc34894/Document/1484864/1484864.htm</t>
        </is>
      </c>
    </row>
    <row r="194">
      <c r="B194" s="198" t="inlineStr">
        <is>
          <t>DP2001</t>
        </is>
      </c>
      <c r="C194" s="208" t="n">
        <v>2020</v>
      </c>
      <c r="D194" s="210" t="inlineStr">
        <is>
          <t>新能源汽车产业发展规划（2021—2035年）</t>
        </is>
      </c>
      <c r="E194" s="210" t="inlineStr">
        <is>
          <t>New Energy Vehicle Industry Development Plan (2021-2035)</t>
        </is>
      </c>
      <c r="F194" s="209" t="inlineStr">
        <is>
          <t>国务院</t>
        </is>
      </c>
      <c r="G194" s="209" t="inlineStr">
        <is>
          <t>发展规划</t>
        </is>
      </c>
      <c r="H194" s="210" t="inlineStr">
        <is>
          <t>促进减缓</t>
        </is>
      </c>
      <c r="I194" s="211" t="inlineStr">
        <is>
          <t>B.2, B.4</t>
        </is>
      </c>
      <c r="J194" s="208" t="inlineStr">
        <is>
          <t>2021-2035</t>
        </is>
      </c>
      <c r="K194" s="211" t="inlineStr">
        <is>
          <t>无目标</t>
        </is>
      </c>
      <c r="L194" s="209" t="inlineStr">
        <is>
          <t>HTM</t>
        </is>
      </c>
      <c r="M194" s="209" t="inlineStr">
        <is>
          <t>中文</t>
        </is>
      </c>
      <c r="N194" s="203" t="inlineStr">
        <is>
          <t>https://www.gov.cn/gongbao/content/2020/content_5560291.htm</t>
        </is>
      </c>
    </row>
    <row r="195">
      <c r="B195" s="224" t="inlineStr">
        <is>
          <t>DP2101</t>
        </is>
      </c>
      <c r="C195" s="208" t="n">
        <v>2021</v>
      </c>
      <c r="D195" s="210" t="inlineStr">
        <is>
          <t>完善能源消费强度和总量双控制度方案</t>
        </is>
      </c>
      <c r="E195" s="210" t="inlineStr">
        <is>
          <t>Plan for Improving the Dual Control System of Energy Consumption Intensity and Total Consumption</t>
        </is>
      </c>
      <c r="F195" s="209" t="inlineStr">
        <is>
          <t>国家发展和改革委员会</t>
        </is>
      </c>
      <c r="G195" s="209" t="inlineStr">
        <is>
          <t>方案</t>
        </is>
      </c>
      <c r="H195" s="210" t="inlineStr">
        <is>
          <t>明确减缓</t>
        </is>
      </c>
      <c r="I195" s="211" t="inlineStr">
        <is>
          <t>A, C.3</t>
        </is>
      </c>
      <c r="J195" s="208" t="n"/>
      <c r="K195" s="211" t="inlineStr">
        <is>
          <t>无目标</t>
        </is>
      </c>
      <c r="L195" s="209" t="inlineStr">
        <is>
          <t>PDF</t>
        </is>
      </c>
      <c r="M195" s="209" t="inlineStr">
        <is>
          <t>中文</t>
        </is>
      </c>
      <c r="N195" s="203" t="inlineStr">
        <is>
          <t>https://www.ndrc.gov.cn/xxgk/zcfb/tz/202109/t20210916_1296856.html</t>
        </is>
      </c>
    </row>
    <row r="196">
      <c r="B196" s="205" t="inlineStr">
        <is>
          <t>指导意见</t>
        </is>
      </c>
      <c r="C196" s="206" t="n"/>
      <c r="D196" s="206" t="n"/>
      <c r="E196" s="206" t="n"/>
      <c r="F196" s="206" t="n"/>
      <c r="G196" s="206" t="n"/>
      <c r="H196" s="206" t="n"/>
      <c r="I196" s="206" t="n"/>
      <c r="J196" s="206" t="n"/>
      <c r="K196" s="206" t="n"/>
      <c r="L196" s="206" t="n"/>
      <c r="M196" s="206" t="n"/>
      <c r="N196" s="207" t="inlineStr">
        <is>
          <t>http://www.hrcshp.org/cn/onews.asp?id=1552</t>
        </is>
      </c>
    </row>
    <row r="197">
      <c r="B197" s="198" t="inlineStr">
        <is>
          <t>GO1001</t>
        </is>
      </c>
      <c r="C197" s="208" t="n">
        <v>2010</v>
      </c>
      <c r="D197" s="210" t="inlineStr">
        <is>
          <t>关于水泥工业节能减排的指导意见</t>
        </is>
      </c>
      <c r="E197" s="210" t="inlineStr">
        <is>
          <t>Guiding Opinions on Energy Conservation and Emission Reduction in the Cement Industry</t>
        </is>
      </c>
      <c r="F197" s="209" t="inlineStr">
        <is>
          <t>工业和信息化部</t>
        </is>
      </c>
      <c r="G197" s="209" t="inlineStr">
        <is>
          <t>指导意见</t>
        </is>
      </c>
      <c r="H197" s="210" t="inlineStr">
        <is>
          <t>明确减缓</t>
        </is>
      </c>
      <c r="I197" s="211" t="inlineStr">
        <is>
          <t>B.2</t>
        </is>
      </c>
      <c r="J197" s="208" t="inlineStr">
        <is>
          <t>-</t>
        </is>
      </c>
      <c r="K197" s="211" t="inlineStr">
        <is>
          <t>无目标</t>
        </is>
      </c>
      <c r="L197" s="209" t="inlineStr">
        <is>
          <t>HTM</t>
        </is>
      </c>
      <c r="M197" s="209" t="inlineStr">
        <is>
          <t>中文</t>
        </is>
      </c>
      <c r="N197" s="203" t="inlineStr">
        <is>
          <t>https://wenku.baidu.com/view/56f0541afc4ffe473368aba4?fr=xueshu&amp;_wkts_=1745936543293&amp;needWelcomeRecommand=1</t>
        </is>
      </c>
    </row>
    <row r="198">
      <c r="B198" s="198" t="inlineStr">
        <is>
          <t>GO1101</t>
        </is>
      </c>
      <c r="C198" s="208" t="n">
        <v>2011</v>
      </c>
      <c r="D198" s="210" t="inlineStr">
        <is>
          <t>建设低碳交通运输体系指导意见</t>
        </is>
      </c>
      <c r="E198" s="210" t="inlineStr">
        <is>
          <t>Guiding Opinions on Building a Low-Carbon Transportation System</t>
        </is>
      </c>
      <c r="F198" s="209" t="inlineStr">
        <is>
          <t>交通运输部</t>
        </is>
      </c>
      <c r="G198" s="209" t="inlineStr">
        <is>
          <t>指导意见</t>
        </is>
      </c>
      <c r="H198" s="210" t="inlineStr">
        <is>
          <t>明确减缓</t>
        </is>
      </c>
      <c r="I198" s="211" t="inlineStr">
        <is>
          <t>B.4</t>
        </is>
      </c>
      <c r="J198" s="208" t="inlineStr">
        <is>
          <t>-</t>
        </is>
      </c>
      <c r="K198" s="211" t="inlineStr">
        <is>
          <t>无目标</t>
        </is>
      </c>
      <c r="L198" s="209" t="inlineStr">
        <is>
          <t>HTM</t>
        </is>
      </c>
      <c r="M198" s="209" t="inlineStr">
        <is>
          <t>中文</t>
        </is>
      </c>
      <c r="N198" s="203" t="inlineStr">
        <is>
          <t>https://wenku.baidu.com/view/a9808ddee309581b6bd97f19227916888486b9ad.html?fr=aladdin266&amp;ind=1&amp;aigcsid=0&amp;qtype=0&amp;lcid=1&amp;queryKey=建设低碳交通系统指导意见+2011&amp;verifyType=undefined&amp;_wkts_=1745936736044&amp;bdQuery=建设低碳交通系统指导意见+2011</t>
        </is>
      </c>
    </row>
    <row r="199">
      <c r="B199" s="198" t="inlineStr">
        <is>
          <t>GO1301</t>
        </is>
      </c>
      <c r="C199" s="208" t="n">
        <v>2013</v>
      </c>
      <c r="D199" s="210" t="inlineStr">
        <is>
          <t>加快绿色循环低碳交通发展指导意见</t>
        </is>
      </c>
      <c r="E199" s="210" t="inlineStr">
        <is>
          <t>Guiding Opinions on Accelerating the Development of Green, Circular and Low-Carbon Transportation</t>
        </is>
      </c>
      <c r="F199" s="209" t="inlineStr">
        <is>
          <t>交通运输部</t>
        </is>
      </c>
      <c r="G199" s="209" t="inlineStr">
        <is>
          <t>指导意见</t>
        </is>
      </c>
      <c r="H199" s="210" t="inlineStr">
        <is>
          <t>明确减缓</t>
        </is>
      </c>
      <c r="I199" s="211" t="inlineStr">
        <is>
          <t>B.4</t>
        </is>
      </c>
      <c r="J199" s="208" t="inlineStr">
        <is>
          <t>-</t>
        </is>
      </c>
      <c r="K199" s="211" t="inlineStr">
        <is>
          <t>无目标</t>
        </is>
      </c>
      <c r="L199" s="209" t="inlineStr">
        <is>
          <t>HTM</t>
        </is>
      </c>
      <c r="M199" s="209" t="inlineStr">
        <is>
          <t>中文</t>
        </is>
      </c>
      <c r="N199" s="203" t="inlineStr">
        <is>
          <t>https://www.gov.cn/gongbao/content/2013/content_2466586.htm</t>
        </is>
      </c>
    </row>
    <row r="200">
      <c r="B200" s="198" t="inlineStr">
        <is>
          <t>GO1302</t>
        </is>
      </c>
      <c r="C200" s="208" t="n">
        <v>2013</v>
      </c>
      <c r="D200" s="210" t="inlineStr">
        <is>
          <t>关于化解产能严重过剩矛盾的指导意见</t>
        </is>
      </c>
      <c r="E200" s="210" t="inlineStr">
        <is>
          <t>Guiding Opinions on Resolving the Contradiction of Serious Overcapacity</t>
        </is>
      </c>
      <c r="F200" s="209" t="inlineStr">
        <is>
          <t>国务院</t>
        </is>
      </c>
      <c r="G200" s="209" t="inlineStr">
        <is>
          <t>指导意见</t>
        </is>
      </c>
      <c r="H200" s="210" t="inlineStr">
        <is>
          <t>促进减缓</t>
        </is>
      </c>
      <c r="I200" s="211" t="inlineStr">
        <is>
          <t>B.2</t>
        </is>
      </c>
      <c r="J200" s="208" t="inlineStr">
        <is>
          <t>-</t>
        </is>
      </c>
      <c r="K200" s="211" t="inlineStr">
        <is>
          <t>含目标</t>
        </is>
      </c>
      <c r="L200" s="209" t="inlineStr">
        <is>
          <t>HTM</t>
        </is>
      </c>
      <c r="M200" s="209" t="inlineStr">
        <is>
          <t>中文</t>
        </is>
      </c>
      <c r="N200" s="203" t="inlineStr">
        <is>
          <t>https://www.gov.cn/zhengce/content/2013-10/18/content_4854.htm</t>
        </is>
      </c>
    </row>
    <row r="201">
      <c r="B201" s="198" t="inlineStr">
        <is>
          <t>GO1401</t>
        </is>
      </c>
      <c r="C201" s="208" t="n">
        <v>2014</v>
      </c>
      <c r="D201" s="210" t="inlineStr">
        <is>
          <t>关于加快发展生产性服务业促进产业结构调整升级的指导意见</t>
        </is>
      </c>
      <c r="E201" s="210" t="inlineStr">
        <is>
          <t>Guiding Opinions on Speeding Up the Development of the Producer Service Industry and Promotion of the Adjustment and Upgrading of the Industrial Structure</t>
        </is>
      </c>
      <c r="F201" s="209" t="inlineStr">
        <is>
          <t>国务院</t>
        </is>
      </c>
      <c r="G201" s="209" t="inlineStr">
        <is>
          <t>指导意见</t>
        </is>
      </c>
      <c r="H201" s="210" t="inlineStr">
        <is>
          <t>经济规划（含气候）</t>
        </is>
      </c>
      <c r="I201" s="211" t="inlineStr">
        <is>
          <t>B.2</t>
        </is>
      </c>
      <c r="J201" s="208" t="inlineStr">
        <is>
          <t>-</t>
        </is>
      </c>
      <c r="K201" s="211" t="inlineStr">
        <is>
          <t>无目标</t>
        </is>
      </c>
      <c r="L201" s="209" t="inlineStr">
        <is>
          <t>PDF</t>
        </is>
      </c>
      <c r="M201" s="209" t="inlineStr">
        <is>
          <t>中文</t>
        </is>
      </c>
      <c r="N201" s="203" t="inlineStr">
        <is>
          <t>https://wenku.baidu.com/view/d47e12424b2fb4daa58da0116c175f0e7cd119d4.html?fr=aladdin266&amp;ind=1&amp;aigcsid=0&amp;qtype=0&amp;lcid=1&amp;queryKey=加快生产性服务业发展推动产业结构调整升级的指导意见+2014&amp;verifyType=undefined&amp;_wkts_=1745937405223&amp;bdQuery=加快生产性服务业发展推动产业结构调整升级的指导意见+2014</t>
        </is>
      </c>
    </row>
    <row r="202">
      <c r="B202" s="198" t="inlineStr">
        <is>
          <t>GO1402</t>
        </is>
      </c>
      <c r="C202" s="208" t="n">
        <v>2014</v>
      </c>
      <c r="D202" s="210" t="inlineStr">
        <is>
          <t>关于加快新能源汽车推广应用的指导意见</t>
        </is>
      </c>
      <c r="E202" s="210" t="inlineStr">
        <is>
          <t>Guiding Opinions to Accelerate the Promotion and Deployment of New Energy Vehicles (NEVs)</t>
        </is>
      </c>
      <c r="F202" s="209" t="inlineStr">
        <is>
          <t>国务院</t>
        </is>
      </c>
      <c r="G202" s="209" t="inlineStr">
        <is>
          <t>指导意见</t>
        </is>
      </c>
      <c r="H202" s="210" t="inlineStr">
        <is>
          <t>促进减缓</t>
        </is>
      </c>
      <c r="I202" s="211" t="inlineStr">
        <is>
          <t>B.2, B.4</t>
        </is>
      </c>
      <c r="J202" s="208" t="inlineStr">
        <is>
          <t>-</t>
        </is>
      </c>
      <c r="K202" s="211" t="inlineStr">
        <is>
          <t>含目标</t>
        </is>
      </c>
      <c r="L202" s="209" t="inlineStr">
        <is>
          <t>HTM</t>
        </is>
      </c>
      <c r="M202" s="209" t="inlineStr">
        <is>
          <t>中文</t>
        </is>
      </c>
      <c r="N202" s="203" t="inlineStr">
        <is>
          <t>https://www.gov.cn/gongbao/content/2014/content_2723629.htm</t>
        </is>
      </c>
    </row>
    <row r="203">
      <c r="B203" s="198" t="inlineStr">
        <is>
          <t>GO1403</t>
        </is>
      </c>
      <c r="C203" s="208" t="n">
        <v>2014</v>
      </c>
      <c r="D203" s="225" t="inlineStr">
        <is>
          <t>关于推进 林业碳汇交易工作的指导意见</t>
        </is>
      </c>
      <c r="E203" s="210" t="inlineStr">
        <is>
          <t>Guiding Opinions on Promoting Forestry Carbon Sink Trading</t>
        </is>
      </c>
      <c r="F203" s="209" t="inlineStr">
        <is>
          <t>国家林业局</t>
        </is>
      </c>
      <c r="G203" s="209" t="inlineStr">
        <is>
          <t>指导意见</t>
        </is>
      </c>
      <c r="H203" s="210" t="inlineStr">
        <is>
          <t>明确减缓</t>
        </is>
      </c>
      <c r="I203" s="211" t="inlineStr">
        <is>
          <t>B.5</t>
        </is>
      </c>
      <c r="J203" s="208" t="inlineStr">
        <is>
          <t>-</t>
        </is>
      </c>
      <c r="K203" s="211" t="inlineStr">
        <is>
          <t>无目标</t>
        </is>
      </c>
      <c r="L203" s="209" t="inlineStr">
        <is>
          <t>PDF</t>
        </is>
      </c>
      <c r="M203" s="209" t="inlineStr">
        <is>
          <t>中文</t>
        </is>
      </c>
      <c r="N203" s="203" t="inlineStr">
        <is>
          <t>https://www.forestry.gov.cn/uploadfile/gfxwj/201419/4880f0ef-74d4-4458-a4a6-2c57c5536b73.pdf</t>
        </is>
      </c>
    </row>
    <row r="204">
      <c r="B204" s="198" t="inlineStr">
        <is>
          <t>GO1404</t>
        </is>
      </c>
      <c r="C204" s="208" t="n">
        <v>2014</v>
      </c>
      <c r="D204" s="225" t="inlineStr">
        <is>
          <t>2014年能源工作指导意见</t>
        </is>
      </c>
      <c r="E204" s="210" t="inlineStr">
        <is>
          <t>Guiding Opinions on Energy Work in 2014</t>
        </is>
      </c>
      <c r="F204" s="209" t="inlineStr">
        <is>
          <t>国家能源局</t>
        </is>
      </c>
      <c r="G204" s="209" t="inlineStr">
        <is>
          <t>指导意见</t>
        </is>
      </c>
      <c r="H204" s="210" t="inlineStr">
        <is>
          <t>经济规划（含气候）</t>
        </is>
      </c>
      <c r="I204" s="211" t="inlineStr">
        <is>
          <t>B.1</t>
        </is>
      </c>
      <c r="J204" s="208" t="n">
        <v>2014</v>
      </c>
      <c r="K204" s="211" t="inlineStr">
        <is>
          <t>无目标</t>
        </is>
      </c>
      <c r="L204" s="209" t="inlineStr">
        <is>
          <t>HTM</t>
        </is>
      </c>
      <c r="M204" s="209" t="inlineStr">
        <is>
          <t>中文</t>
        </is>
      </c>
      <c r="N204" s="203" t="inlineStr">
        <is>
          <t>https://zfxxgk.nea.gov.cn/auto82/201401/t20140124_1756.htm</t>
        </is>
      </c>
    </row>
    <row r="205">
      <c r="B205" s="198" t="inlineStr">
        <is>
          <t>GO1501</t>
        </is>
      </c>
      <c r="C205" s="208" t="n">
        <v>2015</v>
      </c>
      <c r="D205" s="210" t="inlineStr">
        <is>
          <t>关于促进煤炭工业科学发展的指导意见</t>
        </is>
      </c>
      <c r="E205" s="210" t="inlineStr">
        <is>
          <t>Guiding Opinions on Steadily Promoting the Construction of Coal-to-oil Demonstration Projects</t>
        </is>
      </c>
      <c r="F205" s="209" t="inlineStr">
        <is>
          <t>国家能源局</t>
        </is>
      </c>
      <c r="G205" s="209" t="inlineStr">
        <is>
          <t>指导意见</t>
        </is>
      </c>
      <c r="H205" s="210" t="inlineStr">
        <is>
          <t>化石能源</t>
        </is>
      </c>
      <c r="I205" s="211" t="inlineStr">
        <is>
          <t>B.1</t>
        </is>
      </c>
      <c r="J205" s="208" t="inlineStr">
        <is>
          <t>-</t>
        </is>
      </c>
      <c r="K205" s="211" t="inlineStr">
        <is>
          <t>无目标</t>
        </is>
      </c>
      <c r="L205" s="209" t="inlineStr">
        <is>
          <t>HTM</t>
        </is>
      </c>
      <c r="M205" s="209" t="inlineStr">
        <is>
          <t>中文</t>
        </is>
      </c>
      <c r="N205" s="203" t="inlineStr">
        <is>
          <t>https://zfxxgk.nea.gov.cn/auto85/201503/t20150325_1894.htm</t>
        </is>
      </c>
    </row>
    <row r="206">
      <c r="B206" s="198" t="inlineStr">
        <is>
          <t>GO1602</t>
        </is>
      </c>
      <c r="C206" s="208" t="n">
        <v>2016</v>
      </c>
      <c r="D206" s="210" t="inlineStr">
        <is>
          <t>关于构建绿色金融体系的指导意见</t>
        </is>
      </c>
      <c r="E206" s="210" t="inlineStr">
        <is>
          <t>Guiding Opinions on Building a Green Financial System</t>
        </is>
      </c>
      <c r="F206" s="209" t="inlineStr">
        <is>
          <t>中国人民银行；财政部；国家发展和改革委员会；环境保护部；中国银行业监督管理委员会；中国证券监督管理委员会；中国保险监督管理委员会</t>
        </is>
      </c>
      <c r="G206" s="209" t="inlineStr">
        <is>
          <t>指导意见</t>
        </is>
      </c>
      <c r="H206" s="210" t="inlineStr">
        <is>
          <t>促进减缓</t>
        </is>
      </c>
      <c r="I206" s="211" t="inlineStr">
        <is>
          <t>C.2</t>
        </is>
      </c>
      <c r="J206" s="208" t="inlineStr">
        <is>
          <t>-</t>
        </is>
      </c>
      <c r="K206" s="211" t="inlineStr">
        <is>
          <t>无目标</t>
        </is>
      </c>
      <c r="L206" s="209" t="inlineStr">
        <is>
          <t>HTM</t>
        </is>
      </c>
      <c r="M206" s="209" t="inlineStr">
        <is>
          <t>中文</t>
        </is>
      </c>
      <c r="N206" s="203" t="inlineStr">
        <is>
          <t>https://www.mee.gov.cn/gkml/hbb/gwy/201611/t20161124_368163.htm</t>
        </is>
      </c>
    </row>
    <row r="207">
      <c r="B207" s="198" t="inlineStr">
        <is>
          <t>GO1603</t>
        </is>
      </c>
      <c r="C207" s="208" t="n">
        <v>2016</v>
      </c>
      <c r="D207" s="210" t="inlineStr">
        <is>
          <t>关于推进电能替代的指导意见</t>
        </is>
      </c>
      <c r="E207" s="210" t="inlineStr">
        <is>
          <t>Guiding Opinions on Promoting Electric Energy Substitution</t>
        </is>
      </c>
      <c r="F207" s="209" t="inlineStr">
        <is>
          <t>国家发展和改革委员会</t>
        </is>
      </c>
      <c r="G207" s="209" t="inlineStr">
        <is>
          <t>指导意见</t>
        </is>
      </c>
      <c r="H207" s="210" t="inlineStr">
        <is>
          <t>促进减缓</t>
        </is>
      </c>
      <c r="I207" s="211" t="inlineStr">
        <is>
          <t>B.1</t>
        </is>
      </c>
      <c r="J207" s="208" t="inlineStr">
        <is>
          <t>-</t>
        </is>
      </c>
      <c r="K207" s="211" t="inlineStr">
        <is>
          <t>含目标</t>
        </is>
      </c>
      <c r="L207" s="209" t="inlineStr">
        <is>
          <t>HTM</t>
        </is>
      </c>
      <c r="M207" s="209" t="inlineStr">
        <is>
          <t>中文</t>
        </is>
      </c>
      <c r="N207" s="203" t="inlineStr">
        <is>
          <t>https://www.ndrc.gov.cn/xxgk/zcfb/tz/201605/t20160524_963071.html?code=&amp;state=123</t>
        </is>
      </c>
    </row>
    <row r="208">
      <c r="B208" s="198" t="inlineStr">
        <is>
          <t>GO1604</t>
        </is>
      </c>
      <c r="C208" s="208" t="n">
        <v>2016</v>
      </c>
      <c r="D208" s="210" t="inlineStr">
        <is>
          <t>关于建立可再生能源开发利用目标引导制度的指导意见</t>
        </is>
      </c>
      <c r="E208" s="210" t="inlineStr">
        <is>
          <t>Guiding Opinions on Establishing a Target Guidance System for the Development and Utilization of Renewable Energy</t>
        </is>
      </c>
      <c r="F208" s="209" t="inlineStr">
        <is>
          <t>国家能源局</t>
        </is>
      </c>
      <c r="G208" s="209" t="inlineStr">
        <is>
          <t>指导意见</t>
        </is>
      </c>
      <c r="H208" s="210" t="inlineStr">
        <is>
          <t>促进减缓</t>
        </is>
      </c>
      <c r="I208" s="211" t="inlineStr">
        <is>
          <t>B.1</t>
        </is>
      </c>
      <c r="J208" s="208" t="inlineStr">
        <is>
          <t>-</t>
        </is>
      </c>
      <c r="K208" s="211" t="inlineStr">
        <is>
          <t>无目标</t>
        </is>
      </c>
      <c r="L208" s="209" t="inlineStr">
        <is>
          <t>HTM</t>
        </is>
      </c>
      <c r="M208" s="209" t="inlineStr">
        <is>
          <t>中文</t>
        </is>
      </c>
      <c r="N208" s="203" t="inlineStr">
        <is>
          <t>http://zfxxgk.nea.gov.cn/auto87/201603/t20160303_2205.htm</t>
        </is>
      </c>
    </row>
    <row r="209">
      <c r="B209" s="198" t="inlineStr">
        <is>
          <t>GO1605</t>
        </is>
      </c>
      <c r="C209" s="208" t="n">
        <v>2016</v>
      </c>
      <c r="D209" s="210" t="inlineStr">
        <is>
          <t>推进绿色小水电发展的指导意见</t>
        </is>
      </c>
      <c r="E209" s="210" t="inlineStr">
        <is>
          <t>Guiding Opinions on Promoting the Development of Green Small Hydropower</t>
        </is>
      </c>
      <c r="F209" s="209" t="inlineStr">
        <is>
          <t>水利部</t>
        </is>
      </c>
      <c r="G209" s="209" t="inlineStr">
        <is>
          <t>指导意见</t>
        </is>
      </c>
      <c r="H209" s="210" t="inlineStr">
        <is>
          <t>促进减缓</t>
        </is>
      </c>
      <c r="I209" s="211" t="inlineStr">
        <is>
          <t>B.1</t>
        </is>
      </c>
      <c r="J209" s="208" t="inlineStr">
        <is>
          <t>-</t>
        </is>
      </c>
      <c r="K209" s="211" t="inlineStr">
        <is>
          <t>无目标</t>
        </is>
      </c>
      <c r="L209" s="209" t="inlineStr">
        <is>
          <t>HTM</t>
        </is>
      </c>
      <c r="M209" s="209" t="inlineStr">
        <is>
          <t>中文</t>
        </is>
      </c>
      <c r="N209" s="203" t="inlineStr">
        <is>
          <t>http://www.hrcshp.org/cn/onews.asp?id=1552</t>
        </is>
      </c>
    </row>
    <row r="210">
      <c r="B210" s="198" t="inlineStr">
        <is>
          <t>GO1701</t>
        </is>
      </c>
      <c r="C210" s="208" t="n">
        <v>2017</v>
      </c>
      <c r="D210" s="210" t="inlineStr">
        <is>
          <t>“十三五”规划实施的指导意见</t>
        </is>
      </c>
      <c r="E210" s="210" t="inlineStr">
        <is>
          <t>Guiding Opinions on the Implementation of the 13th Five-Year Plan for Renewable Energy Development</t>
        </is>
      </c>
      <c r="F210" s="209" t="inlineStr">
        <is>
          <t>国家能源局</t>
        </is>
      </c>
      <c r="G210" s="209" t="inlineStr">
        <is>
          <t>指导意见</t>
        </is>
      </c>
      <c r="H210" s="210" t="inlineStr">
        <is>
          <t>促进减缓</t>
        </is>
      </c>
      <c r="I210" s="211" t="inlineStr">
        <is>
          <t>B.1</t>
        </is>
      </c>
      <c r="J210" s="208" t="inlineStr">
        <is>
          <t>十三五</t>
        </is>
      </c>
      <c r="K210" s="211" t="inlineStr">
        <is>
          <t>无目标</t>
        </is>
      </c>
      <c r="L210" s="209" t="inlineStr">
        <is>
          <t>HTM</t>
        </is>
      </c>
      <c r="M210" s="209" t="inlineStr">
        <is>
          <t>中文</t>
        </is>
      </c>
      <c r="N210" s="203" t="inlineStr">
        <is>
          <t>http://zfxxgk.nea.gov.cn/auto87/201707/t20170728_2835.htm</t>
        </is>
      </c>
    </row>
    <row r="211">
      <c r="B211" s="198" t="inlineStr">
        <is>
          <t>GO1702</t>
        </is>
      </c>
      <c r="C211" s="208" t="n">
        <v>2017</v>
      </c>
      <c r="D211" s="210" t="inlineStr">
        <is>
          <t>四部门下发指导意见 推进北方采暖地区城镇清洁供暖</t>
        </is>
      </c>
      <c r="E211" s="210" t="inlineStr">
        <is>
          <t>Guiding Opinions on Promoting Clean Heating in Cities and Towns in Northern Heating Areas</t>
        </is>
      </c>
      <c r="F211" s="209" t="inlineStr">
        <is>
          <t>国家发展和改革委员会；国家能源局；财政部；住房和城乡建设部</t>
        </is>
      </c>
      <c r="G211" s="209" t="inlineStr">
        <is>
          <t>指导意见</t>
        </is>
      </c>
      <c r="H211" s="210" t="inlineStr">
        <is>
          <t>明确减缓</t>
        </is>
      </c>
      <c r="I211" s="211" t="inlineStr">
        <is>
          <t>B.1, B.3</t>
        </is>
      </c>
      <c r="J211" s="208" t="inlineStr">
        <is>
          <t>-</t>
        </is>
      </c>
      <c r="K211" s="211" t="inlineStr">
        <is>
          <t>无目标</t>
        </is>
      </c>
      <c r="L211" s="209" t="inlineStr">
        <is>
          <t>HTM</t>
        </is>
      </c>
      <c r="M211" s="209" t="inlineStr">
        <is>
          <t>中文</t>
        </is>
      </c>
      <c r="N211" s="203" t="inlineStr">
        <is>
          <t>https://www.gov.cn/xinwen/2017-09/20/content_5226347.htm</t>
        </is>
      </c>
    </row>
    <row r="212">
      <c r="B212" s="198" t="inlineStr">
        <is>
          <t>GO1703</t>
        </is>
      </c>
      <c r="C212" s="208" t="n">
        <v>2017</v>
      </c>
      <c r="D212" s="210" t="inlineStr">
        <is>
          <t>2017年能源工作指导意见</t>
        </is>
      </c>
      <c r="E212" s="210" t="inlineStr">
        <is>
          <t>Guiding Opinions on Energy-related Work in 2017</t>
        </is>
      </c>
      <c r="F212" s="209" t="inlineStr">
        <is>
          <t>国家能源局</t>
        </is>
      </c>
      <c r="G212" s="209" t="inlineStr">
        <is>
          <t>指导意见</t>
        </is>
      </c>
      <c r="H212" s="210" t="inlineStr">
        <is>
          <t>经济规划（含气候）</t>
        </is>
      </c>
      <c r="I212" s="211" t="inlineStr">
        <is>
          <t>B.1</t>
        </is>
      </c>
      <c r="J212" s="208" t="inlineStr">
        <is>
          <t>-</t>
        </is>
      </c>
      <c r="K212" s="211" t="inlineStr">
        <is>
          <t>含目标</t>
        </is>
      </c>
      <c r="L212" s="209" t="inlineStr">
        <is>
          <t>PDF</t>
        </is>
      </c>
      <c r="M212" s="209" t="inlineStr">
        <is>
          <t>中文</t>
        </is>
      </c>
      <c r="N212" s="203" t="inlineStr">
        <is>
          <t>https://wenku.baidu.com/view/60ffac31ae02de80d4d8d15abe23482fb5da0247.html?fr=aladdin266&amp;ind=1&amp;aigcsid=0&amp;qtype=0&amp;lcid=1&amp;queryKey=2017年能源工作指导意见&amp;verifyType=undefined&amp;_wkts_=1745938725420&amp;bdQuery=2017年能源工作指导意见</t>
        </is>
      </c>
    </row>
    <row r="213">
      <c r="B213" s="198" t="inlineStr">
        <is>
          <t>GO1704</t>
        </is>
      </c>
      <c r="C213" s="208" t="n">
        <v>2017</v>
      </c>
      <c r="D213" s="210" t="inlineStr">
        <is>
          <t xml:space="preserve">可再生能源发展“十三五”规划实施的指导意见 </t>
        </is>
      </c>
      <c r="E213" s="210" t="inlineStr">
        <is>
          <t>Guiding Opinions on the Implementation of the 13th Five-Year Plan for the Development of Renewable Energy</t>
        </is>
      </c>
      <c r="F213" s="209" t="inlineStr">
        <is>
          <t>国家能源局</t>
        </is>
      </c>
      <c r="G213" s="209" t="inlineStr">
        <is>
          <t>指导意见</t>
        </is>
      </c>
      <c r="H213" s="210" t="inlineStr">
        <is>
          <t>促进减缓</t>
        </is>
      </c>
      <c r="I213" s="211" t="inlineStr">
        <is>
          <t>B.1</t>
        </is>
      </c>
      <c r="J213" s="208" t="inlineStr">
        <is>
          <t>十三五</t>
        </is>
      </c>
      <c r="K213" s="211" t="inlineStr">
        <is>
          <t>无目标</t>
        </is>
      </c>
      <c r="L213" s="209" t="inlineStr">
        <is>
          <t>HTM</t>
        </is>
      </c>
      <c r="M213" s="209" t="inlineStr">
        <is>
          <t>中文</t>
        </is>
      </c>
      <c r="N213" s="203" t="inlineStr">
        <is>
          <t>http://zfxxgk.nea.gov.cn/auto87/201707/t20170728_2835.htm</t>
        </is>
      </c>
    </row>
    <row r="214">
      <c r="B214" s="198" t="inlineStr">
        <is>
          <t>GO1705</t>
        </is>
      </c>
      <c r="C214" s="208" t="n">
        <v>2017</v>
      </c>
      <c r="D214" s="210" t="inlineStr">
        <is>
          <t>关于促进储能技术与产业发展的指导意见</t>
        </is>
      </c>
      <c r="E214" s="210" t="inlineStr">
        <is>
          <t>Guiding Opinions on Promoting Energy Storage Technology and Industrial Development</t>
        </is>
      </c>
      <c r="F214" s="209" t="inlineStr">
        <is>
          <t>国家发展和改革委员会；国家能源局</t>
        </is>
      </c>
      <c r="G214" s="209" t="inlineStr">
        <is>
          <t>指导意见</t>
        </is>
      </c>
      <c r="H214" s="210" t="inlineStr">
        <is>
          <t>促进减缓</t>
        </is>
      </c>
      <c r="I214" s="211" t="inlineStr">
        <is>
          <t>B.1</t>
        </is>
      </c>
      <c r="J214" s="208" t="inlineStr">
        <is>
          <t>-</t>
        </is>
      </c>
      <c r="K214" s="211" t="inlineStr">
        <is>
          <t>无目标</t>
        </is>
      </c>
      <c r="L214" s="209" t="inlineStr">
        <is>
          <t>HTM</t>
        </is>
      </c>
      <c r="M214" s="209" t="inlineStr">
        <is>
          <t>中文</t>
        </is>
      </c>
      <c r="N214" s="203" t="inlineStr">
        <is>
          <t>https://www.nea.gov.cn/2017-10/11/c_136672015.htm</t>
        </is>
      </c>
    </row>
    <row r="215">
      <c r="B215" s="198" t="inlineStr">
        <is>
          <t>GO1706</t>
        </is>
      </c>
      <c r="C215" s="208" t="n">
        <v>2017</v>
      </c>
      <c r="D215" s="210" t="inlineStr">
        <is>
          <t>关于印发促进生物质能供热发展指导意见</t>
        </is>
      </c>
      <c r="E215" s="210" t="inlineStr">
        <is>
          <t>Guiding Opinions on Promoting the Development of Biomass Energy Heating</t>
        </is>
      </c>
      <c r="F215" s="209" t="inlineStr">
        <is>
          <t>国家发展和改革委员会；国家能源局</t>
        </is>
      </c>
      <c r="G215" s="209" t="inlineStr">
        <is>
          <t>指导意见</t>
        </is>
      </c>
      <c r="H215" s="210" t="inlineStr">
        <is>
          <t>促进减缓</t>
        </is>
      </c>
      <c r="I215" s="211" t="inlineStr">
        <is>
          <t>B.1</t>
        </is>
      </c>
      <c r="J215" s="208" t="inlineStr">
        <is>
          <t>-</t>
        </is>
      </c>
      <c r="K215" s="211" t="inlineStr">
        <is>
          <t>无目标</t>
        </is>
      </c>
      <c r="L215" s="209" t="inlineStr">
        <is>
          <t>PDF</t>
        </is>
      </c>
      <c r="M215" s="209" t="inlineStr">
        <is>
          <t>中文</t>
        </is>
      </c>
      <c r="N215" s="203" t="inlineStr">
        <is>
          <t>http://zfxxgk.nea.gov.cn/auto87/201712/t20171228_3085.htm</t>
        </is>
      </c>
    </row>
    <row r="216">
      <c r="B216" s="198" t="inlineStr">
        <is>
          <t>GO1801</t>
        </is>
      </c>
      <c r="C216" s="208" t="n">
        <v>2018</v>
      </c>
      <c r="D216" s="210" t="inlineStr">
        <is>
          <t>关于提升电力系统调节能力的指导意见</t>
        </is>
      </c>
      <c r="E216" s="210" t="inlineStr">
        <is>
          <t>Guiding Opinions on Enhancing the Regulation Capacity of Power Systems</t>
        </is>
      </c>
      <c r="F216" s="209" t="inlineStr">
        <is>
          <t>国家发展和改革委员会；国家能源局</t>
        </is>
      </c>
      <c r="G216" s="209" t="inlineStr">
        <is>
          <t>指导意见</t>
        </is>
      </c>
      <c r="H216" s="210" t="inlineStr">
        <is>
          <t>促进减缓</t>
        </is>
      </c>
      <c r="I216" s="211" t="inlineStr">
        <is>
          <t>B.1</t>
        </is>
      </c>
      <c r="J216" s="208" t="inlineStr">
        <is>
          <t>-</t>
        </is>
      </c>
      <c r="K216" s="211" t="inlineStr">
        <is>
          <t>含目标</t>
        </is>
      </c>
      <c r="L216" s="209" t="inlineStr">
        <is>
          <t>HTM</t>
        </is>
      </c>
      <c r="M216" s="209" t="inlineStr">
        <is>
          <t>中文</t>
        </is>
      </c>
      <c r="N216" s="203" t="inlineStr">
        <is>
          <t>https://www.ndrc.gov.cn/xxgk/zcfb/tz/201803/t20180323_962694.html?code=&amp;state=123</t>
        </is>
      </c>
    </row>
    <row r="217">
      <c r="B217" s="198" t="inlineStr">
        <is>
          <t>GO1901</t>
        </is>
      </c>
      <c r="C217" s="208" t="n">
        <v>2019</v>
      </c>
      <c r="D217" s="210" t="inlineStr">
        <is>
          <t>国家发展改革委 科技部关于构建市场导向的绿色技术创新体系的指导意见</t>
        </is>
      </c>
      <c r="E217" s="210" t="inlineStr">
        <is>
          <t>Guiding Opinions on Building a Market-Oriented Green Technology Innovation System</t>
        </is>
      </c>
      <c r="F217" s="209" t="inlineStr">
        <is>
          <t>国家发展和改革委员会；科学技术部</t>
        </is>
      </c>
      <c r="G217" s="209" t="inlineStr">
        <is>
          <t>指导意见</t>
        </is>
      </c>
      <c r="H217" s="210" t="inlineStr">
        <is>
          <t>明确减缓</t>
        </is>
      </c>
      <c r="I217" s="211" t="inlineStr">
        <is>
          <t>C.1</t>
        </is>
      </c>
      <c r="J217" s="208" t="inlineStr">
        <is>
          <t>-</t>
        </is>
      </c>
      <c r="K217" s="211" t="inlineStr">
        <is>
          <t>无目标</t>
        </is>
      </c>
      <c r="L217" s="209" t="inlineStr">
        <is>
          <t>HTM</t>
        </is>
      </c>
      <c r="M217" s="209" t="inlineStr">
        <is>
          <t>中文</t>
        </is>
      </c>
      <c r="N217" s="203" t="inlineStr">
        <is>
          <t>https://www.most.gov.cn/xxgk/xinxifenlei/fdzdgknr/fgzc/gfxwj/gfxwj2019/201905/t20190514_146515.html</t>
        </is>
      </c>
    </row>
    <row r="218">
      <c r="B218" s="198" t="inlineStr">
        <is>
          <t>GO1902</t>
        </is>
      </c>
      <c r="C218" s="208" t="n">
        <v>2019</v>
      </c>
      <c r="D218" s="210" t="inlineStr">
        <is>
          <t>关于建立以国家公园为主体的自然保护地体系的指导意见</t>
        </is>
      </c>
      <c r="E218" s="210" t="inlineStr">
        <is>
          <t>Guiding Opinions on Establishing a System of Nature Reserves With National Parks as the Main Body</t>
        </is>
      </c>
      <c r="F218" s="209" t="inlineStr">
        <is>
          <t>中共中央；国务院</t>
        </is>
      </c>
      <c r="G218" s="209" t="inlineStr">
        <is>
          <t>指导意见</t>
        </is>
      </c>
      <c r="H218" s="210" t="inlineStr">
        <is>
          <t>促进减缓</t>
        </is>
      </c>
      <c r="I218" s="211" t="inlineStr">
        <is>
          <t>B.5</t>
        </is>
      </c>
      <c r="J218" s="208" t="inlineStr">
        <is>
          <t>-</t>
        </is>
      </c>
      <c r="K218" s="211" t="inlineStr">
        <is>
          <t>无目标</t>
        </is>
      </c>
      <c r="L218" s="209" t="inlineStr">
        <is>
          <t>HTM</t>
        </is>
      </c>
      <c r="M218" s="209" t="inlineStr">
        <is>
          <t>中文</t>
        </is>
      </c>
      <c r="N218" s="203" t="inlineStr">
        <is>
          <t>https://www.gov.cn/zhengce/2019-06/26/content_5403497.htm</t>
        </is>
      </c>
    </row>
    <row r="219">
      <c r="B219" s="198" t="inlineStr">
        <is>
          <t>GO1904</t>
        </is>
      </c>
      <c r="C219" s="208" t="n">
        <v>2019</v>
      </c>
      <c r="D219" s="225" t="inlineStr">
        <is>
          <t>关于做好水电开发利益共享工作的指导意见</t>
        </is>
      </c>
      <c r="E219" s="210" t="inlineStr">
        <is>
          <t>Guiding Opinions on Doing a Good Job in Sharing Benefits of Hydropower Development</t>
        </is>
      </c>
      <c r="F219" s="209" t="inlineStr">
        <is>
          <t>国家发展和改革委员会；国家能源局；财政部；人力资源和社会保障部；自然资源部；国家宗教事务局</t>
        </is>
      </c>
      <c r="G219" s="209" t="inlineStr">
        <is>
          <t>指导意见</t>
        </is>
      </c>
      <c r="H219" s="210" t="inlineStr">
        <is>
          <t>促进减缓</t>
        </is>
      </c>
      <c r="I219" s="211" t="inlineStr">
        <is>
          <t>B.1</t>
        </is>
      </c>
      <c r="J219" s="208" t="inlineStr">
        <is>
          <t>-</t>
        </is>
      </c>
      <c r="K219" s="211" t="inlineStr">
        <is>
          <t>无目标</t>
        </is>
      </c>
      <c r="L219" s="209" t="inlineStr">
        <is>
          <t>HTM</t>
        </is>
      </c>
      <c r="M219" s="209" t="inlineStr">
        <is>
          <t>中文</t>
        </is>
      </c>
      <c r="N219" s="203" t="inlineStr">
        <is>
          <t>https://www.gov.cn/gongbao/content/2019/content_5407670.htm</t>
        </is>
      </c>
    </row>
    <row r="220">
      <c r="B220" s="198" t="inlineStr">
        <is>
          <t>GO1905</t>
        </is>
      </c>
      <c r="C220" s="208" t="n">
        <v>2019</v>
      </c>
      <c r="D220" s="225" t="inlineStr">
        <is>
          <t xml:space="preserve">加强绿色数据中心建设的指导意见 </t>
        </is>
      </c>
      <c r="E220" s="210" t="inlineStr">
        <is>
          <t>Guiding Opinions on Strengthening the Construction of Green Data Centers</t>
        </is>
      </c>
      <c r="F220" s="209" t="inlineStr">
        <is>
          <t>工业和信息化部；国家机关事务管理局；国家能源局</t>
        </is>
      </c>
      <c r="G220" s="209" t="inlineStr">
        <is>
          <t>指导意见</t>
        </is>
      </c>
      <c r="H220" s="210" t="inlineStr">
        <is>
          <t>明确减缓</t>
        </is>
      </c>
      <c r="I220" s="211" t="inlineStr">
        <is>
          <t>B.3</t>
        </is>
      </c>
      <c r="J220" s="208" t="inlineStr">
        <is>
          <t>-</t>
        </is>
      </c>
      <c r="K220" s="211" t="inlineStr">
        <is>
          <t>无目标</t>
        </is>
      </c>
      <c r="L220" s="209" t="inlineStr">
        <is>
          <t>HTM</t>
        </is>
      </c>
      <c r="M220" s="209" t="inlineStr">
        <is>
          <t>中文</t>
        </is>
      </c>
      <c r="N220" s="203" t="inlineStr">
        <is>
          <t>https://www.gov.cn/xinwen/2019-02/14/content_5365516.htm</t>
        </is>
      </c>
    </row>
    <row r="221">
      <c r="B221" s="198" t="inlineStr">
        <is>
          <t>GO2001</t>
        </is>
      </c>
      <c r="C221" s="208" t="n">
        <v>2020</v>
      </c>
      <c r="D221" s="210" t="inlineStr">
        <is>
          <t>关于促进应对气候变化投融资的指导意见</t>
        </is>
      </c>
      <c r="E221" s="210" t="inlineStr">
        <is>
          <t>Guiding Opinions on Promoting Investment and Financing in Response to Climate Change</t>
        </is>
      </c>
      <c r="F221" s="209" t="inlineStr">
        <is>
          <t>生态环境部；国家发展和改革委员会；中国人民银行；中国银行保险监督管理委员会；中国证券监督管理委员会</t>
        </is>
      </c>
      <c r="G221" s="209" t="inlineStr">
        <is>
          <t>指导意见</t>
        </is>
      </c>
      <c r="H221" s="210" t="inlineStr">
        <is>
          <t>明确减缓</t>
        </is>
      </c>
      <c r="I221" s="211" t="inlineStr">
        <is>
          <t>C.2</t>
        </is>
      </c>
      <c r="J221" s="208" t="inlineStr">
        <is>
          <t>-</t>
        </is>
      </c>
      <c r="K221" s="211" t="inlineStr">
        <is>
          <t>无目标</t>
        </is>
      </c>
      <c r="L221" s="209" t="inlineStr">
        <is>
          <t>HTM</t>
        </is>
      </c>
      <c r="M221" s="209" t="inlineStr">
        <is>
          <t>中文</t>
        </is>
      </c>
      <c r="N221" s="203" t="inlineStr">
        <is>
          <t>https://www.mee.gov.cn/xxgk2018/xxgk/xxgk03/202010/t20201026_804792.html</t>
        </is>
      </c>
    </row>
    <row r="222">
      <c r="B222" s="198" t="inlineStr">
        <is>
          <t>GO2002</t>
        </is>
      </c>
      <c r="C222" s="208" t="n">
        <v>2020</v>
      </c>
      <c r="D222" s="210" t="inlineStr">
        <is>
          <t>关于加快能源领域新型标准体系建设的指导意见</t>
        </is>
      </c>
      <c r="E222" s="210" t="inlineStr">
        <is>
          <t>Guiding Opinions on Accelerating the Construction of a New Standard System in the Energy Field</t>
        </is>
      </c>
      <c r="F222" s="209" t="inlineStr">
        <is>
          <t>国家能源局</t>
        </is>
      </c>
      <c r="G222" s="209" t="inlineStr">
        <is>
          <t>指导意见</t>
        </is>
      </c>
      <c r="H222" s="210" t="inlineStr">
        <is>
          <t>促进减缓</t>
        </is>
      </c>
      <c r="I222" s="211" t="inlineStr">
        <is>
          <t>B.1</t>
        </is>
      </c>
      <c r="J222" s="208" t="inlineStr">
        <is>
          <t>-</t>
        </is>
      </c>
      <c r="K222" s="211" t="inlineStr">
        <is>
          <t>无目标</t>
        </is>
      </c>
      <c r="L222" s="209" t="inlineStr">
        <is>
          <t>HTM</t>
        </is>
      </c>
      <c r="M222" s="209" t="inlineStr">
        <is>
          <t>中文</t>
        </is>
      </c>
      <c r="N222" s="203" t="inlineStr">
        <is>
          <t>http://zfxxgk.nea.gov.cn/2020-09/29/c_139629966.htm</t>
        </is>
      </c>
    </row>
    <row r="223">
      <c r="B223" s="198" t="inlineStr">
        <is>
          <t>GO2003</t>
        </is>
      </c>
      <c r="C223" s="208" t="n">
        <v>2020</v>
      </c>
      <c r="D223" s="210" t="inlineStr">
        <is>
          <t>2020年能源工作指导意见</t>
        </is>
      </c>
      <c r="E223" s="210" t="inlineStr">
        <is>
          <t>Guiding Opinions on Energy Work in 2020</t>
        </is>
      </c>
      <c r="F223" s="209" t="inlineStr">
        <is>
          <t>国家能源局</t>
        </is>
      </c>
      <c r="G223" s="209" t="inlineStr">
        <is>
          <t>指导意见</t>
        </is>
      </c>
      <c r="H223" s="210" t="inlineStr">
        <is>
          <t>经济规划（含气候）</t>
        </is>
      </c>
      <c r="I223" s="211" t="inlineStr">
        <is>
          <t>B.1</t>
        </is>
      </c>
      <c r="J223" s="208" t="n">
        <v>2020</v>
      </c>
      <c r="K223" s="211" t="inlineStr">
        <is>
          <t>无目标</t>
        </is>
      </c>
      <c r="L223" s="209" t="inlineStr">
        <is>
          <t>PDF</t>
        </is>
      </c>
      <c r="M223" s="209" t="inlineStr">
        <is>
          <t>中文</t>
        </is>
      </c>
      <c r="N223" s="203" t="inlineStr">
        <is>
          <t>http://www.nea.gov.cn/2020-06/22/c_139158412.htm</t>
        </is>
      </c>
    </row>
    <row r="224">
      <c r="B224" s="198" t="inlineStr">
        <is>
          <t>GO2101</t>
        </is>
      </c>
      <c r="C224" s="208" t="n">
        <v>2021</v>
      </c>
      <c r="D224" s="210" t="inlineStr">
        <is>
          <t>关于加快推动新型储能发展的指导意见</t>
        </is>
      </c>
      <c r="E224" s="210" t="inlineStr">
        <is>
          <t>Guiding Opinions on Accelerating the Development of New Energy Storage</t>
        </is>
      </c>
      <c r="F224" s="209" t="inlineStr">
        <is>
          <t>国家发展和改革委员会；国家能源局</t>
        </is>
      </c>
      <c r="G224" s="209" t="inlineStr">
        <is>
          <t>指导意见</t>
        </is>
      </c>
      <c r="H224" s="210" t="inlineStr">
        <is>
          <t>促进减缓</t>
        </is>
      </c>
      <c r="I224" s="211" t="inlineStr">
        <is>
          <t>B.1</t>
        </is>
      </c>
      <c r="J224" s="208" t="inlineStr">
        <is>
          <t>-</t>
        </is>
      </c>
      <c r="K224" s="211" t="inlineStr">
        <is>
          <t>无目标</t>
        </is>
      </c>
      <c r="L224" s="209" t="inlineStr">
        <is>
          <t>HTM</t>
        </is>
      </c>
      <c r="M224" s="209" t="inlineStr">
        <is>
          <t>中文</t>
        </is>
      </c>
      <c r="N224" s="203" t="inlineStr">
        <is>
          <t>https://www.ndrc.gov.cn/xxgk/zcfb/ghxwj/202107/t20210723_1291321.html?code=&amp;state=123</t>
        </is>
      </c>
    </row>
    <row r="225">
      <c r="B225" s="198" t="inlineStr">
        <is>
          <t>GO2102</t>
        </is>
      </c>
      <c r="C225" s="208" t="n">
        <v>2021</v>
      </c>
      <c r="D225" s="210" t="inlineStr">
        <is>
          <t>关于统筹和加强应对气候变化与生态环境保护相关工作的指导意见</t>
        </is>
      </c>
      <c r="E225" s="210" t="inlineStr">
        <is>
          <t>Guiding Opinions on Coordinating and Strengthening the Work Related to Climate Change and Ecological Environment Protection</t>
        </is>
      </c>
      <c r="F225" s="209" t="inlineStr">
        <is>
          <t>生态环境部</t>
        </is>
      </c>
      <c r="G225" s="209" t="inlineStr">
        <is>
          <t>指导意见</t>
        </is>
      </c>
      <c r="H225" s="210" t="inlineStr">
        <is>
          <t>明确减缓</t>
        </is>
      </c>
      <c r="I225" s="211" t="inlineStr">
        <is>
          <t>D.3</t>
        </is>
      </c>
      <c r="J225" s="208" t="inlineStr">
        <is>
          <t>-</t>
        </is>
      </c>
      <c r="K225" s="211" t="inlineStr">
        <is>
          <t>含目标</t>
        </is>
      </c>
      <c r="L225" s="209" t="inlineStr">
        <is>
          <t>HTM</t>
        </is>
      </c>
      <c r="M225" s="209" t="inlineStr">
        <is>
          <t>中文</t>
        </is>
      </c>
      <c r="N225" s="203" t="inlineStr">
        <is>
          <t>https://www.mee.gov.cn/xxgk2018/xxgk/xxgk03/202101/t20210113_817221.html</t>
        </is>
      </c>
    </row>
    <row r="226">
      <c r="B226" s="198" t="inlineStr">
        <is>
          <t>GO2103</t>
        </is>
      </c>
      <c r="C226" s="208" t="n">
        <v>2021</v>
      </c>
      <c r="D226" s="210" t="inlineStr">
        <is>
          <t>国务院关于加快建立健全
绿色低碳循环发展经济体系的指导意见</t>
        </is>
      </c>
      <c r="E226" s="210" t="inlineStr">
        <is>
          <t>Guiding Opinions on Accelerating the Establishment of a Sound Green, Low-Carbon, and Circular Development Economic System</t>
        </is>
      </c>
      <c r="F226" s="209" t="inlineStr">
        <is>
          <t>国务院</t>
        </is>
      </c>
      <c r="G226" s="209" t="inlineStr">
        <is>
          <t>指导意见</t>
        </is>
      </c>
      <c r="H226" s="210" t="inlineStr">
        <is>
          <t>明确减缓</t>
        </is>
      </c>
      <c r="I226" s="211" t="inlineStr">
        <is>
          <t>D.2</t>
        </is>
      </c>
      <c r="J226" s="208" t="inlineStr">
        <is>
          <t>-</t>
        </is>
      </c>
      <c r="K226" s="211" t="inlineStr">
        <is>
          <t>无目标</t>
        </is>
      </c>
      <c r="L226" s="209" t="inlineStr">
        <is>
          <t>HTM</t>
        </is>
      </c>
      <c r="M226" s="209" t="inlineStr">
        <is>
          <t>中文</t>
        </is>
      </c>
      <c r="N226" s="203" t="inlineStr">
        <is>
          <t>https://www.gov.cn/zhengce/content/2021-02/22/content_5588274.htm</t>
        </is>
      </c>
    </row>
    <row r="227">
      <c r="B227" s="198" t="inlineStr">
        <is>
          <t>GO2104</t>
        </is>
      </c>
      <c r="C227" s="208" t="n">
        <v>2021</v>
      </c>
      <c r="D227" s="210" t="inlineStr">
        <is>
          <t>国务院办公厅关于科学绿化的指导意见</t>
        </is>
      </c>
      <c r="E227" s="210" t="inlineStr">
        <is>
          <t>Guiding Opinions on Scientific Greening</t>
        </is>
      </c>
      <c r="F227" s="209" t="inlineStr">
        <is>
          <t>国务院</t>
        </is>
      </c>
      <c r="G227" s="209" t="inlineStr">
        <is>
          <t>指导意见</t>
        </is>
      </c>
      <c r="H227" s="210" t="inlineStr">
        <is>
          <t>明确减缓</t>
        </is>
      </c>
      <c r="I227" s="211" t="inlineStr">
        <is>
          <t>C.1, C.5</t>
        </is>
      </c>
      <c r="J227" s="208" t="inlineStr">
        <is>
          <t>-</t>
        </is>
      </c>
      <c r="K227" s="211" t="inlineStr">
        <is>
          <t>无目标</t>
        </is>
      </c>
      <c r="L227" s="209" t="inlineStr">
        <is>
          <t>HTM</t>
        </is>
      </c>
      <c r="M227" s="209" t="inlineStr">
        <is>
          <t>中文</t>
        </is>
      </c>
      <c r="N227" s="203" t="inlineStr">
        <is>
          <t>http://www.gov.cn/zhengce/content/2021-06/02/content_5614922.htm</t>
        </is>
      </c>
    </row>
    <row r="228">
      <c r="B228" s="198" t="inlineStr">
        <is>
          <t>GO2105</t>
        </is>
      </c>
      <c r="C228" s="208" t="n">
        <v>2021</v>
      </c>
      <c r="D228" s="210" t="inlineStr">
        <is>
          <t>国家发展改革委 国家能源局关于推进电力源网荷储一体化和多能互补发展的指导意见</t>
        </is>
      </c>
      <c r="E228" s="210" t="inlineStr">
        <is>
          <t xml:space="preserve">Guiding Opinions on Promoting the Integration of Load and Storage and Multi-Energy Complementary </t>
        </is>
      </c>
      <c r="F228" s="209" t="inlineStr">
        <is>
          <t>国家发展和改革委员会；国家能源局</t>
        </is>
      </c>
      <c r="G228" s="209" t="inlineStr">
        <is>
          <t>指导意见</t>
        </is>
      </c>
      <c r="H228" s="210" t="inlineStr">
        <is>
          <t>促进减缓</t>
        </is>
      </c>
      <c r="I228" s="211" t="inlineStr">
        <is>
          <t>B.1</t>
        </is>
      </c>
      <c r="J228" s="208" t="inlineStr">
        <is>
          <t>-</t>
        </is>
      </c>
      <c r="K228" s="211" t="inlineStr">
        <is>
          <t>无目标</t>
        </is>
      </c>
      <c r="L228" s="209" t="inlineStr">
        <is>
          <t>HTM</t>
        </is>
      </c>
      <c r="M228" s="209" t="inlineStr">
        <is>
          <t>中文</t>
        </is>
      </c>
      <c r="N228" s="203" t="inlineStr">
        <is>
          <t>https://www.ndrc.gov.cn/xxgk/zcfb/ghxwj/202103/t20210305_1269046.html?code=&amp;state=123</t>
        </is>
      </c>
    </row>
    <row r="229">
      <c r="B229" s="198" t="inlineStr">
        <is>
          <t>GO2107</t>
        </is>
      </c>
      <c r="C229" s="208" t="n">
        <v>2021</v>
      </c>
      <c r="D229" s="210" t="inlineStr">
        <is>
          <t>工业和信息化部 人民银行 银保监会 证监会
关于加强产融合作推动工业绿色发展的指导意见</t>
        </is>
      </c>
      <c r="E229" s="210" t="inlineStr">
        <is>
          <t>Guiding Opinions on Strengthening Industrial Integration to Promote Industrial Green Development</t>
        </is>
      </c>
      <c r="F229" s="209" t="inlineStr">
        <is>
          <t>工业和信息化部；中国人民银行；中国银行保险监督管理委员会；中国证券监督管理委员会</t>
        </is>
      </c>
      <c r="G229" s="209" t="inlineStr">
        <is>
          <t>指导意见</t>
        </is>
      </c>
      <c r="H229" s="210" t="inlineStr">
        <is>
          <t>明确减缓</t>
        </is>
      </c>
      <c r="I229" s="211" t="inlineStr">
        <is>
          <t>B.2</t>
        </is>
      </c>
      <c r="J229" s="208" t="inlineStr">
        <is>
          <t>-</t>
        </is>
      </c>
      <c r="K229" s="211" t="inlineStr">
        <is>
          <t>无目标</t>
        </is>
      </c>
      <c r="L229" s="209" t="inlineStr">
        <is>
          <t>HTM</t>
        </is>
      </c>
      <c r="M229" s="209" t="inlineStr">
        <is>
          <t>中文</t>
        </is>
      </c>
      <c r="N229" s="203" t="inlineStr">
        <is>
          <t>https://www.miit.gov.cn/jgsj/cws/wjfb/art/2021/art_cd604c71686e4f18a15c5c966fe32b13.html</t>
        </is>
      </c>
    </row>
    <row r="230">
      <c r="B230" s="198" t="inlineStr">
        <is>
          <t>GO2108</t>
        </is>
      </c>
      <c r="C230" s="208" t="n">
        <v>2021</v>
      </c>
      <c r="D230" s="225" t="inlineStr">
        <is>
          <t>关于加强高耗能、高排放建设项目生态环境源头防控的指导意见</t>
        </is>
      </c>
      <c r="E230" s="210" t="inlineStr">
        <is>
          <t>Guiding Opinions on Strengthening Source Prevention and Control of Ecological Environment in High-Energy-Consumption and High-Emission Construction Projects</t>
        </is>
      </c>
      <c r="F230" s="209" t="inlineStr">
        <is>
          <t>生态环境部</t>
        </is>
      </c>
      <c r="G230" s="209" t="inlineStr">
        <is>
          <t>指导意见</t>
        </is>
      </c>
      <c r="H230" s="210" t="inlineStr">
        <is>
          <t>明确减缓</t>
        </is>
      </c>
      <c r="I230" s="211" t="inlineStr">
        <is>
          <t>B.3, D.3</t>
        </is>
      </c>
      <c r="J230" s="208" t="inlineStr">
        <is>
          <t>-</t>
        </is>
      </c>
      <c r="K230" s="211" t="inlineStr">
        <is>
          <t>无目标</t>
        </is>
      </c>
      <c r="L230" s="209" t="inlineStr">
        <is>
          <t>HTM</t>
        </is>
      </c>
      <c r="M230" s="209" t="inlineStr">
        <is>
          <t>中文</t>
        </is>
      </c>
      <c r="N230" s="203" t="inlineStr">
        <is>
          <t>https://www.gov.cn/zhengce/zhengceku/2021-06/01/content_5614531.htm</t>
        </is>
      </c>
    </row>
    <row r="231">
      <c r="B231" s="198" t="inlineStr">
        <is>
          <t>GO2109</t>
        </is>
      </c>
      <c r="C231" s="208" t="n">
        <v>2021</v>
      </c>
      <c r="D231" s="210" t="inlineStr">
        <is>
          <t>关于“十四五”大宗固体废弃物综合利用的指导意见</t>
        </is>
      </c>
      <c r="E231" s="210" t="inlineStr">
        <is>
          <t>Guiding Opinions on Comprehensive Utilization of Bulk Solid Waste during the 14th Five-Year Plan</t>
        </is>
      </c>
      <c r="F231" s="209" t="inlineStr">
        <is>
          <t>国家发展和改革委员会；科学技术部；工业和信息化部；财政部；自然资源部；生态环境部；住房和城乡建设部；农业农村部；国家市场监督管理总局；国家机关事务管理局</t>
        </is>
      </c>
      <c r="G231" s="209" t="inlineStr">
        <is>
          <t>指导意见</t>
        </is>
      </c>
      <c r="H231" s="210" t="inlineStr">
        <is>
          <t>促进减缓</t>
        </is>
      </c>
      <c r="I231" s="211" t="inlineStr">
        <is>
          <t>D.2</t>
        </is>
      </c>
      <c r="J231" s="208" t="inlineStr">
        <is>
          <t>十四五</t>
        </is>
      </c>
      <c r="K231" s="211" t="inlineStr">
        <is>
          <t>无目标</t>
        </is>
      </c>
      <c r="L231" s="209" t="inlineStr">
        <is>
          <t>HTM</t>
        </is>
      </c>
      <c r="M231" s="209" t="inlineStr">
        <is>
          <t>中文</t>
        </is>
      </c>
      <c r="N231" s="203" t="inlineStr">
        <is>
          <t>https://www.gov.cn/zhengce/zhengceku/2021-03/25/content_5595566.htm</t>
        </is>
      </c>
    </row>
    <row r="232">
      <c r="B232" s="198" t="inlineStr">
        <is>
          <t>GO2110</t>
        </is>
      </c>
      <c r="C232" s="208" t="n">
        <v>2021</v>
      </c>
      <c r="D232" s="210" t="inlineStr">
        <is>
          <t>关于促进制造业有序转移的指导意见</t>
        </is>
      </c>
      <c r="E232" s="210" t="inlineStr">
        <is>
          <t>Guiding Opinions on Promoting the Orderly Transfer of Manufacturing Industry</t>
        </is>
      </c>
      <c r="F232" s="209" t="inlineStr">
        <is>
          <t>工业和信息化部；国家发展和改革委员会；科学技术部；人力资源和社会保障部；生态环境部；交通运输部；商务部；中国人民银行；海关总署；国家市场监督管理总局</t>
        </is>
      </c>
      <c r="G232" s="209" t="inlineStr">
        <is>
          <t>指导意见</t>
        </is>
      </c>
      <c r="H232" s="210" t="inlineStr">
        <is>
          <t>经济规划（含气候）</t>
        </is>
      </c>
      <c r="I232" s="211" t="inlineStr">
        <is>
          <t>B.2</t>
        </is>
      </c>
      <c r="J232" s="208" t="inlineStr">
        <is>
          <t>-</t>
        </is>
      </c>
      <c r="K232" s="211" t="inlineStr">
        <is>
          <t>无目标</t>
        </is>
      </c>
      <c r="L232" s="209" t="inlineStr">
        <is>
          <t>PDF</t>
        </is>
      </c>
      <c r="M232" s="209" t="inlineStr">
        <is>
          <t>中文</t>
        </is>
      </c>
      <c r="N232" s="203" t="inlineStr">
        <is>
          <t>https://www.gov.cn/zhengce/zhengceku/2022-01/15/content_5668321.htm</t>
        </is>
      </c>
    </row>
    <row r="233">
      <c r="B233" s="198" t="inlineStr">
        <is>
          <t>GO2111</t>
        </is>
      </c>
      <c r="C233" s="208" t="n">
        <v>2021</v>
      </c>
      <c r="D233" s="210" t="inlineStr">
        <is>
          <t>关于推进中央企业高质量发展做好碳达峰碳中和工作的指导意见</t>
        </is>
      </c>
      <c r="E233" s="210" t="inlineStr">
        <is>
          <t>Guiding Opinions on the High-Quality Development of Central Enterprises towards Carbon Peak and Carbon Neutrality</t>
        </is>
      </c>
      <c r="F233" s="209" t="inlineStr">
        <is>
          <t>国务院国有资产监督管理委员会</t>
        </is>
      </c>
      <c r="G233" s="209" t="inlineStr">
        <is>
          <t>指导意见</t>
        </is>
      </c>
      <c r="H233" s="210" t="inlineStr">
        <is>
          <t>明确减缓</t>
        </is>
      </c>
      <c r="I233" s="211" t="inlineStr">
        <is>
          <t>B.2</t>
        </is>
      </c>
      <c r="J233" s="208" t="inlineStr">
        <is>
          <t>-</t>
        </is>
      </c>
      <c r="K233" s="211" t="inlineStr">
        <is>
          <t>无目标</t>
        </is>
      </c>
      <c r="L233" s="209" t="inlineStr">
        <is>
          <t>HTM</t>
        </is>
      </c>
      <c r="M233" s="209" t="inlineStr">
        <is>
          <t>中文</t>
        </is>
      </c>
      <c r="N233" s="203" t="inlineStr">
        <is>
          <t>http://www.sasac.gov.cn/n2588035/c22499825/content.html</t>
        </is>
      </c>
    </row>
    <row r="234">
      <c r="B234" s="198" t="inlineStr">
        <is>
          <t>GO2112</t>
        </is>
      </c>
      <c r="C234" s="208" t="n">
        <v>2021</v>
      </c>
      <c r="D234" s="210" t="inlineStr">
        <is>
          <t>关于加强自由贸易试验区生态环境保护推动高质量发展的指导意见</t>
        </is>
      </c>
      <c r="E234" s="210" t="inlineStr">
        <is>
          <t>Guiding Opinions on Strengthening Ecological Environment Protection and Promoting High-Quality Development in Pilot Free Trade Zones</t>
        </is>
      </c>
      <c r="F234" s="209" t="inlineStr">
        <is>
          <t>生态环境部；商务部；国家发展和改革委员会；住房和城乡建设部；中国人民银行；海关总署；国家能源局；国家林业和草原局</t>
        </is>
      </c>
      <c r="G234" s="209" t="inlineStr">
        <is>
          <t>指导意见</t>
        </is>
      </c>
      <c r="H234" s="210" t="inlineStr">
        <is>
          <t>促进减缓</t>
        </is>
      </c>
      <c r="I234" s="211" t="inlineStr">
        <is>
          <t>B.3</t>
        </is>
      </c>
      <c r="J234" s="208" t="inlineStr">
        <is>
          <t>-</t>
        </is>
      </c>
      <c r="K234" s="211" t="inlineStr">
        <is>
          <t>无目标</t>
        </is>
      </c>
      <c r="L234" s="209" t="inlineStr">
        <is>
          <t>HTM</t>
        </is>
      </c>
      <c r="M234" s="209" t="inlineStr">
        <is>
          <t>中文</t>
        </is>
      </c>
      <c r="N234" s="203" t="inlineStr">
        <is>
          <t>https://www.mee.gov.cn/xxgk2018/xxgk/xxgk03/202105/t20210531_835481.html</t>
        </is>
      </c>
    </row>
    <row r="235">
      <c r="B235" s="198" t="inlineStr">
        <is>
          <t>GO2113</t>
        </is>
      </c>
      <c r="C235" s="208" t="n">
        <v>2021</v>
      </c>
      <c r="D235" s="225" t="inlineStr">
        <is>
          <t>加强产融合作推动工业绿色发展的指导意见</t>
        </is>
      </c>
      <c r="E235" s="210" t="inlineStr">
        <is>
          <t>Guiding Opinions on Strengthening Industry Finance Cooperation to Promote Green Industrial Development</t>
        </is>
      </c>
      <c r="F235" s="209" t="inlineStr">
        <is>
          <t>工业和信息化部；中国人民银行；中国银行保险监督管理委员会；中国证券监督管理委员会</t>
        </is>
      </c>
      <c r="G235" s="209" t="inlineStr">
        <is>
          <t>指导意见</t>
        </is>
      </c>
      <c r="H235" s="210" t="inlineStr">
        <is>
          <t>明确减缓</t>
        </is>
      </c>
      <c r="I235" s="211" t="inlineStr">
        <is>
          <t>B.2, B.5</t>
        </is>
      </c>
      <c r="J235" s="208" t="inlineStr">
        <is>
          <t>-</t>
        </is>
      </c>
      <c r="K235" s="211" t="inlineStr">
        <is>
          <t>无目标</t>
        </is>
      </c>
      <c r="L235" s="209" t="inlineStr">
        <is>
          <t>HTM</t>
        </is>
      </c>
      <c r="M235" s="209" t="inlineStr">
        <is>
          <t>中文</t>
        </is>
      </c>
      <c r="N235" s="203" t="inlineStr">
        <is>
          <t>https://wap.miit.gov.cn/zwgk/zcwj/wjfb/yj/art/2021/art_77c69053e7174d63920c1406fa0567c7.html</t>
        </is>
      </c>
    </row>
    <row r="236">
      <c r="B236" s="198" t="inlineStr">
        <is>
          <t>GO2201</t>
        </is>
      </c>
      <c r="C236" s="208" t="n">
        <v>2022</v>
      </c>
      <c r="D236" s="210" t="inlineStr">
        <is>
          <t>关于加快建设全国统一电力市场体系的指导意见</t>
        </is>
      </c>
      <c r="E236" s="210" t="inlineStr">
        <is>
          <t>Guiding Opinions on Accelerating the Construction of a National Unified Electricity Market System</t>
        </is>
      </c>
      <c r="F236" s="209" t="inlineStr">
        <is>
          <t>国家发展和改革委员会；国家能源局</t>
        </is>
      </c>
      <c r="G236" s="209" t="inlineStr">
        <is>
          <t>指导意见</t>
        </is>
      </c>
      <c r="H236" s="210" t="inlineStr">
        <is>
          <t>经济规划（含气候）</t>
        </is>
      </c>
      <c r="I236" s="211" t="inlineStr">
        <is>
          <t>B.1</t>
        </is>
      </c>
      <c r="J236" s="208" t="inlineStr">
        <is>
          <t>-</t>
        </is>
      </c>
      <c r="K236" s="211" t="inlineStr">
        <is>
          <t>无目标</t>
        </is>
      </c>
      <c r="L236" s="209" t="inlineStr">
        <is>
          <t>HTM</t>
        </is>
      </c>
      <c r="M236" s="209" t="inlineStr">
        <is>
          <t>中文</t>
        </is>
      </c>
      <c r="N236" s="203" t="inlineStr">
        <is>
          <t>https://www.ndrc.gov.cn/xxgk/zcfb/tz/202201/t20220128_1313653.html?code=&amp;state=123</t>
        </is>
      </c>
    </row>
    <row r="237">
      <c r="B237" s="198" t="inlineStr">
        <is>
          <t>GO2202</t>
        </is>
      </c>
      <c r="C237" s="208" t="n">
        <v>2022</v>
      </c>
      <c r="D237" s="210" t="inlineStr">
        <is>
          <t xml:space="preserve">
关于加快废旧物资循环利用体系建设的指导意见</t>
        </is>
      </c>
      <c r="E237" s="210" t="inlineStr">
        <is>
          <t>Guiding Opinions on Accelerating the Construction of the Waste Materials Recycling System</t>
        </is>
      </c>
      <c r="F237" s="209" t="inlineStr">
        <is>
          <t>国家发展和改革委员会；商务部；工业和信息化部；财政部；自然资源部；生态环境部；住房和城乡建设部</t>
        </is>
      </c>
      <c r="G237" s="209" t="inlineStr">
        <is>
          <t>指导意见</t>
        </is>
      </c>
      <c r="H237" s="210" t="inlineStr">
        <is>
          <t>促进减缓</t>
        </is>
      </c>
      <c r="I237" s="211" t="inlineStr">
        <is>
          <t>D.1</t>
        </is>
      </c>
      <c r="J237" s="208" t="inlineStr">
        <is>
          <t>-</t>
        </is>
      </c>
      <c r="K237" s="211" t="inlineStr">
        <is>
          <t>无目标</t>
        </is>
      </c>
      <c r="L237" s="209" t="inlineStr">
        <is>
          <t>HTM</t>
        </is>
      </c>
      <c r="M237" s="209" t="inlineStr">
        <is>
          <t>中文</t>
        </is>
      </c>
      <c r="N237" s="203" t="inlineStr">
        <is>
          <t>https://www.ndrc.gov.cn/xxgk/zcfb/tz/202201/t20220121_1312656.html?code=&amp;state=123</t>
        </is>
      </c>
    </row>
    <row r="238" ht="14.5" customHeight="1" s="235">
      <c r="B238" s="198" t="inlineStr">
        <is>
          <t>GO2203</t>
        </is>
      </c>
      <c r="C238" s="208" t="n">
        <v>2022</v>
      </c>
      <c r="D238" s="210" t="inlineStr">
        <is>
          <t>2022年能源工作指导意见</t>
        </is>
      </c>
      <c r="E238" s="210" t="inlineStr">
        <is>
          <t>Guiding Opinions on Energy-Related Work in 2022</t>
        </is>
      </c>
      <c r="F238" s="209" t="inlineStr">
        <is>
          <t>国家能源局</t>
        </is>
      </c>
      <c r="G238" s="209" t="inlineStr">
        <is>
          <t>指导意见</t>
        </is>
      </c>
      <c r="H238" s="210" t="inlineStr">
        <is>
          <t>经济规划（含气候）</t>
        </is>
      </c>
      <c r="I238" s="211" t="inlineStr">
        <is>
          <t>B.1</t>
        </is>
      </c>
      <c r="J238" s="208" t="n">
        <v>2022</v>
      </c>
      <c r="K238" s="211" t="inlineStr">
        <is>
          <t>无目标</t>
        </is>
      </c>
      <c r="L238" s="209" t="inlineStr">
        <is>
          <t>PDF</t>
        </is>
      </c>
      <c r="M238" s="209" t="inlineStr">
        <is>
          <t>中文</t>
        </is>
      </c>
      <c r="N238" s="203" t="inlineStr">
        <is>
          <t>http://zfxxgk.nea.gov.cn/2022-03/17/c_1310534134.htm</t>
        </is>
      </c>
    </row>
    <row r="239">
      <c r="B239" s="198" t="inlineStr">
        <is>
          <t>GO2204</t>
        </is>
      </c>
      <c r="C239" s="208" t="n">
        <v>2022</v>
      </c>
      <c r="D239" s="210" t="inlineStr">
        <is>
          <t>关于促进钢铁工业高质量发展的指导意见</t>
        </is>
      </c>
      <c r="E239" s="210" t="inlineStr">
        <is>
          <t>Guiding Opinions on the High-Quality Development of Iron and Steel Industry</t>
        </is>
      </c>
      <c r="F239" s="209" t="inlineStr">
        <is>
          <t>工业和信息化部；国家发展和改革委员会；生态环境部</t>
        </is>
      </c>
      <c r="G239" s="209" t="inlineStr">
        <is>
          <t>指导意见</t>
        </is>
      </c>
      <c r="H239" s="210" t="inlineStr">
        <is>
          <t>经济规划（含气候）</t>
        </is>
      </c>
      <c r="I239" s="211" t="inlineStr">
        <is>
          <t>B.2</t>
        </is>
      </c>
      <c r="J239" s="208" t="inlineStr">
        <is>
          <t>-</t>
        </is>
      </c>
      <c r="K239" s="211" t="inlineStr">
        <is>
          <t>含目标</t>
        </is>
      </c>
      <c r="L239" s="209" t="inlineStr">
        <is>
          <t>HTM</t>
        </is>
      </c>
      <c r="M239" s="209" t="inlineStr">
        <is>
          <t>中文</t>
        </is>
      </c>
      <c r="N239" s="203" t="inlineStr">
        <is>
          <t>https://www.gov.cn/zhengce/zhengceku/2022-02/08/content_5672513.htm</t>
        </is>
      </c>
    </row>
    <row r="240">
      <c r="B240" s="198" t="inlineStr">
        <is>
          <t>GO2205</t>
        </is>
      </c>
      <c r="C240" s="208" t="n">
        <v>2022</v>
      </c>
      <c r="D240" s="210" t="inlineStr">
        <is>
          <t>关于“十四五”推动石化化工行业高质量发展的指导意见</t>
        </is>
      </c>
      <c r="E240" s="210" t="inlineStr">
        <is>
          <t>Guiding Opinions on the High-Quality Development of Petrochemical Industry during the 14th Five-Year Plan</t>
        </is>
      </c>
      <c r="F240" s="209" t="inlineStr">
        <is>
          <t>工业和信息化部；国家发展和改革委员会；科学技术部；生态环境部；应急管理部；国家能源局</t>
        </is>
      </c>
      <c r="G240" s="209" t="inlineStr">
        <is>
          <t>指导意见</t>
        </is>
      </c>
      <c r="H240" s="210" t="inlineStr">
        <is>
          <t>经济规划（含气候）</t>
        </is>
      </c>
      <c r="I240" s="211" t="inlineStr">
        <is>
          <t>B.2</t>
        </is>
      </c>
      <c r="J240" s="208" t="inlineStr">
        <is>
          <t>-</t>
        </is>
      </c>
      <c r="K240" s="211" t="inlineStr">
        <is>
          <t>无目标</t>
        </is>
      </c>
      <c r="L240" s="209" t="inlineStr">
        <is>
          <t>HTM</t>
        </is>
      </c>
      <c r="M240" s="209" t="inlineStr">
        <is>
          <t>中文</t>
        </is>
      </c>
      <c r="N240" s="203" t="inlineStr">
        <is>
          <t>https://www.gov.cn/gongbao/content/2022/content_5696258.htm</t>
        </is>
      </c>
    </row>
    <row r="241">
      <c r="B241" s="198" t="inlineStr">
        <is>
          <t>GO2206</t>
        </is>
      </c>
      <c r="C241" s="208" t="n">
        <v>2022</v>
      </c>
      <c r="D241" s="210" t="inlineStr">
        <is>
          <t>关于产业用纺织品行业高质量发展的指导意见</t>
        </is>
      </c>
      <c r="E241" s="210" t="inlineStr">
        <is>
          <t>Guiding Opinions on the High-Quality Development of Industrial Textiles Industry</t>
        </is>
      </c>
      <c r="F241" s="209" t="inlineStr">
        <is>
          <t>工业和信息化部；国家发展和改革委员会</t>
        </is>
      </c>
      <c r="G241" s="209" t="inlineStr">
        <is>
          <t>指导意见</t>
        </is>
      </c>
      <c r="H241" s="210" t="inlineStr">
        <is>
          <t>经济规划（含气候）</t>
        </is>
      </c>
      <c r="I241" s="211" t="inlineStr">
        <is>
          <t>B.2</t>
        </is>
      </c>
      <c r="J241" s="208" t="inlineStr">
        <is>
          <t>-</t>
        </is>
      </c>
      <c r="K241" s="211" t="inlineStr">
        <is>
          <t>无目标</t>
        </is>
      </c>
      <c r="L241" s="209" t="inlineStr">
        <is>
          <t>HTM</t>
        </is>
      </c>
      <c r="M241" s="209" t="inlineStr">
        <is>
          <t>中文</t>
        </is>
      </c>
      <c r="N241" s="203" t="inlineStr">
        <is>
          <t>http://fzzx.shiyan.gov.cn/index.php?a=show&amp;catid=14&amp;id=791</t>
        </is>
      </c>
    </row>
    <row r="242">
      <c r="B242" s="198" t="inlineStr">
        <is>
          <t>GO2207</t>
        </is>
      </c>
      <c r="C242" s="208" t="n">
        <v>2022</v>
      </c>
      <c r="D242" s="210" t="inlineStr">
        <is>
          <t>工业和信息化部 国家发展和改革委员会关于化纤工业高质量发展的指导意见</t>
        </is>
      </c>
      <c r="E242" s="210" t="inlineStr">
        <is>
          <t>Guiding Opinions on the High-Quality Development of Chemical Fiber Industry</t>
        </is>
      </c>
      <c r="F242" s="209" t="inlineStr">
        <is>
          <t>工业和信息化部；国家发展和改革委员会</t>
        </is>
      </c>
      <c r="G242" s="209" t="inlineStr">
        <is>
          <t>指导意见</t>
        </is>
      </c>
      <c r="H242" s="210" t="inlineStr">
        <is>
          <t>经济规划（含气候）</t>
        </is>
      </c>
      <c r="I242" s="211" t="inlineStr">
        <is>
          <t>B.2</t>
        </is>
      </c>
      <c r="J242" s="208" t="inlineStr">
        <is>
          <t>-</t>
        </is>
      </c>
      <c r="K242" s="211" t="inlineStr">
        <is>
          <t>无目标</t>
        </is>
      </c>
      <c r="L242" s="209" t="inlineStr">
        <is>
          <t>HTM</t>
        </is>
      </c>
      <c r="M242" s="209" t="inlineStr">
        <is>
          <t>中文</t>
        </is>
      </c>
      <c r="N242" s="203" t="inlineStr">
        <is>
          <t>https://www.miit.gov.cn/jgsj/xfpgys/wjfb/art/2022/art_e35a9d4e01434af6b10ef17c5e177d37.html</t>
        </is>
      </c>
    </row>
    <row r="243">
      <c r="B243" s="198" t="inlineStr">
        <is>
          <t>GO2208</t>
        </is>
      </c>
      <c r="C243" s="208" t="n">
        <v>2022</v>
      </c>
      <c r="D243" s="226" t="inlineStr">
        <is>
          <t>五部门关于推动轻工业高质量发展的指导意见</t>
        </is>
      </c>
      <c r="E243" s="210" t="inlineStr">
        <is>
          <t>Guiding Opinions on the High-Quality Development of Light Industry</t>
        </is>
      </c>
      <c r="F243" s="209" t="inlineStr">
        <is>
          <t>工业和信息化部；人力资源和社会保障部；生态环境部；商务部；国家市场监督管理总局</t>
        </is>
      </c>
      <c r="G243" s="209" t="inlineStr">
        <is>
          <t>指导意见</t>
        </is>
      </c>
      <c r="H243" s="210" t="inlineStr">
        <is>
          <t>经济规划（含气候）</t>
        </is>
      </c>
      <c r="I243" s="211" t="inlineStr">
        <is>
          <t>B.2</t>
        </is>
      </c>
      <c r="J243" s="208" t="inlineStr">
        <is>
          <t>-</t>
        </is>
      </c>
      <c r="K243" s="211" t="inlineStr">
        <is>
          <t>无目标</t>
        </is>
      </c>
      <c r="L243" s="209" t="inlineStr">
        <is>
          <t>HTM</t>
        </is>
      </c>
      <c r="M243" s="209" t="inlineStr">
        <is>
          <t>中文</t>
        </is>
      </c>
      <c r="N243" s="203" t="inlineStr">
        <is>
          <t>https://www.gov.cn/zhengce/zhengceku/2022-06/19/content_5696665.htm</t>
        </is>
      </c>
    </row>
    <row r="244">
      <c r="B244" s="198" t="inlineStr">
        <is>
          <t>GO2301</t>
        </is>
      </c>
      <c r="C244" s="208" t="n">
        <v>2023</v>
      </c>
      <c r="D244" s="226" t="inlineStr">
        <is>
          <t>进一步构建高质量充电基础设施体系的指导意见</t>
        </is>
      </c>
      <c r="E244" s="210" t="inlineStr">
        <is>
          <t>Guiding Opinions on Coordinating Energy Conservation, Carbon Reduction, and Recycling to Accelerate the Upgrading and Transformation of Key Area Products and Equipment</t>
        </is>
      </c>
      <c r="F244" s="209" t="inlineStr">
        <is>
          <t>国家发展和改革委员会；工业和信息化部；财政部；住房和城乡建设部；商务部；国务院国有资产监督管理委员会；国家市场监督管理总局；中国人民银行；国家能源局</t>
        </is>
      </c>
      <c r="G244" s="209" t="inlineStr">
        <is>
          <t>指导意见</t>
        </is>
      </c>
      <c r="H244" s="210" t="inlineStr">
        <is>
          <t>明确减缓</t>
        </is>
      </c>
      <c r="I244" s="211" t="inlineStr">
        <is>
          <t>B.2</t>
        </is>
      </c>
      <c r="J244" s="208" t="inlineStr">
        <is>
          <t>-</t>
        </is>
      </c>
      <c r="K244" s="211" t="inlineStr">
        <is>
          <t>无目标</t>
        </is>
      </c>
      <c r="L244" s="209" t="inlineStr">
        <is>
          <t>HTM</t>
        </is>
      </c>
      <c r="M244" s="209" t="inlineStr">
        <is>
          <t>中文</t>
        </is>
      </c>
      <c r="N244" s="203" t="inlineStr">
        <is>
          <t>https://www.ndrc.gov.cn/xxgk/zcfb/tz/202302/t20230224_1349405.html</t>
        </is>
      </c>
    </row>
    <row r="245">
      <c r="B245" s="198" t="inlineStr">
        <is>
          <t>GO2302</t>
        </is>
      </c>
      <c r="C245" s="208" t="n">
        <v>2023</v>
      </c>
      <c r="D245" s="210" t="inlineStr">
        <is>
          <t>关于促进退役风电、光伏设备循环利用的指导意见</t>
        </is>
      </c>
      <c r="E245" s="210" t="inlineStr">
        <is>
          <t>Guiding Opinions on Promoting the Recycling of Decommissioned Wind Power and Photovoltaic Equipment</t>
        </is>
      </c>
      <c r="F245" s="209" t="inlineStr">
        <is>
          <t>国家发展和改革委员会；国家能源局；工业和信息化部；生态环境部；商务部；国务院国有资产监督管理委员会</t>
        </is>
      </c>
      <c r="G245" s="209" t="inlineStr">
        <is>
          <t>指导意见</t>
        </is>
      </c>
      <c r="H245" s="210" t="inlineStr">
        <is>
          <t>促进减缓</t>
        </is>
      </c>
      <c r="I245" s="211" t="inlineStr">
        <is>
          <t>D.2</t>
        </is>
      </c>
      <c r="J245" s="208" t="inlineStr">
        <is>
          <t>-</t>
        </is>
      </c>
      <c r="K245" s="211" t="inlineStr">
        <is>
          <t>无目标</t>
        </is>
      </c>
      <c r="L245" s="209" t="inlineStr">
        <is>
          <t>HTM</t>
        </is>
      </c>
      <c r="M245" s="209" t="inlineStr">
        <is>
          <t>中文</t>
        </is>
      </c>
      <c r="N245" s="203" t="inlineStr">
        <is>
          <t>https://www.ndrc.gov.cn/xxgk/zcfb/tz/202308/t20230817_1359879.html</t>
        </is>
      </c>
    </row>
    <row r="246">
      <c r="B246" s="198" t="inlineStr">
        <is>
          <t>GO2303</t>
        </is>
      </c>
      <c r="C246" s="208" t="n">
        <v>2023</v>
      </c>
      <c r="D246" s="210" t="inlineStr">
        <is>
          <t>关于推动能源电子产业发展的指导意见</t>
        </is>
      </c>
      <c r="E246" s="210" t="inlineStr">
        <is>
          <t>Guiding Opinions on Promoting the Development of Energy Electronics Industry</t>
        </is>
      </c>
      <c r="F246" s="209" t="inlineStr">
        <is>
          <t>工业和信息化部；教育部；科学技术部；中国人民银行；中国银行保险监督管理委员会；国家能源局</t>
        </is>
      </c>
      <c r="G246" s="209" t="inlineStr">
        <is>
          <t>指导意见</t>
        </is>
      </c>
      <c r="H246" s="210" t="inlineStr">
        <is>
          <t>经济规划（含气候）</t>
        </is>
      </c>
      <c r="I246" s="211" t="inlineStr">
        <is>
          <t>B.2</t>
        </is>
      </c>
      <c r="J246" s="208" t="inlineStr">
        <is>
          <t>-</t>
        </is>
      </c>
      <c r="K246" s="211" t="inlineStr">
        <is>
          <t>无目标</t>
        </is>
      </c>
      <c r="L246" s="209" t="inlineStr">
        <is>
          <t>HTM</t>
        </is>
      </c>
      <c r="M246" s="209" t="inlineStr">
        <is>
          <t>中文</t>
        </is>
      </c>
      <c r="N246" s="203" t="inlineStr">
        <is>
          <t>https://www.miit.gov.cn/zwgk/zcwj/wjfb/yj/art/2023/art_5fe76c58f263450ebc92c903427a6d12.html</t>
        </is>
      </c>
    </row>
    <row r="247">
      <c r="B247" s="198" t="inlineStr">
        <is>
          <t>GO2304</t>
        </is>
      </c>
      <c r="C247" s="208" t="n">
        <v>2023</v>
      </c>
      <c r="D247" s="210" t="inlineStr">
        <is>
          <t>关于促进炼油行业绿色创新高质量发展的指导意见</t>
        </is>
      </c>
      <c r="E247" s="210" t="inlineStr">
        <is>
          <t>Guiding Opinions on Promoting Green, Innovative and High-quality Development of the Oil Refining Industry</t>
        </is>
      </c>
      <c r="F247" s="209" t="inlineStr">
        <is>
          <t>国家发展和改革委员会；国家能源局；工业和信息化部；生态环境部</t>
        </is>
      </c>
      <c r="G247" s="209" t="inlineStr">
        <is>
          <t>指导意见</t>
        </is>
      </c>
      <c r="H247" s="210" t="inlineStr">
        <is>
          <t>化石能源</t>
        </is>
      </c>
      <c r="I247" s="211" t="inlineStr">
        <is>
          <t>B.2</t>
        </is>
      </c>
      <c r="J247" s="208" t="inlineStr">
        <is>
          <t>-</t>
        </is>
      </c>
      <c r="K247" s="211" t="inlineStr">
        <is>
          <t>含目标</t>
        </is>
      </c>
      <c r="L247" s="209" t="inlineStr">
        <is>
          <t>HTM</t>
        </is>
      </c>
      <c r="M247" s="209" t="inlineStr">
        <is>
          <t>中文</t>
        </is>
      </c>
      <c r="N247" s="203" t="inlineStr">
        <is>
          <t>https://www.ndrc.gov.cn/xxgk/zcfb/tz/202310/t20231025_1361500_ext.html</t>
        </is>
      </c>
    </row>
    <row r="248">
      <c r="B248" s="198" t="inlineStr">
        <is>
          <t>GO2305</t>
        </is>
      </c>
      <c r="C248" s="208" t="n">
        <v>2023</v>
      </c>
      <c r="D248" s="210" t="inlineStr">
        <is>
          <t>关于加强新形势下电力系统稳定工作的指导意见</t>
        </is>
      </c>
      <c r="E248" s="210" t="inlineStr">
        <is>
          <t>Guiding Opinions on Strengthening the Stabilization of the Electric Power System under the New Circumstances</t>
        </is>
      </c>
      <c r="F248" s="209" t="inlineStr">
        <is>
          <t>国家发展和改革委员会；国家能源局</t>
        </is>
      </c>
      <c r="G248" s="209" t="inlineStr">
        <is>
          <t>指导意见</t>
        </is>
      </c>
      <c r="H248" s="210" t="inlineStr">
        <is>
          <t>促进减缓</t>
        </is>
      </c>
      <c r="I248" s="211" t="inlineStr">
        <is>
          <t>B.1</t>
        </is>
      </c>
      <c r="J248" s="208" t="inlineStr">
        <is>
          <t>-</t>
        </is>
      </c>
      <c r="K248" s="211" t="inlineStr">
        <is>
          <t>无目标</t>
        </is>
      </c>
      <c r="L248" s="209" t="inlineStr">
        <is>
          <t>HTM</t>
        </is>
      </c>
      <c r="M248" s="209" t="inlineStr">
        <is>
          <t>中文</t>
        </is>
      </c>
      <c r="N248" s="203" t="inlineStr">
        <is>
          <t>https://www.ndrc.gov.cn/xxgk/zcfb/tz/202310/t20231025_1361514_ext.html</t>
        </is>
      </c>
    </row>
    <row r="249">
      <c r="B249" s="198" t="inlineStr">
        <is>
          <t>GO2306</t>
        </is>
      </c>
      <c r="C249" s="208" t="n">
        <v>2023</v>
      </c>
      <c r="D249" s="210" t="inlineStr">
        <is>
          <t>关于进一步构建高质量充电基础设施体系的指导意见</t>
        </is>
      </c>
      <c r="E249" s="210" t="inlineStr">
        <is>
          <t>Guiding Opinions on Building a High-quality Charging Infrastructure System</t>
        </is>
      </c>
      <c r="F249" s="209" t="inlineStr">
        <is>
          <t>国务院</t>
        </is>
      </c>
      <c r="G249" s="209" t="inlineStr">
        <is>
          <t>指导意见</t>
        </is>
      </c>
      <c r="H249" s="210" t="inlineStr">
        <is>
          <t>促进减缓</t>
        </is>
      </c>
      <c r="I249" s="211" t="inlineStr">
        <is>
          <t>B.4, B.3</t>
        </is>
      </c>
      <c r="J249" s="208" t="inlineStr">
        <is>
          <t>-</t>
        </is>
      </c>
      <c r="K249" s="211" t="inlineStr">
        <is>
          <t>无目标</t>
        </is>
      </c>
      <c r="L249" s="209" t="inlineStr">
        <is>
          <t>HTM</t>
        </is>
      </c>
      <c r="M249" s="209" t="inlineStr">
        <is>
          <t>中文</t>
        </is>
      </c>
      <c r="N249" s="203" t="inlineStr">
        <is>
          <t>https://www.gov.cn/zhengce/content/202306/content_6887167.htm</t>
        </is>
      </c>
    </row>
    <row r="250">
      <c r="B250" s="198" t="inlineStr">
        <is>
          <t>GO2307</t>
        </is>
      </c>
      <c r="C250" s="208" t="n">
        <v>2023</v>
      </c>
      <c r="D250" s="210" t="inlineStr">
        <is>
          <t>工业和信息化部等八部门关于加快传统制造业转型升级的指导意见</t>
        </is>
      </c>
      <c r="E250" s="210" t="inlineStr">
        <is>
          <t>Guiding Opinions on Accelerating the Transformation and Upgrading of Traditional Manufacturing Industries</t>
        </is>
      </c>
      <c r="F250" s="209" t="inlineStr">
        <is>
          <t>工业和信息化部；国家发展和改革委员会；教育部；财政部；中国人民银行；国家税务总局；国家金融监督管理总局；中国证券监督管理委员会</t>
        </is>
      </c>
      <c r="G250" s="209" t="inlineStr">
        <is>
          <t>指导意见</t>
        </is>
      </c>
      <c r="H250" s="210" t="inlineStr">
        <is>
          <t>经济规划（含气候）</t>
        </is>
      </c>
      <c r="I250" s="211" t="inlineStr">
        <is>
          <t>B.2</t>
        </is>
      </c>
      <c r="J250" s="208" t="inlineStr">
        <is>
          <t>-</t>
        </is>
      </c>
      <c r="K250" s="211" t="inlineStr">
        <is>
          <t>无目标</t>
        </is>
      </c>
      <c r="L250" s="209" t="inlineStr">
        <is>
          <t>HTM</t>
        </is>
      </c>
      <c r="M250" s="209" t="inlineStr">
        <is>
          <t>中文</t>
        </is>
      </c>
      <c r="N250" s="203" t="inlineStr">
        <is>
          <t>https://www.gov.cn/zhengce/zhengceku/202312/content_6923270.htm</t>
        </is>
      </c>
    </row>
    <row r="251">
      <c r="B251" s="198" t="inlineStr">
        <is>
          <t>GO2308</t>
        </is>
      </c>
      <c r="C251" s="208" t="n">
        <v>2023</v>
      </c>
      <c r="D251" s="210" t="inlineStr">
        <is>
          <t>2023年能源工作指导意见</t>
        </is>
      </c>
      <c r="E251" s="210" t="inlineStr">
        <is>
          <t>Guiding Opinions on Energy-Related Work in 2023</t>
        </is>
      </c>
      <c r="F251" s="209" t="inlineStr">
        <is>
          <t>国家能源局</t>
        </is>
      </c>
      <c r="G251" s="209" t="inlineStr">
        <is>
          <t>指导意见</t>
        </is>
      </c>
      <c r="H251" s="210" t="inlineStr">
        <is>
          <t>经济规划（含气候）</t>
        </is>
      </c>
      <c r="I251" s="211" t="inlineStr">
        <is>
          <t>B.1</t>
        </is>
      </c>
      <c r="J251" s="208" t="inlineStr">
        <is>
          <t>-</t>
        </is>
      </c>
      <c r="K251" s="211" t="inlineStr">
        <is>
          <t>含目标</t>
        </is>
      </c>
      <c r="L251" s="209" t="inlineStr">
        <is>
          <t>HTM</t>
        </is>
      </c>
      <c r="M251" s="209" t="inlineStr">
        <is>
          <t>中文</t>
        </is>
      </c>
      <c r="N251" s="214" t="inlineStr">
        <is>
          <t>https://baike.baidu.com/item/2023%E5%B9%B4%E8%83%BD%E6%BA%90%E5%B7%A5%E4%BD%9C%E6%8C%87%E5%AF%BC%E6%84%8F%E8%A7%81/62882234</t>
        </is>
      </c>
    </row>
    <row r="252">
      <c r="B252" s="198" t="inlineStr">
        <is>
          <t>GO2401</t>
        </is>
      </c>
      <c r="C252" s="208" t="n">
        <v>2024</v>
      </c>
      <c r="D252" s="210" t="inlineStr">
        <is>
          <t>关于加快推动制造业绿色化发展的指导意见</t>
        </is>
      </c>
      <c r="E252" s="210" t="inlineStr">
        <is>
          <t>Guiding Opinions on Accelerating the Green Development of Manufacturing Industry</t>
        </is>
      </c>
      <c r="F252" s="209" t="inlineStr">
        <is>
          <t>工业和信息化部；国家发展和改革委员会；财政部；生态环境部；中国人民银行；国务院国有资产监督管理委员会；国家市场监督管理总局</t>
        </is>
      </c>
      <c r="G252" s="209" t="inlineStr">
        <is>
          <t>指导意见</t>
        </is>
      </c>
      <c r="H252" s="210" t="inlineStr">
        <is>
          <t>明确减缓</t>
        </is>
      </c>
      <c r="I252" s="211" t="inlineStr">
        <is>
          <t>B.2</t>
        </is>
      </c>
      <c r="J252" s="208" t="inlineStr">
        <is>
          <t>-</t>
        </is>
      </c>
      <c r="K252" s="211" t="inlineStr">
        <is>
          <t>含目标</t>
        </is>
      </c>
      <c r="L252" s="209" t="inlineStr">
        <is>
          <t>HTM</t>
        </is>
      </c>
      <c r="M252" s="209" t="inlineStr">
        <is>
          <t>中文</t>
        </is>
      </c>
      <c r="N252" s="203" t="inlineStr">
        <is>
          <t>https://www.miit.gov.cn/jgsj/jns/gzdt/art/2024/art_9fe98a60fb3546a8b3d11f0d70e00401.html</t>
        </is>
      </c>
    </row>
    <row r="253">
      <c r="B253" s="198" t="inlineStr">
        <is>
          <t>GO2402</t>
        </is>
      </c>
      <c r="C253" s="208" t="n">
        <v>2024</v>
      </c>
      <c r="D253" s="210" t="inlineStr">
        <is>
          <t>关于新形势下配电网高质量发展的指导意见</t>
        </is>
      </c>
      <c r="E253" s="210" t="inlineStr">
        <is>
          <t>Guiding Opinions on the High-quality Development of Distribution Networks under the New Circumstances</t>
        </is>
      </c>
      <c r="F253" s="209" t="inlineStr">
        <is>
          <t>国家发展和改革委员会；国家能源局</t>
        </is>
      </c>
      <c r="G253" s="209" t="inlineStr">
        <is>
          <t>指导意见</t>
        </is>
      </c>
      <c r="H253" s="210" t="inlineStr">
        <is>
          <t>促进减缓</t>
        </is>
      </c>
      <c r="I253" s="211" t="inlineStr">
        <is>
          <t>B.1</t>
        </is>
      </c>
      <c r="J253" s="208" t="inlineStr">
        <is>
          <t>-</t>
        </is>
      </c>
      <c r="K253" s="211" t="inlineStr">
        <is>
          <t>含目标</t>
        </is>
      </c>
      <c r="L253" s="209" t="inlineStr">
        <is>
          <t>HTM</t>
        </is>
      </c>
      <c r="M253" s="209" t="inlineStr">
        <is>
          <t>中文</t>
        </is>
      </c>
      <c r="N253" s="203" t="inlineStr">
        <is>
          <t>https://www.ndrc.gov.cn/xxgk/zcfb/tz/202403/t20240301_1364313.html</t>
        </is>
      </c>
    </row>
    <row r="254">
      <c r="B254" s="198" t="inlineStr">
        <is>
          <t>GO2403</t>
        </is>
      </c>
      <c r="C254" s="208" t="n">
        <v>2024</v>
      </c>
      <c r="D254" s="210" t="inlineStr">
        <is>
          <t>关于大力实施可再生能源替代行动的指导意见</t>
        </is>
      </c>
      <c r="E254" s="210" t="inlineStr">
        <is>
          <t>Guiding Opinions on Vigorously Promoting the Renewable Energy Substitution Initiative</t>
        </is>
      </c>
      <c r="F254" s="209" t="inlineStr">
        <is>
          <t>国家发展和改革委员会；工业和信息化部；住房和城乡建设部；交通运输部；国家能源局</t>
        </is>
      </c>
      <c r="G254" s="209" t="inlineStr">
        <is>
          <t>指导意见</t>
        </is>
      </c>
      <c r="H254" s="210" t="inlineStr">
        <is>
          <t>促进减缓</t>
        </is>
      </c>
      <c r="I254" s="211" t="inlineStr">
        <is>
          <t>B.1</t>
        </is>
      </c>
      <c r="J254" s="208" t="inlineStr">
        <is>
          <t>-</t>
        </is>
      </c>
      <c r="K254" s="211" t="inlineStr">
        <is>
          <t>无目标</t>
        </is>
      </c>
      <c r="L254" s="209" t="inlineStr">
        <is>
          <t>HTM</t>
        </is>
      </c>
      <c r="M254" s="209" t="inlineStr">
        <is>
          <t>中文</t>
        </is>
      </c>
      <c r="N254" s="203" t="inlineStr">
        <is>
          <t>https://www.ndrc.gov.cn/xxgk/zcfb/tz/202410/t20241030_1394119.html</t>
        </is>
      </c>
    </row>
    <row r="255">
      <c r="B255" s="198" t="inlineStr">
        <is>
          <t>GO2404</t>
        </is>
      </c>
      <c r="C255" s="208" t="n">
        <v>2024</v>
      </c>
      <c r="D255" s="210" t="inlineStr">
        <is>
          <t>农业农村部关于加快农业发展全面绿色转型促进乡村生态振兴的指导意见</t>
        </is>
      </c>
      <c r="E255" s="210" t="inlineStr">
        <is>
          <t>Guiding Opinions on Promoting Comprehensive Green Transition in Agricultural Development and Promoting Rural Ecological Revitalization</t>
        </is>
      </c>
      <c r="F255" s="209" t="inlineStr">
        <is>
          <t>农业农村部</t>
        </is>
      </c>
      <c r="G255" s="209" t="inlineStr">
        <is>
          <t>指导意见</t>
        </is>
      </c>
      <c r="H255" s="210" t="inlineStr">
        <is>
          <t>明确减缓</t>
        </is>
      </c>
      <c r="I255" s="211" t="inlineStr">
        <is>
          <t>B.5, C.6</t>
        </is>
      </c>
      <c r="J255" s="208" t="inlineStr">
        <is>
          <t>-</t>
        </is>
      </c>
      <c r="K255" s="211" t="inlineStr">
        <is>
          <t>含目标</t>
        </is>
      </c>
      <c r="L255" s="209" t="inlineStr">
        <is>
          <t>HTM</t>
        </is>
      </c>
      <c r="M255" s="209" t="inlineStr">
        <is>
          <t>中文</t>
        </is>
      </c>
      <c r="N255" s="203" t="inlineStr">
        <is>
          <t>http://www.moa.gov.cn/govpublic/FZJHS/202412/t20241230_6468640.htm</t>
        </is>
      </c>
    </row>
    <row r="256">
      <c r="B256" s="198" t="inlineStr">
        <is>
          <t>GO2405</t>
        </is>
      </c>
      <c r="C256" s="208" t="n">
        <v>2024</v>
      </c>
      <c r="D256" s="210" t="inlineStr">
        <is>
          <t>国家能源局关于支持电力领域新型经营主体创新发展的指导意见</t>
        </is>
      </c>
      <c r="E256" s="210" t="inlineStr">
        <is>
          <t>Guiding Opinions of the National Energy Administration on Supporting Innovative Development of New Business Entities in the Power Sector</t>
        </is>
      </c>
      <c r="F256" s="209" t="inlineStr">
        <is>
          <t>国家能源局</t>
        </is>
      </c>
      <c r="G256" s="209" t="inlineStr">
        <is>
          <t>指导意见</t>
        </is>
      </c>
      <c r="H256" s="210" t="inlineStr">
        <is>
          <t>促进减缓</t>
        </is>
      </c>
      <c r="I256" s="211" t="inlineStr">
        <is>
          <t>B.1</t>
        </is>
      </c>
      <c r="J256" s="208" t="inlineStr">
        <is>
          <t>-</t>
        </is>
      </c>
      <c r="K256" s="211" t="inlineStr">
        <is>
          <t>无目标</t>
        </is>
      </c>
      <c r="L256" s="209" t="inlineStr">
        <is>
          <t>HTM</t>
        </is>
      </c>
      <c r="M256" s="209" t="inlineStr">
        <is>
          <t>中文</t>
        </is>
      </c>
      <c r="N256" s="203" t="inlineStr">
        <is>
          <t>https://zfxxgk.nea.gov.cn/2024-11/28/c_1212408354.htm</t>
        </is>
      </c>
    </row>
    <row r="257" ht="14.5" customHeight="1" s="235">
      <c r="B257" s="198" t="inlineStr">
        <is>
          <t>GO2501</t>
        </is>
      </c>
      <c r="C257" s="208" t="n">
        <v>2025</v>
      </c>
      <c r="D257" s="210" t="inlineStr">
        <is>
          <t>关于加快推进虚拟电厂发展的指导意见</t>
        </is>
      </c>
      <c r="E257" s="210" t="inlineStr">
        <is>
          <t>Guiding Opinions on Accelerating the Development of Virtual Power Plants</t>
        </is>
      </c>
      <c r="F257" s="209" t="inlineStr">
        <is>
          <t>国家发展和改革委员会；国家能源局</t>
        </is>
      </c>
      <c r="G257" s="209" t="inlineStr">
        <is>
          <t>指导意见</t>
        </is>
      </c>
      <c r="H257" s="210" t="inlineStr">
        <is>
          <t>促进减缓</t>
        </is>
      </c>
      <c r="I257" s="211" t="inlineStr">
        <is>
          <t>B.1</t>
        </is>
      </c>
      <c r="J257" s="208" t="inlineStr">
        <is>
          <t>-</t>
        </is>
      </c>
      <c r="K257" s="211" t="inlineStr">
        <is>
          <t>含目标</t>
        </is>
      </c>
      <c r="L257" s="209" t="inlineStr">
        <is>
          <t>HTM</t>
        </is>
      </c>
      <c r="M257" s="209" t="inlineStr">
        <is>
          <t>中文</t>
        </is>
      </c>
      <c r="N257" s="203" t="inlineStr">
        <is>
          <t>https://www.gov.cn/zhengce/zhengceku/202504/content_7018244.htm</t>
        </is>
      </c>
    </row>
    <row r="258">
      <c r="B258" s="198" t="inlineStr">
        <is>
          <t>GO2502</t>
        </is>
      </c>
      <c r="C258" s="208" t="n">
        <v>2025</v>
      </c>
      <c r="D258" s="210" t="inlineStr">
        <is>
          <t>关于推动交通运输与能源融合发展的指导意见</t>
        </is>
      </c>
      <c r="E258" s="210" t="inlineStr">
        <is>
          <t>Guiding Opinions on Promoting the Integrated Development of Transportation and Energy</t>
        </is>
      </c>
      <c r="F258" s="209" t="inlineStr">
        <is>
          <t>交通运输部；国家发展和改革委员会；国家能源局</t>
        </is>
      </c>
      <c r="G258" s="209" t="inlineStr">
        <is>
          <t>指导意见</t>
        </is>
      </c>
      <c r="H258" s="210" t="inlineStr">
        <is>
          <t>促进减缓</t>
        </is>
      </c>
      <c r="I258" s="211" t="inlineStr">
        <is>
          <t>B.1, B.4</t>
        </is>
      </c>
      <c r="J258" s="208" t="inlineStr">
        <is>
          <t>-</t>
        </is>
      </c>
      <c r="K258" s="211" t="inlineStr">
        <is>
          <t>无目标</t>
        </is>
      </c>
      <c r="L258" s="209" t="inlineStr">
        <is>
          <t>HTM</t>
        </is>
      </c>
      <c r="M258" s="209" t="inlineStr">
        <is>
          <t>中文</t>
        </is>
      </c>
      <c r="N258" s="203" t="inlineStr">
        <is>
          <t>https://xxgk.mot.gov.cn/2020/jigou/zhghs/202504/t20250425_4167770.html</t>
        </is>
      </c>
    </row>
    <row r="259">
      <c r="B259" s="198" t="inlineStr">
        <is>
          <t>GO2503</t>
        </is>
      </c>
      <c r="C259" s="208" t="n">
        <v>2025</v>
      </c>
      <c r="D259" s="210" t="inlineStr">
        <is>
          <t>2025年能源工作指导意见</t>
        </is>
      </c>
      <c r="E259" s="210" t="inlineStr">
        <is>
          <t>Guiding Opinions on Energy Work in 2025</t>
        </is>
      </c>
      <c r="F259" s="209" t="inlineStr">
        <is>
          <t>国家能源局</t>
        </is>
      </c>
      <c r="G259" s="209" t="inlineStr">
        <is>
          <t>指导意见</t>
        </is>
      </c>
      <c r="H259" s="210" t="inlineStr">
        <is>
          <t>经济规划（含气候）</t>
        </is>
      </c>
      <c r="I259" s="211" t="inlineStr">
        <is>
          <t>B.1</t>
        </is>
      </c>
      <c r="J259" s="208" t="n">
        <v>2025</v>
      </c>
      <c r="K259" s="211" t="inlineStr">
        <is>
          <t>无目标</t>
        </is>
      </c>
      <c r="L259" s="209" t="inlineStr">
        <is>
          <t>HTM</t>
        </is>
      </c>
      <c r="M259" s="209" t="inlineStr">
        <is>
          <t>中文</t>
        </is>
      </c>
      <c r="N259" s="203" t="inlineStr">
        <is>
          <t>https://www.nea.gov.cn/20250227/105a07a9be2c4727b7fe12c11c7b84cf/c.html</t>
        </is>
      </c>
    </row>
    <row r="260">
      <c r="B260" s="198" t="inlineStr">
        <is>
          <t>GO2504</t>
        </is>
      </c>
      <c r="C260" s="208" t="n">
        <v>2025</v>
      </c>
      <c r="D260" s="210" t="inlineStr">
        <is>
          <t>关于推动海洋能规模化利用的指导意见</t>
        </is>
      </c>
      <c r="E260" s="210" t="inlineStr">
        <is>
          <t>Guiding Opinions on Promoting the Large Scale Utilization of Ocean Energy</t>
        </is>
      </c>
      <c r="F260" s="209" t="inlineStr">
        <is>
          <t>自然资源部；国家发展和改革委员会；工业和信息化部；财政部；中国科学院；国家能源局</t>
        </is>
      </c>
      <c r="G260" s="209" t="inlineStr">
        <is>
          <t>指导意见</t>
        </is>
      </c>
      <c r="H260" s="210" t="inlineStr">
        <is>
          <t>促进减缓</t>
        </is>
      </c>
      <c r="I260" s="211" t="inlineStr">
        <is>
          <t>B.1</t>
        </is>
      </c>
      <c r="J260" s="208" t="inlineStr">
        <is>
          <t>-</t>
        </is>
      </c>
      <c r="K260" s="211" t="inlineStr">
        <is>
          <t>含目标</t>
        </is>
      </c>
      <c r="L260" s="209" t="inlineStr">
        <is>
          <t>HTM</t>
        </is>
      </c>
      <c r="M260" s="209" t="inlineStr">
        <is>
          <t>中文</t>
        </is>
      </c>
      <c r="N260" s="203" t="inlineStr">
        <is>
          <t>https://www.gov.cn/zhengce/zhengceku/202502/content_7005459.htm</t>
        </is>
      </c>
    </row>
    <row r="261">
      <c r="B261" s="198" t="inlineStr">
        <is>
          <t>GO2505</t>
        </is>
      </c>
      <c r="C261" s="208" t="n">
        <v>2025</v>
      </c>
      <c r="D261" s="210" t="inlineStr">
        <is>
          <t>关于金融支持新型工业化的指导意见</t>
        </is>
      </c>
      <c r="E261" s="210" t="inlineStr">
        <is>
          <t>Guiding Opinions on Financial Support for New Industrialization</t>
        </is>
      </c>
      <c r="F261" s="209" t="inlineStr">
        <is>
          <t>中国人民银行；工业和信息化部；国家发展和改革委员会；财政部；国家金融监督管理总局；中国证券监督管理委员会；国家外汇管理局</t>
        </is>
      </c>
      <c r="G261" s="209" t="inlineStr">
        <is>
          <t>指导意见</t>
        </is>
      </c>
      <c r="H261" s="210" t="inlineStr">
        <is>
          <t>经济规划（含气候）</t>
        </is>
      </c>
      <c r="I261" s="211" t="inlineStr">
        <is>
          <t>C.2</t>
        </is>
      </c>
      <c r="J261" s="208" t="inlineStr">
        <is>
          <t>-</t>
        </is>
      </c>
      <c r="K261" s="211" t="inlineStr">
        <is>
          <t>无目标</t>
        </is>
      </c>
      <c r="L261" s="209" t="inlineStr">
        <is>
          <t>HTM</t>
        </is>
      </c>
      <c r="M261" s="209" t="inlineStr">
        <is>
          <t>中文</t>
        </is>
      </c>
      <c r="N261" s="203" t="inlineStr">
        <is>
          <t>https://www.gov.cn/lianbo/bumen/202508/content_7035298.htm</t>
        </is>
      </c>
    </row>
    <row r="262">
      <c r="B262" s="198" t="inlineStr">
        <is>
          <t>GO2507</t>
        </is>
      </c>
      <c r="C262" s="208" t="n">
        <v>2025</v>
      </c>
      <c r="D262" s="210" t="inlineStr">
        <is>
          <t>关于做好金融“五篇大文章”的指导意见</t>
        </is>
      </c>
      <c r="E262" s="210" t="inlineStr">
        <is>
          <t>Guiding Opinions on Advancing the "Five Major Financial Initiatives"</t>
        </is>
      </c>
      <c r="F262" s="209" t="inlineStr">
        <is>
          <t>国务院</t>
        </is>
      </c>
      <c r="G262" s="209" t="inlineStr">
        <is>
          <t>指导意见</t>
        </is>
      </c>
      <c r="H262" s="210" t="inlineStr">
        <is>
          <t>经济规划（含气候）</t>
        </is>
      </c>
      <c r="I262" s="211" t="inlineStr">
        <is>
          <t>C.2</t>
        </is>
      </c>
      <c r="J262" s="208" t="inlineStr">
        <is>
          <t>-</t>
        </is>
      </c>
      <c r="K262" s="211" t="inlineStr">
        <is>
          <t>无目标</t>
        </is>
      </c>
      <c r="L262" s="209" t="inlineStr">
        <is>
          <t>HTM</t>
        </is>
      </c>
      <c r="M262" s="209" t="inlineStr">
        <is>
          <t>中文</t>
        </is>
      </c>
      <c r="N262" s="203" t="inlineStr">
        <is>
          <t>https://www.gov.cn/zhengce/content/202503/content_7010604.htm</t>
        </is>
      </c>
    </row>
    <row r="263">
      <c r="B263" s="198" t="inlineStr">
        <is>
          <t>GO2508</t>
        </is>
      </c>
      <c r="C263" s="208" t="n">
        <v>2025</v>
      </c>
      <c r="D263" s="210" t="inlineStr">
        <is>
          <t>关于推进能源装备高质量发展的指导意见</t>
        </is>
      </c>
      <c r="E263" s="210" t="inlineStr">
        <is>
          <t>Guiding Opinions for Promoting High-Quality Development of Energy Equipment</t>
        </is>
      </c>
      <c r="F263" s="209" t="inlineStr">
        <is>
          <t>国家能源局；工业和信息化部；国务院国有资产监督管理委员会；国家市场监督管理总局</t>
        </is>
      </c>
      <c r="G263" s="209" t="inlineStr">
        <is>
          <t>指导意见</t>
        </is>
      </c>
      <c r="H263" s="210" t="inlineStr">
        <is>
          <t>促进减缓</t>
        </is>
      </c>
      <c r="I263" s="211" t="inlineStr">
        <is>
          <t>B.1</t>
        </is>
      </c>
      <c r="J263" s="208" t="inlineStr">
        <is>
          <t>-</t>
        </is>
      </c>
      <c r="K263" s="211" t="inlineStr">
        <is>
          <t>无目标</t>
        </is>
      </c>
      <c r="L263" s="209" t="inlineStr">
        <is>
          <t>HTM</t>
        </is>
      </c>
      <c r="M263" s="209" t="inlineStr">
        <is>
          <t>中文</t>
        </is>
      </c>
      <c r="N263" s="203" t="inlineStr">
        <is>
          <t>https://www.nea.gov.cn/20250922/32bc258f77744d408b2a7acca9aff818/c.html</t>
        </is>
      </c>
    </row>
    <row r="264">
      <c r="B264" s="198" t="inlineStr">
        <is>
          <t>GO2509</t>
        </is>
      </c>
      <c r="C264" s="208" t="n">
        <v>2025</v>
      </c>
      <c r="D264" s="210" t="inlineStr">
        <is>
          <t>关于促进新能源消纳和调控的指导意见</t>
        </is>
      </c>
      <c r="E264" s="210" t="inlineStr">
        <is>
          <t>Guiding Opinions for the Consumption and Regulation of New Energy</t>
        </is>
      </c>
      <c r="F264" s="209" t="inlineStr">
        <is>
          <t>国家发展和改革委员会；国家能源局</t>
        </is>
      </c>
      <c r="G264" s="209" t="inlineStr">
        <is>
          <t>指导意见</t>
        </is>
      </c>
      <c r="H264" s="210" t="inlineStr">
        <is>
          <t>促进减缓</t>
        </is>
      </c>
      <c r="I264" s="211" t="inlineStr">
        <is>
          <t>B.1</t>
        </is>
      </c>
      <c r="J264" s="208" t="inlineStr">
        <is>
          <t>-</t>
        </is>
      </c>
      <c r="K264" s="211" t="inlineStr">
        <is>
          <t>无目标</t>
        </is>
      </c>
      <c r="L264" s="209" t="inlineStr">
        <is>
          <t>HTM</t>
        </is>
      </c>
      <c r="M264" s="209" t="inlineStr">
        <is>
          <t>中文</t>
        </is>
      </c>
      <c r="N264" s="203" t="inlineStr">
        <is>
          <t>https://zfxxgk.ndrc.gov.cn/web/iteminfo.jsp?id=20561</t>
        </is>
      </c>
    </row>
    <row r="265">
      <c r="B265" s="198" t="inlineStr">
        <is>
          <t>GO2510</t>
        </is>
      </c>
      <c r="C265" s="208" t="n">
        <v>2025</v>
      </c>
      <c r="D265" s="210" t="inlineStr">
        <is>
          <t>关于推进煤炭与新能源融合发展的指导意见</t>
        </is>
      </c>
      <c r="E265" s="210" t="inlineStr">
        <is>
          <t>Guiding Opinions for Promoting Integrated Development of Coal and New Energy</t>
        </is>
      </c>
      <c r="F265" s="209" t="inlineStr">
        <is>
          <t>国家能源局</t>
        </is>
      </c>
      <c r="G265" s="209" t="inlineStr">
        <is>
          <t>指导意见</t>
        </is>
      </c>
      <c r="H265" s="210" t="inlineStr">
        <is>
          <t>化石能源</t>
        </is>
      </c>
      <c r="I265" s="211" t="inlineStr">
        <is>
          <t>B.1</t>
        </is>
      </c>
      <c r="J265" s="208" t="inlineStr">
        <is>
          <t>-</t>
        </is>
      </c>
      <c r="K265" s="211" t="inlineStr">
        <is>
          <t>无目标</t>
        </is>
      </c>
      <c r="L265" s="209" t="inlineStr">
        <is>
          <t>HTM</t>
        </is>
      </c>
      <c r="M265" s="209" t="inlineStr">
        <is>
          <t>中文</t>
        </is>
      </c>
      <c r="N265" s="203" t="inlineStr">
        <is>
          <t>https://www.nea.gov.cn/20251107/8b990f43dc774fc88c643614205e383d/c.html</t>
        </is>
      </c>
    </row>
    <row r="266">
      <c r="B266" s="198" t="inlineStr">
        <is>
          <t>GO2511</t>
        </is>
      </c>
      <c r="C266" s="208" t="n">
        <v>2025</v>
      </c>
      <c r="D266" s="210" t="inlineStr">
        <is>
          <t>关于促进新能源集成融合发展的指导意见</t>
        </is>
      </c>
      <c r="E266" s="210" t="inlineStr">
        <is>
          <t>Guiding Opinions for the Integration and Synergistic Development of New Energy</t>
        </is>
      </c>
      <c r="F266" s="209" t="inlineStr">
        <is>
          <t>国家能源局</t>
        </is>
      </c>
      <c r="G266" s="209" t="inlineStr">
        <is>
          <t>指导意见</t>
        </is>
      </c>
      <c r="H266" s="210" t="inlineStr">
        <is>
          <t>促进减缓</t>
        </is>
      </c>
      <c r="I266" s="211" t="inlineStr">
        <is>
          <t>B.1</t>
        </is>
      </c>
      <c r="J266" s="208" t="inlineStr">
        <is>
          <t>-</t>
        </is>
      </c>
      <c r="K266" s="211" t="inlineStr">
        <is>
          <t>无目标</t>
        </is>
      </c>
      <c r="L266" s="209" t="inlineStr">
        <is>
          <t>HTM</t>
        </is>
      </c>
      <c r="M266" s="209" t="inlineStr">
        <is>
          <t>中文</t>
        </is>
      </c>
      <c r="N266" s="203" t="inlineStr">
        <is>
          <t>https://www.nea.gov.cn/20251112/79210278a3184efea9ccf2d546fdf1b7/c.html</t>
        </is>
      </c>
    </row>
    <row r="267">
      <c r="B267" s="198" t="inlineStr">
        <is>
          <t>GO2601</t>
        </is>
      </c>
      <c r="C267" s="208" t="n">
        <v>2026</v>
      </c>
      <c r="D267" s="210" t="inlineStr">
        <is>
          <t>关于开展零碳工厂建设工作的指导意见</t>
        </is>
      </c>
      <c r="E267" s="210" t="inlineStr">
        <is>
          <t>Guiding Opinions on the Construction of Zero-Carbon Factories</t>
        </is>
      </c>
      <c r="F267" s="209" t="inlineStr">
        <is>
          <t>工业和信息化部；国家发展和改革委员会；生态环境部；国务院国有资产监督管理委员会；国家能源局</t>
        </is>
      </c>
      <c r="G267" s="209" t="inlineStr">
        <is>
          <t>指导意见</t>
        </is>
      </c>
      <c r="H267" s="210" t="inlineStr">
        <is>
          <t>明确减缓</t>
        </is>
      </c>
      <c r="I267" s="211" t="inlineStr">
        <is>
          <t>A.2</t>
        </is>
      </c>
      <c r="J267" s="208" t="inlineStr">
        <is>
          <t>-</t>
        </is>
      </c>
      <c r="K267" s="211" t="inlineStr">
        <is>
          <t>无目标</t>
        </is>
      </c>
      <c r="L267" s="209" t="inlineStr">
        <is>
          <t>PDF</t>
        </is>
      </c>
      <c r="M267" s="209" t="inlineStr">
        <is>
          <t>中文</t>
        </is>
      </c>
      <c r="N267" s="203" t="inlineStr">
        <is>
          <t>https://wap.miit.gov.cn/jgsj/jns/wjfb/art/2026/art_b6741734dc864a7aaa323f7684aca743.html</t>
        </is>
      </c>
    </row>
    <row r="268">
      <c r="B268" s="198" t="inlineStr">
        <is>
          <t>GO2602</t>
        </is>
      </c>
      <c r="C268" s="208" t="n">
        <v>2026</v>
      </c>
      <c r="D268" s="210" t="inlineStr">
        <is>
          <t>关于加快推动小水电绿色转型高质量发展的指导意见</t>
        </is>
      </c>
      <c r="E268" s="210" t="inlineStr">
        <is>
          <t>Guiding Opinions on the Acceleration of the Green Transformation and High-Quality Development of Small Hydropower</t>
        </is>
      </c>
      <c r="F268" s="209" t="inlineStr">
        <is>
          <t>水利部；国家发展和改革委员会；自然资源部；生态环境部；农业农村部；国家能源局；国家林业和草原局</t>
        </is>
      </c>
      <c r="G268" s="209" t="inlineStr">
        <is>
          <t>指导意见</t>
        </is>
      </c>
      <c r="H268" s="210" t="inlineStr">
        <is>
          <t>促进减缓</t>
        </is>
      </c>
      <c r="I268" s="211" t="inlineStr">
        <is>
          <t>B.1</t>
        </is>
      </c>
      <c r="J268" s="208" t="inlineStr">
        <is>
          <t>-</t>
        </is>
      </c>
      <c r="K268" s="211" t="inlineStr">
        <is>
          <t>无目标</t>
        </is>
      </c>
      <c r="L268" s="209" t="inlineStr">
        <is>
          <t>HTM</t>
        </is>
      </c>
      <c r="M268" s="209" t="inlineStr">
        <is>
          <t>中文</t>
        </is>
      </c>
      <c r="N268" s="203" t="inlineStr">
        <is>
          <t>http://www.mwr.gov.cn/zwgk/gknr/202603/t20260319_2105135.html</t>
        </is>
      </c>
    </row>
    <row r="269">
      <c r="B269" s="198" t="inlineStr">
        <is>
          <t>GO2603</t>
        </is>
      </c>
      <c r="C269" s="208" t="n">
        <v>2026</v>
      </c>
      <c r="D269" s="210" t="inlineStr">
        <is>
          <t>关于促进光伏组件综合利用的指导意见</t>
        </is>
      </c>
      <c r="E269" s="210" t="inlineStr">
        <is>
          <t>Guiding Opinions on Promoting the Comprehensive Utilization of Photovoltaic Modules</t>
        </is>
      </c>
      <c r="F269" s="209" t="inlineStr">
        <is>
          <t>工业和信息化部；生态环境部；商务部；国家市场监督管理总局；国家金融监督管理总局；国家能源局</t>
        </is>
      </c>
      <c r="G269" s="209" t="inlineStr">
        <is>
          <t>指导意见</t>
        </is>
      </c>
      <c r="H269" s="210" t="inlineStr">
        <is>
          <t>促进减缓</t>
        </is>
      </c>
      <c r="I269" s="211" t="inlineStr">
        <is>
          <t>B.1</t>
        </is>
      </c>
      <c r="J269" s="208" t="inlineStr">
        <is>
          <t>-</t>
        </is>
      </c>
      <c r="K269" s="211" t="inlineStr">
        <is>
          <t>含目标</t>
        </is>
      </c>
      <c r="L269" s="209" t="inlineStr">
        <is>
          <t>HTM</t>
        </is>
      </c>
      <c r="M269" s="209" t="inlineStr">
        <is>
          <t>中文</t>
        </is>
      </c>
      <c r="N269" s="203" t="inlineStr">
        <is>
          <t>https://www.miit.gov.cn/zwgk/zcwj/wjfb/yj/art/2026/art_95cd611e3c664dfc96cd76ace1aa24d7.html</t>
        </is>
      </c>
    </row>
    <row r="270">
      <c r="B270" s="0" t="inlineStr">
        <is>
          <t>GO2604</t>
        </is>
      </c>
      <c r="C270" s="0" t="n">
        <v>2026</v>
      </c>
      <c r="D270" s="0" t="inlineStr">
        <is>
          <t>关于完善现代化都市圈综合交通运输体系的指导意见</t>
        </is>
      </c>
      <c r="E270" s="0" t="inlineStr">
        <is>
          <t>Guiding Opinions on Improving the Comprehensive Transport System of Modern Metropolitan Areas</t>
        </is>
      </c>
      <c r="F270" s="0" t="inlineStr">
        <is>
          <t>交通运输部等部门</t>
        </is>
      </c>
      <c r="G270" s="0" t="inlineStr">
        <is>
          <t>指导意见</t>
        </is>
      </c>
      <c r="H270" s="0" t="inlineStr">
        <is>
          <t>促进减缓</t>
        </is>
      </c>
      <c r="I270" s="0" t="inlineStr">
        <is>
          <t>Mitigation-enabling</t>
        </is>
      </c>
      <c r="J270" s="0" t="inlineStr">
        <is>
          <t>B.4</t>
        </is>
      </c>
      <c r="K270" s="0" t="inlineStr">
        <is>
          <t>无目标</t>
        </is>
      </c>
      <c r="L270" s="0" t="inlineStr">
        <is>
          <t>HTM</t>
        </is>
      </c>
      <c r="M270" s="0" t="inlineStr">
        <is>
          <t>中文</t>
        </is>
      </c>
      <c r="N270" s="0" t="inlineStr">
        <is>
          <t>https://xxgk.mot.gov.cn/jigou/zhghs/202606/t20260630_4208509.html</t>
        </is>
      </c>
    </row>
    <row r="271">
      <c r="B271" s="205" t="inlineStr">
        <is>
          <t>意见</t>
        </is>
      </c>
      <c r="C271" s="206" t="n"/>
      <c r="D271" s="206" t="n"/>
      <c r="E271" s="206" t="n"/>
      <c r="F271" s="206" t="n"/>
      <c r="G271" s="206" t="n"/>
      <c r="H271" s="206" t="n"/>
      <c r="I271" s="206" t="n"/>
      <c r="J271" s="206" t="n"/>
      <c r="K271" s="206" t="n"/>
      <c r="L271" s="206" t="n"/>
      <c r="M271" s="206" t="n"/>
      <c r="N271" s="207" t="inlineStr">
        <is>
          <t>https://xxgk.mot.gov.cn/2020/jigou/zcyjs/202006/t20200623_3307286.html</t>
        </is>
      </c>
    </row>
    <row r="272">
      <c r="B272" s="198" t="inlineStr">
        <is>
          <t>O0501</t>
        </is>
      </c>
      <c r="C272" s="208" t="n">
        <v>2005</v>
      </c>
      <c r="D272" s="210" t="inlineStr">
        <is>
          <t>国务院关于加快发展循环经济的若干意见</t>
        </is>
      </c>
      <c r="E272" s="210" t="inlineStr">
        <is>
          <t>Opinions on Accelerating the Development of Circular Economy</t>
        </is>
      </c>
      <c r="F272" s="209" t="inlineStr">
        <is>
          <t>国务院</t>
        </is>
      </c>
      <c r="G272" s="209" t="inlineStr">
        <is>
          <t>意见</t>
        </is>
      </c>
      <c r="H272" s="210" t="inlineStr">
        <is>
          <t>促进减缓</t>
        </is>
      </c>
      <c r="I272" s="211" t="inlineStr">
        <is>
          <t>D.2</t>
        </is>
      </c>
      <c r="J272" s="208" t="inlineStr">
        <is>
          <t>-</t>
        </is>
      </c>
      <c r="K272" s="211" t="inlineStr">
        <is>
          <t>含目标</t>
        </is>
      </c>
      <c r="L272" s="209" t="inlineStr">
        <is>
          <t>HTM</t>
        </is>
      </c>
      <c r="M272" s="209" t="inlineStr">
        <is>
          <t>中文</t>
        </is>
      </c>
      <c r="N272" s="203" t="inlineStr">
        <is>
          <t>https://www.gov.cn/gongbao/content/2005/content_64318.htm</t>
        </is>
      </c>
    </row>
    <row r="273">
      <c r="B273" s="198" t="inlineStr">
        <is>
          <t>O0601</t>
        </is>
      </c>
      <c r="C273" s="208" t="n">
        <v>2006</v>
      </c>
      <c r="D273" s="225" t="inlineStr">
        <is>
          <t>加快煤层气（煤矿甲烷）勘探开发的意见</t>
        </is>
      </c>
      <c r="E273" s="210" t="inlineStr">
        <is>
          <t>Opinions on Accelerating the Exploration and Development of Coalbed Methane (Coal Mine Methane)</t>
        </is>
      </c>
      <c r="F273" s="209" t="inlineStr">
        <is>
          <t>国务院</t>
        </is>
      </c>
      <c r="G273" s="209" t="inlineStr">
        <is>
          <t>意见</t>
        </is>
      </c>
      <c r="H273" s="210" t="inlineStr">
        <is>
          <t>化石能源</t>
        </is>
      </c>
      <c r="I273" s="211" t="inlineStr">
        <is>
          <t>D.2</t>
        </is>
      </c>
      <c r="J273" s="208" t="inlineStr">
        <is>
          <t>-</t>
        </is>
      </c>
      <c r="K273" s="211" t="inlineStr">
        <is>
          <t>无目标</t>
        </is>
      </c>
      <c r="L273" s="209" t="inlineStr">
        <is>
          <t>HTM</t>
        </is>
      </c>
      <c r="M273" s="209" t="inlineStr">
        <is>
          <t>中文</t>
        </is>
      </c>
      <c r="N273" s="203" t="inlineStr">
        <is>
          <t>https://baike.baidu.com/item/国务院办公厅关于加快煤层气（煤矿瓦斯）抽采利用的若干意见/5239657?fr=aladdin</t>
        </is>
      </c>
    </row>
    <row r="274">
      <c r="B274" s="198" t="inlineStr">
        <is>
          <t>O0701</t>
        </is>
      </c>
      <c r="C274" s="208" t="n">
        <v>2007</v>
      </c>
      <c r="D274" s="225" t="inlineStr">
        <is>
          <t>海洋局发布海洋领域应对气候变化有关工作的意见</t>
        </is>
      </c>
      <c r="E274" s="210" t="inlineStr">
        <is>
          <t>Opinions on the Work related to Addressing Climate Change in the Marine Sector</t>
        </is>
      </c>
      <c r="F274" s="209" t="inlineStr">
        <is>
          <t>国家海洋局</t>
        </is>
      </c>
      <c r="G274" s="209" t="inlineStr">
        <is>
          <t>意见</t>
        </is>
      </c>
      <c r="H274" s="210" t="inlineStr">
        <is>
          <t>明确减缓</t>
        </is>
      </c>
      <c r="I274" s="211" t="inlineStr">
        <is>
          <t>B.5</t>
        </is>
      </c>
      <c r="J274" s="208" t="inlineStr">
        <is>
          <t>-</t>
        </is>
      </c>
      <c r="K274" s="211" t="inlineStr">
        <is>
          <t>无目标</t>
        </is>
      </c>
      <c r="L274" s="209" t="inlineStr">
        <is>
          <t>HTM</t>
        </is>
      </c>
      <c r="M274" s="209" t="inlineStr">
        <is>
          <t>中文</t>
        </is>
      </c>
      <c r="N274" s="203" t="inlineStr">
        <is>
          <t>https://www.gov.cn/gzdt/2007-10/16/content_777564.htm</t>
        </is>
      </c>
    </row>
    <row r="275">
      <c r="B275" s="198" t="inlineStr">
        <is>
          <t>O1001</t>
        </is>
      </c>
      <c r="C275" s="208" t="n">
        <v>2010</v>
      </c>
      <c r="D275" s="225" t="inlineStr">
        <is>
          <t>中国人民银行 中国银行业监督管理委员会关于进一步做好支持节能减排和淘汰落后产能金融服务工作的意见</t>
        </is>
      </c>
      <c r="E275" s="210" t="inlineStr">
        <is>
          <t>Opinions on Further Improving Financial Services to Support Energy Conservation, Emission Reduction and Elimination of Outdated Production Capacity</t>
        </is>
      </c>
      <c r="F275" s="209" t="inlineStr">
        <is>
          <t>中国人民银行；中国银行业监督管理委员会</t>
        </is>
      </c>
      <c r="G275" s="209" t="inlineStr">
        <is>
          <t>意见</t>
        </is>
      </c>
      <c r="H275" s="210" t="inlineStr">
        <is>
          <t>明确减缓</t>
        </is>
      </c>
      <c r="I275" s="211" t="inlineStr">
        <is>
          <t>C.2</t>
        </is>
      </c>
      <c r="J275" s="208" t="inlineStr">
        <is>
          <t>-</t>
        </is>
      </c>
      <c r="K275" s="211" t="inlineStr">
        <is>
          <t>无目标</t>
        </is>
      </c>
      <c r="L275" s="209" t="inlineStr">
        <is>
          <t>HTM</t>
        </is>
      </c>
      <c r="M275" s="209" t="inlineStr">
        <is>
          <t>中文</t>
        </is>
      </c>
      <c r="N275" s="203" t="inlineStr">
        <is>
          <t>https://www.ndrc.gov.cn/fggz/hjyzy/jnhnx/201006/t20100601_1134361.html</t>
        </is>
      </c>
    </row>
    <row r="276">
      <c r="B276" s="198" t="inlineStr">
        <is>
          <t>O1301</t>
        </is>
      </c>
      <c r="C276" s="208" t="n">
        <v>2013</v>
      </c>
      <c r="D276" s="225" t="inlineStr">
        <is>
          <t>国务院办公厅关于加强内燃机工业
节 能 减 排 的 意 见</t>
        </is>
      </c>
      <c r="E276" s="210" t="inlineStr">
        <is>
          <t xml:space="preserve">Opinions on Strengthening Energy Conservation and Emission Reduction in the Internal Combustion Engine </t>
        </is>
      </c>
      <c r="F276" s="209" t="inlineStr">
        <is>
          <t>国务院</t>
        </is>
      </c>
      <c r="G276" s="209" t="inlineStr">
        <is>
          <t>意见</t>
        </is>
      </c>
      <c r="H276" s="210" t="inlineStr">
        <is>
          <t>明确减缓</t>
        </is>
      </c>
      <c r="I276" s="211" t="inlineStr">
        <is>
          <t>B.2, C.1</t>
        </is>
      </c>
      <c r="J276" s="208" t="inlineStr">
        <is>
          <t>-</t>
        </is>
      </c>
      <c r="K276" s="211" t="inlineStr">
        <is>
          <t>含目标</t>
        </is>
      </c>
      <c r="L276" s="209" t="inlineStr">
        <is>
          <t>HTM</t>
        </is>
      </c>
      <c r="M276" s="209" t="inlineStr">
        <is>
          <t>中文</t>
        </is>
      </c>
      <c r="N276" s="203" t="inlineStr">
        <is>
          <t>https://www.gov.cn/gongbao/content/2013/content_2339525.htm</t>
        </is>
      </c>
    </row>
    <row r="277">
      <c r="B277" s="198" t="inlineStr">
        <is>
          <t>O1302</t>
        </is>
      </c>
      <c r="C277" s="208" t="n">
        <v>2013</v>
      </c>
      <c r="D277" s="225" t="inlineStr">
        <is>
          <t>国务院关于加快发展节能环保产业的意见</t>
        </is>
      </c>
      <c r="E277" s="210" t="inlineStr">
        <is>
          <t>Opinions on Speeding Up the Development of the Energy Conservation and Environmental Protection Industries</t>
        </is>
      </c>
      <c r="F277" s="209" t="inlineStr">
        <is>
          <t>国务院</t>
        </is>
      </c>
      <c r="G277" s="209" t="inlineStr">
        <is>
          <t>意见</t>
        </is>
      </c>
      <c r="H277" s="210" t="inlineStr">
        <is>
          <t>促进减缓</t>
        </is>
      </c>
      <c r="I277" s="211" t="inlineStr">
        <is>
          <t>B.2</t>
        </is>
      </c>
      <c r="J277" s="208" t="inlineStr">
        <is>
          <t>-</t>
        </is>
      </c>
      <c r="K277" s="211" t="inlineStr">
        <is>
          <t>含目标</t>
        </is>
      </c>
      <c r="L277" s="209" t="inlineStr">
        <is>
          <t>HTM</t>
        </is>
      </c>
      <c r="M277" s="209" t="inlineStr">
        <is>
          <t>中文</t>
        </is>
      </c>
      <c r="N277" s="203" t="inlineStr">
        <is>
          <t>https://www.gov.cn/zwgk/2013-08/11/content_2464241.htm</t>
        </is>
      </c>
    </row>
    <row r="278">
      <c r="B278" s="198" t="inlineStr">
        <is>
          <t>O1303</t>
        </is>
      </c>
      <c r="C278" s="208" t="n">
        <v>2013</v>
      </c>
      <c r="D278" s="225" t="inlineStr">
        <is>
          <t>国务院关于促进光伏产业健康发展的若干意见</t>
        </is>
      </c>
      <c r="E278" s="210" t="inlineStr">
        <is>
          <t>Opinions of the State Council on Promoting the Healthy Development of the Photovoltaic Industry</t>
        </is>
      </c>
      <c r="F278" s="209" t="inlineStr">
        <is>
          <t>国务院</t>
        </is>
      </c>
      <c r="G278" s="209" t="inlineStr">
        <is>
          <t>意见</t>
        </is>
      </c>
      <c r="H278" s="210" t="inlineStr">
        <is>
          <t>促进减缓</t>
        </is>
      </c>
      <c r="I278" s="211" t="inlineStr">
        <is>
          <t>B.2, B.1</t>
        </is>
      </c>
      <c r="J278" s="208" t="inlineStr">
        <is>
          <t>-</t>
        </is>
      </c>
      <c r="K278" s="211" t="inlineStr">
        <is>
          <t>含目标</t>
        </is>
      </c>
      <c r="L278" s="209" t="inlineStr">
        <is>
          <t>HTM</t>
        </is>
      </c>
      <c r="M278" s="209" t="inlineStr">
        <is>
          <t>中文</t>
        </is>
      </c>
      <c r="N278" s="203" t="inlineStr">
        <is>
          <t>https://www.gov.cn/gongbao/content/2013/content_2455226.htm</t>
        </is>
      </c>
    </row>
    <row r="279">
      <c r="B279" s="198" t="inlineStr">
        <is>
          <t>O1304</t>
        </is>
      </c>
      <c r="C279" s="208" t="n">
        <v>2013</v>
      </c>
      <c r="D279" s="225" t="inlineStr">
        <is>
          <t>关于加强应对气候变化统计工作的意见</t>
        </is>
      </c>
      <c r="E279" s="210" t="inlineStr">
        <is>
          <t>Opinions on Strengthening Statistical Work on Climate Change</t>
        </is>
      </c>
      <c r="F279" s="209" t="inlineStr">
        <is>
          <t>国家发展和改革委员会；国家统计局</t>
        </is>
      </c>
      <c r="G279" s="209" t="inlineStr">
        <is>
          <t>意见</t>
        </is>
      </c>
      <c r="H279" s="210" t="inlineStr">
        <is>
          <t>明确减缓</t>
        </is>
      </c>
      <c r="I279" s="211" t="inlineStr">
        <is>
          <t>C.3</t>
        </is>
      </c>
      <c r="J279" s="208" t="inlineStr">
        <is>
          <t>-</t>
        </is>
      </c>
      <c r="K279" s="211" t="inlineStr">
        <is>
          <t>无目标</t>
        </is>
      </c>
      <c r="L279" s="209" t="inlineStr">
        <is>
          <t>PDF</t>
        </is>
      </c>
      <c r="M279" s="209" t="inlineStr">
        <is>
          <t>中文</t>
        </is>
      </c>
      <c r="N279" s="203" t="inlineStr">
        <is>
          <t>https://www.stats.gov.cn/xw/tjxw/tzgg/202302/t20230202_1893717.html</t>
        </is>
      </c>
    </row>
    <row r="280">
      <c r="B280" s="198" t="inlineStr">
        <is>
          <t>O1305</t>
        </is>
      </c>
      <c r="C280" s="208" t="n">
        <v>2013</v>
      </c>
      <c r="D280" s="225" t="inlineStr">
        <is>
          <t>国务院办公厅关于进一步加快
煤层气（煤矿瓦斯）抽采利用的意见</t>
        </is>
      </c>
      <c r="E280" s="210" t="inlineStr">
        <is>
          <t>Opinions on Further the Extraction and Utilization of Coalbed Methane</t>
        </is>
      </c>
      <c r="F280" s="209" t="inlineStr">
        <is>
          <t>国务院</t>
        </is>
      </c>
      <c r="G280" s="209" t="inlineStr">
        <is>
          <t>意见</t>
        </is>
      </c>
      <c r="H280" s="210" t="inlineStr">
        <is>
          <t>化石能源</t>
        </is>
      </c>
      <c r="I280" s="211" t="inlineStr">
        <is>
          <t>B.1</t>
        </is>
      </c>
      <c r="J280" s="208" t="inlineStr">
        <is>
          <t>-</t>
        </is>
      </c>
      <c r="K280" s="211" t="inlineStr">
        <is>
          <t>无目标</t>
        </is>
      </c>
      <c r="L280" s="209" t="inlineStr">
        <is>
          <t>HTM</t>
        </is>
      </c>
      <c r="M280" s="209" t="inlineStr">
        <is>
          <t>中文</t>
        </is>
      </c>
      <c r="N280" s="203" t="inlineStr">
        <is>
          <t>https://www.gov.cn/zhengce/content/2013-09/18/content_2540.htm</t>
        </is>
      </c>
    </row>
    <row r="281">
      <c r="B281" s="198" t="inlineStr">
        <is>
          <t>O1401</t>
        </is>
      </c>
      <c r="C281" s="208" t="n">
        <v>2014</v>
      </c>
      <c r="D281" s="225" t="inlineStr">
        <is>
          <t>关于促进煤炭安全绿色开发和清洁高效利用的意见</t>
        </is>
      </c>
      <c r="E281" s="210" t="inlineStr">
        <is>
          <t>Opinions on Promoting Safe, Green Development and Clean and Efficient Utilization of Coal</t>
        </is>
      </c>
      <c r="F281" s="209" t="inlineStr">
        <is>
          <t>国家能源局；环境保护部；工业和信息化部</t>
        </is>
      </c>
      <c r="G281" s="209" t="inlineStr">
        <is>
          <t>意见</t>
        </is>
      </c>
      <c r="H281" s="210" t="inlineStr">
        <is>
          <t>化石能源</t>
        </is>
      </c>
      <c r="I281" s="211" t="inlineStr">
        <is>
          <t>B.2, B.1</t>
        </is>
      </c>
      <c r="J281" s="208" t="inlineStr">
        <is>
          <t>-</t>
        </is>
      </c>
      <c r="K281" s="211" t="inlineStr">
        <is>
          <t>含目标</t>
        </is>
      </c>
      <c r="L281" s="209" t="inlineStr">
        <is>
          <t>HTM</t>
        </is>
      </c>
      <c r="M281" s="209" t="inlineStr">
        <is>
          <t>中文</t>
        </is>
      </c>
      <c r="N281" s="203" t="inlineStr">
        <is>
          <t>https://fjb.nea.gov.cn/xxgk/zcfg/202311/t20231114_217455.html</t>
        </is>
      </c>
    </row>
    <row r="282">
      <c r="B282" s="198" t="inlineStr">
        <is>
          <t>O1501</t>
        </is>
      </c>
      <c r="C282" s="208" t="n">
        <v>2015</v>
      </c>
      <c r="D282" s="225" t="inlineStr">
        <is>
          <t>关于进一步深化电力体制改革的若干意见</t>
        </is>
      </c>
      <c r="E282" s="210" t="inlineStr">
        <is>
          <t>Opinions on Further Deepening the Reform of the Power System</t>
        </is>
      </c>
      <c r="F282" s="209" t="inlineStr">
        <is>
          <t>中共中央；国务院</t>
        </is>
      </c>
      <c r="G282" s="209" t="inlineStr">
        <is>
          <t>意见</t>
        </is>
      </c>
      <c r="H282" s="210" t="inlineStr">
        <is>
          <t>促进减缓</t>
        </is>
      </c>
      <c r="I282" s="211" t="inlineStr">
        <is>
          <t>B.1</t>
        </is>
      </c>
      <c r="J282" s="208" t="inlineStr">
        <is>
          <t>-</t>
        </is>
      </c>
      <c r="K282" s="211" t="inlineStr">
        <is>
          <t>无目标</t>
        </is>
      </c>
      <c r="L282" s="209" t="inlineStr">
        <is>
          <t>HTM</t>
        </is>
      </c>
      <c r="M282" s="209" t="inlineStr">
        <is>
          <t>中文</t>
        </is>
      </c>
      <c r="N282" s="203" t="inlineStr">
        <is>
          <t>http://drc.gd.gov.cn/snyj/bmgl/content/mpost_3736970.html</t>
        </is>
      </c>
    </row>
    <row r="283">
      <c r="B283" s="198" t="inlineStr">
        <is>
          <t>O1601</t>
        </is>
      </c>
      <c r="C283" s="208" t="n">
        <v>2016</v>
      </c>
      <c r="D283" s="225" t="inlineStr">
        <is>
          <t>关于煤炭⾏业化解过剩产能实现脱困发展的意见</t>
        </is>
      </c>
      <c r="E283" s="210" t="inlineStr">
        <is>
          <t>Opinions on Resolving Overcapacity in the Coal Industry and Realising Development Out of Difficulties</t>
        </is>
      </c>
      <c r="F283" s="209" t="inlineStr">
        <is>
          <t>国务院</t>
        </is>
      </c>
      <c r="G283" s="209" t="inlineStr">
        <is>
          <t>意见</t>
        </is>
      </c>
      <c r="H283" s="210" t="inlineStr">
        <is>
          <t>促进减缓</t>
        </is>
      </c>
      <c r="I283" s="211" t="inlineStr">
        <is>
          <t>B.1</t>
        </is>
      </c>
      <c r="J283" s="208" t="inlineStr">
        <is>
          <t>-</t>
        </is>
      </c>
      <c r="K283" s="211" t="inlineStr">
        <is>
          <t>无目标</t>
        </is>
      </c>
      <c r="L283" s="209" t="inlineStr">
        <is>
          <t>HTM</t>
        </is>
      </c>
      <c r="M283" s="209" t="inlineStr">
        <is>
          <t>中文</t>
        </is>
      </c>
      <c r="N283" s="203" t="inlineStr">
        <is>
          <t>https://www.gov.cn/gongbao/content/2016/content_5045944.htm</t>
        </is>
      </c>
    </row>
    <row r="284">
      <c r="B284" s="198" t="inlineStr">
        <is>
          <t>O1602</t>
        </is>
      </c>
      <c r="C284" s="208" t="n">
        <v>2016</v>
      </c>
      <c r="D284" s="225" t="inlineStr">
        <is>
          <t>关于钢铁行业化解过剩产能实现脱困发展的意见</t>
        </is>
      </c>
      <c r="E284" s="210" t="inlineStr">
        <is>
          <t>Opinions on Resolving Excess Capacity and Achieving Deleveraging Development in the Steel Industry</t>
        </is>
      </c>
      <c r="F284" s="209" t="inlineStr">
        <is>
          <t>国务院</t>
        </is>
      </c>
      <c r="G284" s="209" t="inlineStr">
        <is>
          <t>意见</t>
        </is>
      </c>
      <c r="H284" s="210" t="inlineStr">
        <is>
          <t>促进减缓</t>
        </is>
      </c>
      <c r="I284" s="211" t="inlineStr">
        <is>
          <t>B.1</t>
        </is>
      </c>
      <c r="J284" s="208" t="inlineStr">
        <is>
          <t>-</t>
        </is>
      </c>
      <c r="K284" s="211" t="inlineStr">
        <is>
          <t>含目标</t>
        </is>
      </c>
      <c r="L284" s="209" t="inlineStr">
        <is>
          <t>HTM</t>
        </is>
      </c>
      <c r="M284" s="209" t="inlineStr">
        <is>
          <t>中文</t>
        </is>
      </c>
      <c r="N284" s="203" t="inlineStr">
        <is>
          <t>https://www.gov.cn/gongbao/content/2016/content_5045931.htm</t>
        </is>
      </c>
    </row>
    <row r="285">
      <c r="B285" s="198" t="inlineStr">
        <is>
          <t>O1701</t>
        </is>
      </c>
      <c r="C285" s="208" t="n">
        <v>2017</v>
      </c>
      <c r="D285" s="225" t="inlineStr">
        <is>
          <t>关于全面深入推进绿色交通发展的意见</t>
        </is>
      </c>
      <c r="E285" s="210" t="inlineStr">
        <is>
          <t>Opinions on Comprehensively and Deeply Promoting the Development of Green Transportation</t>
        </is>
      </c>
      <c r="F285" s="209" t="inlineStr">
        <is>
          <t>交通运输部</t>
        </is>
      </c>
      <c r="G285" s="209" t="inlineStr">
        <is>
          <t>意见</t>
        </is>
      </c>
      <c r="H285" s="210" t="inlineStr">
        <is>
          <t>明确减缓</t>
        </is>
      </c>
      <c r="I285" s="211" t="inlineStr">
        <is>
          <t>B.4</t>
        </is>
      </c>
      <c r="J285" s="208" t="inlineStr">
        <is>
          <t>-</t>
        </is>
      </c>
      <c r="K285" s="211" t="inlineStr">
        <is>
          <t>无目标</t>
        </is>
      </c>
      <c r="L285" s="209" t="inlineStr">
        <is>
          <t>HTM</t>
        </is>
      </c>
      <c r="M285" s="209" t="inlineStr">
        <is>
          <t>中文</t>
        </is>
      </c>
      <c r="N285" s="203" t="inlineStr">
        <is>
          <t>https://xxgk.mot.gov.cn/2020/jigou/zcyjs/202006/t20200623_3307286.html</t>
        </is>
      </c>
    </row>
    <row r="286">
      <c r="B286" s="198" t="inlineStr">
        <is>
          <t>O1702</t>
        </is>
      </c>
      <c r="C286" s="208" t="n">
        <v>2017</v>
      </c>
      <c r="D286" s="225" t="inlineStr">
        <is>
          <t>关于创新体制机制推进农业绿色发展的意见</t>
        </is>
      </c>
      <c r="E286" s="210" t="inlineStr">
        <is>
          <t>Opinions on Innovating Systems and Mechanisms to Promote Green Development of Agriculture</t>
        </is>
      </c>
      <c r="F286" s="209" t="inlineStr">
        <is>
          <t>中共中央；国务院</t>
        </is>
      </c>
      <c r="G286" s="209" t="inlineStr">
        <is>
          <t>意见</t>
        </is>
      </c>
      <c r="H286" s="210" t="inlineStr">
        <is>
          <t>明确减缓</t>
        </is>
      </c>
      <c r="I286" s="211" t="inlineStr">
        <is>
          <t>B.5</t>
        </is>
      </c>
      <c r="J286" s="208" t="inlineStr">
        <is>
          <t>-</t>
        </is>
      </c>
      <c r="K286" s="211" t="inlineStr">
        <is>
          <t>含目标</t>
        </is>
      </c>
      <c r="L286" s="209" t="inlineStr">
        <is>
          <t>HTM</t>
        </is>
      </c>
      <c r="M286" s="209" t="inlineStr">
        <is>
          <t>中文</t>
        </is>
      </c>
      <c r="N286" s="203" t="inlineStr">
        <is>
          <t>https://www.gov.cn/zhengce/2017-09/30/content_5228960.htm</t>
        </is>
      </c>
    </row>
    <row r="287">
      <c r="B287" s="198" t="inlineStr">
        <is>
          <t>O1703</t>
        </is>
      </c>
      <c r="C287" s="208" t="n">
        <v>2017</v>
      </c>
      <c r="D287" s="225" t="inlineStr">
        <is>
          <t>关于推进供给侧结构性改革 防范化解煤电产能过剩风险的意见</t>
        </is>
      </c>
      <c r="E287" s="210" t="inlineStr">
        <is>
          <t>Opinions on Promoting Supply-Side Structural Reform, Preventing and Resolving the Risk of Overcapacity of Coal and Electricity</t>
        </is>
      </c>
      <c r="F287" s="209" t="inlineStr">
        <is>
          <t>国家发展和改革委员会；工业和信息化部；财政部；人力资源和社会保障部；国土资源部；环境保护部；住房和城乡建设部；交通运输部；水利部；中国人民银行；国务院国有资产监督管理委员会；国家质量监督检验检疫总局；国家安全生产监督管理总局；国家统计局；中国银行业监督管理委员会；国家能源局</t>
        </is>
      </c>
      <c r="G287" s="209" t="inlineStr">
        <is>
          <t>意见</t>
        </is>
      </c>
      <c r="H287" s="210" t="inlineStr">
        <is>
          <t>促进减缓</t>
        </is>
      </c>
      <c r="I287" s="211" t="inlineStr">
        <is>
          <t>B.1</t>
        </is>
      </c>
      <c r="J287" s="208" t="inlineStr">
        <is>
          <t>-</t>
        </is>
      </c>
      <c r="K287" s="211" t="inlineStr">
        <is>
          <t>含目标</t>
        </is>
      </c>
      <c r="L287" s="209" t="inlineStr">
        <is>
          <t>PDF</t>
        </is>
      </c>
      <c r="M287" s="209" t="inlineStr">
        <is>
          <t>中文</t>
        </is>
      </c>
      <c r="N287" s="203" t="inlineStr">
        <is>
          <t>http://www.nea.gov.cn/2017-08/14/c_136525062.htm</t>
        </is>
      </c>
    </row>
    <row r="288">
      <c r="B288" s="198" t="inlineStr">
        <is>
          <t>O1704</t>
        </is>
      </c>
      <c r="C288" s="208" t="n">
        <v>2017</v>
      </c>
      <c r="D288" s="225" t="inlineStr">
        <is>
          <t>加快推进天然气利用的意见</t>
        </is>
      </c>
      <c r="E288" s="210" t="inlineStr">
        <is>
          <t>Opinions on Accelerating the Utilization of Natural Gas</t>
        </is>
      </c>
      <c r="F288" s="209" t="inlineStr">
        <is>
          <t>国家发展和改革委员会；科学技术部；工业和信息化部；财政部；国土资源部；环境保护部；住房和城乡建设部；交通运输部；商务部；国务院国有资产监督管理委员会；国家税务总局；国家质量监督检验检疫总局；国家能源局</t>
        </is>
      </c>
      <c r="G288" s="209" t="inlineStr">
        <is>
          <t>意见</t>
        </is>
      </c>
      <c r="H288" s="210" t="inlineStr">
        <is>
          <t>化石能源</t>
        </is>
      </c>
      <c r="I288" s="211" t="inlineStr">
        <is>
          <t>B.1</t>
        </is>
      </c>
      <c r="J288" s="208" t="inlineStr">
        <is>
          <t>-</t>
        </is>
      </c>
      <c r="K288" s="211" t="inlineStr">
        <is>
          <t>无目标</t>
        </is>
      </c>
      <c r="L288" s="209" t="inlineStr">
        <is>
          <t>HTM</t>
        </is>
      </c>
      <c r="M288" s="209" t="inlineStr">
        <is>
          <t>中文</t>
        </is>
      </c>
      <c r="N288" s="203" t="inlineStr">
        <is>
          <t>https://www.gov.cn/xinwen/2017-07/05/content_5207958.htm</t>
        </is>
      </c>
    </row>
    <row r="289">
      <c r="B289" s="198" t="inlineStr">
        <is>
          <t>O1801</t>
        </is>
      </c>
      <c r="C289" s="208" t="n">
        <v>2018</v>
      </c>
      <c r="D289" s="225" t="inlineStr">
        <is>
          <t>关于积极推进大规模国土绿化行动的意见</t>
        </is>
      </c>
      <c r="E289" s="210" t="inlineStr">
        <is>
          <t>Opinions on Actively Promoting Large-Scale Land Greening Actions</t>
        </is>
      </c>
      <c r="F289" s="209" t="inlineStr">
        <is>
          <t>中共中央；国务院</t>
        </is>
      </c>
      <c r="G289" s="209" t="inlineStr">
        <is>
          <t>意见</t>
        </is>
      </c>
      <c r="H289" s="210" t="inlineStr">
        <is>
          <t>促进减缓</t>
        </is>
      </c>
      <c r="I289" s="211" t="inlineStr">
        <is>
          <t>B.5, C.6</t>
        </is>
      </c>
      <c r="J289" s="208" t="inlineStr">
        <is>
          <t>-</t>
        </is>
      </c>
      <c r="K289" s="211" t="inlineStr">
        <is>
          <t>含目标</t>
        </is>
      </c>
      <c r="L289" s="209" t="inlineStr">
        <is>
          <t>HTM</t>
        </is>
      </c>
      <c r="M289" s="209" t="inlineStr">
        <is>
          <t>中文</t>
        </is>
      </c>
      <c r="N289" s="203" t="inlineStr">
        <is>
          <t>https://www.gov.cn/xinwen/2018-11/20/content_5341910.htm</t>
        </is>
      </c>
    </row>
    <row r="290">
      <c r="B290" s="198" t="inlineStr">
        <is>
          <t>O1802</t>
        </is>
      </c>
      <c r="C290" s="208" t="n">
        <v>2018</v>
      </c>
      <c r="D290" s="225" t="inlineStr">
        <is>
          <t>中共中央 国务院关于全面加强生态环境保护
坚决打好污染防治攻坚战的意见</t>
        </is>
      </c>
      <c r="E290" s="210" t="inlineStr">
        <is>
          <t>Opinions on Comprehensively Strengthening Ecological and Environmental Protection and Resolutely Winning the Battle Against Pollution</t>
        </is>
      </c>
      <c r="F290" s="209" t="inlineStr">
        <is>
          <t>中共中央；国务院</t>
        </is>
      </c>
      <c r="G290" s="209" t="inlineStr">
        <is>
          <t>意见</t>
        </is>
      </c>
      <c r="H290" s="210" t="inlineStr">
        <is>
          <t>促进减缓</t>
        </is>
      </c>
      <c r="I290" s="211" t="inlineStr">
        <is>
          <t>D.3</t>
        </is>
      </c>
      <c r="J290" s="208" t="inlineStr">
        <is>
          <t>-</t>
        </is>
      </c>
      <c r="K290" s="211" t="inlineStr">
        <is>
          <t>含目标</t>
        </is>
      </c>
      <c r="L290" s="209" t="inlineStr">
        <is>
          <t>HTM</t>
        </is>
      </c>
      <c r="M290" s="209" t="inlineStr">
        <is>
          <t>中文</t>
        </is>
      </c>
      <c r="N290" s="203" t="inlineStr">
        <is>
          <t>https://www.gov.cn/gongbao/content/2018/content_5303427.htm</t>
        </is>
      </c>
    </row>
    <row r="291">
      <c r="B291" s="198" t="inlineStr">
        <is>
          <t>O2002</t>
        </is>
      </c>
      <c r="C291" s="208" t="n">
        <v>2020</v>
      </c>
      <c r="D291" s="210" t="inlineStr">
        <is>
          <t>关于促进非水可再生能源发电健康发展的若干意见</t>
        </is>
      </c>
      <c r="E291" s="210" t="inlineStr">
        <is>
          <t>Opinions on Promoting the Healthy Development of Non-Water Renewable Energy Power Generation</t>
        </is>
      </c>
      <c r="F291" s="209" t="inlineStr">
        <is>
          <t>财政部；国家发展和改革委员会；国家能源局</t>
        </is>
      </c>
      <c r="G291" s="209" t="inlineStr">
        <is>
          <t>意见</t>
        </is>
      </c>
      <c r="H291" s="210" t="inlineStr">
        <is>
          <t>促进减缓</t>
        </is>
      </c>
      <c r="I291" s="211" t="inlineStr">
        <is>
          <t>B.1</t>
        </is>
      </c>
      <c r="J291" s="208" t="inlineStr">
        <is>
          <t>-</t>
        </is>
      </c>
      <c r="K291" s="211" t="inlineStr">
        <is>
          <t>无目标</t>
        </is>
      </c>
      <c r="L291" s="209" t="inlineStr">
        <is>
          <t>HTM</t>
        </is>
      </c>
      <c r="M291" s="209" t="inlineStr">
        <is>
          <t>中文</t>
        </is>
      </c>
      <c r="N291" s="203" t="inlineStr">
        <is>
          <t>https://www.gov.cn/zhengce/zhengceku/2020-02/03/content_5474144.htm</t>
        </is>
      </c>
    </row>
    <row r="292">
      <c r="B292" s="198" t="inlineStr">
        <is>
          <t>O2003</t>
        </is>
      </c>
      <c r="C292" s="208" t="n">
        <v>2020</v>
      </c>
      <c r="D292" s="210" t="inlineStr">
        <is>
          <t>国家发展改革委 司法部印发《关于加快建立绿色生产和消费法规政策体系的意见》的通知</t>
        </is>
      </c>
      <c r="E292" s="210" t="inlineStr">
        <is>
          <t>Opinions on Accelerating the Establishment of Regulatory and Policy System for Green Production and Consumption</t>
        </is>
      </c>
      <c r="F292" s="209" t="inlineStr">
        <is>
          <t>国家发展和改革委员会；司法部</t>
        </is>
      </c>
      <c r="G292" s="209" t="inlineStr">
        <is>
          <t>意见</t>
        </is>
      </c>
      <c r="H292" s="210" t="inlineStr">
        <is>
          <t>明确减缓</t>
        </is>
      </c>
      <c r="I292" s="211" t="inlineStr">
        <is>
          <t>B.2, C.4</t>
        </is>
      </c>
      <c r="J292" s="208" t="inlineStr">
        <is>
          <t>-</t>
        </is>
      </c>
      <c r="K292" s="211" t="inlineStr">
        <is>
          <t>无目标</t>
        </is>
      </c>
      <c r="L292" s="209" t="inlineStr">
        <is>
          <t>PDF</t>
        </is>
      </c>
      <c r="M292" s="209" t="inlineStr">
        <is>
          <t>中文</t>
        </is>
      </c>
      <c r="N292" s="203" t="inlineStr">
        <is>
          <t>https://www.gov.cn/zhengce/zhengceku/2020-03/19/content_5493065.htm</t>
        </is>
      </c>
    </row>
    <row r="293">
      <c r="B293" s="198" t="inlineStr">
        <is>
          <t>O2101</t>
        </is>
      </c>
      <c r="C293" s="208" t="n">
        <v>2021</v>
      </c>
      <c r="D293" s="210" t="inlineStr">
        <is>
          <t>关于加快推动制造服务业高质量发展的意见</t>
        </is>
      </c>
      <c r="E293" s="210" t="inlineStr">
        <is>
          <t>Opinions on Accelerating the High-Quality Development of the Manufacturing Service Industry</t>
        </is>
      </c>
      <c r="F293" s="209" t="inlineStr">
        <is>
          <t>国家发展和改革委员会；教育部；科学技术部；工业和信息化部；司法部；人力资源和社会保障部；自然资源部；生态环境部；交通运输部；商务部；中国人民银行；国家市场监督管理总局；中国银行保险监督管理委员会</t>
        </is>
      </c>
      <c r="G293" s="209" t="inlineStr">
        <is>
          <t>意见</t>
        </is>
      </c>
      <c r="H293" s="210" t="inlineStr">
        <is>
          <t>经济规划（含气候）</t>
        </is>
      </c>
      <c r="I293" s="211" t="inlineStr">
        <is>
          <t>B.2</t>
        </is>
      </c>
      <c r="J293" s="208" t="inlineStr">
        <is>
          <t>-</t>
        </is>
      </c>
      <c r="K293" s="211" t="inlineStr">
        <is>
          <t>无目标</t>
        </is>
      </c>
      <c r="L293" s="209" t="inlineStr">
        <is>
          <t>HTM</t>
        </is>
      </c>
      <c r="M293" s="209" t="inlineStr">
        <is>
          <t>中文</t>
        </is>
      </c>
      <c r="N293" s="203" t="inlineStr">
        <is>
          <t>https://www.ndrc.gov.cn/xxgk/zcfb/tz/202103/t20210323_1270129.html?code=&amp;state=123</t>
        </is>
      </c>
    </row>
    <row r="294">
      <c r="B294" s="198" t="inlineStr">
        <is>
          <t>O2102</t>
        </is>
      </c>
      <c r="C294" s="208" t="n">
        <v>2021</v>
      </c>
      <c r="D294" s="210" t="inlineStr">
        <is>
          <t>国家发展改革委等部门关于严格能效约束推动重点领域节能降碳的若干意见</t>
        </is>
      </c>
      <c r="E294" s="210" t="inlineStr">
        <is>
          <t>Opinions on Tightening Energy Efficiency Constraints and Promoting Energy Conservation and Carbon Reduction in Key Areas</t>
        </is>
      </c>
      <c r="F294" s="209" t="inlineStr">
        <is>
          <t>国家发展和改革委员会；工业和信息化部；生态环境部；国家市场监督管理总局；国家能源局</t>
        </is>
      </c>
      <c r="G294" s="209" t="inlineStr">
        <is>
          <t>意见</t>
        </is>
      </c>
      <c r="H294" s="210" t="inlineStr">
        <is>
          <t>明确减缓</t>
        </is>
      </c>
      <c r="I294" s="211" t="inlineStr">
        <is>
          <t>A</t>
        </is>
      </c>
      <c r="J294" s="208" t="inlineStr">
        <is>
          <t>-</t>
        </is>
      </c>
      <c r="K294" s="211" t="inlineStr">
        <is>
          <t>含目标</t>
        </is>
      </c>
      <c r="L294" s="209" t="inlineStr">
        <is>
          <t>HTM</t>
        </is>
      </c>
      <c r="M294" s="209" t="inlineStr">
        <is>
          <t>中文</t>
        </is>
      </c>
      <c r="N294" s="203" t="inlineStr">
        <is>
          <t>https://www.gov.cn/zhengce/zhengceku/2021-10/22/content_5644224.htm</t>
        </is>
      </c>
    </row>
    <row r="295">
      <c r="B295" s="198" t="inlineStr">
        <is>
          <t>O2103</t>
        </is>
      </c>
      <c r="C295" s="208" t="n">
        <v>2021</v>
      </c>
      <c r="D295" s="210" t="inlineStr">
        <is>
          <t>中共中央 国务院关于新时代推动
中部地区高质量发展的意见</t>
        </is>
      </c>
      <c r="E295" s="210" t="inlineStr">
        <is>
          <t>Opinions on Promoting High-quality Development in the Central Region in the New Era</t>
        </is>
      </c>
      <c r="F295" s="209" t="inlineStr">
        <is>
          <t>中共中央；国务院</t>
        </is>
      </c>
      <c r="G295" s="209" t="inlineStr">
        <is>
          <t>意见</t>
        </is>
      </c>
      <c r="H295" s="210" t="inlineStr">
        <is>
          <t>经济规划（含气候）</t>
        </is>
      </c>
      <c r="I295" s="211" t="inlineStr">
        <is>
          <t>A</t>
        </is>
      </c>
      <c r="J295" s="208" t="inlineStr">
        <is>
          <t>-</t>
        </is>
      </c>
      <c r="K295" s="211" t="inlineStr">
        <is>
          <t>无目标</t>
        </is>
      </c>
      <c r="L295" s="209" t="inlineStr">
        <is>
          <t>HTM</t>
        </is>
      </c>
      <c r="M295" s="209" t="inlineStr">
        <is>
          <t>中文</t>
        </is>
      </c>
      <c r="N295" s="203" t="inlineStr">
        <is>
          <t>https://www.gov.cn/gongbao/content/2021/content_5629600.htm</t>
        </is>
      </c>
    </row>
    <row r="296">
      <c r="B296" s="198" t="inlineStr">
        <is>
          <t>O2104</t>
        </is>
      </c>
      <c r="C296" s="208" t="n">
        <v>2021</v>
      </c>
      <c r="D296" s="210" t="inlineStr">
        <is>
          <t>国务院办公厅关于
加强草原保护修复的若干意见</t>
        </is>
      </c>
      <c r="E296" s="210" t="inlineStr">
        <is>
          <t>Opinions on Strengthening Grassland Protection and Restoration</t>
        </is>
      </c>
      <c r="F296" s="209" t="inlineStr">
        <is>
          <t>国务院</t>
        </is>
      </c>
      <c r="G296" s="209" t="inlineStr">
        <is>
          <t>意见</t>
        </is>
      </c>
      <c r="H296" s="210" t="inlineStr">
        <is>
          <t>促进减缓</t>
        </is>
      </c>
      <c r="I296" s="211" t="inlineStr">
        <is>
          <t>B.5</t>
        </is>
      </c>
      <c r="J296" s="208" t="inlineStr">
        <is>
          <t>-</t>
        </is>
      </c>
      <c r="K296" s="211" t="inlineStr">
        <is>
          <t>无目标</t>
        </is>
      </c>
      <c r="L296" s="209" t="inlineStr">
        <is>
          <t>HTM</t>
        </is>
      </c>
      <c r="M296" s="209" t="inlineStr">
        <is>
          <t>中文</t>
        </is>
      </c>
      <c r="N296" s="203" t="inlineStr">
        <is>
          <t>https://www.gov.cn/zhengce/content/2021-03/30/content_5596791.htm</t>
        </is>
      </c>
    </row>
    <row r="297">
      <c r="B297" s="198" t="inlineStr">
        <is>
          <t>O2105</t>
        </is>
      </c>
      <c r="C297" s="208" t="n">
        <v>2021</v>
      </c>
      <c r="D297" s="210" t="inlineStr">
        <is>
          <t>中共中央办公厅 国务院办公厅印发《关于推动城乡建设绿色发展的意见》</t>
        </is>
      </c>
      <c r="E297" s="210" t="inlineStr">
        <is>
          <t>Opinions on Promoting Green Development of Urban and Rural Construction</t>
        </is>
      </c>
      <c r="F297" s="209" t="inlineStr">
        <is>
          <t>中共中央；国务院</t>
        </is>
      </c>
      <c r="G297" s="209" t="inlineStr">
        <is>
          <t>意见</t>
        </is>
      </c>
      <c r="H297" s="210" t="inlineStr">
        <is>
          <t>明确减缓</t>
        </is>
      </c>
      <c r="I297" s="211" t="inlineStr">
        <is>
          <t>B.3, C.6</t>
        </is>
      </c>
      <c r="J297" s="208" t="inlineStr">
        <is>
          <t>-</t>
        </is>
      </c>
      <c r="K297" s="211" t="inlineStr">
        <is>
          <t>无目标</t>
        </is>
      </c>
      <c r="L297" s="209" t="inlineStr">
        <is>
          <t>HTM</t>
        </is>
      </c>
      <c r="M297" s="209" t="inlineStr">
        <is>
          <t>中文</t>
        </is>
      </c>
      <c r="N297" s="203" t="inlineStr">
        <is>
          <t>https://www.gov.cn/zhengce/2021-10/21/content_5644083.htm</t>
        </is>
      </c>
    </row>
    <row r="298">
      <c r="B298" s="198" t="inlineStr">
        <is>
          <t>O2106</t>
        </is>
      </c>
      <c r="C298" s="208" t="n">
        <v>2021</v>
      </c>
      <c r="D298" s="210" t="inlineStr">
        <is>
          <t>住房和城乡建设部等15部门关于加强县城绿色低碳建设的意见</t>
        </is>
      </c>
      <c r="E298" s="210" t="inlineStr">
        <is>
          <t>Opinions on Strengthening the Green and Low-Carbon Construction of County Towns</t>
        </is>
      </c>
      <c r="F298" s="209" t="inlineStr">
        <is>
          <t>住房和城乡建设部；科学技术部；工业和信息化部；民政部；生态环境部；交通运输部；水利部；文化和旅游部；应急管理部；国家市场监督管理总局；国家体育总局；国家能源局；国家林业和草原局；国家文物局；国家乡村振兴局</t>
        </is>
      </c>
      <c r="G298" s="209" t="inlineStr">
        <is>
          <t>意见</t>
        </is>
      </c>
      <c r="H298" s="210" t="inlineStr">
        <is>
          <t>明确减缓</t>
        </is>
      </c>
      <c r="I298" s="211" t="inlineStr">
        <is>
          <t>C.6</t>
        </is>
      </c>
      <c r="J298" s="208" t="inlineStr">
        <is>
          <t>-</t>
        </is>
      </c>
      <c r="K298" s="211" t="inlineStr">
        <is>
          <t>无目标</t>
        </is>
      </c>
      <c r="L298" s="209" t="inlineStr">
        <is>
          <t>HTM</t>
        </is>
      </c>
      <c r="M298" s="209" t="inlineStr">
        <is>
          <t>中文</t>
        </is>
      </c>
      <c r="N298" s="203" t="inlineStr">
        <is>
          <t>https://www.gov.cn/zhengce/zhengceku/2021-06/08/content_5616290.htm?ivk_sa=1023197a</t>
        </is>
      </c>
    </row>
    <row r="299">
      <c r="B299" s="198" t="inlineStr">
        <is>
          <t>O2107</t>
        </is>
      </c>
      <c r="C299" s="208" t="n">
        <v>2021</v>
      </c>
      <c r="D299" s="210" t="inlineStr">
        <is>
          <t>中共中央办公厅 国务院办公厅印发
《关于建立健全生态产品价值实现机制的意见》</t>
        </is>
      </c>
      <c r="E299" s="210" t="inlineStr">
        <is>
          <t>Opinions on Establishing and Improving the Mechanism for Realizing the Value of Ecological Products</t>
        </is>
      </c>
      <c r="F299" s="209" t="inlineStr">
        <is>
          <t>中共中央；国务院</t>
        </is>
      </c>
      <c r="G299" s="209" t="inlineStr">
        <is>
          <t>意见</t>
        </is>
      </c>
      <c r="H299" s="210" t="inlineStr">
        <is>
          <t>促进减缓</t>
        </is>
      </c>
      <c r="I299" s="211" t="inlineStr">
        <is>
          <t>D.3</t>
        </is>
      </c>
      <c r="J299" s="208" t="inlineStr">
        <is>
          <t>-</t>
        </is>
      </c>
      <c r="K299" s="211" t="inlineStr">
        <is>
          <t>无目标</t>
        </is>
      </c>
      <c r="L299" s="209" t="inlineStr">
        <is>
          <t>HTM</t>
        </is>
      </c>
      <c r="M299" s="209" t="inlineStr">
        <is>
          <t>中文</t>
        </is>
      </c>
      <c r="N299" s="203" t="inlineStr">
        <is>
          <t>https://www.gov.cn/gongbao/content/2021/content_5609079.htm</t>
        </is>
      </c>
    </row>
    <row r="300">
      <c r="B300" s="198" t="inlineStr">
        <is>
          <t>O2108</t>
        </is>
      </c>
      <c r="C300" s="208" t="n">
        <v>2021</v>
      </c>
      <c r="D300" s="210" t="inlineStr">
        <is>
          <t>中共中央办公厅 国务院办公厅印发
《关于深化生态保护补偿制度改革的意见》</t>
        </is>
      </c>
      <c r="E300" s="210" t="inlineStr">
        <is>
          <t>Opinions on Deepening the Reform of Ecological Protection Compensation System</t>
        </is>
      </c>
      <c r="F300" s="209" t="inlineStr">
        <is>
          <t>中共中央；国务院</t>
        </is>
      </c>
      <c r="G300" s="209" t="inlineStr">
        <is>
          <t>意见</t>
        </is>
      </c>
      <c r="H300" s="210" t="inlineStr">
        <is>
          <t>促进减缓</t>
        </is>
      </c>
      <c r="I300" s="211" t="inlineStr">
        <is>
          <t>D.3</t>
        </is>
      </c>
      <c r="J300" s="208" t="inlineStr">
        <is>
          <t>-</t>
        </is>
      </c>
      <c r="K300" s="211" t="inlineStr">
        <is>
          <t>无目标</t>
        </is>
      </c>
      <c r="L300" s="209" t="inlineStr">
        <is>
          <t>HTM</t>
        </is>
      </c>
      <c r="M300" s="209" t="inlineStr">
        <is>
          <t>中文</t>
        </is>
      </c>
      <c r="N300" s="203" t="inlineStr">
        <is>
          <t>https://www.gov.cn/gongbao/content/2021/content_5639830.htm</t>
        </is>
      </c>
    </row>
    <row r="301">
      <c r="B301" s="198" t="inlineStr">
        <is>
          <t>O2109</t>
        </is>
      </c>
      <c r="C301" s="208" t="n">
        <v>2021</v>
      </c>
      <c r="D301" s="210" t="inlineStr">
        <is>
          <t>关于鼓励和支持社会资本参与生态保护修复的意见</t>
        </is>
      </c>
      <c r="E301" s="210" t="inlineStr">
        <is>
          <t>Opinions on Encouraging and Supporting Social Capital to Participate in Ecological Protection and Restoration</t>
        </is>
      </c>
      <c r="F301" s="209" t="inlineStr">
        <is>
          <t>国家发展和改革委员会；自然资源部；生态环境部；住房和城乡建设部；水利部；农业农村部；国家林业和草原局</t>
        </is>
      </c>
      <c r="G301" s="209" t="inlineStr">
        <is>
          <t>意见</t>
        </is>
      </c>
      <c r="H301" s="210" t="inlineStr">
        <is>
          <t>促进减缓</t>
        </is>
      </c>
      <c r="I301" s="211" t="inlineStr">
        <is>
          <t>C.4</t>
        </is>
      </c>
      <c r="J301" s="208" t="inlineStr">
        <is>
          <t>-</t>
        </is>
      </c>
      <c r="K301" s="211" t="inlineStr">
        <is>
          <t>无目标</t>
        </is>
      </c>
      <c r="L301" s="209" t="inlineStr">
        <is>
          <t>HTM</t>
        </is>
      </c>
      <c r="M301" s="209" t="inlineStr">
        <is>
          <t>中文</t>
        </is>
      </c>
      <c r="N301" s="203" t="inlineStr">
        <is>
          <t>https://www.gov.cn/zhengce/zhengceku/2021-11/10/content_5650075.htm</t>
        </is>
      </c>
    </row>
    <row r="302">
      <c r="B302" s="198" t="inlineStr">
        <is>
          <t>O2201</t>
        </is>
      </c>
      <c r="C302" s="208" t="n">
        <v>2022</v>
      </c>
      <c r="D302" s="210" t="inlineStr">
        <is>
          <t>财政支持做好碳达峰碳中和工作的意见</t>
        </is>
      </c>
      <c r="E302" s="210" t="inlineStr">
        <is>
          <t>Opinions on Financial Support for Reaching Carbon Neutrality and Carbon Peaking</t>
        </is>
      </c>
      <c r="F302" s="209" t="inlineStr">
        <is>
          <t>财政部</t>
        </is>
      </c>
      <c r="G302" s="209" t="inlineStr">
        <is>
          <t>意见</t>
        </is>
      </c>
      <c r="H302" s="210" t="inlineStr">
        <is>
          <t>明确减缓</t>
        </is>
      </c>
      <c r="I302" s="211" t="inlineStr">
        <is>
          <t>C.2</t>
        </is>
      </c>
      <c r="J302" s="208" t="inlineStr">
        <is>
          <t>-</t>
        </is>
      </c>
      <c r="K302" s="211" t="inlineStr">
        <is>
          <t>无目标</t>
        </is>
      </c>
      <c r="L302" s="209" t="inlineStr">
        <is>
          <t>PDF</t>
        </is>
      </c>
      <c r="M302" s="209" t="inlineStr">
        <is>
          <t>中文</t>
        </is>
      </c>
      <c r="N302" s="203" t="inlineStr">
        <is>
          <t>http://zyhj.mof.gov.cn/zcfb/202205/t20220530_3814434.htm</t>
        </is>
      </c>
    </row>
    <row r="303">
      <c r="B303" s="198" t="inlineStr">
        <is>
          <t>O2202</t>
        </is>
      </c>
      <c r="C303" s="208" t="n">
        <v>2022</v>
      </c>
      <c r="D303" s="210" t="inlineStr">
        <is>
          <t>关于完善能源绿色低碳转型体制机制和政策措施的意见</t>
        </is>
      </c>
      <c r="E303" s="210" t="inlineStr">
        <is>
          <t>Opinions on Improving the Institutional Mechanism and Policy Measures for the Green and Low-Carbon Energy Transition</t>
        </is>
      </c>
      <c r="F303" s="209" t="inlineStr">
        <is>
          <t>国家发展和改革委员会；国家能源局</t>
        </is>
      </c>
      <c r="G303" s="209" t="inlineStr">
        <is>
          <t>意见</t>
        </is>
      </c>
      <c r="H303" s="210" t="inlineStr">
        <is>
          <t>明确减缓</t>
        </is>
      </c>
      <c r="I303" s="211" t="inlineStr">
        <is>
          <t>B.1</t>
        </is>
      </c>
      <c r="J303" s="208" t="inlineStr">
        <is>
          <t>-</t>
        </is>
      </c>
      <c r="K303" s="211" t="inlineStr">
        <is>
          <t>无目标</t>
        </is>
      </c>
      <c r="L303" s="209" t="inlineStr">
        <is>
          <t>HTM</t>
        </is>
      </c>
      <c r="M303" s="209" t="inlineStr">
        <is>
          <t>中文</t>
        </is>
      </c>
      <c r="N303" s="203" t="inlineStr">
        <is>
          <t>https://www.ndrc.gov.cn/xxgk/zcfb/tz/202202/t20220210_1314511.html?code=&amp;state=123</t>
        </is>
      </c>
    </row>
    <row r="304" ht="14.5" customHeight="1" s="235">
      <c r="B304" s="198" t="inlineStr">
        <is>
          <t>O2301</t>
        </is>
      </c>
      <c r="C304" s="208" t="n">
        <v>2023</v>
      </c>
      <c r="D304" s="210" t="inlineStr">
        <is>
          <t>交通运输部 国家发展和改革委员会 公安部 财政部 人力资源和社会保障部 自然资源部 国家金融监督管理总局 中国证券监督管理委员会 中华全国总工会关于推进城市公共交通健康可持续发展的若干意见</t>
        </is>
      </c>
      <c r="E304" s="210" t="inlineStr">
        <is>
          <t>Opinions on Promoting the Healthy and Sustainable Development of Urban Public Transportation</t>
        </is>
      </c>
      <c r="F304" s="209" t="inlineStr">
        <is>
          <t>交通运输部；国家发展和改革委员会；公安部；财政部；人力资源和社会保障部；自然资源部；国家金融监督管理总局；中国证券监督管理委员会；中华全国总工会</t>
        </is>
      </c>
      <c r="G304" s="209" t="inlineStr">
        <is>
          <t>意见</t>
        </is>
      </c>
      <c r="H304" s="210" t="inlineStr">
        <is>
          <t>促进减缓</t>
        </is>
      </c>
      <c r="I304" s="211" t="inlineStr">
        <is>
          <t>B.4, C.6</t>
        </is>
      </c>
      <c r="J304" s="208" t="inlineStr">
        <is>
          <t>-</t>
        </is>
      </c>
      <c r="K304" s="211" t="inlineStr">
        <is>
          <t>无目标</t>
        </is>
      </c>
      <c r="L304" s="209" t="inlineStr">
        <is>
          <t>HTM</t>
        </is>
      </c>
      <c r="M304" s="209" t="inlineStr">
        <is>
          <t>中文</t>
        </is>
      </c>
      <c r="N304" s="203" t="inlineStr">
        <is>
          <t>https://www.gov.cn/zhengce/zhengceku/202310/content_6907977.htm</t>
        </is>
      </c>
    </row>
    <row r="305">
      <c r="B305" s="198" t="inlineStr">
        <is>
          <t>O2401</t>
        </is>
      </c>
      <c r="C305" s="208" t="n">
        <v>2024</v>
      </c>
      <c r="D305" s="210" t="inlineStr">
        <is>
          <t>关于发挥绿色金融作用 服务美丽中国建设的意见</t>
        </is>
      </c>
      <c r="E305" s="210" t="inlineStr">
        <is>
          <t>Opinions on Leveraging the Role of Green Finance to Serve the Construction of a Beautiful China</t>
        </is>
      </c>
      <c r="F305" s="209" t="inlineStr">
        <is>
          <t>中国人民银行；生态环境部；国家金融监督管理总局；中国证券监督管理委员会</t>
        </is>
      </c>
      <c r="G305" s="209" t="inlineStr">
        <is>
          <t>意见</t>
        </is>
      </c>
      <c r="H305" s="210" t="inlineStr">
        <is>
          <t>明确减缓</t>
        </is>
      </c>
      <c r="I305" s="211" t="inlineStr">
        <is>
          <t>C.2</t>
        </is>
      </c>
      <c r="J305" s="208" t="inlineStr">
        <is>
          <t>-</t>
        </is>
      </c>
      <c r="K305" s="211" t="inlineStr">
        <is>
          <t>含目标</t>
        </is>
      </c>
      <c r="L305" s="209" t="inlineStr">
        <is>
          <t>HTM</t>
        </is>
      </c>
      <c r="M305" s="209" t="inlineStr">
        <is>
          <t>中文</t>
        </is>
      </c>
      <c r="N305" s="203" t="inlineStr">
        <is>
          <t>https://www.gov.cn/zhengce/zhengceku/202410/content_6979595.htm</t>
        </is>
      </c>
    </row>
    <row r="306">
      <c r="B306" s="198" t="inlineStr">
        <is>
          <t>O2402</t>
        </is>
      </c>
      <c r="C306" s="208" t="n">
        <v>2024</v>
      </c>
      <c r="D306" s="210" t="inlineStr">
        <is>
          <t>关于推动城乡建设绿色发展的意见</t>
        </is>
      </c>
      <c r="E306" s="210" t="inlineStr">
        <is>
          <t>Opinions on Promoting the Green Development of Urban and Rural Construction</t>
        </is>
      </c>
      <c r="F306" s="209" t="inlineStr">
        <is>
          <t>中共中央；国务院</t>
        </is>
      </c>
      <c r="G306" s="209" t="inlineStr">
        <is>
          <t>意见</t>
        </is>
      </c>
      <c r="H306" s="210" t="inlineStr">
        <is>
          <t>明确减缓</t>
        </is>
      </c>
      <c r="I306" s="211" t="inlineStr">
        <is>
          <t>C.6</t>
        </is>
      </c>
      <c r="J306" s="208" t="inlineStr">
        <is>
          <t>-</t>
        </is>
      </c>
      <c r="K306" s="211" t="inlineStr">
        <is>
          <t>含目标</t>
        </is>
      </c>
      <c r="L306" s="209" t="inlineStr">
        <is>
          <t>HTM</t>
        </is>
      </c>
      <c r="M306" s="209" t="inlineStr">
        <is>
          <t>中文</t>
        </is>
      </c>
      <c r="N306" s="203" t="inlineStr">
        <is>
          <t>https://www.gov.cn/zhengce/2021-10/21/content_5644083.htm</t>
        </is>
      </c>
    </row>
    <row r="307">
      <c r="B307" s="198" t="inlineStr">
        <is>
          <t>O2403</t>
        </is>
      </c>
      <c r="C307" s="208" t="n">
        <v>2024</v>
      </c>
      <c r="D307" s="226" t="inlineStr">
        <is>
          <t>关于加快建立产品碳足迹管理体系的意见</t>
        </is>
      </c>
      <c r="E307" s="210" t="inlineStr">
        <is>
          <t>Opinions on Accelerating the Establishment of Carbon Footprint Management System for Products</t>
        </is>
      </c>
      <c r="F307" s="209" t="inlineStr">
        <is>
          <t>国家发展和改革委员会；工业和信息化部；住房和城乡建设部；交通运输部；国家市场监督管理总局</t>
        </is>
      </c>
      <c r="G307" s="209" t="inlineStr">
        <is>
          <t>意见</t>
        </is>
      </c>
      <c r="H307" s="210" t="inlineStr">
        <is>
          <t>明确减缓</t>
        </is>
      </c>
      <c r="I307" s="211" t="inlineStr">
        <is>
          <t>C.3</t>
        </is>
      </c>
      <c r="J307" s="208" t="inlineStr">
        <is>
          <t>-</t>
        </is>
      </c>
      <c r="K307" s="211" t="inlineStr">
        <is>
          <t>无目标</t>
        </is>
      </c>
      <c r="L307" s="209" t="inlineStr">
        <is>
          <t>HTM</t>
        </is>
      </c>
      <c r="M307" s="209" t="inlineStr">
        <is>
          <t>中文</t>
        </is>
      </c>
      <c r="N307" s="203" t="inlineStr">
        <is>
          <t>https://www.ndrc.gov.cn/xxgk/zcfb/tz/202311/t20231124_1362231.html</t>
        </is>
      </c>
    </row>
    <row r="308">
      <c r="B308" s="198" t="inlineStr">
        <is>
          <t>O2404</t>
        </is>
      </c>
      <c r="C308" s="208" t="n">
        <v>2024</v>
      </c>
      <c r="D308" s="210" t="inlineStr">
        <is>
          <t>关于推进实施焦化行业超低排放的意见</t>
        </is>
      </c>
      <c r="E308" s="210" t="inlineStr">
        <is>
          <t>Opinions on Promoting the Implementation of Ultra-Low Emissions Reform in Coking Industry</t>
        </is>
      </c>
      <c r="F308" s="209" t="inlineStr">
        <is>
          <t>生态环境部；国家发展和改革委员会；工业和信息化部；财政部；交通运输部</t>
        </is>
      </c>
      <c r="G308" s="209" t="inlineStr">
        <is>
          <t>意见</t>
        </is>
      </c>
      <c r="H308" s="210" t="inlineStr">
        <is>
          <t>明确减缓</t>
        </is>
      </c>
      <c r="I308" s="211" t="inlineStr">
        <is>
          <t>B.2</t>
        </is>
      </c>
      <c r="J308" s="208" t="inlineStr">
        <is>
          <t>-</t>
        </is>
      </c>
      <c r="K308" s="211" t="inlineStr">
        <is>
          <t>含目标</t>
        </is>
      </c>
      <c r="L308" s="209" t="inlineStr">
        <is>
          <t>PDF</t>
        </is>
      </c>
      <c r="M308" s="209" t="inlineStr">
        <is>
          <t>中文</t>
        </is>
      </c>
      <c r="N308" s="203" t="inlineStr">
        <is>
          <t>https://www.mee.gov.cn/xxgk2018/xxgk/xxgk03/202401/t20240119_1064243.html</t>
        </is>
      </c>
    </row>
    <row r="309">
      <c r="B309" s="198" t="inlineStr">
        <is>
          <t>O2405</t>
        </is>
      </c>
      <c r="C309" s="208" t="n">
        <v>2024</v>
      </c>
      <c r="D309" s="210" t="inlineStr">
        <is>
          <t>关于全面推进美丽中国建设的意见</t>
        </is>
      </c>
      <c r="E309" s="210" t="inlineStr">
        <is>
          <t>Opinions on Comprehensively Developing a “Beautiful China”</t>
        </is>
      </c>
      <c r="F309" s="209" t="inlineStr">
        <is>
          <t>中共中央；国务院</t>
        </is>
      </c>
      <c r="G309" s="209" t="inlineStr">
        <is>
          <t>意见</t>
        </is>
      </c>
      <c r="H309" s="210" t="inlineStr">
        <is>
          <t>促进减缓</t>
        </is>
      </c>
      <c r="I309" s="211" t="inlineStr">
        <is>
          <t>A</t>
        </is>
      </c>
      <c r="J309" s="208" t="inlineStr">
        <is>
          <t>-</t>
        </is>
      </c>
      <c r="K309" s="211" t="inlineStr">
        <is>
          <t>含目标</t>
        </is>
      </c>
      <c r="L309" s="209" t="inlineStr">
        <is>
          <t>HTM</t>
        </is>
      </c>
      <c r="M309" s="209" t="inlineStr">
        <is>
          <t>中文</t>
        </is>
      </c>
      <c r="N309" s="203" t="inlineStr">
        <is>
          <t>https://www.mee.gov.cn/zcwj/zyygwj/202401/t20240111_1063458.shtml</t>
        </is>
      </c>
    </row>
    <row r="310">
      <c r="B310" s="198" t="inlineStr">
        <is>
          <t>O2406</t>
        </is>
      </c>
      <c r="C310" s="208" t="n">
        <v>2024</v>
      </c>
      <c r="D310" s="210" t="inlineStr">
        <is>
          <t>关于推进实施水泥行业超低排放的意见</t>
        </is>
      </c>
      <c r="E310" s="210" t="inlineStr">
        <is>
          <t>Opinions on Promoting the Implementation of Ultra-low Emissions Reform in Cement Industry</t>
        </is>
      </c>
      <c r="F310" s="209" t="inlineStr">
        <is>
          <t>生态环境部；国家发展和改革委员会；工业和信息化部；财政部；交通运输部</t>
        </is>
      </c>
      <c r="G310" s="209" t="inlineStr">
        <is>
          <t>意见</t>
        </is>
      </c>
      <c r="H310" s="210" t="inlineStr">
        <is>
          <t>明确减缓</t>
        </is>
      </c>
      <c r="I310" s="211" t="inlineStr">
        <is>
          <t>B.2</t>
        </is>
      </c>
      <c r="J310" s="208" t="inlineStr">
        <is>
          <t>-</t>
        </is>
      </c>
      <c r="K310" s="211" t="inlineStr">
        <is>
          <t>含目标</t>
        </is>
      </c>
      <c r="L310" s="209" t="inlineStr">
        <is>
          <t>PDF</t>
        </is>
      </c>
      <c r="M310" s="209" t="inlineStr">
        <is>
          <t>中文</t>
        </is>
      </c>
      <c r="N310" s="203" t="inlineStr">
        <is>
          <t>https://www.mee.gov.cn/xxgk2018/xxgk/xxgk03/202401/t20240119_1064243.html</t>
        </is>
      </c>
    </row>
    <row r="311">
      <c r="B311" s="198" t="inlineStr">
        <is>
          <t>O2407</t>
        </is>
      </c>
      <c r="C311" s="208" t="n">
        <v>2024</v>
      </c>
      <c r="D311" s="210" t="inlineStr">
        <is>
          <t>国务院关于加快经济社会发展全面绿色转型的意见</t>
        </is>
      </c>
      <c r="E311" s="210" t="inlineStr">
        <is>
          <t>Opinions on Accelerating the Green Transition of Economic and Social Development</t>
        </is>
      </c>
      <c r="F311" s="209" t="inlineStr">
        <is>
          <t>中共中央；国务院</t>
        </is>
      </c>
      <c r="G311" s="209" t="inlineStr">
        <is>
          <t>意见</t>
        </is>
      </c>
      <c r="H311" s="210" t="inlineStr">
        <is>
          <t>明确减缓</t>
        </is>
      </c>
      <c r="I311" s="211" t="inlineStr">
        <is>
          <t>A</t>
        </is>
      </c>
      <c r="J311" s="208" t="inlineStr">
        <is>
          <t>-</t>
        </is>
      </c>
      <c r="K311" s="211" t="inlineStr">
        <is>
          <t>含目标</t>
        </is>
      </c>
      <c r="L311" s="209" t="inlineStr">
        <is>
          <t>HTM</t>
        </is>
      </c>
      <c r="M311" s="209" t="inlineStr">
        <is>
          <t>中文</t>
        </is>
      </c>
      <c r="N311" s="203" t="inlineStr">
        <is>
          <t>https://www.gov.cn/zhengce/202408/content_6967663.htm</t>
        </is>
      </c>
    </row>
    <row r="312">
      <c r="B312" s="198" t="inlineStr">
        <is>
          <t>O2501</t>
        </is>
      </c>
      <c r="C312" s="208" t="n">
        <v>2025</v>
      </c>
      <c r="D312" s="210" t="inlineStr">
        <is>
          <t>关于促进环保装备制造业高质量发展的若干意见</t>
        </is>
      </c>
      <c r="E312" s="210" t="inlineStr">
        <is>
          <t>Opinions on Promoting High-Quality Development of Environmental Protection Equipment Manufacturing Industry</t>
        </is>
      </c>
      <c r="F312" s="209" t="inlineStr">
        <is>
          <t>工业和信息化部；生态环境部；国家市场监督管理总局</t>
        </is>
      </c>
      <c r="G312" s="209" t="inlineStr">
        <is>
          <t>意见</t>
        </is>
      </c>
      <c r="H312" s="210" t="inlineStr">
        <is>
          <t>促进减缓</t>
        </is>
      </c>
      <c r="I312" s="211" t="inlineStr">
        <is>
          <t>B.2</t>
        </is>
      </c>
      <c r="J312" s="208" t="inlineStr">
        <is>
          <t>-</t>
        </is>
      </c>
      <c r="K312" s="211" t="inlineStr">
        <is>
          <t>含目标</t>
        </is>
      </c>
      <c r="L312" s="209" t="inlineStr">
        <is>
          <t>HTM</t>
        </is>
      </c>
      <c r="M312" s="209" t="inlineStr">
        <is>
          <t>中文</t>
        </is>
      </c>
      <c r="N312" s="203" t="inlineStr">
        <is>
          <t>https://www.gov.cn/zhengce/zhengceku/202503/content_7013158.htm</t>
        </is>
      </c>
    </row>
    <row r="313">
      <c r="B313" s="198" t="inlineStr">
        <is>
          <t>O2502</t>
        </is>
      </c>
      <c r="C313" s="208" t="n">
        <v>2025</v>
      </c>
      <c r="D313" s="210" t="inlineStr">
        <is>
          <t>中共中央 国务院关于进一步深化农村改革扎实推进乡村全面振兴的意见</t>
        </is>
      </c>
      <c r="E313" s="210" t="inlineStr">
        <is>
          <t>Opinions for Further Deepening Rural Reform and Advancing Comprehensive Rural Revitalization</t>
        </is>
      </c>
      <c r="F313" s="209" t="inlineStr">
        <is>
          <t>中共中央；国务院</t>
        </is>
      </c>
      <c r="G313" s="209" t="inlineStr">
        <is>
          <t>意见</t>
        </is>
      </c>
      <c r="H313" s="210" t="inlineStr">
        <is>
          <t>经济规划（含气候）</t>
        </is>
      </c>
      <c r="I313" s="211" t="inlineStr">
        <is>
          <t>C.6</t>
        </is>
      </c>
      <c r="J313" s="208" t="inlineStr">
        <is>
          <t>-</t>
        </is>
      </c>
      <c r="K313" s="211" t="inlineStr">
        <is>
          <t>无目标</t>
        </is>
      </c>
      <c r="L313" s="209" t="inlineStr">
        <is>
          <t>HTM</t>
        </is>
      </c>
      <c r="M313" s="209" t="inlineStr">
        <is>
          <t>中文</t>
        </is>
      </c>
      <c r="N313" s="203" t="inlineStr">
        <is>
          <t>https://www.gov.cn/gongbao/2025/issue_11906/202503/content_7011166.html</t>
        </is>
      </c>
    </row>
    <row r="314">
      <c r="B314" s="198" t="inlineStr">
        <is>
          <t>O2503</t>
        </is>
      </c>
      <c r="C314" s="208" t="n">
        <v>2025</v>
      </c>
      <c r="D314" s="210" t="inlineStr">
        <is>
          <t>关于推动内河航运高质量发展的意见</t>
        </is>
      </c>
      <c r="E314" s="210" t="inlineStr">
        <is>
          <t>Opinions for the High-Quality Development of Inland Waterway Transportation</t>
        </is>
      </c>
      <c r="F314" s="209" t="inlineStr">
        <is>
          <t>交通运输部；工业和信息化部；财政部；自然资源部；生态环境部；水利部</t>
        </is>
      </c>
      <c r="G314" s="209" t="inlineStr">
        <is>
          <t>意见</t>
        </is>
      </c>
      <c r="H314" s="210" t="inlineStr">
        <is>
          <t>明确减缓</t>
        </is>
      </c>
      <c r="I314" s="211" t="inlineStr">
        <is>
          <t>B.4</t>
        </is>
      </c>
      <c r="J314" s="208" t="inlineStr">
        <is>
          <t>-</t>
        </is>
      </c>
      <c r="K314" s="211" t="inlineStr">
        <is>
          <t>含目标</t>
        </is>
      </c>
      <c r="L314" s="209" t="inlineStr">
        <is>
          <t>HTM</t>
        </is>
      </c>
      <c r="M314" s="209" t="inlineStr">
        <is>
          <t>中文</t>
        </is>
      </c>
      <c r="N314" s="203" t="inlineStr">
        <is>
          <t>https://xxgk.mot.gov.cn/2020/jigou/syj/202506/t20250627_4171424.html</t>
        </is>
      </c>
    </row>
    <row r="315">
      <c r="B315" s="198" t="inlineStr">
        <is>
          <t>O2504</t>
        </is>
      </c>
      <c r="C315" s="208" t="n">
        <v>2025</v>
      </c>
      <c r="D315" s="210" t="inlineStr">
        <is>
          <t>关于加快推进煤炭洗选高质量发展的意见</t>
        </is>
      </c>
      <c r="E315" s="210" t="inlineStr">
        <is>
          <t>Opinions on Accelerating the High-Quality Development of Coal Washing and Processing</t>
        </is>
      </c>
      <c r="F315" s="209" t="inlineStr">
        <is>
          <t>国家能源局</t>
        </is>
      </c>
      <c r="G315" s="209" t="inlineStr">
        <is>
          <t>意见</t>
        </is>
      </c>
      <c r="H315" s="210" t="inlineStr">
        <is>
          <t>化石能源</t>
        </is>
      </c>
      <c r="I315" s="211" t="inlineStr">
        <is>
          <t>B.1</t>
        </is>
      </c>
      <c r="J315" s="208" t="inlineStr">
        <is>
          <t>-</t>
        </is>
      </c>
      <c r="K315" s="211" t="inlineStr">
        <is>
          <t>无目标</t>
        </is>
      </c>
      <c r="L315" s="209" t="inlineStr">
        <is>
          <t>HTM</t>
        </is>
      </c>
      <c r="M315" s="209" t="inlineStr">
        <is>
          <t>中文</t>
        </is>
      </c>
      <c r="N315" s="203" t="inlineStr">
        <is>
          <t>https://www.nea.gov.cn/20251017/7ea998503bad4d24bb2334cf41f300d9/c.html</t>
        </is>
      </c>
    </row>
    <row r="316">
      <c r="B316" s="198" t="inlineStr">
        <is>
          <t>O2601</t>
        </is>
      </c>
      <c r="C316" s="208" t="n">
        <v>2026</v>
      </c>
      <c r="D316" s="210" t="inlineStr">
        <is>
          <t>关于更高水平更高质量做好节能降碳工作的意见</t>
        </is>
      </c>
      <c r="E316" s="210" t="inlineStr">
        <is>
          <t>Opinions on Achieving Higher-Level and Higher-Quality Energy Conservation and Carbon Reduction</t>
        </is>
      </c>
      <c r="F316" s="209" t="inlineStr">
        <is>
          <t>国务院；国家发展和改革委员会</t>
        </is>
      </c>
      <c r="G316" s="209" t="inlineStr">
        <is>
          <t>意见</t>
        </is>
      </c>
      <c r="H316" s="210" t="inlineStr">
        <is>
          <t>明确减缓</t>
        </is>
      </c>
      <c r="I316" s="211" t="inlineStr">
        <is>
          <t>A</t>
        </is>
      </c>
      <c r="J316" s="208" t="inlineStr">
        <is>
          <t>-</t>
        </is>
      </c>
      <c r="K316" s="211" t="inlineStr">
        <is>
          <t>无目标</t>
        </is>
      </c>
      <c r="L316" s="209" t="inlineStr">
        <is>
          <t>HTM</t>
        </is>
      </c>
      <c r="M316" s="209" t="inlineStr">
        <is>
          <t>中文</t>
        </is>
      </c>
      <c r="N316" s="203" t="inlineStr">
        <is>
          <t>https://www.gov.cn/yaowen/liebiao/202604/content_7066615.htm</t>
        </is>
      </c>
    </row>
    <row r="317">
      <c r="B317" s="198" t="inlineStr">
        <is>
          <t>O2602</t>
        </is>
      </c>
      <c r="C317" s="208" t="n">
        <v>2026</v>
      </c>
      <c r="D317" s="210" t="inlineStr">
        <is>
          <t>关于推动航运绿色低碳转型发展的意见</t>
        </is>
      </c>
      <c r="E317" s="210" t="inlineStr">
        <is>
          <t>Opinions for Promoting the Green and Low-Carbon Transition and Development of Shipping in China</t>
        </is>
      </c>
      <c r="F317" s="209" t="inlineStr">
        <is>
          <t>交通运输部海事局</t>
        </is>
      </c>
      <c r="G317" s="209" t="inlineStr">
        <is>
          <t>意见</t>
        </is>
      </c>
      <c r="H317" s="210" t="inlineStr">
        <is>
          <t>明确减缓</t>
        </is>
      </c>
      <c r="I317" s="211" t="inlineStr">
        <is>
          <t>B.4</t>
        </is>
      </c>
      <c r="J317" s="208" t="inlineStr">
        <is>
          <t>-</t>
        </is>
      </c>
      <c r="K317" s="211" t="inlineStr">
        <is>
          <t>含目标</t>
        </is>
      </c>
      <c r="L317" s="209" t="inlineStr">
        <is>
          <t>HTM</t>
        </is>
      </c>
      <c r="M317" s="209" t="inlineStr">
        <is>
          <t>中文</t>
        </is>
      </c>
      <c r="N317" s="203" t="inlineStr">
        <is>
          <t>https://www.msa.gov.cn/html/cnmsa/xxgk/article/2026/b096e4423f2947cab0db94c383b95c97.html?hav=6RvRN10hGunPXKr</t>
        </is>
      </c>
    </row>
    <row r="318">
      <c r="B318" s="0" t="inlineStr">
        <is>
          <t>O2603</t>
        </is>
      </c>
      <c r="C318" s="0" t="n">
        <v>2026</v>
      </c>
      <c r="D318" s="0" t="inlineStr">
        <is>
          <t>关于深化综合交通运输体系改革的意见</t>
        </is>
      </c>
      <c r="E318" s="0" t="inlineStr">
        <is>
          <t>Opinions on Deepening the Reform of the Comprehensive Transport System</t>
        </is>
      </c>
      <c r="F318" s="0" t="inlineStr">
        <is>
          <t>交通运输部；国家发展改革委</t>
        </is>
      </c>
      <c r="G318" s="0" t="inlineStr">
        <is>
          <t>意见</t>
        </is>
      </c>
      <c r="H318" s="0" t="inlineStr">
        <is>
          <t>促进减缓</t>
        </is>
      </c>
      <c r="I318" s="0" t="inlineStr">
        <is>
          <t>Mitigation-enabling</t>
        </is>
      </c>
      <c r="J318" s="0" t="inlineStr">
        <is>
          <t>B.4</t>
        </is>
      </c>
      <c r="K318" s="0" t="inlineStr">
        <is>
          <t>无目标</t>
        </is>
      </c>
      <c r="L318" s="0" t="inlineStr">
        <is>
          <t>HTM</t>
        </is>
      </c>
      <c r="M318" s="0" t="inlineStr">
        <is>
          <t>中文</t>
        </is>
      </c>
      <c r="N318" s="0" t="inlineStr">
        <is>
          <t>https://xxgk.mot.gov.cn/jigou/zcyjs/202607/t20260724_4210365.html</t>
        </is>
      </c>
    </row>
    <row r="319">
      <c r="B319" s="205" t="inlineStr">
        <is>
          <t>行动方案</t>
        </is>
      </c>
      <c r="C319" s="206" t="n"/>
      <c r="D319" s="206" t="n"/>
      <c r="E319" s="206" t="n"/>
      <c r="F319" s="206" t="n"/>
      <c r="G319" s="206" t="n"/>
      <c r="H319" s="206" t="n"/>
      <c r="I319" s="206" t="n"/>
      <c r="J319" s="206" t="n"/>
      <c r="K319" s="206" t="n"/>
      <c r="L319" s="206" t="n"/>
      <c r="M319" s="206" t="n"/>
      <c r="N319" s="207" t="inlineStr">
        <is>
          <t>https://www.gov.cn/xinwen/2016-06/22/content_5084284.htm</t>
        </is>
      </c>
    </row>
    <row r="320">
      <c r="B320" s="198" t="inlineStr">
        <is>
          <t>AP0702</t>
        </is>
      </c>
      <c r="C320" s="208" t="n">
        <v>2007</v>
      </c>
      <c r="D320" s="209" t="inlineStr">
        <is>
          <t>中国应对气候变化科技专项行动</t>
        </is>
      </c>
      <c r="E320" s="209" t="inlineStr">
        <is>
          <t>China’s Scientific &amp; Technological Special Actions on Climate Change</t>
        </is>
      </c>
      <c r="F320" s="209" t="inlineStr">
        <is>
          <t>科学技术部；国家发展和改革委员会；外交部；教育部；财政部；水利部；农业部；国家环境保护总局；国家林业局；中国科学院；中国气象局；国家自然科学基金委员会；国家海洋局；中国科学技术协会</t>
        </is>
      </c>
      <c r="G320" s="209" t="inlineStr">
        <is>
          <t>专项行动</t>
        </is>
      </c>
      <c r="H320" s="210" t="inlineStr">
        <is>
          <t>明确减缓</t>
        </is>
      </c>
      <c r="I320" s="211" t="inlineStr">
        <is>
          <t>C.1</t>
        </is>
      </c>
      <c r="J320" s="208" t="inlineStr">
        <is>
          <t>-</t>
        </is>
      </c>
      <c r="K320" s="211" t="inlineStr">
        <is>
          <t>含目标</t>
        </is>
      </c>
      <c r="L320" s="209" t="inlineStr">
        <is>
          <t>PDF</t>
        </is>
      </c>
      <c r="M320" s="209" t="inlineStr">
        <is>
          <t>英文</t>
        </is>
      </c>
      <c r="N320" s="203" t="inlineStr">
        <is>
          <t>https://www.most.gov.cn/ztzl/jqjnjp/jnjptpxw/200707/W020130527384709847807.pdf</t>
        </is>
      </c>
    </row>
    <row r="321">
      <c r="B321" s="198" t="inlineStr">
        <is>
          <t>AP0901</t>
        </is>
      </c>
      <c r="C321" s="208" t="n">
        <v>2009</v>
      </c>
      <c r="D321" s="210" t="inlineStr">
        <is>
          <t>应对气候变化林业行动计划</t>
        </is>
      </c>
      <c r="E321" s="210" t="inlineStr">
        <is>
          <t>Forestry Action Plan to Address Climate Change</t>
        </is>
      </c>
      <c r="F321" s="209" t="inlineStr">
        <is>
          <t>国家林业局</t>
        </is>
      </c>
      <c r="G321" s="209" t="inlineStr">
        <is>
          <t>行动计划</t>
        </is>
      </c>
      <c r="H321" s="210" t="inlineStr">
        <is>
          <t>明确减缓</t>
        </is>
      </c>
      <c r="I321" s="211" t="inlineStr">
        <is>
          <t>B.5</t>
        </is>
      </c>
      <c r="J321" s="208" t="inlineStr">
        <is>
          <t>-</t>
        </is>
      </c>
      <c r="K321" s="211" t="inlineStr">
        <is>
          <t>无目标</t>
        </is>
      </c>
      <c r="L321" s="209" t="inlineStr">
        <is>
          <t>PDF</t>
        </is>
      </c>
      <c r="M321" s="209" t="inlineStr">
        <is>
          <t>中文</t>
        </is>
      </c>
      <c r="N321" s="203" t="inlineStr">
        <is>
          <t>https://www.tanjiaoyi.com/article-3014-1.html?</t>
        </is>
      </c>
    </row>
    <row r="322">
      <c r="B322" s="198" t="inlineStr">
        <is>
          <t>AP1101</t>
        </is>
      </c>
      <c r="C322" s="208" t="n">
        <v>2011</v>
      </c>
      <c r="D322" s="210" t="inlineStr">
        <is>
          <t>林业应对气候变化“十二五”行动要点</t>
        </is>
      </c>
      <c r="E322" s="210" t="inlineStr">
        <is>
          <t>Action Points for Forestry to Address Climate Change during the 12th Five Year Plan Period</t>
        </is>
      </c>
      <c r="F322" s="209" t="inlineStr">
        <is>
          <t>国家林业局</t>
        </is>
      </c>
      <c r="G322" s="209" t="inlineStr">
        <is>
          <t>行动要点</t>
        </is>
      </c>
      <c r="H322" s="210" t="inlineStr">
        <is>
          <t>明确减缓</t>
        </is>
      </c>
      <c r="I322" s="211" t="inlineStr">
        <is>
          <t>B.5</t>
        </is>
      </c>
      <c r="J322" s="208" t="inlineStr">
        <is>
          <t>-</t>
        </is>
      </c>
      <c r="K322" s="211" t="inlineStr">
        <is>
          <t>含目标</t>
        </is>
      </c>
      <c r="L322" s="209" t="inlineStr">
        <is>
          <t>HTM</t>
        </is>
      </c>
      <c r="M322" s="209" t="inlineStr">
        <is>
          <t>中文</t>
        </is>
      </c>
      <c r="N322" s="203" t="inlineStr">
        <is>
          <t>https://baike.baidu.com/item/%E6%9E%97%E4%B8%9A%E5%BA%94%E5%AF%B9%E6%B0%94%E5%80%99%E5%8F%98%E5%8C%96%E2%80%9C%E5%8D%81%E4%BA%8C%E4%BA%94%E2%80%9D%E8%A1%8C%E5%8A%A8%E8%A6%81%E7%82%B9/9093983</t>
        </is>
      </c>
    </row>
    <row r="323">
      <c r="B323" s="198" t="inlineStr">
        <is>
          <t>AP1201</t>
        </is>
      </c>
      <c r="C323" s="208" t="n">
        <v>2012</v>
      </c>
      <c r="D323" s="210" t="inlineStr">
        <is>
          <t>工业领域应对气候变化行动方案（2012-2020年）</t>
        </is>
      </c>
      <c r="E323" s="210" t="inlineStr">
        <is>
          <t>Industrial Action Plan on Climate Change (2012-2020)</t>
        </is>
      </c>
      <c r="F323" s="209" t="inlineStr">
        <is>
          <t>工业和信息化部；国家发展和改革委员会；科学技术部；财政部</t>
        </is>
      </c>
      <c r="G323" s="209" t="inlineStr">
        <is>
          <t>行动方案</t>
        </is>
      </c>
      <c r="H323" s="210" t="inlineStr">
        <is>
          <t>明确减缓</t>
        </is>
      </c>
      <c r="I323" s="211" t="inlineStr">
        <is>
          <t>B.2</t>
        </is>
      </c>
      <c r="J323" s="208" t="inlineStr">
        <is>
          <t>2012-2020</t>
        </is>
      </c>
      <c r="K323" s="211" t="inlineStr">
        <is>
          <t>含目标</t>
        </is>
      </c>
      <c r="L323" s="209" t="inlineStr">
        <is>
          <t>PDF</t>
        </is>
      </c>
      <c r="M323" s="209" t="inlineStr">
        <is>
          <t>中文</t>
        </is>
      </c>
      <c r="N323" s="203" t="inlineStr">
        <is>
          <t>https://www.miit.gov.cn/cms_files/filemanager/oldfile/miit/n1146285/n1146352/n3054355/n3057542/n3057544/c3865061/part/3865062.pdf</t>
        </is>
      </c>
    </row>
    <row r="324">
      <c r="B324" s="198" t="inlineStr">
        <is>
          <t>AP1301</t>
        </is>
      </c>
      <c r="C324" s="208" t="n">
        <v>2013</v>
      </c>
      <c r="D324" s="210" t="inlineStr">
        <is>
          <t>绿色建筑行动方案</t>
        </is>
      </c>
      <c r="E324" s="210" t="inlineStr">
        <is>
          <t>Green Building Action Plan</t>
        </is>
      </c>
      <c r="F324" s="209" t="inlineStr">
        <is>
          <t>国务院；国家发展和改革委员会；住房和城乡建设部</t>
        </is>
      </c>
      <c r="G324" s="209" t="inlineStr">
        <is>
          <t>行动方案</t>
        </is>
      </c>
      <c r="H324" s="210" t="inlineStr">
        <is>
          <t>明确减缓</t>
        </is>
      </c>
      <c r="I324" s="211" t="inlineStr">
        <is>
          <t>B.3</t>
        </is>
      </c>
      <c r="J324" s="208" t="inlineStr">
        <is>
          <t>-</t>
        </is>
      </c>
      <c r="K324" s="211" t="inlineStr">
        <is>
          <t>含目标</t>
        </is>
      </c>
      <c r="L324" s="209" t="inlineStr">
        <is>
          <t>HTM</t>
        </is>
      </c>
      <c r="M324" s="209" t="inlineStr">
        <is>
          <t>中文</t>
        </is>
      </c>
      <c r="N324" s="203" t="inlineStr">
        <is>
          <t>https://baike.baidu.com/item/%E7%BB%BF%E8%89%B2%E5%BB%BA%E7%AD%91%E8%A1%8C%E5%8A%A8%E6%96%B9%E6%A1%88/2910439</t>
        </is>
      </c>
    </row>
    <row r="325">
      <c r="B325" s="198" t="inlineStr">
        <is>
          <t>AP1302</t>
        </is>
      </c>
      <c r="C325" s="208" t="n">
        <v>2013</v>
      </c>
      <c r="D325" s="210" t="inlineStr">
        <is>
          <t>大气污染防治行动计划</t>
        </is>
      </c>
      <c r="E325" s="210" t="inlineStr">
        <is>
          <t>Action Plan on Prevention and Control of Air Pollution</t>
        </is>
      </c>
      <c r="F325" s="209" t="inlineStr">
        <is>
          <t>国务院</t>
        </is>
      </c>
      <c r="G325" s="209" t="inlineStr">
        <is>
          <t>行动计划</t>
        </is>
      </c>
      <c r="H325" s="210" t="inlineStr">
        <is>
          <t>促进减缓</t>
        </is>
      </c>
      <c r="I325" s="211" t="inlineStr">
        <is>
          <t>D.1</t>
        </is>
      </c>
      <c r="J325" s="208" t="inlineStr">
        <is>
          <t>-</t>
        </is>
      </c>
      <c r="K325" s="211" t="inlineStr">
        <is>
          <t>含目标</t>
        </is>
      </c>
      <c r="L325" s="209" t="inlineStr">
        <is>
          <t>HTM</t>
        </is>
      </c>
      <c r="M325" s="209" t="inlineStr">
        <is>
          <t>中文</t>
        </is>
      </c>
      <c r="N325" s="203" t="inlineStr">
        <is>
          <t>http://www.gov.cn/zwgk/2013-09/12/content_2486773.htm</t>
        </is>
      </c>
    </row>
    <row r="326">
      <c r="B326" s="198" t="inlineStr">
        <is>
          <t>AP1401</t>
        </is>
      </c>
      <c r="C326" s="208" t="n">
        <v>2014</v>
      </c>
      <c r="D326" s="210" t="inlineStr">
        <is>
          <t>能源发展战略行动计划（2014-2020年）</t>
        </is>
      </c>
      <c r="E326" s="210" t="inlineStr">
        <is>
          <t>Energy Development Strategy Action Plan (2014-2020)</t>
        </is>
      </c>
      <c r="F326" s="209" t="inlineStr">
        <is>
          <t>国务院</t>
        </is>
      </c>
      <c r="G326" s="209" t="inlineStr">
        <is>
          <t>行动计划</t>
        </is>
      </c>
      <c r="H326" s="210" t="inlineStr">
        <is>
          <t>经济规划（含气候）</t>
        </is>
      </c>
      <c r="I326" s="211" t="inlineStr">
        <is>
          <t>B.1</t>
        </is>
      </c>
      <c r="J326" s="208" t="inlineStr">
        <is>
          <t>2014-2020</t>
        </is>
      </c>
      <c r="K326" s="211" t="inlineStr">
        <is>
          <t>含目标</t>
        </is>
      </c>
      <c r="L326" s="209" t="inlineStr">
        <is>
          <t>HTM</t>
        </is>
      </c>
      <c r="M326" s="209" t="inlineStr">
        <is>
          <t>中文</t>
        </is>
      </c>
      <c r="N326" s="203" t="inlineStr">
        <is>
          <t>http://www.nea.gov.cn/2014-12/03/c_133830458.htm</t>
        </is>
      </c>
    </row>
    <row r="327">
      <c r="B327" s="198" t="inlineStr">
        <is>
          <t>AP1402</t>
        </is>
      </c>
      <c r="C327" s="208" t="n">
        <v>2014</v>
      </c>
      <c r="D327" s="210" t="inlineStr">
        <is>
          <t>2014-2015年节能减排科技专项行动方案</t>
        </is>
      </c>
      <c r="E327" s="210" t="inlineStr">
        <is>
          <t>2014-2015 Energy Conservation and Emission Reduction Science and Technology Special Action Plan</t>
        </is>
      </c>
      <c r="F327" s="209" t="inlineStr">
        <is>
          <t>科学技术部；工业和信息化部</t>
        </is>
      </c>
      <c r="G327" s="209" t="inlineStr">
        <is>
          <t>行动方案</t>
        </is>
      </c>
      <c r="H327" s="210" t="inlineStr">
        <is>
          <t>明确减缓</t>
        </is>
      </c>
      <c r="I327" s="211" t="inlineStr">
        <is>
          <t>C.1</t>
        </is>
      </c>
      <c r="J327" s="208" t="inlineStr">
        <is>
          <t>2014-2015</t>
        </is>
      </c>
      <c r="K327" s="211" t="inlineStr">
        <is>
          <t>无目标</t>
        </is>
      </c>
      <c r="L327" s="209" t="inlineStr">
        <is>
          <t>HTM</t>
        </is>
      </c>
      <c r="M327" s="209" t="inlineStr">
        <is>
          <t>中文</t>
        </is>
      </c>
      <c r="N327" s="203" t="inlineStr">
        <is>
          <t>https://www.most.gov.cn/xxgk/xinxifenlei/fdzdgknr/qtwj/qtwj2014/201403/t20140304_112112.html</t>
        </is>
      </c>
    </row>
    <row r="328">
      <c r="B328" s="198" t="inlineStr">
        <is>
          <t>AP1403</t>
        </is>
      </c>
      <c r="C328" s="208" t="n">
        <v>2014</v>
      </c>
      <c r="D328" s="210" t="inlineStr">
        <is>
          <t>煤电节能减排升级与改造行动计划 （2014-2020年）</t>
        </is>
      </c>
      <c r="E328" s="210" t="inlineStr">
        <is>
          <t>Action Plan for Retrofitting and Upgrading Coal-fired Power Plants (2014 - 2020)</t>
        </is>
      </c>
      <c r="F328" s="209" t="inlineStr">
        <is>
          <t>国家发展和改革委员会；工业和信息化部；环境保护部；国家能源局</t>
        </is>
      </c>
      <c r="G328" s="209" t="inlineStr">
        <is>
          <t>行动计划</t>
        </is>
      </c>
      <c r="H328" s="210" t="inlineStr">
        <is>
          <t>化石能源</t>
        </is>
      </c>
      <c r="I328" s="211" t="inlineStr">
        <is>
          <t>B.1</t>
        </is>
      </c>
      <c r="J328" s="208" t="inlineStr">
        <is>
          <t>2014-2020</t>
        </is>
      </c>
      <c r="K328" s="211" t="inlineStr">
        <is>
          <t>含目标</t>
        </is>
      </c>
      <c r="L328" s="209" t="inlineStr">
        <is>
          <t>HTM</t>
        </is>
      </c>
      <c r="M328" s="209" t="inlineStr">
        <is>
          <t>中文</t>
        </is>
      </c>
      <c r="N328" s="203" t="inlineStr">
        <is>
          <t>https://www.gov.cn/gongbao/content/2015/content_2818468.htm</t>
        </is>
      </c>
    </row>
    <row r="329">
      <c r="B329" s="198" t="inlineStr">
        <is>
          <t>AP1404</t>
        </is>
      </c>
      <c r="C329" s="208" t="n">
        <v>2014</v>
      </c>
      <c r="D329" s="210" t="inlineStr">
        <is>
          <t>2014—2015年节能减排低碳发展行动方案</t>
        </is>
      </c>
      <c r="E329" s="210" t="inlineStr">
        <is>
          <t>Action Plan for Energy Conservation, Emission Reduction and Low-Carbon Development in 2014-2015</t>
        </is>
      </c>
      <c r="F329" s="209" t="inlineStr">
        <is>
          <t>国务院</t>
        </is>
      </c>
      <c r="G329" s="209" t="inlineStr">
        <is>
          <t>行动计划</t>
        </is>
      </c>
      <c r="H329" s="210" t="inlineStr">
        <is>
          <t>明确减缓</t>
        </is>
      </c>
      <c r="I329" s="211" t="inlineStr">
        <is>
          <t>A</t>
        </is>
      </c>
      <c r="J329" s="208" t="inlineStr">
        <is>
          <t>2014-2015</t>
        </is>
      </c>
      <c r="K329" s="211" t="inlineStr">
        <is>
          <t>含目标</t>
        </is>
      </c>
      <c r="L329" s="209" t="inlineStr">
        <is>
          <t>HTM</t>
        </is>
      </c>
      <c r="M329" s="209" t="inlineStr">
        <is>
          <t>中文</t>
        </is>
      </c>
      <c r="N329" s="203" t="inlineStr">
        <is>
          <t>https://www.gov.cn/zhengce/zhengceku/2014-05/26/content_8824.htm</t>
        </is>
      </c>
    </row>
    <row r="330">
      <c r="B330" s="198" t="inlineStr">
        <is>
          <t>AP1501</t>
        </is>
      </c>
      <c r="C330" s="208" t="n">
        <v>2015</v>
      </c>
      <c r="D330" s="210" t="inlineStr">
        <is>
          <t>煤炭清洁高效利用行动计划（2015-2020年）</t>
        </is>
      </c>
      <c r="E330" s="210" t="inlineStr">
        <is>
          <t>Action Plan for Clean and Efficient Use of Coal (2015-2020)</t>
        </is>
      </c>
      <c r="F330" s="209" t="inlineStr">
        <is>
          <t>国家能源局</t>
        </is>
      </c>
      <c r="G330" s="209" t="inlineStr">
        <is>
          <t>行动计划</t>
        </is>
      </c>
      <c r="H330" s="210" t="inlineStr">
        <is>
          <t>化石能源</t>
        </is>
      </c>
      <c r="I330" s="211" t="inlineStr">
        <is>
          <t>B.1</t>
        </is>
      </c>
      <c r="J330" s="208" t="inlineStr">
        <is>
          <t>2015-2020</t>
        </is>
      </c>
      <c r="K330" s="211" t="inlineStr">
        <is>
          <t>无目标</t>
        </is>
      </c>
      <c r="L330" s="209" t="inlineStr">
        <is>
          <t>PDF</t>
        </is>
      </c>
      <c r="M330" s="209" t="inlineStr">
        <is>
          <t>中文</t>
        </is>
      </c>
      <c r="N330" s="203" t="inlineStr">
        <is>
          <t>http://zfxxgk.nea.gov.cn/auto85/201505/t20150505_1917.htm</t>
        </is>
      </c>
    </row>
    <row r="331">
      <c r="B331" s="198" t="inlineStr">
        <is>
          <t>AP1502</t>
        </is>
      </c>
      <c r="C331" s="208" t="n">
        <v>2015</v>
      </c>
      <c r="D331" s="210" t="inlineStr">
        <is>
          <t>促进绿色建材生产和应用行动方案</t>
        </is>
      </c>
      <c r="E331" s="210" t="inlineStr">
        <is>
          <t>Action Plan for Promoting the Production and Application of Green Building Materials</t>
        </is>
      </c>
      <c r="F331" s="209" t="inlineStr">
        <is>
          <t>工业和信息化部；住房和城乡建设部</t>
        </is>
      </c>
      <c r="G331" s="209" t="inlineStr">
        <is>
          <t>行动方案</t>
        </is>
      </c>
      <c r="H331" s="210" t="inlineStr">
        <is>
          <t>明确减缓</t>
        </is>
      </c>
      <c r="I331" s="211" t="inlineStr">
        <is>
          <t>B.3</t>
        </is>
      </c>
      <c r="J331" s="208" t="inlineStr">
        <is>
          <t>-</t>
        </is>
      </c>
      <c r="K331" s="211" t="inlineStr">
        <is>
          <t>无目标</t>
        </is>
      </c>
      <c r="L331" s="209" t="inlineStr">
        <is>
          <t>HTM</t>
        </is>
      </c>
      <c r="M331" s="209" t="inlineStr">
        <is>
          <t>中文</t>
        </is>
      </c>
      <c r="N331" s="203" t="inlineStr">
        <is>
          <t>https://baike.baidu.com/item/%E4%B8%A4%E9%83%A8%E9%97%A8%E5%87%BA%E5%8F%B0%E3%80%8A%E4%BF%83%E8%BF%9B%E7%BB%BF%E8%89%B2%E5%BB%BA%E6%9D%90%E7%94%9F%E4%BA%A7%E5%92%8C%E5%BA%94%E7%94%A8%E8%A1%8C%E5%8A%A8%E6%96%B9%E6%A1%88%E3%80%8B/18600087</t>
        </is>
      </c>
    </row>
    <row r="332">
      <c r="B332" s="198" t="inlineStr">
        <is>
          <t>AP1601</t>
        </is>
      </c>
      <c r="C332" s="208" t="n">
        <v>2016</v>
      </c>
      <c r="D332" s="210" t="inlineStr">
        <is>
          <t>能源技术革命创新行动计划(2016-2030年)</t>
        </is>
      </c>
      <c r="E332" s="210" t="inlineStr">
        <is>
          <t>Energy Technology Revolutionary Innovation Action Plan (2016-2030)</t>
        </is>
      </c>
      <c r="F332" s="209" t="inlineStr">
        <is>
          <t>国家发展和改革委员会；国家能源局</t>
        </is>
      </c>
      <c r="G332" s="209" t="inlineStr">
        <is>
          <t>行动计划</t>
        </is>
      </c>
      <c r="H332" s="210" t="inlineStr">
        <is>
          <t>经济规划（含气候）</t>
        </is>
      </c>
      <c r="I332" s="211" t="inlineStr">
        <is>
          <t>B.1</t>
        </is>
      </c>
      <c r="J332" s="208" t="inlineStr">
        <is>
          <t>2016-2030</t>
        </is>
      </c>
      <c r="K332" s="211" t="inlineStr">
        <is>
          <t>无目标</t>
        </is>
      </c>
      <c r="L332" s="209" t="inlineStr">
        <is>
          <t>PDF</t>
        </is>
      </c>
      <c r="M332" s="209" t="inlineStr">
        <is>
          <t>中文</t>
        </is>
      </c>
      <c r="N332" s="203" t="inlineStr">
        <is>
          <t>https://www.ndrc.gov.cn/xxgk/zcfb/tz/201606/t20160601_963080.html?code=&amp;state=123</t>
        </is>
      </c>
    </row>
    <row r="333">
      <c r="B333" s="198" t="inlineStr">
        <is>
          <t>AP1602</t>
        </is>
      </c>
      <c r="C333" s="208" t="n">
        <v>2016</v>
      </c>
      <c r="D333" s="210" t="inlineStr">
        <is>
          <t>工业领域电力需求侧管理专项行动计划（2016－2020年）</t>
        </is>
      </c>
      <c r="E333" s="210" t="inlineStr">
        <is>
          <t>Special Action Plan for Power Demand Side Management in the Industrial Sector (2016-2020)</t>
        </is>
      </c>
      <c r="F333" s="209" t="inlineStr">
        <is>
          <t>工业和信息化部</t>
        </is>
      </c>
      <c r="G333" s="209" t="inlineStr">
        <is>
          <t>行动计划</t>
        </is>
      </c>
      <c r="H333" s="210" t="inlineStr">
        <is>
          <t>经济规划（含气候）</t>
        </is>
      </c>
      <c r="I333" s="211" t="inlineStr">
        <is>
          <t>B.2</t>
        </is>
      </c>
      <c r="J333" s="208" t="inlineStr">
        <is>
          <t>2016-2020</t>
        </is>
      </c>
      <c r="K333" s="211" t="inlineStr">
        <is>
          <t>含目标</t>
        </is>
      </c>
      <c r="L333" s="209" t="inlineStr">
        <is>
          <t>HTM</t>
        </is>
      </c>
      <c r="M333" s="209" t="inlineStr">
        <is>
          <t>中文</t>
        </is>
      </c>
      <c r="N333" s="203" t="inlineStr">
        <is>
          <t>https://www.gov.cn/xinwen/2016-09/01/content_5104483.htm</t>
        </is>
      </c>
    </row>
    <row r="334">
      <c r="B334" s="198" t="inlineStr">
        <is>
          <t>AP1603</t>
        </is>
      </c>
      <c r="C334" s="208" t="n">
        <v>2016</v>
      </c>
      <c r="D334" s="210" t="inlineStr">
        <is>
          <t>林业应对气候变化“十三五”行动要点</t>
        </is>
      </c>
      <c r="E334" s="210" t="inlineStr">
        <is>
          <t>Action Points for Forestry to Address Climate Change during the 13th Five Year Plan Period</t>
        </is>
      </c>
      <c r="F334" s="209" t="inlineStr">
        <is>
          <t>国家林业局</t>
        </is>
      </c>
      <c r="G334" s="209" t="inlineStr">
        <is>
          <t>行动要点</t>
        </is>
      </c>
      <c r="H334" s="210" t="inlineStr">
        <is>
          <t>明确减缓</t>
        </is>
      </c>
      <c r="I334" s="211" t="inlineStr">
        <is>
          <t>B.5</t>
        </is>
      </c>
      <c r="J334" s="208" t="inlineStr">
        <is>
          <t>十三五</t>
        </is>
      </c>
      <c r="K334" s="211" t="inlineStr">
        <is>
          <t>含目标</t>
        </is>
      </c>
      <c r="L334" s="209" t="inlineStr">
        <is>
          <t>HTM</t>
        </is>
      </c>
      <c r="M334" s="209" t="inlineStr">
        <is>
          <t>中文</t>
        </is>
      </c>
      <c r="N334" s="203" t="inlineStr">
        <is>
          <t>https://www.gov.cn/xinwen/2016-06/22/content_5084284.htm</t>
        </is>
      </c>
    </row>
    <row r="335">
      <c r="B335" s="198" t="inlineStr">
        <is>
          <t>AP1801</t>
        </is>
      </c>
      <c r="C335" s="208" t="n">
        <v>2018</v>
      </c>
      <c r="D335" s="210" t="inlineStr">
        <is>
          <t>智能光伏产业发展行动计划（2018-2020年）</t>
        </is>
      </c>
      <c r="E335" s="210" t="inlineStr">
        <is>
          <t>Action Plan for the Development of Smart Photovoltaic Industry (2018-2020)</t>
        </is>
      </c>
      <c r="F335" s="209" t="inlineStr">
        <is>
          <t>工业和信息化部；国家发展和改革委员会；科学技术部；财政部；国家能源局</t>
        </is>
      </c>
      <c r="G335" s="209" t="inlineStr">
        <is>
          <t>行动计划</t>
        </is>
      </c>
      <c r="H335" s="210" t="inlineStr">
        <is>
          <t>促进减缓</t>
        </is>
      </c>
      <c r="I335" s="211" t="inlineStr">
        <is>
          <t>B.2, B.1</t>
        </is>
      </c>
      <c r="J335" s="208" t="inlineStr">
        <is>
          <t>2018-2020</t>
        </is>
      </c>
      <c r="K335" s="211" t="inlineStr">
        <is>
          <t>无目标</t>
        </is>
      </c>
      <c r="L335" s="209" t="inlineStr">
        <is>
          <t>PDF</t>
        </is>
      </c>
      <c r="M335" s="209" t="inlineStr">
        <is>
          <t>中文</t>
        </is>
      </c>
      <c r="N335" s="203" t="inlineStr">
        <is>
          <t>http://www.gov.cn/zhengce/zhengceku/2019-10/15/content_5440071.htm</t>
        </is>
      </c>
    </row>
    <row r="336">
      <c r="B336" s="198" t="inlineStr">
        <is>
          <t>AP1802</t>
        </is>
      </c>
      <c r="C336" s="208" t="n">
        <v>2018</v>
      </c>
      <c r="D336" s="210" t="inlineStr">
        <is>
          <t>打赢蓝天保卫战三年行动计划</t>
        </is>
      </c>
      <c r="E336" s="210" t="inlineStr">
        <is>
          <t>Three-year action plan for cleaner air (also called the Blue Sky War/Defense)</t>
        </is>
      </c>
      <c r="F336" s="209" t="inlineStr">
        <is>
          <t>国务院</t>
        </is>
      </c>
      <c r="G336" s="209" t="inlineStr">
        <is>
          <t>行动计划</t>
        </is>
      </c>
      <c r="H336" s="210" t="inlineStr">
        <is>
          <t>促进减缓</t>
        </is>
      </c>
      <c r="I336" s="211" t="inlineStr">
        <is>
          <t>D.1</t>
        </is>
      </c>
      <c r="J336" s="208" t="inlineStr">
        <is>
          <t>-</t>
        </is>
      </c>
      <c r="K336" s="211" t="inlineStr">
        <is>
          <t>含目标</t>
        </is>
      </c>
      <c r="L336" s="209" t="inlineStr">
        <is>
          <t>HTM</t>
        </is>
      </c>
      <c r="M336" s="209" t="inlineStr">
        <is>
          <t>中文</t>
        </is>
      </c>
      <c r="N336" s="203" t="inlineStr">
        <is>
          <t>https://www.gov.cn/zhengce/content/2018-07/03/content_5303158.htm</t>
        </is>
      </c>
    </row>
    <row r="337" ht="15.75" customHeight="1" s="235">
      <c r="B337" s="198" t="inlineStr">
        <is>
          <t>AP1803</t>
        </is>
      </c>
      <c r="C337" s="208" t="n">
        <v>2018</v>
      </c>
      <c r="D337" s="210" t="inlineStr">
        <is>
          <t>提升新能源汽车充电保障能力行动计划</t>
        </is>
      </c>
      <c r="E337" s="210" t="inlineStr">
        <is>
          <t>Action Plan for Enhancing the Charging Capacity for Electric Vehicles</t>
        </is>
      </c>
      <c r="F337" s="209" t="inlineStr">
        <is>
          <t>国家发展和改革委员会；国家能源局；工业和信息化部</t>
        </is>
      </c>
      <c r="G337" s="209" t="inlineStr">
        <is>
          <t>行动计划</t>
        </is>
      </c>
      <c r="H337" s="210" t="inlineStr">
        <is>
          <t>促进减缓</t>
        </is>
      </c>
      <c r="I337" s="211" t="inlineStr">
        <is>
          <t>C.1, B.2, B.4</t>
        </is>
      </c>
      <c r="J337" s="208" t="inlineStr">
        <is>
          <t>2018-2020</t>
        </is>
      </c>
      <c r="K337" s="211" t="inlineStr">
        <is>
          <t>无目标</t>
        </is>
      </c>
      <c r="L337" s="209" t="inlineStr">
        <is>
          <t>HTM</t>
        </is>
      </c>
      <c r="M337" s="209" t="inlineStr">
        <is>
          <t>中文</t>
        </is>
      </c>
      <c r="N337" s="203" t="inlineStr">
        <is>
          <t>https://chinaenergyportal.org/en/action-plan-for-enhancing-the-guaranteed-charging-capacity-for-electric-vehicles/</t>
        </is>
      </c>
    </row>
    <row r="338">
      <c r="B338" s="198" t="inlineStr">
        <is>
          <t>AP1804</t>
        </is>
      </c>
      <c r="C338" s="208" t="n">
        <v>2018</v>
      </c>
      <c r="D338" s="210" t="inlineStr">
        <is>
          <t>清洁能源消纳行动计划（2018-2020 年）</t>
        </is>
      </c>
      <c r="E338" s="210" t="inlineStr">
        <is>
          <t>Clean Energy Consumption Action Plan (2018-2020)</t>
        </is>
      </c>
      <c r="F338" s="209" t="inlineStr">
        <is>
          <t>国家发展和改革委员会；国家能源局</t>
        </is>
      </c>
      <c r="G338" s="209" t="inlineStr">
        <is>
          <t>行动计划</t>
        </is>
      </c>
      <c r="H338" s="210" t="inlineStr">
        <is>
          <t>促进减缓</t>
        </is>
      </c>
      <c r="I338" s="211" t="inlineStr">
        <is>
          <t>B.1</t>
        </is>
      </c>
      <c r="J338" s="208" t="inlineStr">
        <is>
          <t>2018-2020</t>
        </is>
      </c>
      <c r="K338" s="211" t="inlineStr">
        <is>
          <t>含目标</t>
        </is>
      </c>
      <c r="L338" s="209" t="inlineStr">
        <is>
          <t>PDF</t>
        </is>
      </c>
      <c r="M338" s="209" t="inlineStr">
        <is>
          <t>中文</t>
        </is>
      </c>
      <c r="N338" s="203" t="inlineStr">
        <is>
          <t>https://www.ndrc.gov.cn/xxgk/zcfb/ghxwj/201812/t20181204_960958.html</t>
        </is>
      </c>
    </row>
    <row r="339">
      <c r="B339" s="198" t="inlineStr">
        <is>
          <t>AP1901</t>
        </is>
      </c>
      <c r="C339" s="208" t="n">
        <v>2019</v>
      </c>
      <c r="D339" s="210" t="inlineStr">
        <is>
          <t>绿色生活创建行动总体方案</t>
        </is>
      </c>
      <c r="E339" s="210" t="inlineStr">
        <is>
          <t>Action Plan for Green Life (NDRC)</t>
        </is>
      </c>
      <c r="F339" s="209" t="inlineStr">
        <is>
          <t>国家发展和改革委员会；生态环境部；住房和城乡建设部；水利部；农业农村部；国家林业和草原局</t>
        </is>
      </c>
      <c r="G339" s="209" t="inlineStr">
        <is>
          <t>行动方案</t>
        </is>
      </c>
      <c r="H339" s="210" t="inlineStr">
        <is>
          <t>明确减缓</t>
        </is>
      </c>
      <c r="I339" s="211" t="inlineStr">
        <is>
          <t>C.4</t>
        </is>
      </c>
      <c r="J339" s="208" t="inlineStr">
        <is>
          <t>-</t>
        </is>
      </c>
      <c r="K339" s="211" t="inlineStr">
        <is>
          <t>无目标</t>
        </is>
      </c>
      <c r="L339" s="209" t="inlineStr">
        <is>
          <t>PDF</t>
        </is>
      </c>
      <c r="M339" s="209" t="inlineStr">
        <is>
          <t>中文</t>
        </is>
      </c>
      <c r="N339" s="203" t="inlineStr">
        <is>
          <t>https://www.ndrc.gov.cn/xxgk/zcfb/tz/201911/t20191105_1197738.html?code=&amp;state=123</t>
        </is>
      </c>
    </row>
    <row r="340">
      <c r="B340" s="198" t="inlineStr">
        <is>
          <t>AP1902</t>
        </is>
      </c>
      <c r="C340" s="208" t="n">
        <v>2019</v>
      </c>
      <c r="D340" s="210" t="inlineStr">
        <is>
          <t>绿色出行行动计划（2019—2022年）</t>
        </is>
      </c>
      <c r="E340" s="210" t="inlineStr">
        <is>
          <t>Green Travel Action Plan (2019-2022)</t>
        </is>
      </c>
      <c r="F340" s="209" t="inlineStr">
        <is>
          <t>交通运输部；中共中央；国家发展和改革委员会；工业和信息化部；公安部；财政部；生态环境部；住房和城乡建设部；国家市场监督管理总局；国家机关事务管理局；中华全国总工会；中国铁路总公司</t>
        </is>
      </c>
      <c r="G340" s="209" t="inlineStr">
        <is>
          <t>行动计划</t>
        </is>
      </c>
      <c r="H340" s="210" t="inlineStr">
        <is>
          <t>明确减缓</t>
        </is>
      </c>
      <c r="I340" s="211" t="inlineStr">
        <is>
          <t>C.4</t>
        </is>
      </c>
      <c r="J340" s="208" t="inlineStr">
        <is>
          <t>2019-2022</t>
        </is>
      </c>
      <c r="K340" s="211" t="inlineStr">
        <is>
          <t>无目标</t>
        </is>
      </c>
      <c r="L340" s="209" t="inlineStr">
        <is>
          <t>HTM</t>
        </is>
      </c>
      <c r="M340" s="209" t="inlineStr">
        <is>
          <t>中文</t>
        </is>
      </c>
      <c r="N340" s="203" t="inlineStr">
        <is>
          <t>https://www.gov.cn/xinwen/2019-06/03/content_5397034.htm</t>
        </is>
      </c>
    </row>
    <row r="341">
      <c r="B341" s="198" t="inlineStr">
        <is>
          <t>AP1903</t>
        </is>
      </c>
      <c r="C341" s="208" t="n">
        <v>2019</v>
      </c>
      <c r="D341" s="210" t="inlineStr">
        <is>
          <t>绿色高效制冷行动方案</t>
        </is>
      </c>
      <c r="E341" s="210" t="inlineStr">
        <is>
          <t>Green and Efficient Refrigeration Action Plan</t>
        </is>
      </c>
      <c r="F341" s="209" t="inlineStr">
        <is>
          <t>国家发展和改革委员会；工业和信息化部；财政部；生态环境部；住房和城乡建设部；国家市场监督管理总局；国家机关事务管理局</t>
        </is>
      </c>
      <c r="G341" s="209" t="inlineStr">
        <is>
          <t>行动方案</t>
        </is>
      </c>
      <c r="H341" s="210" t="inlineStr">
        <is>
          <t>明确减缓</t>
        </is>
      </c>
      <c r="I341" s="211" t="inlineStr">
        <is>
          <t>C.1, B.2</t>
        </is>
      </c>
      <c r="J341" s="208" t="inlineStr">
        <is>
          <t>-</t>
        </is>
      </c>
      <c r="K341" s="211" t="inlineStr">
        <is>
          <t>无目标</t>
        </is>
      </c>
      <c r="L341" s="209" t="inlineStr">
        <is>
          <t>PDF</t>
        </is>
      </c>
      <c r="M341" s="209" t="inlineStr">
        <is>
          <t>中文</t>
        </is>
      </c>
      <c r="N341" s="203" t="inlineStr">
        <is>
          <t>https://www.ndrc.gov.cn/xxgk/zcfb/tz/201906/t20190614_962461.html?code=&amp;state=123</t>
        </is>
      </c>
    </row>
    <row r="342">
      <c r="B342" s="198" t="inlineStr">
        <is>
          <t>AP1904</t>
        </is>
      </c>
      <c r="C342" s="208" t="n">
        <v>2019</v>
      </c>
      <c r="D342" s="210" t="inlineStr">
        <is>
          <t>贯彻落实《关于促进储能技术与产业发展的指导意见》2019-2020 年行动计划</t>
        </is>
      </c>
      <c r="E342" s="210" t="inlineStr">
        <is>
          <t>2019-2020 Action Plan of the Guiding Opinions on Promoting Energy Storage Technology and Industrial Development</t>
        </is>
      </c>
      <c r="F342" s="209" t="inlineStr">
        <is>
          <t>国家发展和改革委员会；科学技术部；工业和信息化部；国家能源局</t>
        </is>
      </c>
      <c r="G342" s="209" t="inlineStr">
        <is>
          <t>行动计划</t>
        </is>
      </c>
      <c r="H342" s="210" t="inlineStr">
        <is>
          <t>促进减缓</t>
        </is>
      </c>
      <c r="I342" s="211" t="inlineStr">
        <is>
          <t>C.1, B.2, B.1</t>
        </is>
      </c>
      <c r="J342" s="208" t="inlineStr">
        <is>
          <t>2019-2020</t>
        </is>
      </c>
      <c r="K342" s="211" t="inlineStr">
        <is>
          <t>无目标</t>
        </is>
      </c>
      <c r="L342" s="209" t="inlineStr">
        <is>
          <t>PDF</t>
        </is>
      </c>
      <c r="M342" s="209" t="inlineStr">
        <is>
          <t>中文</t>
        </is>
      </c>
      <c r="N342" s="203" t="inlineStr">
        <is>
          <t>https://www.ndrc.gov.cn/xxgk/zcfb/tz/201907/t20190701_962470.html?code=&amp;state=123#</t>
        </is>
      </c>
    </row>
    <row r="343">
      <c r="B343" s="198" t="inlineStr">
        <is>
          <t>AP2003</t>
        </is>
      </c>
      <c r="C343" s="208" t="n">
        <v>2020</v>
      </c>
      <c r="D343" s="210" t="inlineStr">
        <is>
          <t>绿色出行创建行动方案</t>
        </is>
      </c>
      <c r="E343" s="210" t="inlineStr">
        <is>
          <t>Green Travel Creation Action Plan</t>
        </is>
      </c>
      <c r="F343" s="209" t="inlineStr">
        <is>
          <t>交通运输部；国家发展和改革委员会</t>
        </is>
      </c>
      <c r="G343" s="209" t="inlineStr">
        <is>
          <t>行动方案</t>
        </is>
      </c>
      <c r="H343" s="210" t="inlineStr">
        <is>
          <t>明确减缓</t>
        </is>
      </c>
      <c r="I343" s="211" t="inlineStr">
        <is>
          <t>C.4</t>
        </is>
      </c>
      <c r="J343" s="208" t="inlineStr">
        <is>
          <t>-</t>
        </is>
      </c>
      <c r="K343" s="211" t="inlineStr">
        <is>
          <t>含目标</t>
        </is>
      </c>
      <c r="L343" s="209" t="inlineStr">
        <is>
          <t>HTM</t>
        </is>
      </c>
      <c r="M343" s="209" t="inlineStr">
        <is>
          <t>中文</t>
        </is>
      </c>
      <c r="N343" s="203" t="inlineStr">
        <is>
          <t>https://xxgk.mot.gov.cn/2020/jigou/ysfws/202007/t20200724_3437849.html</t>
        </is>
      </c>
    </row>
    <row r="344">
      <c r="B344" s="198" t="inlineStr">
        <is>
          <t>AP2004</t>
        </is>
      </c>
      <c r="C344" s="208" t="n">
        <v>2020</v>
      </c>
      <c r="D344" s="210" t="inlineStr">
        <is>
          <t>绿色建筑创建行动方案</t>
        </is>
      </c>
      <c r="E344" s="210" t="inlineStr">
        <is>
          <t>Green Building Creation Action Plan</t>
        </is>
      </c>
      <c r="F344" s="209" t="inlineStr">
        <is>
          <t>住房和城乡建设部；国家发展和改革委员会；教育部；工业和信息化部；中国人民银行；国家机关事务管理局；中国银行保险监督管理委员会</t>
        </is>
      </c>
      <c r="G344" s="209" t="inlineStr">
        <is>
          <t>行动方案</t>
        </is>
      </c>
      <c r="H344" s="210" t="inlineStr">
        <is>
          <t>明确减缓</t>
        </is>
      </c>
      <c r="I344" s="211" t="inlineStr">
        <is>
          <t>B.3</t>
        </is>
      </c>
      <c r="J344" s="208" t="inlineStr">
        <is>
          <t>-</t>
        </is>
      </c>
      <c r="K344" s="211" t="inlineStr">
        <is>
          <t>无目标</t>
        </is>
      </c>
      <c r="L344" s="209" t="inlineStr">
        <is>
          <t>PDF</t>
        </is>
      </c>
      <c r="M344" s="209" t="inlineStr">
        <is>
          <t>中文</t>
        </is>
      </c>
      <c r="N344" s="203" t="inlineStr">
        <is>
          <t>https://www.gov.cn/zhengce/zhengceku/2020-07/24/content_5529745.htm</t>
        </is>
      </c>
    </row>
    <row r="345">
      <c r="B345" s="198" t="inlineStr">
        <is>
          <t>AP2005</t>
        </is>
      </c>
      <c r="C345" s="208" t="n">
        <v>2020</v>
      </c>
      <c r="D345" s="210" t="inlineStr">
        <is>
          <t>红树林保护修复专项行动计划（2020-2025年）</t>
        </is>
      </c>
      <c r="E345" s="210" t="inlineStr">
        <is>
          <t>Special Action Plan for Mangrove Protection and Restoration (2020-2025)</t>
        </is>
      </c>
      <c r="F345" s="209" t="inlineStr">
        <is>
          <t>自然资源部；国家林业和草原局</t>
        </is>
      </c>
      <c r="G345" s="209" t="inlineStr">
        <is>
          <t>行动计划</t>
        </is>
      </c>
      <c r="H345" s="210" t="inlineStr">
        <is>
          <t>促进减缓</t>
        </is>
      </c>
      <c r="I345" s="211" t="inlineStr">
        <is>
          <t>B.5</t>
        </is>
      </c>
      <c r="J345" s="208" t="inlineStr">
        <is>
          <t>2020-2025</t>
        </is>
      </c>
      <c r="K345" s="211" t="inlineStr">
        <is>
          <t>含目标</t>
        </is>
      </c>
      <c r="L345" s="209" t="inlineStr">
        <is>
          <t>HTM</t>
        </is>
      </c>
      <c r="M345" s="209" t="inlineStr">
        <is>
          <t>中文</t>
        </is>
      </c>
      <c r="N345" s="203" t="inlineStr">
        <is>
          <t>https://www.gov.cn/zhengce/zhengceku/2020-08/29/content_5538354.htm</t>
        </is>
      </c>
    </row>
    <row r="346">
      <c r="B346" s="198" t="inlineStr">
        <is>
          <t>AP2101</t>
        </is>
      </c>
      <c r="C346" s="208" t="n">
        <v>2021</v>
      </c>
      <c r="D346" s="210" t="inlineStr">
        <is>
          <t>高等学校碳中和科技创新行动计划</t>
        </is>
      </c>
      <c r="E346" s="210" t="inlineStr">
        <is>
          <t>Carbon Neutral Science and Technology Innovation Action Plan for Colleges and Universities</t>
        </is>
      </c>
      <c r="F346" s="209" t="inlineStr">
        <is>
          <t>教育部</t>
        </is>
      </c>
      <c r="G346" s="209" t="inlineStr">
        <is>
          <t>行动计划</t>
        </is>
      </c>
      <c r="H346" s="210" t="inlineStr">
        <is>
          <t>明确减缓</t>
        </is>
      </c>
      <c r="I346" s="211" t="inlineStr">
        <is>
          <t>C.5</t>
        </is>
      </c>
      <c r="J346" s="208" t="inlineStr">
        <is>
          <t>-</t>
        </is>
      </c>
      <c r="K346" s="211" t="inlineStr">
        <is>
          <t>无目标</t>
        </is>
      </c>
      <c r="L346" s="209" t="inlineStr">
        <is>
          <t>HTM</t>
        </is>
      </c>
      <c r="M346" s="209" t="inlineStr">
        <is>
          <t>中文</t>
        </is>
      </c>
      <c r="N346" s="203" t="inlineStr">
        <is>
          <t>http://www.moe.gov.cn/srcsite/A16/moe_784/202107/t20210728_547451.html</t>
        </is>
      </c>
    </row>
    <row r="347">
      <c r="B347" s="198" t="inlineStr">
        <is>
          <t>AP2103</t>
        </is>
      </c>
      <c r="C347" s="208" t="n">
        <v>2021</v>
      </c>
      <c r="D347" s="210" t="inlineStr">
        <is>
          <t>“美丽中国，我是行动者”提升公民生态文明意识行动计划（2021-2025 年）</t>
        </is>
      </c>
      <c r="E347" s="210" t="inlineStr">
        <is>
          <t>Action Plan to Enhance Citizens' Awareness of Ecological Civilization</t>
        </is>
      </c>
      <c r="F347" s="209" t="inlineStr">
        <is>
          <t>生态环境部；中共中央；中央精神文明建设指导委员会；教育部；共青团中央；中华全国妇女联合会</t>
        </is>
      </c>
      <c r="G347" s="209" t="inlineStr">
        <is>
          <t>行动计划</t>
        </is>
      </c>
      <c r="H347" s="210" t="inlineStr">
        <is>
          <t>促进减缓</t>
        </is>
      </c>
      <c r="I347" s="211" t="inlineStr">
        <is>
          <t>C.4</t>
        </is>
      </c>
      <c r="J347" s="208" t="inlineStr">
        <is>
          <t>-</t>
        </is>
      </c>
      <c r="K347" s="211" t="inlineStr">
        <is>
          <t>无目标</t>
        </is>
      </c>
      <c r="L347" s="209" t="inlineStr">
        <is>
          <t>PDF</t>
        </is>
      </c>
      <c r="M347" s="209" t="inlineStr">
        <is>
          <t>中文</t>
        </is>
      </c>
      <c r="N347" s="203" t="inlineStr">
        <is>
          <t>https://www.mee.gov.cn/xxgk2018/xxgk/xxgk03/202102/t20210223_822116.html</t>
        </is>
      </c>
    </row>
    <row r="348">
      <c r="B348" s="198" t="inlineStr">
        <is>
          <t>AP2104</t>
        </is>
      </c>
      <c r="C348" s="208" t="n">
        <v>2021</v>
      </c>
      <c r="D348" s="210" t="inlineStr">
        <is>
          <t>石化化工重点行业严格能效约束推动节能降碳行动方案（2021-2025 年）</t>
        </is>
      </c>
      <c r="E348" s="210" t="inlineStr">
        <is>
          <t>Action Plan for Strict Energy Efficiency Constraints in Key Petrochemical and Chemical Industries to Promote Energy Efficiency and Carbon Reduction</t>
        </is>
      </c>
      <c r="F348" s="209" t="inlineStr">
        <is>
          <t>国家发展和改革委员会；工业和信息化部；财政部；生态环境部；中国人民银行；国家市场监督管理总局；中国证券监督管理委员会；国家能源局</t>
        </is>
      </c>
      <c r="G348" s="209" t="inlineStr">
        <is>
          <t>行动方案</t>
        </is>
      </c>
      <c r="H348" s="210" t="inlineStr">
        <is>
          <t>明确减缓</t>
        </is>
      </c>
      <c r="I348" s="211" t="inlineStr">
        <is>
          <t>B.2</t>
        </is>
      </c>
      <c r="J348" s="208" t="inlineStr">
        <is>
          <t>-</t>
        </is>
      </c>
      <c r="K348" s="211" t="inlineStr">
        <is>
          <t>无目标</t>
        </is>
      </c>
      <c r="L348" s="209" t="inlineStr">
        <is>
          <t>PDF</t>
        </is>
      </c>
      <c r="M348" s="209" t="inlineStr">
        <is>
          <t>中文</t>
        </is>
      </c>
      <c r="N348" s="203" t="inlineStr">
        <is>
          <t>https://www.ndrc.gov.cn/xxgk/zcfb/tz/202110/P020211021702323037931.pdf</t>
        </is>
      </c>
    </row>
    <row r="349">
      <c r="B349" s="198" t="inlineStr">
        <is>
          <t>AP2105</t>
        </is>
      </c>
      <c r="C349" s="208" t="n">
        <v>2021</v>
      </c>
      <c r="D349" s="210" t="inlineStr">
        <is>
          <t>冶金、建材重点行业严格能效约束推动节能降碳行动方案（2021-2025 年）</t>
        </is>
      </c>
      <c r="E349" s="210" t="inlineStr">
        <is>
          <t>Action Plan for Strict Energy Efficiency Constraints in Key Industries in Metallurgy and Building Materials to Promote Energy Efficiency and Carbon Reduction</t>
        </is>
      </c>
      <c r="F349" s="209" t="inlineStr">
        <is>
          <t>国家发展和改革委员会；工业和信息化部；财政部；生态环境部；中国人民银行；国家市场监督管理总局；中国证券监督管理委员会；国家能源局</t>
        </is>
      </c>
      <c r="G349" s="209" t="inlineStr">
        <is>
          <t>行动方案</t>
        </is>
      </c>
      <c r="H349" s="210" t="inlineStr">
        <is>
          <t>明确减缓</t>
        </is>
      </c>
      <c r="I349" s="211" t="inlineStr">
        <is>
          <t>B.2</t>
        </is>
      </c>
      <c r="J349" s="208" t="inlineStr">
        <is>
          <t>-</t>
        </is>
      </c>
      <c r="K349" s="211" t="inlineStr">
        <is>
          <t>无目标</t>
        </is>
      </c>
      <c r="L349" s="209" t="inlineStr">
        <is>
          <t>PDF</t>
        </is>
      </c>
      <c r="M349" s="209" t="inlineStr">
        <is>
          <t>中文</t>
        </is>
      </c>
      <c r="N349" s="203" t="inlineStr">
        <is>
          <t>https://www.ndrc.gov.cn/xxgk/zcfb/tz/202110/P020211021702322751485.pdf</t>
        </is>
      </c>
    </row>
    <row r="350">
      <c r="B350" s="198" t="inlineStr">
        <is>
          <t>AP2107</t>
        </is>
      </c>
      <c r="C350" s="208" t="n">
        <v>2021</v>
      </c>
      <c r="D350" s="210" t="inlineStr">
        <is>
          <t>智能光伏产业创新发展行动计划（2021-2025年）</t>
        </is>
      </c>
      <c r="E350" s="210" t="inlineStr">
        <is>
          <t>Action Plan for Innovation and Development of Intelligent Photovoltaic Industry</t>
        </is>
      </c>
      <c r="F350" s="209" t="inlineStr">
        <is>
          <t>工业和信息化部；住房和城乡建设部；交通运输部；农业农村部；国家能源局</t>
        </is>
      </c>
      <c r="G350" s="209" t="inlineStr">
        <is>
          <t>行动计划</t>
        </is>
      </c>
      <c r="H350" s="210" t="inlineStr">
        <is>
          <t>促进减缓</t>
        </is>
      </c>
      <c r="I350" s="211" t="inlineStr">
        <is>
          <t>B.2, C.1</t>
        </is>
      </c>
      <c r="J350" s="208" t="inlineStr">
        <is>
          <t>-</t>
        </is>
      </c>
      <c r="K350" s="211" t="inlineStr">
        <is>
          <t>无目标</t>
        </is>
      </c>
      <c r="L350" s="209" t="inlineStr">
        <is>
          <t>PDF</t>
        </is>
      </c>
      <c r="M350" s="209" t="inlineStr">
        <is>
          <t>中文</t>
        </is>
      </c>
      <c r="N350" s="203" t="inlineStr">
        <is>
          <t>https://www.miit.gov.cn/zwgk/zcwj/wjfb/tz/art/2022/art_de86b26087844ebab5e886e954ca1453.html</t>
        </is>
      </c>
    </row>
    <row r="351">
      <c r="B351" s="198" t="inlineStr">
        <is>
          <t>AP2108</t>
        </is>
      </c>
      <c r="C351" s="208" t="n">
        <v>2021</v>
      </c>
      <c r="D351" s="210" t="inlineStr">
        <is>
          <t>新型数据中心发展三年行动计划（2021-2023年）</t>
        </is>
      </c>
      <c r="E351" s="210" t="inlineStr">
        <is>
          <t>Three-Year Action Plan for the Development of New Data Centres (2021-2023)</t>
        </is>
      </c>
      <c r="F351" s="209" t="inlineStr">
        <is>
          <t>工业和信息化部</t>
        </is>
      </c>
      <c r="G351" s="209" t="inlineStr">
        <is>
          <t>行动计划</t>
        </is>
      </c>
      <c r="H351" s="210" t="inlineStr">
        <is>
          <t>经济规划（含气候）</t>
        </is>
      </c>
      <c r="I351" s="211" t="inlineStr">
        <is>
          <t>B.3</t>
        </is>
      </c>
      <c r="J351" s="208" t="inlineStr">
        <is>
          <t>2021-2023</t>
        </is>
      </c>
      <c r="K351" s="211" t="inlineStr">
        <is>
          <t>含目标</t>
        </is>
      </c>
      <c r="L351" s="209" t="inlineStr">
        <is>
          <t>HTM</t>
        </is>
      </c>
      <c r="M351" s="209" t="inlineStr">
        <is>
          <t>中文</t>
        </is>
      </c>
      <c r="N351" s="203" t="inlineStr">
        <is>
          <t>https://www.gov.cn/zhengce/zhengceku/2021-07/14/content_5624964.htm</t>
        </is>
      </c>
    </row>
    <row r="352">
      <c r="B352" s="198" t="inlineStr">
        <is>
          <t>AP2201</t>
        </is>
      </c>
      <c r="C352" s="208" t="n">
        <v>2022</v>
      </c>
      <c r="D352" s="226" t="inlineStr">
        <is>
          <t>加强碳达峰碳中和高等教育人才培养体系建设工作方案</t>
        </is>
      </c>
      <c r="E352" s="210" t="inlineStr">
        <is>
          <t>Action Plan for Strengthening the Education and Training System for Carbon Peaking and Neutrality in Higher Education</t>
        </is>
      </c>
      <c r="F352" s="209" t="inlineStr">
        <is>
          <t>教育部</t>
        </is>
      </c>
      <c r="G352" s="209" t="inlineStr">
        <is>
          <t>工作方案</t>
        </is>
      </c>
      <c r="H352" s="210" t="inlineStr">
        <is>
          <t>明确减缓</t>
        </is>
      </c>
      <c r="I352" s="211" t="inlineStr">
        <is>
          <t>C.5</t>
        </is>
      </c>
      <c r="J352" s="208" t="inlineStr">
        <is>
          <t>-</t>
        </is>
      </c>
      <c r="K352" s="211" t="inlineStr">
        <is>
          <t>无目标</t>
        </is>
      </c>
      <c r="L352" s="209" t="inlineStr">
        <is>
          <t>HTM</t>
        </is>
      </c>
      <c r="M352" s="209" t="inlineStr">
        <is>
          <t>中文</t>
        </is>
      </c>
      <c r="N352" s="203" t="inlineStr">
        <is>
          <t>http://www.moe.gov.cn/srcsite/A08/s7056/202205/t20220506_625229.html</t>
        </is>
      </c>
    </row>
    <row r="353">
      <c r="B353" s="198" t="inlineStr">
        <is>
          <t>AP2202</t>
        </is>
      </c>
      <c r="C353" s="208" t="n">
        <v>2022</v>
      </c>
      <c r="D353" s="226" t="inlineStr">
        <is>
          <t>能源碳达峰碳中和标准化提升行动计划</t>
        </is>
      </c>
      <c r="E353" s="210" t="inlineStr">
        <is>
          <t>Action Plan for Standardizing Energy Carbon Peaking and Carbon Neutrality</t>
        </is>
      </c>
      <c r="F353" s="209" t="inlineStr">
        <is>
          <t>国家能源局；国家市场监督管理总局</t>
        </is>
      </c>
      <c r="G353" s="209" t="inlineStr">
        <is>
          <t>行动计划</t>
        </is>
      </c>
      <c r="H353" s="210" t="inlineStr">
        <is>
          <t>明确减缓</t>
        </is>
      </c>
      <c r="I353" s="211" t="inlineStr">
        <is>
          <t>C.3</t>
        </is>
      </c>
      <c r="J353" s="208" t="inlineStr">
        <is>
          <t>-</t>
        </is>
      </c>
      <c r="K353" s="211" t="inlineStr">
        <is>
          <t>无目标</t>
        </is>
      </c>
      <c r="L353" s="209" t="inlineStr">
        <is>
          <t>PDF</t>
        </is>
      </c>
      <c r="M353" s="209" t="inlineStr">
        <is>
          <t>中文</t>
        </is>
      </c>
      <c r="N353" s="203" t="inlineStr">
        <is>
          <t>https://www.nea.gov.cn/2022-10/09/c_1310668927.htm</t>
        </is>
      </c>
    </row>
    <row r="354">
      <c r="B354" s="198" t="inlineStr">
        <is>
          <t>AP2203</t>
        </is>
      </c>
      <c r="C354" s="208" t="n">
        <v>2022</v>
      </c>
      <c r="D354" s="210" t="inlineStr">
        <is>
          <t>新污染物治理行动方案</t>
        </is>
      </c>
      <c r="E354" s="210" t="inlineStr">
        <is>
          <t>Action Plan for New Pollutant Management</t>
        </is>
      </c>
      <c r="F354" s="209" t="inlineStr">
        <is>
          <t>国务院</t>
        </is>
      </c>
      <c r="G354" s="209" t="inlineStr">
        <is>
          <t>行动方案</t>
        </is>
      </c>
      <c r="H354" s="210" t="inlineStr">
        <is>
          <t>促进减缓</t>
        </is>
      </c>
      <c r="I354" s="211" t="inlineStr">
        <is>
          <t>C.3</t>
        </is>
      </c>
      <c r="J354" s="208" t="inlineStr">
        <is>
          <t>-</t>
        </is>
      </c>
      <c r="K354" s="211" t="inlineStr">
        <is>
          <t>无目标</t>
        </is>
      </c>
      <c r="L354" s="209" t="inlineStr">
        <is>
          <t>HTM</t>
        </is>
      </c>
      <c r="M354" s="209" t="inlineStr">
        <is>
          <t>中文</t>
        </is>
      </c>
      <c r="N354" s="203" t="inlineStr">
        <is>
          <t>https://www.gov.cn/zhengce/content/2022-05/24/content_5692059.htm</t>
        </is>
      </c>
    </row>
    <row r="355">
      <c r="B355" s="198" t="inlineStr">
        <is>
          <t>AP2204</t>
        </is>
      </c>
      <c r="C355" s="208" t="n">
        <v>2022</v>
      </c>
      <c r="D355" s="210" t="inlineStr">
        <is>
          <t>工业能效提升行动计划</t>
        </is>
      </c>
      <c r="E355" s="210" t="inlineStr">
        <is>
          <t>Action Plan for Industrial Energy Efficiency Improvement</t>
        </is>
      </c>
      <c r="F355" s="209" t="inlineStr">
        <is>
          <t>工业和信息化部；国家发展和改革委员会；财政部；生态环境部；中国人民银行；国务院国有资产监督管理委员会；国家市场监督管理总局</t>
        </is>
      </c>
      <c r="G355" s="209" t="inlineStr">
        <is>
          <t>行动计划</t>
        </is>
      </c>
      <c r="H355" s="210" t="inlineStr">
        <is>
          <t>促进减缓</t>
        </is>
      </c>
      <c r="I355" s="211" t="inlineStr">
        <is>
          <t>B.2</t>
        </is>
      </c>
      <c r="J355" s="208" t="inlineStr">
        <is>
          <t>-</t>
        </is>
      </c>
      <c r="K355" s="211" t="inlineStr">
        <is>
          <t>无目标</t>
        </is>
      </c>
      <c r="L355" s="209" t="inlineStr">
        <is>
          <t>PDF</t>
        </is>
      </c>
      <c r="M355" s="209" t="inlineStr">
        <is>
          <t>中文</t>
        </is>
      </c>
      <c r="N355" s="203" t="inlineStr">
        <is>
          <t>https://www.gov.cn/zhengce/zhengceku/2022-06/29/content_5698410.htm</t>
        </is>
      </c>
    </row>
    <row r="356">
      <c r="B356" s="198" t="inlineStr">
        <is>
          <t>AP2205</t>
        </is>
      </c>
      <c r="C356" s="208" t="n">
        <v>2022</v>
      </c>
      <c r="D356" s="210" t="inlineStr">
        <is>
          <t>加快推进公路沿线充电基础设施建设行动方案</t>
        </is>
      </c>
      <c r="E356" s="210" t="inlineStr">
        <is>
          <t>Action Plan to Accelerate the Construction of Charging Infrastructure Along Highways</t>
        </is>
      </c>
      <c r="F356" s="209" t="inlineStr">
        <is>
          <t>交通运输部；国家能源局；国家电网有限公司；中国南方电网有限责任公司</t>
        </is>
      </c>
      <c r="G356" s="209" t="inlineStr">
        <is>
          <t>行动方案</t>
        </is>
      </c>
      <c r="H356" s="210" t="inlineStr">
        <is>
          <t>促进减缓</t>
        </is>
      </c>
      <c r="I356" s="211" t="inlineStr">
        <is>
          <t>B.3, B.4</t>
        </is>
      </c>
      <c r="J356" s="208" t="inlineStr">
        <is>
          <t>-</t>
        </is>
      </c>
      <c r="K356" s="211" t="inlineStr">
        <is>
          <t>无目标</t>
        </is>
      </c>
      <c r="L356" s="209" t="inlineStr">
        <is>
          <t>HTM</t>
        </is>
      </c>
      <c r="M356" s="209" t="inlineStr">
        <is>
          <t>中文</t>
        </is>
      </c>
      <c r="N356" s="203" t="inlineStr">
        <is>
          <t>https://xxgk.mot.gov.cn/2020/jigou/glj/202208/t20220825_3670513.html</t>
        </is>
      </c>
    </row>
    <row r="357">
      <c r="B357" s="198" t="inlineStr">
        <is>
          <t>AP2206</t>
        </is>
      </c>
      <c r="C357" s="208" t="n">
        <v>2022</v>
      </c>
      <c r="D357" s="210" t="inlineStr">
        <is>
          <t>焦化行业碳达峰碳中和行动方案</t>
        </is>
      </c>
      <c r="E357" s="210" t="inlineStr">
        <is>
          <t>Action Plan for Carbon Peaking and Carbon Neutrality in the Coking Sector</t>
        </is>
      </c>
      <c r="F357" s="209" t="inlineStr">
        <is>
          <t>中国炼焦行业协会</t>
        </is>
      </c>
      <c r="G357" s="209" t="inlineStr">
        <is>
          <t>行动方案</t>
        </is>
      </c>
      <c r="H357" s="210" t="inlineStr">
        <is>
          <t>明确减缓</t>
        </is>
      </c>
      <c r="I357" s="211" t="inlineStr">
        <is>
          <t>B.2</t>
        </is>
      </c>
      <c r="J357" s="208" t="inlineStr">
        <is>
          <t>-</t>
        </is>
      </c>
      <c r="K357" s="211" t="inlineStr">
        <is>
          <t>含目标</t>
        </is>
      </c>
      <c r="L357" s="209" t="inlineStr">
        <is>
          <t>PDF</t>
        </is>
      </c>
      <c r="M357" s="209" t="inlineStr">
        <is>
          <t>中文</t>
        </is>
      </c>
      <c r="N357" s="203" t="inlineStr">
        <is>
          <t>http://www.cnljxh.com/news/show.php?id=470</t>
        </is>
      </c>
    </row>
    <row r="358">
      <c r="B358" s="198" t="inlineStr">
        <is>
          <t>AP2208</t>
        </is>
      </c>
      <c r="C358" s="208" t="n">
        <v>2022</v>
      </c>
      <c r="D358" s="210" t="inlineStr">
        <is>
          <t>加快电力装备绿色低碳创新发展行动计划</t>
        </is>
      </c>
      <c r="E358" s="210" t="inlineStr">
        <is>
          <t>Action Plan to Accelerate the Development of Green and Low-carbon Innovation in Power Equipment</t>
        </is>
      </c>
      <c r="F358" s="209" t="inlineStr">
        <is>
          <t>工业和信息化部；财政部；商务部；国务院国有资产监督管理委员会；国家市场监督管理总局</t>
        </is>
      </c>
      <c r="G358" s="209" t="inlineStr">
        <is>
          <t>行动计划</t>
        </is>
      </c>
      <c r="H358" s="210" t="inlineStr">
        <is>
          <t>明确减缓</t>
        </is>
      </c>
      <c r="I358" s="211" t="inlineStr">
        <is>
          <t>B.1, C.1</t>
        </is>
      </c>
      <c r="J358" s="208" t="inlineStr">
        <is>
          <t>-</t>
        </is>
      </c>
      <c r="K358" s="211" t="inlineStr">
        <is>
          <t>无目标</t>
        </is>
      </c>
      <c r="L358" s="209" t="inlineStr">
        <is>
          <t>HTM</t>
        </is>
      </c>
      <c r="M358" s="209" t="inlineStr">
        <is>
          <t>中文</t>
        </is>
      </c>
      <c r="N358" s="203" t="inlineStr">
        <is>
          <t>https://www.miit.gov.cn/zwgk/zcwj/wjfb/tz/art/2022/art_4ccbd89465cc4336b88b19a02bbf473b.html</t>
        </is>
      </c>
    </row>
    <row r="359">
      <c r="B359" s="198" t="inlineStr">
        <is>
          <t>AP2209</t>
        </is>
      </c>
      <c r="C359" s="208" t="n">
        <v>2022</v>
      </c>
      <c r="D359" s="210" t="inlineStr">
        <is>
          <t>信息通信行业绿色低碳发展行动计划（2022-2025 年）</t>
        </is>
      </c>
      <c r="E359" s="210" t="inlineStr">
        <is>
          <t>Action Plan for Green and Low-Carbon Development of the Information and Communication Industry (2022-2025)</t>
        </is>
      </c>
      <c r="F359" s="209" t="inlineStr">
        <is>
          <t>工业和信息化部；国家发展和改革委员会；财政部；生态环境部；住房和城乡建设部；国务院国有资产监督管理委员会；国家能源局</t>
        </is>
      </c>
      <c r="G359" s="209" t="inlineStr">
        <is>
          <t>行动计划</t>
        </is>
      </c>
      <c r="H359" s="210" t="inlineStr">
        <is>
          <t>明确减缓</t>
        </is>
      </c>
      <c r="I359" s="211" t="inlineStr">
        <is>
          <t>B.2</t>
        </is>
      </c>
      <c r="J359" s="208" t="inlineStr">
        <is>
          <t>2022-2025</t>
        </is>
      </c>
      <c r="K359" s="211" t="inlineStr">
        <is>
          <t>无目标</t>
        </is>
      </c>
      <c r="L359" s="209" t="inlineStr">
        <is>
          <t>PDF</t>
        </is>
      </c>
      <c r="M359" s="209" t="inlineStr">
        <is>
          <t>中文</t>
        </is>
      </c>
      <c r="N359" s="203" t="inlineStr">
        <is>
          <t>https://www.miit.gov.cn/zwgk/zcwj/wjfb/tz/art/2022/art_a6e264bf71ed44549904c9e27aeba472.html</t>
        </is>
      </c>
    </row>
    <row r="360">
      <c r="B360" s="198" t="inlineStr">
        <is>
          <t>AP2210</t>
        </is>
      </c>
      <c r="C360" s="208" t="n">
        <v>2022</v>
      </c>
      <c r="D360" s="210" t="inlineStr">
        <is>
          <t>到2025年化学农药减量化行动方案</t>
        </is>
      </c>
      <c r="E360" s="210" t="inlineStr">
        <is>
          <t>Action Plan for the Reduction of Chemical Pesticides by 2025</t>
        </is>
      </c>
      <c r="F360" s="209" t="inlineStr">
        <is>
          <t>农业农村部</t>
        </is>
      </c>
      <c r="G360" s="209" t="inlineStr">
        <is>
          <t>行动方案</t>
        </is>
      </c>
      <c r="H360" s="210" t="inlineStr">
        <is>
          <t>经济规划（含气候）</t>
        </is>
      </c>
      <c r="I360" s="211" t="inlineStr">
        <is>
          <t>D.3</t>
        </is>
      </c>
      <c r="J360" s="208" t="inlineStr">
        <is>
          <t>2022-2025</t>
        </is>
      </c>
      <c r="K360" s="211" t="inlineStr">
        <is>
          <t>无目标</t>
        </is>
      </c>
      <c r="L360" s="209" t="inlineStr">
        <is>
          <t>PDF</t>
        </is>
      </c>
      <c r="M360" s="209" t="inlineStr">
        <is>
          <t>中文</t>
        </is>
      </c>
      <c r="N360" s="203" t="inlineStr">
        <is>
          <t>http://www.moa.gov.cn/govpublic/ZZYGLS/202212/t20221201_6416398.htm</t>
        </is>
      </c>
    </row>
    <row r="361">
      <c r="B361" s="198" t="inlineStr">
        <is>
          <t>AP2211</t>
        </is>
      </c>
      <c r="C361" s="208" t="n">
        <v>2022</v>
      </c>
      <c r="D361" s="210" t="inlineStr">
        <is>
          <t>深入打好重污染天气消除、臭氧污染防治和柴油货车污染治理攻坚战行动方案</t>
        </is>
      </c>
      <c r="E361" s="210" t="inlineStr">
        <is>
          <t>Action Plan for Deepening the Campaign to Eliminate Heavy Pollution Weather, Prevent and Control Ozone Pollution, and Control Diesel Truck Pollution</t>
        </is>
      </c>
      <c r="F361" s="209" t="inlineStr">
        <is>
          <t>生态环境部；国家发展和改革委员会；工业和信息化部；财政部；交通运输部</t>
        </is>
      </c>
      <c r="G361" s="209" t="inlineStr">
        <is>
          <t>行动方案</t>
        </is>
      </c>
      <c r="H361" s="210" t="inlineStr">
        <is>
          <t>促进减缓</t>
        </is>
      </c>
      <c r="I361" s="211" t="inlineStr">
        <is>
          <t>D.1</t>
        </is>
      </c>
      <c r="J361" s="208" t="inlineStr">
        <is>
          <t>-</t>
        </is>
      </c>
      <c r="K361" s="211" t="inlineStr">
        <is>
          <t>无目标</t>
        </is>
      </c>
      <c r="L361" s="209" t="inlineStr">
        <is>
          <t>HTM</t>
        </is>
      </c>
      <c r="M361" s="209" t="inlineStr">
        <is>
          <t>中文</t>
        </is>
      </c>
      <c r="N361" s="203" t="inlineStr">
        <is>
          <t>https://www.mee.gov.cn/xxgk2018/xxgk/xxgk03/202211/t20221116_1005042.html</t>
        </is>
      </c>
    </row>
    <row r="362">
      <c r="B362" s="198" t="inlineStr">
        <is>
          <t>AP2213</t>
        </is>
      </c>
      <c r="C362" s="208" t="n">
        <v>2022</v>
      </c>
      <c r="D362" s="210" t="inlineStr">
        <is>
          <t>工业水效提升行动计划</t>
        </is>
      </c>
      <c r="E362" s="210" t="inlineStr">
        <is>
          <t>Action Plan for Industrial Water Efficiency Improvement</t>
        </is>
      </c>
      <c r="F362" s="209" t="inlineStr">
        <is>
          <t>工业和信息化部；水利部；国家发展和改革委员会；财政部；住房和城乡建设部；国家市场监督管理总局</t>
        </is>
      </c>
      <c r="G362" s="209" t="inlineStr">
        <is>
          <t>行动计划</t>
        </is>
      </c>
      <c r="H362" s="210" t="inlineStr">
        <is>
          <t>促进减缓</t>
        </is>
      </c>
      <c r="I362" s="211" t="inlineStr">
        <is>
          <t>D.3</t>
        </is>
      </c>
      <c r="J362" s="208" t="inlineStr">
        <is>
          <t>-</t>
        </is>
      </c>
      <c r="K362" s="209" t="inlineStr">
        <is>
          <t>无目标</t>
        </is>
      </c>
      <c r="L362" s="209" t="inlineStr">
        <is>
          <t>PDF</t>
        </is>
      </c>
      <c r="M362" s="209" t="inlineStr">
        <is>
          <t>中文</t>
        </is>
      </c>
      <c r="N362" s="203" t="inlineStr">
        <is>
          <t>https://wap.miit.gov.cn/zwgk/zcwj/wjfb/tz/art/2022/art_cf9ca7196df7467394e580b84f82d957.html</t>
        </is>
      </c>
    </row>
    <row r="363">
      <c r="B363" s="198" t="inlineStr">
        <is>
          <t>AP2301</t>
        </is>
      </c>
      <c r="C363" s="208" t="n">
        <v>2023</v>
      </c>
      <c r="D363" s="210" t="inlineStr">
        <is>
          <t>到2025年化肥减量化行动方案</t>
        </is>
      </c>
      <c r="E363" s="210" t="inlineStr">
        <is>
          <t>Action Plan for Fertilizer Reduction by 2025</t>
        </is>
      </c>
      <c r="F363" s="209" t="inlineStr">
        <is>
          <t>农业农村部</t>
        </is>
      </c>
      <c r="G363" s="209" t="inlineStr">
        <is>
          <t>行动方案</t>
        </is>
      </c>
      <c r="H363" s="210" t="inlineStr">
        <is>
          <t>促进减缓</t>
        </is>
      </c>
      <c r="I363" s="211" t="inlineStr">
        <is>
          <t>D.3</t>
        </is>
      </c>
      <c r="J363" s="208" t="inlineStr">
        <is>
          <t>2023-2025</t>
        </is>
      </c>
      <c r="K363" s="211" t="inlineStr">
        <is>
          <t>无目标</t>
        </is>
      </c>
      <c r="L363" s="209" t="inlineStr">
        <is>
          <t>PDF</t>
        </is>
      </c>
      <c r="M363" s="209" t="inlineStr">
        <is>
          <t>中文</t>
        </is>
      </c>
      <c r="N363" s="203" t="inlineStr">
        <is>
          <t>http://www.moa.gov.cn/govpublic/ZZYGLS/202212/t20221201_6416398.htm</t>
        </is>
      </c>
    </row>
    <row r="364">
      <c r="B364" s="198" t="inlineStr">
        <is>
          <t>AP2302</t>
        </is>
      </c>
      <c r="C364" s="208" t="n">
        <v>2023</v>
      </c>
      <c r="D364" s="210" t="inlineStr">
        <is>
          <t>加快油气勘探开发与新能源融合发展行动方案（2023-2025年）</t>
        </is>
      </c>
      <c r="E364" s="210" t="inlineStr">
        <is>
          <t>Action Plan for Accelerating Oil and Gas Exploration and Developing New Energy Integration (2023-2025)</t>
        </is>
      </c>
      <c r="F364" s="209" t="inlineStr">
        <is>
          <t>国家能源局</t>
        </is>
      </c>
      <c r="G364" s="209" t="inlineStr">
        <is>
          <t>行动方案</t>
        </is>
      </c>
      <c r="H364" s="210" t="inlineStr">
        <is>
          <t>化石能源</t>
        </is>
      </c>
      <c r="I364" s="211" t="inlineStr">
        <is>
          <t>B.1</t>
        </is>
      </c>
      <c r="J364" s="208" t="inlineStr">
        <is>
          <t>2023-2025</t>
        </is>
      </c>
      <c r="K364" s="211" t="inlineStr">
        <is>
          <t>无目标</t>
        </is>
      </c>
      <c r="L364" s="209" t="inlineStr">
        <is>
          <t>HTM</t>
        </is>
      </c>
      <c r="M364" s="209" t="inlineStr">
        <is>
          <t>中文</t>
        </is>
      </c>
      <c r="N364" s="203" t="inlineStr">
        <is>
          <t>http://zfxxgk.nea.gov.cn/2023-02/27/c_1310704758.htm</t>
        </is>
      </c>
    </row>
    <row r="365">
      <c r="B365" s="198" t="inlineStr">
        <is>
          <t>AP2303</t>
        </is>
      </c>
      <c r="C365" s="208" t="n">
        <v>2023</v>
      </c>
      <c r="D365" s="210" t="inlineStr">
        <is>
          <t>绿色航空制造业发展纲要（2023-2035年）</t>
        </is>
      </c>
      <c r="E365" s="210" t="inlineStr">
        <is>
          <t>Outline of Green Aviation Manufacturing Development (2023-2035)</t>
        </is>
      </c>
      <c r="F365" s="209" t="inlineStr">
        <is>
          <t>工业和信息化部；科学技术部；财政部；中国民用航空局</t>
        </is>
      </c>
      <c r="G365" s="209" t="inlineStr">
        <is>
          <t>发展纲要</t>
        </is>
      </c>
      <c r="H365" s="210" t="inlineStr">
        <is>
          <t>明确减缓</t>
        </is>
      </c>
      <c r="I365" s="211" t="inlineStr">
        <is>
          <t>B.2, B.4</t>
        </is>
      </c>
      <c r="J365" s="208" t="inlineStr">
        <is>
          <t>2023-2025</t>
        </is>
      </c>
      <c r="K365" s="211" t="inlineStr">
        <is>
          <t>无目标</t>
        </is>
      </c>
      <c r="L365" s="209" t="inlineStr">
        <is>
          <t>PDF</t>
        </is>
      </c>
      <c r="M365" s="209" t="inlineStr">
        <is>
          <t>中文</t>
        </is>
      </c>
      <c r="N365" s="203" t="inlineStr">
        <is>
          <t>https://www.gov.cn/zhengce/zhengceku/202310/content_6908243.htm</t>
        </is>
      </c>
    </row>
    <row r="366">
      <c r="B366" s="198" t="inlineStr">
        <is>
          <t>AP2304</t>
        </is>
      </c>
      <c r="C366" s="208" t="n">
        <v>2023</v>
      </c>
      <c r="D366" s="210" t="inlineStr">
        <is>
          <t>空气质量持续改善行动计划</t>
        </is>
      </c>
      <c r="E366" s="210" t="inlineStr">
        <is>
          <t>Action Plan for Continuous Improvement of Air Quality</t>
        </is>
      </c>
      <c r="F366" s="209" t="inlineStr">
        <is>
          <t>国务院</t>
        </is>
      </c>
      <c r="G366" s="209" t="inlineStr">
        <is>
          <t>行动计划</t>
        </is>
      </c>
      <c r="H366" s="210" t="inlineStr">
        <is>
          <t>促进减缓</t>
        </is>
      </c>
      <c r="I366" s="211" t="inlineStr">
        <is>
          <t>D.1</t>
        </is>
      </c>
      <c r="J366" s="208" t="inlineStr">
        <is>
          <t>-</t>
        </is>
      </c>
      <c r="K366" s="211" t="inlineStr">
        <is>
          <t>含目标</t>
        </is>
      </c>
      <c r="L366" s="209" t="inlineStr">
        <is>
          <t>HTM</t>
        </is>
      </c>
      <c r="M366" s="209" t="inlineStr">
        <is>
          <t>中文</t>
        </is>
      </c>
      <c r="N366" s="203" t="inlineStr">
        <is>
          <t>https://news.cctv.com/2023/12/07/ARTI5j8uPTZp7Wao7t5jeCg0231207.shtml</t>
        </is>
      </c>
    </row>
    <row r="367">
      <c r="B367" s="198" t="inlineStr">
        <is>
          <t>AP2305</t>
        </is>
      </c>
      <c r="C367" s="208" t="n">
        <v>2023</v>
      </c>
      <c r="D367" s="210" t="inlineStr">
        <is>
          <t>甲烷排放控制行动方案</t>
        </is>
      </c>
      <c r="E367" s="210" t="inlineStr">
        <is>
          <t>Action Plan for the Control of Methane Emissions</t>
        </is>
      </c>
      <c r="F367" s="209" t="inlineStr">
        <is>
          <t>生态环境部；国家发展和改革委员会；工业和信息化部；自然资源部；住房和城乡建设部；交通运输部；农业农村部；国家能源局；国家林业和草原局</t>
        </is>
      </c>
      <c r="G367" s="209" t="inlineStr">
        <is>
          <t>行动方案</t>
        </is>
      </c>
      <c r="H367" s="210" t="inlineStr">
        <is>
          <t>明确减缓</t>
        </is>
      </c>
      <c r="I367" s="211" t="inlineStr">
        <is>
          <t>B.5</t>
        </is>
      </c>
      <c r="J367" s="208" t="inlineStr">
        <is>
          <t>-</t>
        </is>
      </c>
      <c r="K367" s="211" t="inlineStr">
        <is>
          <t>无目标</t>
        </is>
      </c>
      <c r="L367" s="209" t="inlineStr">
        <is>
          <t>HTM</t>
        </is>
      </c>
      <c r="M367" s="209" t="inlineStr">
        <is>
          <t>中文</t>
        </is>
      </c>
      <c r="N367" s="203" t="inlineStr">
        <is>
          <t>https://www.mee.gov.cn/xxgk2018/xxgk/xxgk03/202311/t20231107_1055437.html</t>
        </is>
      </c>
    </row>
    <row r="368">
      <c r="B368" s="198" t="inlineStr">
        <is>
          <t>AP2306</t>
        </is>
      </c>
      <c r="C368" s="208" t="n">
        <v>2023</v>
      </c>
      <c r="D368" s="210" t="inlineStr">
        <is>
          <t>深入推进快递包装绿色转型行动方案</t>
        </is>
      </c>
      <c r="E368" s="210" t="inlineStr">
        <is>
          <t>Action Plan for Advancing the Green Transformation of Express Packaging</t>
        </is>
      </c>
      <c r="F368" s="209" t="inlineStr">
        <is>
          <t>国家发展和改革委员会；国家邮政局；工业和信息化部；财政部；住房和城乡建设部；商务部；国家市场监督管理总局；最高人民检察院</t>
        </is>
      </c>
      <c r="G368" s="209" t="inlineStr">
        <is>
          <t>行动方案</t>
        </is>
      </c>
      <c r="H368" s="210" t="inlineStr">
        <is>
          <t>明确减缓</t>
        </is>
      </c>
      <c r="I368" s="211" t="inlineStr">
        <is>
          <t>B.4</t>
        </is>
      </c>
      <c r="J368" s="208" t="inlineStr">
        <is>
          <t>-</t>
        </is>
      </c>
      <c r="K368" s="211" t="inlineStr">
        <is>
          <t>无目标</t>
        </is>
      </c>
      <c r="L368" s="209" t="inlineStr">
        <is>
          <t>HTM</t>
        </is>
      </c>
      <c r="M368" s="209" t="inlineStr">
        <is>
          <t>中文</t>
        </is>
      </c>
      <c r="N368" s="203" t="inlineStr">
        <is>
          <t>https://www.ndrc.gov.cn/xxgk/zcfb/tz/202312/t20231215_1362653.html</t>
        </is>
      </c>
    </row>
    <row r="369">
      <c r="B369" s="198" t="inlineStr">
        <is>
          <t>AP2307</t>
        </is>
      </c>
      <c r="C369" s="208" t="n">
        <v>2023</v>
      </c>
      <c r="D369" s="210" t="inlineStr">
        <is>
          <t>船舶制造业绿色发展行动纲要（2024—2030年）</t>
        </is>
      </c>
      <c r="E369" s="210" t="inlineStr">
        <is>
          <t>Action Outline for Green Development of the Shipbuilding Industry (2024-2030)</t>
        </is>
      </c>
      <c r="F369" s="209" t="inlineStr">
        <is>
          <t>工业和信息化部；国家发展和改革委员会；财政部；生态环境部；交通运输部</t>
        </is>
      </c>
      <c r="G369" s="209" t="inlineStr">
        <is>
          <t>行动纲要</t>
        </is>
      </c>
      <c r="H369" s="210" t="inlineStr">
        <is>
          <t>明确减缓</t>
        </is>
      </c>
      <c r="I369" s="211" t="inlineStr">
        <is>
          <t>B.2, B.4</t>
        </is>
      </c>
      <c r="J369" s="208" t="inlineStr">
        <is>
          <t>2024-2030</t>
        </is>
      </c>
      <c r="K369" s="211" t="inlineStr">
        <is>
          <t>无目标</t>
        </is>
      </c>
      <c r="L369" s="209" t="inlineStr">
        <is>
          <t>PDF</t>
        </is>
      </c>
      <c r="M369" s="209" t="inlineStr">
        <is>
          <t>中文</t>
        </is>
      </c>
      <c r="N369" s="203" t="inlineStr">
        <is>
          <t>https://www.gov.cn/zhengce/zhengceku/202312/content_6923175.htm</t>
        </is>
      </c>
    </row>
    <row r="370">
      <c r="B370" s="198" t="inlineStr">
        <is>
          <t>AP2308</t>
        </is>
      </c>
      <c r="C370" s="208" t="n">
        <v>2023</v>
      </c>
      <c r="D370" s="210" t="inlineStr">
        <is>
          <t>加快建设交通强国五年行动计划（2023—2027 年）</t>
        </is>
      </c>
      <c r="E370" s="210" t="inlineStr">
        <is>
          <t>Five Year Action Plan for Accelerating the Construction of a Strong Transportation Country (2023-2027)</t>
        </is>
      </c>
      <c r="F370" s="209" t="inlineStr">
        <is>
          <t>交通运输部；国家铁路局；中国民用航空局；国家邮政局；中国国家铁路集团有限公司</t>
        </is>
      </c>
      <c r="G370" s="209" t="inlineStr">
        <is>
          <t>行动计划</t>
        </is>
      </c>
      <c r="H370" s="210" t="inlineStr">
        <is>
          <t>经济规划（含气候）</t>
        </is>
      </c>
      <c r="I370" s="211" t="inlineStr">
        <is>
          <t>B.4</t>
        </is>
      </c>
      <c r="J370" s="208" t="inlineStr">
        <is>
          <t>2023-2027</t>
        </is>
      </c>
      <c r="K370" s="211" t="inlineStr">
        <is>
          <t>无目标</t>
        </is>
      </c>
      <c r="L370" s="209" t="inlineStr">
        <is>
          <t>HTM</t>
        </is>
      </c>
      <c r="M370" s="209" t="inlineStr">
        <is>
          <t>中文</t>
        </is>
      </c>
      <c r="N370" s="203" t="inlineStr">
        <is>
          <t>https://www.kczg.org.cn/rules/detail?id=6241327</t>
        </is>
      </c>
    </row>
    <row r="371">
      <c r="B371" s="198" t="inlineStr">
        <is>
          <t>AP2402</t>
        </is>
      </c>
      <c r="C371" s="208" t="n">
        <v>2024</v>
      </c>
      <c r="D371" s="210" t="inlineStr">
        <is>
          <t>推动大规模设备更新和消费品以旧换新行动方案</t>
        </is>
      </c>
      <c r="E371" s="210" t="inlineStr">
        <is>
          <t>Action Plan for Promoting Large-scale Equipment Renewals and Trade-ins of Consumer Goods (State Council)</t>
        </is>
      </c>
      <c r="F371" s="209" t="inlineStr">
        <is>
          <t>国务院</t>
        </is>
      </c>
      <c r="G371" s="209" t="inlineStr">
        <is>
          <t>行动方案</t>
        </is>
      </c>
      <c r="H371" s="210" t="inlineStr">
        <is>
          <t>促进减缓</t>
        </is>
      </c>
      <c r="I371" s="211" t="inlineStr">
        <is>
          <t>C.4</t>
        </is>
      </c>
      <c r="J371" s="208" t="inlineStr">
        <is>
          <t>-</t>
        </is>
      </c>
      <c r="K371" s="211" t="inlineStr">
        <is>
          <t>无目标</t>
        </is>
      </c>
      <c r="L371" s="209" t="inlineStr">
        <is>
          <t>HTM</t>
        </is>
      </c>
      <c r="M371" s="209" t="inlineStr">
        <is>
          <t>中文</t>
        </is>
      </c>
      <c r="N371" s="203" t="inlineStr">
        <is>
          <t>https://www.gov.cn/zhengce/content/202403/content_6939232.htm</t>
        </is>
      </c>
    </row>
    <row r="372">
      <c r="B372" s="198" t="inlineStr">
        <is>
          <t>AP2403</t>
        </is>
      </c>
      <c r="C372" s="208" t="n">
        <v>2024</v>
      </c>
      <c r="D372" s="210" t="inlineStr">
        <is>
          <t>推动消费品以旧换新行动方案</t>
        </is>
      </c>
      <c r="E372" s="210" t="inlineStr">
        <is>
          <t>Action Plan for Accelerating the Replacement of Consumer Goods</t>
        </is>
      </c>
      <c r="F372" s="209" t="inlineStr">
        <is>
          <t>商务部；国家发展和改革委员会；工业和信息化部；公安部；民政部；财政部；自然资源部；生态环境部；住房和城乡建设部；交通运输部；中国人民银行；国家税务总局；国家市场监督管理总局；国家金融监督管理总局</t>
        </is>
      </c>
      <c r="G372" s="209" t="inlineStr">
        <is>
          <t>行动方案</t>
        </is>
      </c>
      <c r="H372" s="210" t="inlineStr">
        <is>
          <t>促进减缓</t>
        </is>
      </c>
      <c r="I372" s="211" t="inlineStr">
        <is>
          <t>C.4</t>
        </is>
      </c>
      <c r="J372" s="208" t="inlineStr">
        <is>
          <t>-</t>
        </is>
      </c>
      <c r="K372" s="211" t="inlineStr">
        <is>
          <t>含目标</t>
        </is>
      </c>
      <c r="L372" s="209" t="inlineStr">
        <is>
          <t>HTM</t>
        </is>
      </c>
      <c r="M372" s="209" t="inlineStr">
        <is>
          <t>中文</t>
        </is>
      </c>
      <c r="N372" s="203" t="inlineStr">
        <is>
          <t>https://www.gov.cn/zhengce/zhengceku/202404/content_6945069.htm</t>
        </is>
      </c>
    </row>
    <row r="373">
      <c r="B373" s="198" t="inlineStr">
        <is>
          <t>AP2404</t>
        </is>
      </c>
      <c r="C373" s="208" t="n">
        <v>2024</v>
      </c>
      <c r="D373" s="210" t="inlineStr">
        <is>
          <t>交通运输大规模设备更新行动方案</t>
        </is>
      </c>
      <c r="E373" s="210" t="inlineStr">
        <is>
          <t>Action Plan for Large-scale Equipment Renewals in Transportation Sector</t>
        </is>
      </c>
      <c r="F373" s="209" t="inlineStr">
        <is>
          <t>交通运输部；国家发展和改革委员会；工业和信息化部；公安部；财政部；生态环境部；商务部；中国人民银行；国家市场监督管理总局；国家金融监督管理总局；国家能源局；国家铁路局；国家邮政局</t>
        </is>
      </c>
      <c r="G373" s="209" t="inlineStr">
        <is>
          <t>行动方案</t>
        </is>
      </c>
      <c r="H373" s="210" t="inlineStr">
        <is>
          <t>促进减缓</t>
        </is>
      </c>
      <c r="I373" s="211" t="inlineStr">
        <is>
          <t>B.4</t>
        </is>
      </c>
      <c r="J373" s="208" t="inlineStr">
        <is>
          <t>-</t>
        </is>
      </c>
      <c r="K373" s="211" t="inlineStr">
        <is>
          <t>无目标</t>
        </is>
      </c>
      <c r="L373" s="209" t="inlineStr">
        <is>
          <t>HTM</t>
        </is>
      </c>
      <c r="M373" s="209" t="inlineStr">
        <is>
          <t>中文</t>
        </is>
      </c>
      <c r="N373" s="203" t="inlineStr">
        <is>
          <t>https://www.ndrc.gov.cn/xwdt/ztzl/tddgmsbgxhxfpyjhx/gzdt/202407/t20240718_1391800.html</t>
        </is>
      </c>
    </row>
    <row r="374">
      <c r="B374" s="198" t="inlineStr">
        <is>
          <t>AP2405</t>
        </is>
      </c>
      <c r="C374" s="208" t="n">
        <v>2024</v>
      </c>
      <c r="D374" s="210" t="inlineStr">
        <is>
          <t>2024—2025年节能降碳行动方案</t>
        </is>
      </c>
      <c r="E374" s="210" t="inlineStr">
        <is>
          <t>2024-2025 Action Plan for Energy Conservation and Carbon Emissions Reduction</t>
        </is>
      </c>
      <c r="F374" s="209" t="inlineStr">
        <is>
          <t>国务院</t>
        </is>
      </c>
      <c r="G374" s="209" t="inlineStr">
        <is>
          <t>行动方案</t>
        </is>
      </c>
      <c r="H374" s="210" t="inlineStr">
        <is>
          <t>明确减缓</t>
        </is>
      </c>
      <c r="I374" s="211" t="inlineStr">
        <is>
          <t>A</t>
        </is>
      </c>
      <c r="J374" s="208" t="inlineStr">
        <is>
          <t>2024-2025</t>
        </is>
      </c>
      <c r="K374" s="211" t="inlineStr">
        <is>
          <t>含目标</t>
        </is>
      </c>
      <c r="L374" s="209" t="inlineStr">
        <is>
          <t>HTM</t>
        </is>
      </c>
      <c r="M374" s="209" t="inlineStr">
        <is>
          <t>中文</t>
        </is>
      </c>
      <c r="N374" s="203" t="inlineStr">
        <is>
          <t>https://www.gov.cn/zhengce/content/202405/content_6954322.htm</t>
        </is>
      </c>
    </row>
    <row r="375">
      <c r="B375" s="198" t="inlineStr">
        <is>
          <t>AP2406</t>
        </is>
      </c>
      <c r="C375" s="208" t="n">
        <v>2024</v>
      </c>
      <c r="D375" s="210" t="inlineStr">
        <is>
          <t>煤电低碳化改造建设行动方案(2024—2027年)</t>
        </is>
      </c>
      <c r="E375" s="210" t="inlineStr">
        <is>
          <t>Action Plan for Low-Carbon Transformation and Construction of Coal Power (2024-2027)</t>
        </is>
      </c>
      <c r="F375" s="209" t="inlineStr">
        <is>
          <t>国家发展和改革委员会；国家能源局</t>
        </is>
      </c>
      <c r="G375" s="209" t="inlineStr">
        <is>
          <t>行动方案</t>
        </is>
      </c>
      <c r="H375" s="210" t="inlineStr">
        <is>
          <t>化石能源</t>
        </is>
      </c>
      <c r="I375" s="211" t="inlineStr">
        <is>
          <t>B.1</t>
        </is>
      </c>
      <c r="J375" s="208" t="inlineStr">
        <is>
          <t>2024-2027</t>
        </is>
      </c>
      <c r="K375" s="211" t="inlineStr">
        <is>
          <t>含目标</t>
        </is>
      </c>
      <c r="L375" s="209" t="inlineStr">
        <is>
          <t>PDF</t>
        </is>
      </c>
      <c r="M375" s="209" t="inlineStr">
        <is>
          <t>中文</t>
        </is>
      </c>
      <c r="N375" s="203" t="inlineStr">
        <is>
          <t>https://www.ndrc.gov.cn/xxgk/zcfb/tz/202407/t20240715_1391663.html</t>
        </is>
      </c>
    </row>
    <row r="376">
      <c r="B376" s="198" t="inlineStr">
        <is>
          <t>AP2407</t>
        </is>
      </c>
      <c r="C376" s="208" t="n">
        <v>2024</v>
      </c>
      <c r="D376" s="210" t="inlineStr">
        <is>
          <t>加快构建新型电力系统行动方案(2024—2027年)</t>
        </is>
      </c>
      <c r="E376" s="210" t="inlineStr">
        <is>
          <t>Action Plan for Accelerating the Construction of a New Type of Power System (2024-2027)</t>
        </is>
      </c>
      <c r="F376" s="209" t="inlineStr">
        <is>
          <t>国家发展和改革委员会；国家能源局；国家数据局</t>
        </is>
      </c>
      <c r="G376" s="209" t="inlineStr">
        <is>
          <t>行动方案</t>
        </is>
      </c>
      <c r="H376" s="210" t="inlineStr">
        <is>
          <t>经济规划（含气候）</t>
        </is>
      </c>
      <c r="I376" s="211" t="inlineStr">
        <is>
          <t>B.1</t>
        </is>
      </c>
      <c r="J376" s="208" t="inlineStr">
        <is>
          <t>2024-2027</t>
        </is>
      </c>
      <c r="K376" s="211" t="inlineStr">
        <is>
          <t>无目标</t>
        </is>
      </c>
      <c r="L376" s="209" t="inlineStr">
        <is>
          <t>HTM</t>
        </is>
      </c>
      <c r="M376" s="209" t="inlineStr">
        <is>
          <t>中文</t>
        </is>
      </c>
      <c r="N376" s="203" t="inlineStr">
        <is>
          <t>https://www.ndrc.gov.cn/xwdt/tzgg/202408/t20240806_1392260.html</t>
        </is>
      </c>
    </row>
    <row r="377">
      <c r="B377" s="198" t="inlineStr">
        <is>
          <t>AP2408</t>
        </is>
      </c>
      <c r="C377" s="208" t="n">
        <v>2024</v>
      </c>
      <c r="D377" s="210" t="inlineStr">
        <is>
          <t>标准提升引领原材料工业优化升级行动方案（2025—2027 年）</t>
        </is>
      </c>
      <c r="E377" s="210" t="inlineStr">
        <is>
          <t>Action Plan for Upgrading and Optimizing the Raw Materials Industry through Standards Enhancement (2025–2027)</t>
        </is>
      </c>
      <c r="F377" s="209" t="inlineStr">
        <is>
          <t>工业和信息化部；生态环境部；应急管理部；国家标准化管理委员会</t>
        </is>
      </c>
      <c r="G377" s="209" t="inlineStr">
        <is>
          <t>行动方案</t>
        </is>
      </c>
      <c r="H377" s="210" t="inlineStr">
        <is>
          <t>经济规划（含气候）</t>
        </is>
      </c>
      <c r="I377" s="211" t="inlineStr">
        <is>
          <t>B.2</t>
        </is>
      </c>
      <c r="J377" s="208" t="inlineStr">
        <is>
          <t>2025-2027</t>
        </is>
      </c>
      <c r="K377" s="211" t="inlineStr">
        <is>
          <t>无目标</t>
        </is>
      </c>
      <c r="L377" s="209" t="inlineStr">
        <is>
          <t>PDF</t>
        </is>
      </c>
      <c r="M377" s="209" t="inlineStr">
        <is>
          <t>中文</t>
        </is>
      </c>
      <c r="N377" s="203" t="inlineStr">
        <is>
          <t>https://www.gov.cn/zhengce/zhengceku/202412/P020241217518293168948.pdf</t>
        </is>
      </c>
    </row>
    <row r="378">
      <c r="B378" s="198" t="inlineStr">
        <is>
          <t>AP2409</t>
        </is>
      </c>
      <c r="C378" s="208" t="n">
        <v>2024</v>
      </c>
      <c r="D378" s="210" t="inlineStr">
        <is>
          <t>钢铁行业节能降碳专项行动计划</t>
        </is>
      </c>
      <c r="E378" s="210" t="inlineStr">
        <is>
          <t>Special Action Plans for Energy Saving and Carbon Reduction for Iron and Steel</t>
        </is>
      </c>
      <c r="F378" s="209" t="inlineStr">
        <is>
          <t>国家发展和改革委员会；工业和信息化部；生态环境部；国家市场监督管理总局；国家能源局</t>
        </is>
      </c>
      <c r="G378" s="209" t="inlineStr">
        <is>
          <t>行动计划</t>
        </is>
      </c>
      <c r="H378" s="210" t="inlineStr">
        <is>
          <t>明确减缓</t>
        </is>
      </c>
      <c r="I378" s="211" t="inlineStr">
        <is>
          <t>B.2</t>
        </is>
      </c>
      <c r="J378" s="208" t="inlineStr">
        <is>
          <t>-</t>
        </is>
      </c>
      <c r="K378" s="211" t="inlineStr">
        <is>
          <t>无目标</t>
        </is>
      </c>
      <c r="L378" s="209" t="inlineStr">
        <is>
          <t>PDF</t>
        </is>
      </c>
      <c r="M378" s="209" t="inlineStr">
        <is>
          <t>中文</t>
        </is>
      </c>
      <c r="N378" s="203" t="inlineStr">
        <is>
          <t>https://www.gov.cn/zhengce/zhengceku/202406/content_6956307.htm</t>
        </is>
      </c>
    </row>
    <row r="379">
      <c r="B379" s="198" t="inlineStr">
        <is>
          <t>AP2410</t>
        </is>
      </c>
      <c r="C379" s="208" t="n">
        <v>2024</v>
      </c>
      <c r="D379" s="210" t="inlineStr">
        <is>
          <t>炼油行业节能降碳专项行动计划</t>
        </is>
      </c>
      <c r="E379" s="210" t="inlineStr">
        <is>
          <t>Special Action Plans for Energy Saving and Carbon Reduction for Oil Refining</t>
        </is>
      </c>
      <c r="F379" s="209" t="inlineStr">
        <is>
          <t>国家发展和改革委员会；工业和信息化部；生态环境部；国家市场监督管理总局；国家能源局</t>
        </is>
      </c>
      <c r="G379" s="209" t="inlineStr">
        <is>
          <t>行动计划</t>
        </is>
      </c>
      <c r="H379" s="210" t="inlineStr">
        <is>
          <t>化石能源</t>
        </is>
      </c>
      <c r="I379" s="211" t="inlineStr">
        <is>
          <t>B.2</t>
        </is>
      </c>
      <c r="J379" s="208" t="inlineStr">
        <is>
          <t>-</t>
        </is>
      </c>
      <c r="K379" s="211" t="inlineStr">
        <is>
          <t>无目标</t>
        </is>
      </c>
      <c r="L379" s="209" t="inlineStr">
        <is>
          <t>PDF</t>
        </is>
      </c>
      <c r="M379" s="209" t="inlineStr">
        <is>
          <t>中文</t>
        </is>
      </c>
      <c r="N379" s="203" t="inlineStr">
        <is>
          <t>https://www.gov.cn/zhengce/zhengceku/202406/content_6956304.htm</t>
        </is>
      </c>
    </row>
    <row r="380">
      <c r="B380" s="198" t="inlineStr">
        <is>
          <t>AP2411</t>
        </is>
      </c>
      <c r="C380" s="208" t="n">
        <v>2024</v>
      </c>
      <c r="D380" s="210" t="inlineStr">
        <is>
          <t>合成氨行业节能降碳专项行动计划</t>
        </is>
      </c>
      <c r="E380" s="210" t="inlineStr">
        <is>
          <t>Special Action Plans for Energy Saving and Carbon Reduction for Ammonia</t>
        </is>
      </c>
      <c r="F380" s="209" t="inlineStr">
        <is>
          <t>国家发展和改革委员会；工业和信息化部；生态环境部；国家市场监督管理总局；国家能源局</t>
        </is>
      </c>
      <c r="G380" s="209" t="inlineStr">
        <is>
          <t>行动计划</t>
        </is>
      </c>
      <c r="H380" s="210" t="inlineStr">
        <is>
          <t>明确减缓</t>
        </is>
      </c>
      <c r="I380" s="211" t="inlineStr">
        <is>
          <t>B.2</t>
        </is>
      </c>
      <c r="J380" s="208" t="inlineStr">
        <is>
          <t>-</t>
        </is>
      </c>
      <c r="K380" s="211" t="inlineStr">
        <is>
          <t>无目标</t>
        </is>
      </c>
      <c r="L380" s="209" t="inlineStr">
        <is>
          <t>PDF</t>
        </is>
      </c>
      <c r="M380" s="209" t="inlineStr">
        <is>
          <t>中文</t>
        </is>
      </c>
      <c r="N380" s="203" t="inlineStr">
        <is>
          <t>https://www.gov.cn/zhengce/zhengceku/202406/content_6956306.htm</t>
        </is>
      </c>
    </row>
    <row r="381">
      <c r="B381" s="198" t="inlineStr">
        <is>
          <t>AP2412</t>
        </is>
      </c>
      <c r="C381" s="208" t="n">
        <v>2024</v>
      </c>
      <c r="D381" s="210" t="inlineStr">
        <is>
          <t>水泥行业节能降碳专项行动计划</t>
        </is>
      </c>
      <c r="E381" s="210" t="inlineStr">
        <is>
          <t>Special Action Plans for Energy Saving and Carbon Reduction for Cement</t>
        </is>
      </c>
      <c r="F381" s="209" t="inlineStr">
        <is>
          <t>国家发展和改革委员会；工业和信息化部；生态环境部；国家市场监督管理总局；国家能源局</t>
        </is>
      </c>
      <c r="G381" s="209" t="inlineStr">
        <is>
          <t>行动计划</t>
        </is>
      </c>
      <c r="H381" s="210" t="inlineStr">
        <is>
          <t>明确减缓</t>
        </is>
      </c>
      <c r="I381" s="211" t="inlineStr">
        <is>
          <t>B.2</t>
        </is>
      </c>
      <c r="J381" s="208" t="inlineStr">
        <is>
          <t>-</t>
        </is>
      </c>
      <c r="K381" s="211" t="inlineStr">
        <is>
          <t>无目标</t>
        </is>
      </c>
      <c r="L381" s="209" t="inlineStr">
        <is>
          <t>PDF</t>
        </is>
      </c>
      <c r="M381" s="209" t="inlineStr">
        <is>
          <t>中文</t>
        </is>
      </c>
      <c r="N381" s="203" t="inlineStr">
        <is>
          <t>https://www.ndrc.gov.cn/xxgk/zcfb/tz/202406/t20240607_1386763.html</t>
        </is>
      </c>
    </row>
    <row r="382">
      <c r="B382" s="198" t="inlineStr">
        <is>
          <t>AP2413</t>
        </is>
      </c>
      <c r="C382" s="208" t="n">
        <v>2024</v>
      </c>
      <c r="D382" s="210" t="inlineStr">
        <is>
          <t>电解铝行业节能降碳专项行动计划</t>
        </is>
      </c>
      <c r="E382" s="210" t="inlineStr">
        <is>
          <t>Special Action Plans for Energy Saving and Carbon Reduction for Aluminum Electrolysis</t>
        </is>
      </c>
      <c r="F382" s="209" t="inlineStr">
        <is>
          <t>国家发展和改革委员会；工业和信息化部；生态环境部；国家市场监督管理总局；国家能源局</t>
        </is>
      </c>
      <c r="G382" s="209" t="inlineStr">
        <is>
          <t>行动计划</t>
        </is>
      </c>
      <c r="H382" s="210" t="inlineStr">
        <is>
          <t>明确减缓</t>
        </is>
      </c>
      <c r="I382" s="211" t="inlineStr">
        <is>
          <t>B.2</t>
        </is>
      </c>
      <c r="J382" s="208" t="inlineStr">
        <is>
          <t>-</t>
        </is>
      </c>
      <c r="K382" s="211" t="inlineStr">
        <is>
          <t>无目标</t>
        </is>
      </c>
      <c r="L382" s="209" t="inlineStr">
        <is>
          <t>HTM</t>
        </is>
      </c>
      <c r="M382" s="209" t="inlineStr">
        <is>
          <t>中文</t>
        </is>
      </c>
      <c r="N382" s="203" t="inlineStr">
        <is>
          <t>https://www.ndrc.gov.cn/xwdt/tzgg/202407/t20240723_1391888.html</t>
        </is>
      </c>
    </row>
    <row r="383" ht="14.5" customHeight="1" s="235">
      <c r="B383" s="198" t="inlineStr">
        <is>
          <t>AP2414</t>
        </is>
      </c>
      <c r="C383" s="208" t="n">
        <v>2024</v>
      </c>
      <c r="D383" s="210" t="inlineStr">
        <is>
          <t>数据中心绿色低碳发展专项行动计划</t>
        </is>
      </c>
      <c r="E383" s="210" t="inlineStr">
        <is>
          <t>Special Action Plan for Green and Low-Carbon Development of Data Centers</t>
        </is>
      </c>
      <c r="F383" s="209" t="inlineStr">
        <is>
          <t>国家发展和改革委员会；工业和信息化部；国家能源局；国家数据局</t>
        </is>
      </c>
      <c r="G383" s="209" t="inlineStr">
        <is>
          <t>行动计划</t>
        </is>
      </c>
      <c r="H383" s="210" t="inlineStr">
        <is>
          <t>明确减缓</t>
        </is>
      </c>
      <c r="I383" s="211" t="inlineStr">
        <is>
          <t>B.3</t>
        </is>
      </c>
      <c r="J383" s="208" t="inlineStr">
        <is>
          <t>-</t>
        </is>
      </c>
      <c r="K383" s="211" t="inlineStr">
        <is>
          <t>无目标</t>
        </is>
      </c>
      <c r="L383" s="209" t="inlineStr">
        <is>
          <t>PDF</t>
        </is>
      </c>
      <c r="M383" s="209" t="inlineStr">
        <is>
          <t>中文</t>
        </is>
      </c>
      <c r="N383" s="203" t="inlineStr">
        <is>
          <t>https://www.gov.cn/zhengce/zhengceku/202407/content_6964165.htm</t>
        </is>
      </c>
    </row>
    <row r="384">
      <c r="B384" s="198" t="inlineStr">
        <is>
          <t>AP2415</t>
        </is>
      </c>
      <c r="C384" s="208" t="n">
        <v>2024</v>
      </c>
      <c r="D384" s="210" t="inlineStr">
        <is>
          <t>进一步强化碳达峰碳中和标准计量体系建设行动方案（2024—2025年）</t>
        </is>
      </c>
      <c r="E384" s="210" t="inlineStr">
        <is>
          <t>Action Plan for Further Strengthening the Construction of Carbon Peak and Carbon Neutrality Standard Measurement System (2024-2025)</t>
        </is>
      </c>
      <c r="F384" s="209" t="inlineStr">
        <is>
          <t>国家发展和改革委员会；国家市场监督管理总局；生态环境部</t>
        </is>
      </c>
      <c r="G384" s="209" t="inlineStr">
        <is>
          <t>行动方案</t>
        </is>
      </c>
      <c r="H384" s="210" t="inlineStr">
        <is>
          <t>明确减缓</t>
        </is>
      </c>
      <c r="I384" s="211" t="inlineStr">
        <is>
          <t>C.3</t>
        </is>
      </c>
      <c r="J384" s="208" t="inlineStr">
        <is>
          <t>2024-2025</t>
        </is>
      </c>
      <c r="K384" s="211" t="inlineStr">
        <is>
          <t>含目标</t>
        </is>
      </c>
      <c r="L384" s="209" t="inlineStr">
        <is>
          <t>HTM</t>
        </is>
      </c>
      <c r="M384" s="209" t="inlineStr">
        <is>
          <t>中文</t>
        </is>
      </c>
      <c r="N384" s="203" t="inlineStr">
        <is>
          <t>https://www.ndrc.gov.cn/xwdt/tzgg/202408/t20240808_1392292_ext.html</t>
        </is>
      </c>
    </row>
    <row r="385">
      <c r="B385" s="198" t="inlineStr">
        <is>
          <t>AP2416</t>
        </is>
      </c>
      <c r="C385" s="208" t="n">
        <v>2024</v>
      </c>
      <c r="D385" s="210" t="inlineStr">
        <is>
          <t>中国生物多样性保护战略与行动计划（2023—2030 年）</t>
        </is>
      </c>
      <c r="E385" s="210" t="inlineStr">
        <is>
          <t>China's Biodiversity Conservation Strategy and Action Plan (2023–2030)</t>
        </is>
      </c>
      <c r="F385" s="209" t="inlineStr">
        <is>
          <t>生态环境部</t>
        </is>
      </c>
      <c r="G385" s="209" t="inlineStr">
        <is>
          <t>行动计划</t>
        </is>
      </c>
      <c r="H385" s="210" t="inlineStr">
        <is>
          <t>促进减缓</t>
        </is>
      </c>
      <c r="I385" s="211" t="inlineStr">
        <is>
          <t>D.3</t>
        </is>
      </c>
      <c r="J385" s="208" t="inlineStr">
        <is>
          <t>2023-2030</t>
        </is>
      </c>
      <c r="K385" s="211" t="inlineStr">
        <is>
          <t>含目标</t>
        </is>
      </c>
      <c r="L385" s="209" t="inlineStr">
        <is>
          <t>PDF</t>
        </is>
      </c>
      <c r="M385" s="209" t="inlineStr">
        <is>
          <t>中文</t>
        </is>
      </c>
      <c r="N385" s="203" t="inlineStr">
        <is>
          <t>https://www.mee.gov.cn/xxgk/hjyw/202401/t20240118_1064111.shtml</t>
        </is>
      </c>
    </row>
    <row r="386">
      <c r="B386" s="198" t="inlineStr">
        <is>
          <t>AP2417</t>
        </is>
      </c>
      <c r="C386" s="208" t="n">
        <v>2024</v>
      </c>
      <c r="D386" s="210" t="inlineStr">
        <is>
          <t>粮食节约和反食品浪费行动方案</t>
        </is>
      </c>
      <c r="E386" s="210" t="inlineStr">
        <is>
          <t>Action Plan for Food Conservation and Anti-Food Waste</t>
        </is>
      </c>
      <c r="F386" s="209" t="inlineStr">
        <is>
          <t>中共中央；国务院</t>
        </is>
      </c>
      <c r="G386" s="209" t="inlineStr">
        <is>
          <t>行动方案</t>
        </is>
      </c>
      <c r="H386" s="210" t="inlineStr">
        <is>
          <t>促进减缓</t>
        </is>
      </c>
      <c r="I386" s="211" t="inlineStr">
        <is>
          <t>B.5, C.4</t>
        </is>
      </c>
      <c r="J386" s="208" t="inlineStr">
        <is>
          <t>-</t>
        </is>
      </c>
      <c r="K386" s="211" t="inlineStr">
        <is>
          <t>无目标</t>
        </is>
      </c>
      <c r="L386" s="209" t="inlineStr">
        <is>
          <t>HTM</t>
        </is>
      </c>
      <c r="M386" s="209" t="inlineStr">
        <is>
          <t>中文</t>
        </is>
      </c>
      <c r="N386" s="203" t="inlineStr">
        <is>
          <t>https://www.gov.cn/zhengce/202411/content_6989264.htm</t>
        </is>
      </c>
    </row>
    <row r="387">
      <c r="B387" s="198" t="inlineStr">
        <is>
          <t>AP2501</t>
        </is>
      </c>
      <c r="C387" s="208" t="n">
        <v>2025</v>
      </c>
      <c r="D387" s="210" t="inlineStr">
        <is>
          <t>推动热泵行业高质量发展行动方案</t>
        </is>
      </c>
      <c r="E387" s="210" t="inlineStr">
        <is>
          <t>Action Plan for Promoting High-Quality Development of the Heat Pump</t>
        </is>
      </c>
      <c r="F387" s="209" t="inlineStr">
        <is>
          <t>国家发展和改革委员会；工业和信息化部；生态环境部；住房和城乡建设部；交通运输部；国家能源局</t>
        </is>
      </c>
      <c r="G387" s="209" t="inlineStr">
        <is>
          <t>行动方案</t>
        </is>
      </c>
      <c r="H387" s="210" t="inlineStr">
        <is>
          <t>促进减缓</t>
        </is>
      </c>
      <c r="I387" s="211" t="inlineStr">
        <is>
          <t>B.1, B.3</t>
        </is>
      </c>
      <c r="J387" s="208" t="inlineStr">
        <is>
          <t>-</t>
        </is>
      </c>
      <c r="K387" s="211" t="inlineStr">
        <is>
          <t>无目标</t>
        </is>
      </c>
      <c r="L387" s="209" t="inlineStr">
        <is>
          <t>PDF</t>
        </is>
      </c>
      <c r="M387" s="209" t="inlineStr">
        <is>
          <t>中文</t>
        </is>
      </c>
      <c r="N387" s="203" t="inlineStr">
        <is>
          <t>https://www.ndrc.gov.cn/xxgk/zcfb/tz/202504/t20250402_1396954.html</t>
        </is>
      </c>
    </row>
    <row r="388">
      <c r="B388" s="198" t="inlineStr">
        <is>
          <t>AP2502</t>
        </is>
      </c>
      <c r="C388" s="208" t="n">
        <v>2025</v>
      </c>
      <c r="D388" s="210" t="inlineStr">
        <is>
          <t>新型储能制造业高质量发展行动方案</t>
        </is>
      </c>
      <c r="E388" s="210" t="inlineStr">
        <is>
          <t>Action Plan for High-Quality Development of the New Energy Storage Manufacturing Industry</t>
        </is>
      </c>
      <c r="F388" s="209" t="inlineStr">
        <is>
          <t>工业和信息化部；国家发展和改革委员会；教育部；商务部；国家市场监督管理总局；国家知识产权局；国家能源局；国家消防救援局</t>
        </is>
      </c>
      <c r="G388" s="209" t="inlineStr">
        <is>
          <t>行动方案</t>
        </is>
      </c>
      <c r="H388" s="210" t="inlineStr">
        <is>
          <t>促进减缓</t>
        </is>
      </c>
      <c r="I388" s="211" t="inlineStr">
        <is>
          <t>B.1, B.2</t>
        </is>
      </c>
      <c r="J388" s="208" t="inlineStr">
        <is>
          <t>-</t>
        </is>
      </c>
      <c r="K388" s="211" t="inlineStr">
        <is>
          <t>无目标</t>
        </is>
      </c>
      <c r="L388" s="209" t="inlineStr">
        <is>
          <t>PDF</t>
        </is>
      </c>
      <c r="M388" s="209" t="inlineStr">
        <is>
          <t>中文</t>
        </is>
      </c>
      <c r="N388" s="203" t="inlineStr">
        <is>
          <t>https://www.nea.gov.cn/20250218/8b14082a18c2423ba9779882d3791d30/c.html</t>
        </is>
      </c>
    </row>
    <row r="389">
      <c r="B389" s="198" t="inlineStr">
        <is>
          <t>AP2503</t>
        </is>
      </c>
      <c r="C389" s="208" t="n">
        <v>2025</v>
      </c>
      <c r="D389" s="210" t="inlineStr">
        <is>
          <t>新型储能规模化建设专项行动方案（2025—2027 年）</t>
        </is>
      </c>
      <c r="E389" s="210" t="inlineStr">
        <is>
          <t>Special Action Plan for Large Scale Construction of New Energy Storage (2025-2027)</t>
        </is>
      </c>
      <c r="F389" s="209" t="inlineStr">
        <is>
          <t>国家发展和改革委员会；国家能源局</t>
        </is>
      </c>
      <c r="G389" s="209" t="inlineStr">
        <is>
          <t>行动方案</t>
        </is>
      </c>
      <c r="H389" s="210" t="inlineStr">
        <is>
          <t>促进减缓</t>
        </is>
      </c>
      <c r="I389" s="211" t="inlineStr">
        <is>
          <t>B.1</t>
        </is>
      </c>
      <c r="J389" s="208" t="inlineStr">
        <is>
          <t>-</t>
        </is>
      </c>
      <c r="K389" s="211" t="inlineStr">
        <is>
          <t>含目标</t>
        </is>
      </c>
      <c r="L389" s="209" t="inlineStr">
        <is>
          <t>PDF</t>
        </is>
      </c>
      <c r="M389" s="209" t="inlineStr">
        <is>
          <t>中文</t>
        </is>
      </c>
      <c r="N389" s="203" t="inlineStr">
        <is>
          <t>https://www.ndrc.gov.cn/xxgk/zcfb/tz/202509/t20250912_1400425.html</t>
        </is>
      </c>
    </row>
    <row r="390">
      <c r="B390" s="198" t="inlineStr">
        <is>
          <t>AP2504</t>
        </is>
      </c>
      <c r="C390" s="208" t="n">
        <v>2025</v>
      </c>
      <c r="D390" s="210" t="inlineStr">
        <is>
          <t>工业领域氧化亚氮排放控制行动方案</t>
        </is>
      </c>
      <c r="E390" s="210" t="inlineStr">
        <is>
          <t>Action Plan for Controlling Nitrous Oxide Emissions in the Industrial Sector</t>
        </is>
      </c>
      <c r="F390" s="209" t="inlineStr">
        <is>
          <t>生态环境部；国家发展和改革委员会；工业和信息化部</t>
        </is>
      </c>
      <c r="G390" s="209" t="inlineStr">
        <is>
          <t>行动方案</t>
        </is>
      </c>
      <c r="H390" s="210" t="inlineStr">
        <is>
          <t>明确减缓</t>
        </is>
      </c>
      <c r="I390" s="211" t="inlineStr">
        <is>
          <t>B.2</t>
        </is>
      </c>
      <c r="J390" s="208" t="inlineStr">
        <is>
          <t>-</t>
        </is>
      </c>
      <c r="K390" s="211" t="inlineStr">
        <is>
          <t>无目标</t>
        </is>
      </c>
      <c r="L390" s="209" t="inlineStr">
        <is>
          <t>PDF</t>
        </is>
      </c>
      <c r="M390" s="209" t="inlineStr">
        <is>
          <t>中文</t>
        </is>
      </c>
      <c r="N390" s="203" t="inlineStr">
        <is>
          <t>https://www.mee.gov.cn/xxgk2018/xxgk/xxgk03/202508/t20250829_1126396.html?utm_source=cbnewsletter&amp;utm_medium=email&amp;utm_term=2025-09-25&amp;utm_campaign=China+Briefing+Shanghai+cooperation+summit+ETS+absolute+emissions+cap+China+s+heatwave+adaptation</t>
        </is>
      </c>
    </row>
    <row r="391">
      <c r="B391" s="198" t="inlineStr">
        <is>
          <t>AP2505</t>
        </is>
      </c>
      <c r="C391" s="208" t="n">
        <v>2025</v>
      </c>
      <c r="D391" s="210" t="inlineStr">
        <is>
          <t>美丽河湖保护与建设行动方案（2025—2027年）</t>
        </is>
      </c>
      <c r="E391" s="210" t="inlineStr">
        <is>
          <t>Action Plan for Beautiful Rivers and Lakes Protection and Construction (2025-2027)</t>
        </is>
      </c>
      <c r="F391" s="209" t="inlineStr">
        <is>
          <t>生态环境部；国家发展和改革委员会；财政部；住房和城乡建设部；水利部；农业农村部；国家林业和草原局</t>
        </is>
      </c>
      <c r="G391" s="209" t="inlineStr">
        <is>
          <t>行动方案</t>
        </is>
      </c>
      <c r="H391" s="210" t="inlineStr">
        <is>
          <t>促进减缓</t>
        </is>
      </c>
      <c r="I391" s="211" t="inlineStr">
        <is>
          <t>D.3</t>
        </is>
      </c>
      <c r="J391" s="208" t="inlineStr">
        <is>
          <t>2025–2027</t>
        </is>
      </c>
      <c r="K391" s="211" t="inlineStr">
        <is>
          <t>含目标</t>
        </is>
      </c>
      <c r="L391" s="209" t="inlineStr">
        <is>
          <t>PDF</t>
        </is>
      </c>
      <c r="M391" s="209" t="inlineStr">
        <is>
          <t>中文</t>
        </is>
      </c>
      <c r="N391" s="203" t="inlineStr">
        <is>
          <t>https://www.gov.cn/zhengce/zhengceku/202505/content_7024700.htm</t>
        </is>
      </c>
    </row>
    <row r="392">
      <c r="B392" s="198" t="inlineStr">
        <is>
          <t>AP2506</t>
        </is>
      </c>
      <c r="C392" s="208" t="n">
        <v>2025</v>
      </c>
      <c r="D392" s="210" t="inlineStr">
        <is>
          <t>电动汽车充电设施服务能力“三年倍增”行动方案（2025—2027 年）</t>
        </is>
      </c>
      <c r="E392" s="210" t="inlineStr">
        <is>
          <t>Action Plan for Doubling the Service Capacity of Electric Vehicle Charging Facilities (2025–2027)</t>
        </is>
      </c>
      <c r="F392" s="209" t="inlineStr">
        <is>
          <t>国家发展和改革委员会；国家能源局；工业和信息化部；住房和城乡建设部；交通运输部；国家市场监督管理总局</t>
        </is>
      </c>
      <c r="G392" s="209" t="inlineStr">
        <is>
          <t>行动方案</t>
        </is>
      </c>
      <c r="H392" s="210" t="inlineStr">
        <is>
          <t>促进减缓</t>
        </is>
      </c>
      <c r="I392" s="211" t="inlineStr">
        <is>
          <t>B.4</t>
        </is>
      </c>
      <c r="J392" s="208" t="inlineStr">
        <is>
          <t>2025–2027</t>
        </is>
      </c>
      <c r="K392" s="211" t="inlineStr">
        <is>
          <t>含目标</t>
        </is>
      </c>
      <c r="L392" s="209" t="inlineStr">
        <is>
          <t>PDF</t>
        </is>
      </c>
      <c r="M392" s="209" t="inlineStr">
        <is>
          <t>中文</t>
        </is>
      </c>
      <c r="N392" s="203" t="inlineStr">
        <is>
          <t>https://www.ndrc.gov.cn/xxgk/zcfb/tz/202510/P020251015595398499456.pdf</t>
        </is>
      </c>
    </row>
    <row r="393">
      <c r="B393" s="198" t="inlineStr">
        <is>
          <t>AP2601</t>
        </is>
      </c>
      <c r="C393" s="208" t="n">
        <v>2026</v>
      </c>
      <c r="D393" s="210" t="inlineStr">
        <is>
          <t>再生材料应用推广行动方案</t>
        </is>
      </c>
      <c r="E393" s="210" t="inlineStr">
        <is>
          <t>Action Plan for Promoting the Application of Recycled Materials</t>
        </is>
      </c>
      <c r="F393" s="209" t="inlineStr">
        <is>
          <t>国家发展和改革委员会；工业和信息化部；财政部；生态环境部；商务部；海关总署；国家市场监督管理总局</t>
        </is>
      </c>
      <c r="G393" s="209" t="inlineStr">
        <is>
          <t>行动方案</t>
        </is>
      </c>
      <c r="H393" s="210" t="inlineStr">
        <is>
          <t>促进减缓</t>
        </is>
      </c>
      <c r="I393" s="211" t="inlineStr">
        <is>
          <t>D.2</t>
        </is>
      </c>
      <c r="J393" s="208" t="inlineStr">
        <is>
          <t>-</t>
        </is>
      </c>
      <c r="K393" s="211" t="inlineStr">
        <is>
          <t>含目标</t>
        </is>
      </c>
      <c r="L393" s="209" t="inlineStr">
        <is>
          <t>HTM</t>
        </is>
      </c>
      <c r="M393" s="209" t="inlineStr">
        <is>
          <t>中文</t>
        </is>
      </c>
      <c r="N393" s="203" t="inlineStr">
        <is>
          <t>https://www.ndrc.gov.cn/fggz/hjyzy/zyzhlyhxhjj/202601/t20260108_1403120.html</t>
        </is>
      </c>
    </row>
    <row r="394">
      <c r="B394" s="198" t="inlineStr">
        <is>
          <t>AP2602</t>
        </is>
      </c>
      <c r="C394" s="208" t="n">
        <v>2026</v>
      </c>
      <c r="D394" s="226" t="inlineStr">
        <is>
          <t>固体废物综合治理行动计划</t>
        </is>
      </c>
      <c r="E394" s="210" t="inlineStr">
        <is>
          <t>Action Plan for Integrated Solid Waste Management</t>
        </is>
      </c>
      <c r="F394" s="209" t="inlineStr">
        <is>
          <t>国务院</t>
        </is>
      </c>
      <c r="G394" s="209" t="inlineStr">
        <is>
          <t>行动计划</t>
        </is>
      </c>
      <c r="H394" s="210" t="inlineStr">
        <is>
          <t>促进减缓</t>
        </is>
      </c>
      <c r="I394" s="211" t="inlineStr">
        <is>
          <t>D.2</t>
        </is>
      </c>
      <c r="J394" s="208" t="inlineStr">
        <is>
          <t>-</t>
        </is>
      </c>
      <c r="K394" s="211" t="inlineStr">
        <is>
          <t>含目标</t>
        </is>
      </c>
      <c r="L394" s="209" t="inlineStr">
        <is>
          <t>HTM</t>
        </is>
      </c>
      <c r="M394" s="209" t="inlineStr">
        <is>
          <t>中文</t>
        </is>
      </c>
      <c r="N394" s="203" t="inlineStr">
        <is>
          <t>https://www.gov.cn/zhengce/content/202601/content_7053807.htm</t>
        </is>
      </c>
    </row>
    <row r="395">
      <c r="B395" s="198" t="inlineStr">
        <is>
          <t>AP2603</t>
        </is>
      </c>
      <c r="C395" s="208" t="n">
        <v>2026</v>
      </c>
      <c r="D395" s="226" t="inlineStr">
        <is>
          <t>关于促进人工智能与能源双向赋能的行动方案</t>
        </is>
      </c>
      <c r="E395" s="210" t="inlineStr">
        <is>
          <t>Action Plan for Promoting the Two-Way Empowerment of Artificial Intelligence and Energy</t>
        </is>
      </c>
      <c r="F395" s="209" t="inlineStr">
        <is>
          <t>国家发展和改革委员会；国家能源局；工业和信息化部；国家数据局</t>
        </is>
      </c>
      <c r="G395" s="209" t="inlineStr">
        <is>
          <t>行动计划</t>
        </is>
      </c>
      <c r="H395" s="210" t="inlineStr">
        <is>
          <t>促进减缓</t>
        </is>
      </c>
      <c r="I395" s="211" t="inlineStr">
        <is>
          <t>B.1, C.1</t>
        </is>
      </c>
      <c r="J395" s="208" t="inlineStr">
        <is>
          <t>-</t>
        </is>
      </c>
      <c r="K395" s="211" t="inlineStr">
        <is>
          <t>无目标</t>
        </is>
      </c>
      <c r="L395" s="209" t="inlineStr">
        <is>
          <t>HTM</t>
        </is>
      </c>
      <c r="M395" s="209" t="inlineStr">
        <is>
          <t>中文</t>
        </is>
      </c>
      <c r="N395" s="203" t="inlineStr">
        <is>
          <t>https://www.nea.gov.cn/20260508/4dae97ca01d348e4871bb8654be34b3a/c.html</t>
        </is>
      </c>
    </row>
    <row r="396">
      <c r="B396" s="198" t="inlineStr">
        <is>
          <t>AP2604</t>
        </is>
      </c>
      <c r="C396" s="208" t="n">
        <v>2026</v>
      </c>
      <c r="D396" s="210" t="inlineStr">
        <is>
          <t>加力推进石化化工行业老旧装置更新改造行动方案（2026—2029年）</t>
        </is>
      </c>
      <c r="E396" s="210" t="inlineStr">
        <is>
          <t>Action Plan for Accelerating the Renewal and Upgrading of Aging Facilities in the Petrochemical Industry (2026–2029)</t>
        </is>
      </c>
      <c r="F396" s="209" t="inlineStr">
        <is>
          <t>工业和信息化部；国家发展和改革委员会；生态环境部；应急管理部；中国人民银行；国务院国有资产监督管理委员会；国家市场监督管理总局</t>
        </is>
      </c>
      <c r="G396" s="209" t="inlineStr">
        <is>
          <t>行动方案</t>
        </is>
      </c>
      <c r="H396" s="210" t="inlineStr">
        <is>
          <t>促进减缓</t>
        </is>
      </c>
      <c r="I396" s="211" t="inlineStr">
        <is>
          <t>B.2</t>
        </is>
      </c>
      <c r="J396" s="208" t="inlineStr">
        <is>
          <t>2026—2029</t>
        </is>
      </c>
      <c r="K396" s="211" t="inlineStr">
        <is>
          <t>无目标</t>
        </is>
      </c>
      <c r="L396" s="209" t="inlineStr">
        <is>
          <t>PDF</t>
        </is>
      </c>
      <c r="M396" s="209" t="inlineStr">
        <is>
          <t>中文</t>
        </is>
      </c>
      <c r="N396" s="203" t="inlineStr">
        <is>
          <t>https://www.miit.gov.cn/jgsj/ycls/gzdt/art/2026/art_d7f9d7930d3e406883e8afea6c9b3ab3.html</t>
        </is>
      </c>
    </row>
    <row r="397">
      <c r="B397" s="198" t="inlineStr">
        <is>
          <t>AP2605</t>
        </is>
      </c>
      <c r="C397" s="208" t="n">
        <v>2026</v>
      </c>
      <c r="D397" s="226" t="inlineStr">
        <is>
          <t>标准引领纺织工业优化升级行动方案（2026—2028 年）</t>
        </is>
      </c>
      <c r="E397" s="210" t="inlineStr">
        <is>
          <t>Action Plan for Standards-Driven Optimizing and Upgrading of the Textile Industry (2026–2028)</t>
        </is>
      </c>
      <c r="F397" s="209" t="inlineStr">
        <is>
          <t>工业和信息化部；生态环境部；国家市场监督管理总局</t>
        </is>
      </c>
      <c r="G397" s="209" t="inlineStr">
        <is>
          <t>行动方案</t>
        </is>
      </c>
      <c r="H397" s="210" t="inlineStr">
        <is>
          <t>促进减缓</t>
        </is>
      </c>
      <c r="I397" s="211" t="inlineStr">
        <is>
          <t>B.2</t>
        </is>
      </c>
      <c r="J397" s="208" t="inlineStr">
        <is>
          <t>2026–2028</t>
        </is>
      </c>
      <c r="K397" s="211" t="inlineStr">
        <is>
          <t>无目标</t>
        </is>
      </c>
      <c r="L397" s="209" t="inlineStr">
        <is>
          <t>HTM</t>
        </is>
      </c>
      <c r="M397" s="209" t="inlineStr">
        <is>
          <t>中文</t>
        </is>
      </c>
      <c r="N397" s="203" t="inlineStr">
        <is>
          <t>https://www.gov.cn/zhengce/zhengceku/202603/P020260331708714713298.pdf</t>
        </is>
      </c>
    </row>
    <row r="398">
      <c r="B398" s="0" t="inlineStr">
        <is>
          <t>AP2606</t>
        </is>
      </c>
      <c r="C398" s="0" t="n">
        <v>2026</v>
      </c>
      <c r="D398" s="0" t="inlineStr">
        <is>
          <t>美丽中国建设全民行动促进计划（2026—2030年）</t>
        </is>
      </c>
      <c r="E398" s="0" t="inlineStr">
        <is>
          <t>Action Promotion Plan for Public Participation in Building a Beautiful China (2026-2030)</t>
        </is>
      </c>
      <c r="F398" s="0" t="inlineStr">
        <is>
          <t>生态环境部等部门</t>
        </is>
      </c>
      <c r="G398" s="0" t="inlineStr">
        <is>
          <t>行动计划</t>
        </is>
      </c>
      <c r="H398" s="0" t="inlineStr">
        <is>
          <t>促进减缓</t>
        </is>
      </c>
      <c r="I398" s="0" t="inlineStr">
        <is>
          <t>Mitigation-enabling</t>
        </is>
      </c>
      <c r="J398" s="0" t="inlineStr">
        <is>
          <t>C.4</t>
        </is>
      </c>
      <c r="K398" s="0" t="inlineStr">
        <is>
          <t>无目标</t>
        </is>
      </c>
      <c r="L398" s="0" t="inlineStr">
        <is>
          <t>HTM</t>
        </is>
      </c>
      <c r="M398" s="0" t="inlineStr">
        <is>
          <t>中文</t>
        </is>
      </c>
      <c r="N398" s="0" t="inlineStr">
        <is>
          <t>https://www.mee.gov.cn/ywgz/xcjy/shxc/202606/t20260625_1160245.shtml</t>
        </is>
      </c>
    </row>
    <row r="399">
      <c r="B399" s="0" t="inlineStr">
        <is>
          <t>AP2607</t>
        </is>
      </c>
      <c r="C399" s="0" t="n">
        <v>2026</v>
      </c>
      <c r="D399" s="0" t="inlineStr">
        <is>
          <t>关于开展重点行业节能降碳改造攻坚三年行动的通知（附三年行动计划）</t>
        </is>
      </c>
      <c r="E399" s="0" t="inlineStr">
        <is>
          <t>Notice on the Three-Year Action for Energy Conservation and Carbon Reduction Upgrading in Key Industries (with the Three-Year Action Plan Attached)</t>
        </is>
      </c>
      <c r="F399" s="0" t="inlineStr">
        <is>
          <t>国家发展改革委等部门</t>
        </is>
      </c>
      <c r="G399" s="0" t="inlineStr">
        <is>
          <t>行动计划</t>
        </is>
      </c>
      <c r="H399" s="0" t="inlineStr">
        <is>
          <t>明确减缓</t>
        </is>
      </c>
      <c r="I399" s="0" t="inlineStr">
        <is>
          <t>Explicit mitigation</t>
        </is>
      </c>
      <c r="J399" s="0" t="inlineStr">
        <is>
          <t>B.2, B.1</t>
        </is>
      </c>
      <c r="K399" s="0" t="inlineStr">
        <is>
          <t>含目标</t>
        </is>
      </c>
      <c r="L399" s="0" t="inlineStr">
        <is>
          <t>HTM</t>
        </is>
      </c>
      <c r="M399" s="0" t="inlineStr">
        <is>
          <t>中文</t>
        </is>
      </c>
      <c r="N399" s="0" t="inlineStr">
        <is>
          <t>https://www.ndrc.gov.cn/xxgk/zcfb/tz/202606/t20260615_1405852.html</t>
        </is>
      </c>
    </row>
    <row r="400">
      <c r="B400" s="0" t="inlineStr">
        <is>
          <t>AP2608</t>
        </is>
      </c>
      <c r="C400" s="0" t="n">
        <v>2026</v>
      </c>
      <c r="D400" s="0" t="inlineStr">
        <is>
          <t>能源领域节能降碳行动计划（2026—2028年）</t>
        </is>
      </c>
      <c r="E400" s="0" t="inlineStr">
        <is>
          <t>Action Plan for Energy Conservation and Carbon Reduction in the Energy Sector (2026-2028)</t>
        </is>
      </c>
      <c r="F400" s="0" t="inlineStr">
        <is>
          <t>国家能源局</t>
        </is>
      </c>
      <c r="G400" s="0" t="inlineStr">
        <is>
          <t>行动计划</t>
        </is>
      </c>
      <c r="H400" s="0" t="inlineStr">
        <is>
          <t>明确减缓</t>
        </is>
      </c>
      <c r="I400" s="0" t="inlineStr">
        <is>
          <t>Explicit mitigation</t>
        </is>
      </c>
      <c r="J400" s="0" t="inlineStr">
        <is>
          <t>B.1</t>
        </is>
      </c>
      <c r="K400" s="0" t="inlineStr">
        <is>
          <t>含目标</t>
        </is>
      </c>
      <c r="L400" s="0" t="inlineStr">
        <is>
          <t>HTM</t>
        </is>
      </c>
      <c r="M400" s="0" t="inlineStr">
        <is>
          <t>中文</t>
        </is>
      </c>
      <c r="N400" s="0" t="inlineStr">
        <is>
          <t>https://www.nea.gov.cn/20260710/4acf5873e20149cdbc52c709b16b30ff/c.html</t>
        </is>
      </c>
    </row>
    <row r="401">
      <c r="B401" s="205" t="inlineStr">
        <is>
          <t>实施方案/意见</t>
        </is>
      </c>
      <c r="C401" s="206" t="n"/>
      <c r="D401" s="206" t="n"/>
      <c r="E401" s="206" t="n"/>
      <c r="F401" s="206" t="n"/>
      <c r="G401" s="206" t="n"/>
      <c r="H401" s="206" t="n"/>
      <c r="I401" s="206" t="n"/>
      <c r="J401" s="206" t="n"/>
      <c r="K401" s="206" t="n"/>
      <c r="L401" s="206" t="n"/>
      <c r="M401" s="206" t="n"/>
      <c r="N401" s="207" t="inlineStr">
        <is>
          <t>https://www.ndrc.gov.cn/xxgk/zcfb/tz/202111/P020211103333054582799.pdf</t>
        </is>
      </c>
    </row>
    <row r="402">
      <c r="B402" s="198" t="inlineStr">
        <is>
          <t>IP0701</t>
        </is>
      </c>
      <c r="C402" s="208" t="n">
        <v>2007</v>
      </c>
      <c r="D402" s="210" t="inlineStr">
        <is>
          <t>节能减排全民行动实施方案</t>
        </is>
      </c>
      <c r="E402" s="210" t="inlineStr">
        <is>
          <t>Implementation Plan for the National Action Plan on Energy Conservation and Emission Reduction</t>
        </is>
      </c>
      <c r="F402" s="209" t="inlineStr">
        <is>
          <t>国家发展和改革委员会；中共中央；教育部；科学技术部；财政部；环境保护部；国务院国有资产监督管理委员会；国家统计局；中国银行业监督管理委员会；全国人民代表大会常务委员会；中国人民政治协商会议全国委员会；中共中央直属机关事务管理局；国家机关事务管理局；中华全国总工会；共青团中央；中华全国妇女联合会；中国科学技术协会；中国人民解放军总后勤部</t>
        </is>
      </c>
      <c r="G402" s="209" t="inlineStr">
        <is>
          <t>实施方案</t>
        </is>
      </c>
      <c r="H402" s="210" t="inlineStr">
        <is>
          <t>明确减缓</t>
        </is>
      </c>
      <c r="I402" s="211" t="inlineStr">
        <is>
          <t>A</t>
        </is>
      </c>
      <c r="J402" s="208" t="inlineStr">
        <is>
          <t>-</t>
        </is>
      </c>
      <c r="K402" s="211" t="inlineStr">
        <is>
          <t>无目标</t>
        </is>
      </c>
      <c r="L402" s="209" t="inlineStr">
        <is>
          <t>HTM</t>
        </is>
      </c>
      <c r="M402" s="209" t="inlineStr">
        <is>
          <t>中文</t>
        </is>
      </c>
      <c r="N402" s="203" t="inlineStr">
        <is>
          <t>https://baike.baidu.com/item/%E8%8A%82%E8%83%BD%E5%87%8F%E6%8E%92%E5%85%A8%E6%B0%91%E8%A1%8C%E5%8A%A8%E5%AE%9E%E6%96%BD%E6%96%B9%E6%A1%88/2726363</t>
        </is>
      </c>
    </row>
    <row r="403">
      <c r="B403" s="198" t="inlineStr">
        <is>
          <t>IP1501</t>
        </is>
      </c>
      <c r="C403" s="208" t="n">
        <v>2015</v>
      </c>
      <c r="D403" s="210" t="inlineStr">
        <is>
          <t>加快推进新能源汽车在交通运输行业推广应用的实施意见</t>
        </is>
      </c>
      <c r="E403" s="210" t="inlineStr">
        <is>
          <t>Implementation Opinions on Accelerating the Promotion and Application of New Energy Vehicles in the Transportation Industry</t>
        </is>
      </c>
      <c r="F403" s="209" t="inlineStr">
        <is>
          <t>交通运输部</t>
        </is>
      </c>
      <c r="G403" s="209" t="inlineStr">
        <is>
          <t>实施意见</t>
        </is>
      </c>
      <c r="H403" s="210" t="inlineStr">
        <is>
          <t>促进减缓</t>
        </is>
      </c>
      <c r="I403" s="211" t="inlineStr">
        <is>
          <t>B.4</t>
        </is>
      </c>
      <c r="J403" s="208" t="inlineStr">
        <is>
          <t>-</t>
        </is>
      </c>
      <c r="K403" s="211" t="inlineStr">
        <is>
          <t>含目标</t>
        </is>
      </c>
      <c r="L403" s="209" t="inlineStr">
        <is>
          <t>HTM</t>
        </is>
      </c>
      <c r="M403" s="209" t="inlineStr">
        <is>
          <t>中文</t>
        </is>
      </c>
      <c r="N403" s="203" t="inlineStr">
        <is>
          <t>https://xxgk.mot.gov.cn/2020/jigou/ysfws/202006/t20200623_3315133.html</t>
        </is>
      </c>
    </row>
    <row r="404">
      <c r="B404" s="198" t="inlineStr">
        <is>
          <t>IP1502</t>
        </is>
      </c>
      <c r="C404" s="208" t="n">
        <v>2015</v>
      </c>
      <c r="D404" s="210" t="inlineStr">
        <is>
          <t>关于推进电力市场建设的实施意见</t>
        </is>
      </c>
      <c r="E404" s="210" t="inlineStr">
        <is>
          <t>Implementation Opinions on Promoting the Construction of the Power Market</t>
        </is>
      </c>
      <c r="F404" s="209" t="inlineStr">
        <is>
          <t>国家发展和改革委员会；国家能源局</t>
        </is>
      </c>
      <c r="G404" s="209" t="inlineStr">
        <is>
          <t>实施意见</t>
        </is>
      </c>
      <c r="H404" s="210" t="inlineStr">
        <is>
          <t>经济规划（含气候）</t>
        </is>
      </c>
      <c r="I404" s="211" t="inlineStr">
        <is>
          <t>B.1</t>
        </is>
      </c>
      <c r="J404" s="208" t="inlineStr">
        <is>
          <t>-</t>
        </is>
      </c>
      <c r="K404" s="211" t="inlineStr">
        <is>
          <t>无目标</t>
        </is>
      </c>
      <c r="L404" s="209" t="inlineStr">
        <is>
          <t>PDF</t>
        </is>
      </c>
      <c r="M404" s="209" t="inlineStr">
        <is>
          <t>中文</t>
        </is>
      </c>
      <c r="N404" s="203" t="inlineStr">
        <is>
          <t>http://www.nea.gov.cn/2015-11/30/c_134867851.htm</t>
        </is>
      </c>
    </row>
    <row r="405">
      <c r="B405" s="198" t="inlineStr">
        <is>
          <t>IP1601</t>
        </is>
      </c>
      <c r="C405" s="208" t="n">
        <v>2016</v>
      </c>
      <c r="D405" s="210" t="inlineStr">
        <is>
          <t>控制污染物排放许可制实施方案</t>
        </is>
      </c>
      <c r="E405" s="210" t="inlineStr">
        <is>
          <t>Implementation Plan of a Licensing System to Control Pollutant Emission</t>
        </is>
      </c>
      <c r="F405" s="209" t="inlineStr">
        <is>
          <t>国务院</t>
        </is>
      </c>
      <c r="G405" s="209" t="inlineStr">
        <is>
          <t>实施方案</t>
        </is>
      </c>
      <c r="H405" s="210" t="inlineStr">
        <is>
          <t>促进减缓</t>
        </is>
      </c>
      <c r="I405" s="211" t="inlineStr">
        <is>
          <t>C.3</t>
        </is>
      </c>
      <c r="J405" s="208" t="inlineStr">
        <is>
          <t>-</t>
        </is>
      </c>
      <c r="K405" s="211" t="inlineStr">
        <is>
          <t>无目标</t>
        </is>
      </c>
      <c r="L405" s="209" t="inlineStr">
        <is>
          <t>HTM</t>
        </is>
      </c>
      <c r="M405" s="209" t="inlineStr">
        <is>
          <t>中文</t>
        </is>
      </c>
      <c r="N405" s="203" t="inlineStr">
        <is>
          <t>https://www.gov.cn/zhengce/zhengceku/2016-11/21/content_5135510.htm</t>
        </is>
      </c>
    </row>
    <row r="406">
      <c r="B406" s="198" t="inlineStr">
        <is>
          <t>IP1701</t>
        </is>
      </c>
      <c r="C406" s="208" t="n">
        <v>2017</v>
      </c>
      <c r="D406" s="210" t="inlineStr">
        <is>
          <t>推进交通运输生态文明建设实施方案</t>
        </is>
      </c>
      <c r="E406" s="210" t="inlineStr">
        <is>
          <t>Implementation Plan for Promoting the Construction of Ecological Civilization in Transportation</t>
        </is>
      </c>
      <c r="F406" s="209" t="inlineStr">
        <is>
          <t>交通运输部</t>
        </is>
      </c>
      <c r="G406" s="209" t="inlineStr">
        <is>
          <t>实施方案</t>
        </is>
      </c>
      <c r="H406" s="210" t="inlineStr">
        <is>
          <t>促进减缓</t>
        </is>
      </c>
      <c r="I406" s="211" t="inlineStr">
        <is>
          <t>B.4</t>
        </is>
      </c>
      <c r="J406" s="208" t="inlineStr">
        <is>
          <t>-</t>
        </is>
      </c>
      <c r="K406" s="211" t="inlineStr">
        <is>
          <t>含目标</t>
        </is>
      </c>
      <c r="L406" s="209" t="inlineStr">
        <is>
          <t>HTM</t>
        </is>
      </c>
      <c r="M406" s="209" t="inlineStr">
        <is>
          <t>中文</t>
        </is>
      </c>
      <c r="N406" s="203" t="inlineStr">
        <is>
          <t>https://xxgk.mot.gov.cn/2020/jigou/zhghs/202006/t20200630_3319803.html</t>
        </is>
      </c>
    </row>
    <row r="407">
      <c r="B407" s="198" t="inlineStr">
        <is>
          <t>IP1702</t>
        </is>
      </c>
      <c r="C407" s="208" t="n">
        <v>2017</v>
      </c>
      <c r="D407" s="210" t="inlineStr">
        <is>
          <t>解决弃水弃风弃光问题实施方案</t>
        </is>
      </c>
      <c r="E407" s="210" t="inlineStr">
        <is>
          <t>Implementation Plan for Solving the Problems of Water, Wind, and Solar Power Curtailment</t>
        </is>
      </c>
      <c r="F407" s="209" t="inlineStr">
        <is>
          <t>国家发展和改革委员会；国家能源局</t>
        </is>
      </c>
      <c r="G407" s="209" t="inlineStr">
        <is>
          <t>实施方案</t>
        </is>
      </c>
      <c r="H407" s="210" t="inlineStr">
        <is>
          <t>促进减缓</t>
        </is>
      </c>
      <c r="I407" s="211" t="inlineStr">
        <is>
          <t>B.1</t>
        </is>
      </c>
      <c r="J407" s="208" t="inlineStr">
        <is>
          <t>-</t>
        </is>
      </c>
      <c r="K407" s="211" t="inlineStr">
        <is>
          <t>含目标</t>
        </is>
      </c>
      <c r="L407" s="209" t="inlineStr">
        <is>
          <t>PDF</t>
        </is>
      </c>
      <c r="M407" s="209" t="inlineStr">
        <is>
          <t>中文</t>
        </is>
      </c>
      <c r="N407" s="203" t="inlineStr">
        <is>
          <t>https://www.gov.cn/xinwen/2017-11/14/content_5239536.htm</t>
        </is>
      </c>
    </row>
    <row r="408">
      <c r="B408" s="198" t="inlineStr">
        <is>
          <t>IP1901</t>
        </is>
      </c>
      <c r="C408" s="208" t="n">
        <v>2019</v>
      </c>
      <c r="D408" s="210" t="inlineStr">
        <is>
          <t>大型活动碳中和实施指南（试行）</t>
        </is>
      </c>
      <c r="E408" s="210" t="inlineStr">
        <is>
          <t>Implementation Guidelines for Carbon Neutralization of Large-scale Activities (trial)</t>
        </is>
      </c>
      <c r="F408" s="209" t="inlineStr">
        <is>
          <t>生态环境部</t>
        </is>
      </c>
      <c r="G408" s="209" t="inlineStr">
        <is>
          <t>实施指南</t>
        </is>
      </c>
      <c r="H408" s="210" t="inlineStr">
        <is>
          <t>明确减缓</t>
        </is>
      </c>
      <c r="I408" s="211" t="inlineStr">
        <is>
          <t>B.3</t>
        </is>
      </c>
      <c r="J408" s="208" t="inlineStr">
        <is>
          <t>-</t>
        </is>
      </c>
      <c r="K408" s="211" t="inlineStr">
        <is>
          <t>无目标</t>
        </is>
      </c>
      <c r="L408" s="209" t="inlineStr">
        <is>
          <t>HTM</t>
        </is>
      </c>
      <c r="M408" s="209" t="inlineStr">
        <is>
          <t>中文</t>
        </is>
      </c>
      <c r="N408" s="203" t="inlineStr">
        <is>
          <t>https://www.gov.cn/gongbao/content/2019/content_5430516.htm</t>
        </is>
      </c>
    </row>
    <row r="409">
      <c r="B409" s="198" t="inlineStr">
        <is>
          <t>IP1902</t>
        </is>
      </c>
      <c r="C409" s="208" t="n">
        <v>2019</v>
      </c>
      <c r="D409" s="210" t="inlineStr">
        <is>
          <t>绿色建材产品认证实施方案</t>
        </is>
      </c>
      <c r="E409" s="210" t="inlineStr">
        <is>
          <t>Implementation Plan for Green Building Material Product Certification</t>
        </is>
      </c>
      <c r="F409" s="209" t="inlineStr">
        <is>
          <t>国家市场监督管理总局；住房和城乡建设部；工业和信息化部</t>
        </is>
      </c>
      <c r="G409" s="209" t="inlineStr">
        <is>
          <t>实施方案</t>
        </is>
      </c>
      <c r="H409" s="210" t="inlineStr">
        <is>
          <t>明确减缓</t>
        </is>
      </c>
      <c r="I409" s="211" t="inlineStr">
        <is>
          <t>B.3</t>
        </is>
      </c>
      <c r="J409" s="208" t="inlineStr">
        <is>
          <t>-</t>
        </is>
      </c>
      <c r="K409" s="211" t="inlineStr">
        <is>
          <t>无目标</t>
        </is>
      </c>
      <c r="L409" s="209" t="inlineStr">
        <is>
          <t>HTM</t>
        </is>
      </c>
      <c r="M409" s="209" t="inlineStr">
        <is>
          <t>中文</t>
        </is>
      </c>
      <c r="N409" s="203" t="inlineStr">
        <is>
          <t>https://www.cnca.gov.cn/zwxx/tz/2019/art/2019/art_afb18bd2c112466fa38c44838bdfe62d.html</t>
        </is>
      </c>
    </row>
    <row r="410">
      <c r="B410" s="198" t="inlineStr">
        <is>
          <t>IP2001</t>
        </is>
      </c>
      <c r="C410" s="208" t="n">
        <v>2020</v>
      </c>
      <c r="D410" s="210" t="inlineStr">
        <is>
          <t>完善生物质发电项目建设运行 的实施方案</t>
        </is>
      </c>
      <c r="E410" s="210" t="inlineStr">
        <is>
          <t>Improved Implementation Plan for Biomass Power Generation Project Construction and Operation</t>
        </is>
      </c>
      <c r="F410" s="209" t="inlineStr">
        <is>
          <t>国家发展和改革委员会；财政部；国家能源局</t>
        </is>
      </c>
      <c r="G410" s="209" t="inlineStr">
        <is>
          <t>实施方案</t>
        </is>
      </c>
      <c r="H410" s="210" t="inlineStr">
        <is>
          <t>促进减缓</t>
        </is>
      </c>
      <c r="I410" s="211" t="inlineStr">
        <is>
          <t>B.1</t>
        </is>
      </c>
      <c r="J410" s="208" t="inlineStr">
        <is>
          <t>-</t>
        </is>
      </c>
      <c r="K410" s="211" t="inlineStr">
        <is>
          <t>无目标</t>
        </is>
      </c>
      <c r="L410" s="209" t="inlineStr">
        <is>
          <t>PDF</t>
        </is>
      </c>
      <c r="M410" s="209" t="inlineStr">
        <is>
          <t>中文</t>
        </is>
      </c>
      <c r="N410" s="203" t="inlineStr">
        <is>
          <t>http://www.nea.gov.cn/2020-09/16/c_139372803.htm</t>
        </is>
      </c>
    </row>
    <row r="411">
      <c r="B411" s="198" t="inlineStr">
        <is>
          <t>IP2003</t>
        </is>
      </c>
      <c r="C411" s="208" t="n">
        <v>2020</v>
      </c>
      <c r="D411" s="210" t="inlineStr">
        <is>
          <t>关于营造更好发展环境 支持民营节能环保企业健康发展的实施意见</t>
        </is>
      </c>
      <c r="E411" s="210" t="inlineStr">
        <is>
          <t>Implementation Opinions on Creating a Better Development Environment to Support the Healthy Development of Private Energy saving and Environmental Protection Enterprises</t>
        </is>
      </c>
      <c r="F411" s="209" t="inlineStr">
        <is>
          <t>国家发展和改革委员会；科学技术部；工业和信息化部；生态环境部；中国银行保险监督管理委员会；中华全国工商业联合会</t>
        </is>
      </c>
      <c r="G411" s="209" t="inlineStr">
        <is>
          <t>实施意见</t>
        </is>
      </c>
      <c r="H411" s="210" t="inlineStr">
        <is>
          <t>促进减缓</t>
        </is>
      </c>
      <c r="I411" s="211" t="inlineStr">
        <is>
          <t>B.1</t>
        </is>
      </c>
      <c r="J411" s="208" t="inlineStr">
        <is>
          <t>-</t>
        </is>
      </c>
      <c r="K411" s="211" t="inlineStr">
        <is>
          <t>无目标</t>
        </is>
      </c>
      <c r="L411" s="209" t="inlineStr">
        <is>
          <t>HTM</t>
        </is>
      </c>
      <c r="M411" s="209" t="inlineStr">
        <is>
          <t>中文</t>
        </is>
      </c>
      <c r="N411" s="203" t="inlineStr">
        <is>
          <t>https://www.ndrc.gov.cn/xxgk/zcfb/tz/202005/t20200525_1228833.html?code=&amp;state=123</t>
        </is>
      </c>
    </row>
    <row r="412">
      <c r="B412" s="198" t="inlineStr">
        <is>
          <t>IP2004</t>
        </is>
      </c>
      <c r="C412" s="208" t="n">
        <v>2020</v>
      </c>
      <c r="D412" s="210" t="inlineStr">
        <is>
          <t>关于加快推进天然气储备能力建设的实施意见</t>
        </is>
      </c>
      <c r="E412" s="210" t="inlineStr">
        <is>
          <t>Implementation Opinions on Accelerating the Construction of Natural Gas Reserve Capacity</t>
        </is>
      </c>
      <c r="F412" s="209" t="inlineStr">
        <is>
          <t>国家发展和改革委员会；财政部；自然资源部；住房和城乡建设部；国家能源局</t>
        </is>
      </c>
      <c r="G412" s="209" t="inlineStr">
        <is>
          <t>实施意见</t>
        </is>
      </c>
      <c r="H412" s="210" t="inlineStr">
        <is>
          <t>化石能源</t>
        </is>
      </c>
      <c r="I412" s="211" t="inlineStr">
        <is>
          <t>B.1</t>
        </is>
      </c>
      <c r="J412" s="208" t="inlineStr">
        <is>
          <t>-</t>
        </is>
      </c>
      <c r="K412" s="211" t="inlineStr">
        <is>
          <t>无目标</t>
        </is>
      </c>
      <c r="L412" s="209" t="inlineStr">
        <is>
          <t>HTM</t>
        </is>
      </c>
      <c r="M412" s="209" t="inlineStr">
        <is>
          <t>中文</t>
        </is>
      </c>
      <c r="N412" s="203" t="inlineStr">
        <is>
          <t>https://www.ndrc.gov.cn/xxgk/zcfb/tz/202004/t20200414_1225639.html?code=&amp;state=123</t>
        </is>
      </c>
    </row>
    <row r="413">
      <c r="B413" s="198" t="inlineStr">
        <is>
          <t>IP2005</t>
        </is>
      </c>
      <c r="C413" s="208" t="n">
        <v>2020</v>
      </c>
      <c r="D413" s="210" t="inlineStr">
        <is>
          <t>关于加强储能标准化工作的实施方案</t>
        </is>
      </c>
      <c r="E413" s="210" t="inlineStr">
        <is>
          <t>Implementation Plan for Strengthening Standardization of Energy Storage</t>
        </is>
      </c>
      <c r="F413" s="209" t="inlineStr">
        <is>
          <t>国家能源局；应急管理部；国家市场监督管理总局</t>
        </is>
      </c>
      <c r="G413" s="209" t="inlineStr">
        <is>
          <t>实施方案</t>
        </is>
      </c>
      <c r="H413" s="210" t="inlineStr">
        <is>
          <t>促进减缓</t>
        </is>
      </c>
      <c r="I413" s="211" t="inlineStr">
        <is>
          <t>B.1</t>
        </is>
      </c>
      <c r="J413" s="208" t="inlineStr">
        <is>
          <t>-</t>
        </is>
      </c>
      <c r="K413" s="211" t="inlineStr">
        <is>
          <t>无目标</t>
        </is>
      </c>
      <c r="L413" s="209" t="inlineStr">
        <is>
          <t>PDF</t>
        </is>
      </c>
      <c r="M413" s="209" t="inlineStr">
        <is>
          <t>中文</t>
        </is>
      </c>
      <c r="N413" s="203" t="inlineStr">
        <is>
          <t>http://zfxxgk.nea.gov.cn/auto83/202001/t20200116_3972.htm</t>
        </is>
      </c>
    </row>
    <row r="414">
      <c r="B414" s="198" t="inlineStr">
        <is>
          <t>IP2101</t>
        </is>
      </c>
      <c r="C414" s="208" t="n">
        <v>2021</v>
      </c>
      <c r="D414" s="210" t="inlineStr">
        <is>
          <t>贯彻落实碳达峰碳中和目标要求 推动数据中心和5G等新型基础设施绿色高质量发展实施方案</t>
        </is>
      </c>
      <c r="E414" s="210" t="inlineStr">
        <is>
          <t>Implementation Plan for Promoting the Green and High-quality Development of New Infrastructure such as Data Centers and 5G</t>
        </is>
      </c>
      <c r="F414" s="209" t="inlineStr">
        <is>
          <t>国家发展和改革委员会；国家互联网信息办公室；工业和信息化部；国家能源局</t>
        </is>
      </c>
      <c r="G414" s="209" t="inlineStr">
        <is>
          <t>实施方案</t>
        </is>
      </c>
      <c r="H414" s="210" t="inlineStr">
        <is>
          <t>明确减缓</t>
        </is>
      </c>
      <c r="I414" s="211" t="inlineStr">
        <is>
          <t>B.3</t>
        </is>
      </c>
      <c r="J414" s="208" t="inlineStr">
        <is>
          <t>-</t>
        </is>
      </c>
      <c r="K414" s="211" t="inlineStr">
        <is>
          <t>无目标</t>
        </is>
      </c>
      <c r="L414" s="209" t="inlineStr">
        <is>
          <t>PDF</t>
        </is>
      </c>
      <c r="M414" s="209" t="inlineStr">
        <is>
          <t>中文</t>
        </is>
      </c>
      <c r="N414" s="203" t="inlineStr">
        <is>
          <t>https://www.ndrc.gov.cn/xwdt/tzgg/202112/t20211208_1307105.html?code=&amp;state=123</t>
        </is>
      </c>
    </row>
    <row r="415">
      <c r="B415" s="198" t="inlineStr">
        <is>
          <t>IP2102</t>
        </is>
      </c>
      <c r="C415" s="208" t="n">
        <v>2021</v>
      </c>
      <c r="D415" s="210" t="inlineStr">
        <is>
          <t>国家高新区绿色发展专项行动实施方案</t>
        </is>
      </c>
      <c r="E415" s="210" t="inlineStr">
        <is>
          <t>Implementation Plan for the National High-tech Zone Green Development Special Action</t>
        </is>
      </c>
      <c r="F415" s="209" t="inlineStr">
        <is>
          <t>科学技术部</t>
        </is>
      </c>
      <c r="G415" s="209" t="inlineStr">
        <is>
          <t>实施方案</t>
        </is>
      </c>
      <c r="H415" s="210" t="inlineStr">
        <is>
          <t>明确减缓</t>
        </is>
      </c>
      <c r="I415" s="211" t="inlineStr">
        <is>
          <t>C.1</t>
        </is>
      </c>
      <c r="J415" s="208" t="inlineStr">
        <is>
          <t>-</t>
        </is>
      </c>
      <c r="K415" s="211" t="inlineStr">
        <is>
          <t>含目标</t>
        </is>
      </c>
      <c r="L415" s="209" t="inlineStr">
        <is>
          <t>HTM</t>
        </is>
      </c>
      <c r="M415" s="209" t="inlineStr">
        <is>
          <t>中文</t>
        </is>
      </c>
      <c r="N415" s="203" t="inlineStr">
        <is>
          <t>https://www.most.gov.cn/xxgk/xinxifenlei/fdzdgknr/fgzc/gfxwj/gfxwj2021/202102/t20210202_172685.html</t>
        </is>
      </c>
    </row>
    <row r="416">
      <c r="B416" s="198" t="inlineStr">
        <is>
          <t>IP2103</t>
        </is>
      </c>
      <c r="C416" s="208" t="n">
        <v>2021</v>
      </c>
      <c r="D416" s="210" t="inlineStr">
        <is>
          <t>深入开展公共机构绿色低碳引领行动促进碳达峰实施方案</t>
        </is>
      </c>
      <c r="E416" s="210" t="inlineStr">
        <is>
          <t>Implementation Plan of Promoting Peak Carbon Dioxide Emissions through the Deepening of Green and Low-carbon Leading Actions of Public Institutions</t>
        </is>
      </c>
      <c r="F416" s="209" t="inlineStr">
        <is>
          <t>国家机关事务管理局；国家发展和改革委员会；财政部；生态环境部</t>
        </is>
      </c>
      <c r="G416" s="209" t="inlineStr">
        <is>
          <t>实施方案</t>
        </is>
      </c>
      <c r="H416" s="210" t="inlineStr">
        <is>
          <t>明确减缓</t>
        </is>
      </c>
      <c r="I416" s="211" t="inlineStr">
        <is>
          <t>B.3</t>
        </is>
      </c>
      <c r="J416" s="208" t="inlineStr">
        <is>
          <t>-</t>
        </is>
      </c>
      <c r="K416" s="211" t="inlineStr">
        <is>
          <t>无目标</t>
        </is>
      </c>
      <c r="L416" s="209" t="inlineStr">
        <is>
          <t>HTM</t>
        </is>
      </c>
      <c r="M416" s="209" t="inlineStr">
        <is>
          <t>中文</t>
        </is>
      </c>
      <c r="N416" s="203" t="inlineStr">
        <is>
          <t>https://www.ggj.gov.cn/tzgg/202111/t20211119_33936.htm</t>
        </is>
      </c>
    </row>
    <row r="417">
      <c r="B417" s="198" t="inlineStr">
        <is>
          <t>IP2104</t>
        </is>
      </c>
      <c r="C417" s="208" t="n">
        <v>2021</v>
      </c>
      <c r="D417" s="210" t="inlineStr">
        <is>
          <t>“十四五”支持老工业城市和资源型城市产业转型升级示范区高质量发展实施方案</t>
        </is>
      </c>
      <c r="E417" s="210" t="inlineStr">
        <is>
          <t>Implementation Plan for Supporting High-Quality Development of Industrial Transformation and Upgrading of Demonstration Zones in Old Industrial Cities and Resource based Cities during the 14th Five Year Plan Period</t>
        </is>
      </c>
      <c r="F417" s="209" t="inlineStr">
        <is>
          <t>国家发展和改革委员会；科学技术部；工业和信息化部；自然资源部；国家开发银行</t>
        </is>
      </c>
      <c r="G417" s="209" t="inlineStr">
        <is>
          <t>实施方案</t>
        </is>
      </c>
      <c r="H417" s="210" t="inlineStr">
        <is>
          <t>经济规划（含气候）</t>
        </is>
      </c>
      <c r="I417" s="211" t="inlineStr">
        <is>
          <t>C.6</t>
        </is>
      </c>
      <c r="J417" s="208" t="inlineStr">
        <is>
          <t>十四五</t>
        </is>
      </c>
      <c r="K417" s="211" t="inlineStr">
        <is>
          <t>无目标</t>
        </is>
      </c>
      <c r="L417" s="209" t="inlineStr">
        <is>
          <t>PDF</t>
        </is>
      </c>
      <c r="M417" s="209" t="inlineStr">
        <is>
          <t>中文</t>
        </is>
      </c>
      <c r="N417" s="203" t="inlineStr">
        <is>
          <t>https://www.ndrc.gov.cn/xxgk/zcfb/tz/202111/t20211130_1306223.html</t>
        </is>
      </c>
    </row>
    <row r="418">
      <c r="B418" s="198" t="inlineStr">
        <is>
          <t>IP2105</t>
        </is>
      </c>
      <c r="C418" s="208" t="n">
        <v>2021</v>
      </c>
      <c r="D418" s="210" t="inlineStr">
        <is>
          <t>加快农村能源转型发展助力乡村振兴的实施意见</t>
        </is>
      </c>
      <c r="E418" s="210" t="inlineStr">
        <is>
          <t>Implementation Opinions on Accelerating the Transformation and Development of Rural Energy to Support Rural Revitalization</t>
        </is>
      </c>
      <c r="F418" s="209" t="inlineStr">
        <is>
          <t>国家能源局；农业农村部；国家乡村振兴局</t>
        </is>
      </c>
      <c r="G418" s="209" t="inlineStr">
        <is>
          <t>实施意见</t>
        </is>
      </c>
      <c r="H418" s="210" t="inlineStr">
        <is>
          <t>经济规划（含气候）</t>
        </is>
      </c>
      <c r="I418" s="211" t="inlineStr">
        <is>
          <t>B.1, C.6</t>
        </is>
      </c>
      <c r="J418" s="208" t="inlineStr">
        <is>
          <t>-</t>
        </is>
      </c>
      <c r="K418" s="211" t="inlineStr">
        <is>
          <t>无目标</t>
        </is>
      </c>
      <c r="L418" s="209" t="inlineStr">
        <is>
          <t>PDF</t>
        </is>
      </c>
      <c r="M418" s="209" t="inlineStr">
        <is>
          <t>中文</t>
        </is>
      </c>
      <c r="N418" s="203" t="inlineStr">
        <is>
          <t>http://zfxxgk.nea.gov.cn/2021-12/29/c_1310411188.htm</t>
        </is>
      </c>
    </row>
    <row r="419">
      <c r="B419" s="198" t="inlineStr">
        <is>
          <t>IP2107</t>
        </is>
      </c>
      <c r="C419" s="208" t="n">
        <v>2021</v>
      </c>
      <c r="D419" s="210" t="inlineStr">
        <is>
          <t>全国煤电机组改造升级实施方案</t>
        </is>
      </c>
      <c r="E419" s="210" t="inlineStr">
        <is>
          <t>Implementation Plan for National Coal fired Power Unit Renovation and Upgrading</t>
        </is>
      </c>
      <c r="F419" s="209" t="inlineStr">
        <is>
          <t>国家发展和改革委员会；国家能源局</t>
        </is>
      </c>
      <c r="G419" s="209" t="inlineStr">
        <is>
          <t>实施方案</t>
        </is>
      </c>
      <c r="H419" s="210" t="inlineStr">
        <is>
          <t>化石能源</t>
        </is>
      </c>
      <c r="I419" s="211" t="inlineStr">
        <is>
          <t>B.1</t>
        </is>
      </c>
      <c r="J419" s="208" t="inlineStr">
        <is>
          <t>-</t>
        </is>
      </c>
      <c r="K419" s="211" t="inlineStr">
        <is>
          <t>含目标</t>
        </is>
      </c>
      <c r="L419" s="209" t="inlineStr">
        <is>
          <t>PDF</t>
        </is>
      </c>
      <c r="M419" s="209" t="inlineStr">
        <is>
          <t>中文</t>
        </is>
      </c>
      <c r="N419" s="203" t="inlineStr">
        <is>
          <t>https://www.ndrc.gov.cn/xxgk/zcfb/tz/202111/P020211103333054582799.pdf</t>
        </is>
      </c>
    </row>
    <row r="420">
      <c r="B420" s="198" t="inlineStr">
        <is>
          <t>IP2201</t>
        </is>
      </c>
      <c r="C420" s="208" t="n">
        <v>2022</v>
      </c>
      <c r="D420" s="210" t="inlineStr">
        <is>
          <t>减污降碳协同增效实施方案</t>
        </is>
      </c>
      <c r="E420" s="210" t="inlineStr">
        <is>
          <t>Implementation Plan for Synergistic Efficiency of Pollution Reduction and Carbon Reduction</t>
        </is>
      </c>
      <c r="F420" s="209" t="inlineStr">
        <is>
          <t>生态环境部；国家发展和改革委员会；工业和信息化部；住房和城乡建设部；交通运输部；农业农村部；国家能源局</t>
        </is>
      </c>
      <c r="G420" s="209" t="inlineStr">
        <is>
          <t>实施方案</t>
        </is>
      </c>
      <c r="H420" s="210" t="inlineStr">
        <is>
          <t>明确减缓</t>
        </is>
      </c>
      <c r="I420" s="211" t="inlineStr">
        <is>
          <t>A</t>
        </is>
      </c>
      <c r="J420" s="208" t="inlineStr">
        <is>
          <t>-</t>
        </is>
      </c>
      <c r="K420" s="211" t="inlineStr">
        <is>
          <t>含目标</t>
        </is>
      </c>
      <c r="L420" s="209" t="inlineStr">
        <is>
          <t>HTM</t>
        </is>
      </c>
      <c r="M420" s="209" t="inlineStr">
        <is>
          <t>中文</t>
        </is>
      </c>
      <c r="N420" s="203" t="inlineStr">
        <is>
          <t>https://baike.baidu.com/item/%E5%87%8F%E6%B1%A1%E9%99%8D%E7%A2%B3%E5%8D%8F%E5%90%8C%E5%A2%9E%E6%95%88%E5%AE%9E%E6%96%BD%E6%96%B9%E6%A1%88/59030016</t>
        </is>
      </c>
    </row>
    <row r="421">
      <c r="B421" s="198" t="inlineStr">
        <is>
          <t>IP2202</t>
        </is>
      </c>
      <c r="C421" s="208" t="n">
        <v>2022</v>
      </c>
      <c r="D421" s="210" t="inlineStr">
        <is>
          <t>农业农村减排固碳实施方案</t>
        </is>
      </c>
      <c r="E421" s="210" t="inlineStr">
        <is>
          <t>Implementation Plan for Agricultural and Rural Emission Reduction and Carbon Sequestration</t>
        </is>
      </c>
      <c r="F421" s="209" t="inlineStr">
        <is>
          <t>农业农村部</t>
        </is>
      </c>
      <c r="G421" s="209" t="inlineStr">
        <is>
          <t>实施方案</t>
        </is>
      </c>
      <c r="H421" s="210" t="inlineStr">
        <is>
          <t>明确减缓</t>
        </is>
      </c>
      <c r="I421" s="211" t="inlineStr">
        <is>
          <t>B.5</t>
        </is>
      </c>
      <c r="J421" s="208" t="inlineStr">
        <is>
          <t>-</t>
        </is>
      </c>
      <c r="K421" s="211" t="inlineStr">
        <is>
          <t>无目标</t>
        </is>
      </c>
      <c r="L421" s="209" t="inlineStr">
        <is>
          <t>PDF</t>
        </is>
      </c>
      <c r="M421" s="209" t="inlineStr">
        <is>
          <t>中文</t>
        </is>
      </c>
      <c r="N421" s="203" t="inlineStr">
        <is>
          <t>https://www.moa.gov.cn/govpublic/KJJYS/202206/P020220630331656855638.pdf</t>
        </is>
      </c>
    </row>
    <row r="422">
      <c r="B422" s="198" t="inlineStr">
        <is>
          <t>IP2203</t>
        </is>
      </c>
      <c r="C422" s="208" t="n">
        <v>2022</v>
      </c>
      <c r="D422" s="210" t="inlineStr">
        <is>
          <t>促进绿色消费实施方案</t>
        </is>
      </c>
      <c r="E422" s="210" t="inlineStr">
        <is>
          <t>Implementation Plan for Promoting Green Consumption</t>
        </is>
      </c>
      <c r="F422" s="209" t="inlineStr">
        <is>
          <t>国家发展和改革委员会；工业和信息化部；商务部；文化和旅游部；国家市场监督管理总局；国家广播电视总局；中华全国供销合作总社</t>
        </is>
      </c>
      <c r="G422" s="209" t="inlineStr">
        <is>
          <t>实施方案</t>
        </is>
      </c>
      <c r="H422" s="210" t="inlineStr">
        <is>
          <t>明确减缓</t>
        </is>
      </c>
      <c r="I422" s="211" t="inlineStr">
        <is>
          <t>C.4</t>
        </is>
      </c>
      <c r="J422" s="208" t="inlineStr">
        <is>
          <t>-</t>
        </is>
      </c>
      <c r="K422" s="211" t="inlineStr">
        <is>
          <t>无目标</t>
        </is>
      </c>
      <c r="L422" s="209" t="inlineStr">
        <is>
          <t>PDF</t>
        </is>
      </c>
      <c r="M422" s="209" t="inlineStr">
        <is>
          <t>中文</t>
        </is>
      </c>
      <c r="N422" s="203" t="inlineStr">
        <is>
          <t>https://www.ndrc.gov.cn/xwdt/tzgg/202201/t20220121_1312525.html?code=&amp;state=123</t>
        </is>
      </c>
    </row>
    <row r="423">
      <c r="B423" s="198" t="inlineStr">
        <is>
          <t>IP2204</t>
        </is>
      </c>
      <c r="C423" s="208" t="n">
        <v>2022</v>
      </c>
      <c r="D423" s="210" t="inlineStr">
        <is>
          <t>关于加快建立统一规范的碳排放统计核算体系实施方案</t>
        </is>
      </c>
      <c r="E423" s="210" t="inlineStr">
        <is>
          <t>Implementation Plan for Accelerating and Establishing a Unified and Standardized Carbon Emission Accounting System</t>
        </is>
      </c>
      <c r="F423" s="209" t="inlineStr">
        <is>
          <t>国家发展和改革委员会；国家统计局；生态环境部</t>
        </is>
      </c>
      <c r="G423" s="209" t="inlineStr">
        <is>
          <t>实施方案</t>
        </is>
      </c>
      <c r="H423" s="210" t="inlineStr">
        <is>
          <t>明确减缓</t>
        </is>
      </c>
      <c r="I423" s="211" t="inlineStr">
        <is>
          <t>C.3</t>
        </is>
      </c>
      <c r="J423" s="208" t="inlineStr">
        <is>
          <t>-</t>
        </is>
      </c>
      <c r="K423" s="211" t="inlineStr">
        <is>
          <t>无目标</t>
        </is>
      </c>
      <c r="L423" s="209" t="inlineStr">
        <is>
          <t>PDF</t>
        </is>
      </c>
      <c r="M423" s="209" t="inlineStr">
        <is>
          <t>中文</t>
        </is>
      </c>
      <c r="N423" s="203" t="inlineStr">
        <is>
          <t>https://www.gov.cn/zhengce/zhengceku/2022-08/19/content_5706074.htm</t>
        </is>
      </c>
    </row>
    <row r="424">
      <c r="B424" s="198" t="inlineStr">
        <is>
          <t>IP2205</t>
        </is>
      </c>
      <c r="C424" s="208" t="n">
        <v>2022</v>
      </c>
      <c r="D424" s="210" t="inlineStr">
        <is>
          <t>科技支撑碳达峰碳中和实施方案（2022—2030年）</t>
        </is>
      </c>
      <c r="E424" s="210" t="inlineStr">
        <is>
          <t>Implementation Plan for Technology for Carbon Peaking and Carbon Neutrality (2022–2030)</t>
        </is>
      </c>
      <c r="F424" s="209" t="inlineStr">
        <is>
          <t>科学技术部；国家发展和改革委员会；工业和信息化部；生态环境部；住房和城乡建设部；交通运输部；中国科学院；中国工程院；国家能源局</t>
        </is>
      </c>
      <c r="G424" s="209" t="inlineStr">
        <is>
          <t>实施方案</t>
        </is>
      </c>
      <c r="H424" s="210" t="inlineStr">
        <is>
          <t>明确减缓</t>
        </is>
      </c>
      <c r="I424" s="211" t="inlineStr">
        <is>
          <t>C.1</t>
        </is>
      </c>
      <c r="J424" s="208" t="inlineStr">
        <is>
          <t>-</t>
        </is>
      </c>
      <c r="K424" s="211" t="inlineStr">
        <is>
          <t>无目标</t>
        </is>
      </c>
      <c r="L424" s="209" t="inlineStr">
        <is>
          <t>HTM</t>
        </is>
      </c>
      <c r="M424" s="209" t="inlineStr">
        <is>
          <t>中文</t>
        </is>
      </c>
      <c r="N424" s="203" t="inlineStr">
        <is>
          <t>https://baike.baidu.com/item/%E7%A7%91%E6%8A%80%E6%94%AF%E6%92%91%E7%A2%B3%E8%BE%BE%E5%B3%B0%E7%A2%B3%E4%B8%AD%E5%92%8C%E5%AE%9E%E6%96%BD%E6%96%B9%E6%A1%88%EF%BC%882022%E2%80%942030%E5%B9%B4%EF%BC%89/61878040</t>
        </is>
      </c>
    </row>
    <row r="425">
      <c r="B425" s="198" t="inlineStr">
        <is>
          <t>IP2206</t>
        </is>
      </c>
      <c r="C425" s="208" t="n">
        <v>2022</v>
      </c>
      <c r="D425" s="210" t="inlineStr">
        <is>
          <t>工业领域碳达峰实施方案</t>
        </is>
      </c>
      <c r="E425" s="210" t="inlineStr">
        <is>
          <t>Implementation Plan for Carbon Peaking in the Industrial Sector</t>
        </is>
      </c>
      <c r="F425" s="209" t="inlineStr">
        <is>
          <t>工业和信息化部；国家发展和改革委员会；生态环境部</t>
        </is>
      </c>
      <c r="G425" s="209" t="inlineStr">
        <is>
          <t>实施方案</t>
        </is>
      </c>
      <c r="H425" s="210" t="inlineStr">
        <is>
          <t>明确减缓</t>
        </is>
      </c>
      <c r="I425" s="211" t="inlineStr">
        <is>
          <t>B.2</t>
        </is>
      </c>
      <c r="J425" s="208" t="inlineStr">
        <is>
          <t>-</t>
        </is>
      </c>
      <c r="K425" s="211" t="inlineStr">
        <is>
          <t>无目标</t>
        </is>
      </c>
      <c r="L425" s="209" t="inlineStr">
        <is>
          <t>PDF</t>
        </is>
      </c>
      <c r="M425" s="209" t="inlineStr">
        <is>
          <t>中文</t>
        </is>
      </c>
      <c r="N425" s="203" t="inlineStr">
        <is>
          <t>https://wap.miit.gov.cn/jgsj/jns/wjfb/art/2022/art_9984665dbb904976a064a69be1b03f06.html</t>
        </is>
      </c>
    </row>
    <row r="426">
      <c r="B426" s="198" t="inlineStr">
        <is>
          <t>IP2207</t>
        </is>
      </c>
      <c r="C426" s="208" t="n">
        <v>2022</v>
      </c>
      <c r="D426" s="210" t="inlineStr">
        <is>
          <t>加快推进废旧纺织品循环利用的实施意见</t>
        </is>
      </c>
      <c r="E426" s="210" t="inlineStr">
        <is>
          <t>Implementation Opinions on Promoting Textile Waste Recycling</t>
        </is>
      </c>
      <c r="F426" s="209" t="inlineStr">
        <is>
          <t>国家发展和改革委员会；工业和信息化部；商务部；国家市场监督管理总局</t>
        </is>
      </c>
      <c r="G426" s="209" t="inlineStr">
        <is>
          <t>实施方案</t>
        </is>
      </c>
      <c r="H426" s="210" t="inlineStr">
        <is>
          <t>促进减缓</t>
        </is>
      </c>
      <c r="I426" s="211" t="inlineStr">
        <is>
          <t>D.2</t>
        </is>
      </c>
      <c r="J426" s="208" t="inlineStr">
        <is>
          <t>-</t>
        </is>
      </c>
      <c r="K426" s="211" t="inlineStr">
        <is>
          <t>无目标</t>
        </is>
      </c>
      <c r="L426" s="209" t="inlineStr">
        <is>
          <t>HTM</t>
        </is>
      </c>
      <c r="M426" s="209" t="inlineStr">
        <is>
          <t>中文</t>
        </is>
      </c>
      <c r="N426" s="203" t="inlineStr">
        <is>
          <t>https://www.ndrc.gov.cn/xxgk/zcfb/tz/202204/t20220411_1321822.html?code=&amp;state=123</t>
        </is>
      </c>
    </row>
    <row r="427">
      <c r="B427" s="198" t="inlineStr">
        <is>
          <t>IP2208</t>
        </is>
      </c>
      <c r="C427" s="208" t="n">
        <v>2022</v>
      </c>
      <c r="D427" s="210" t="inlineStr">
        <is>
          <t>促进新时代新能源高质量发展实施方案</t>
        </is>
      </c>
      <c r="E427" s="210" t="inlineStr">
        <is>
          <t>Implementation Plan for Promoting the High-Quality Development of New Energy in the New Era</t>
        </is>
      </c>
      <c r="F427" s="209" t="inlineStr">
        <is>
          <t>国家发展和改革委员会；国家能源局</t>
        </is>
      </c>
      <c r="G427" s="209" t="inlineStr">
        <is>
          <t>实施方案</t>
        </is>
      </c>
      <c r="H427" s="210" t="inlineStr">
        <is>
          <t>经济规划（含气候）</t>
        </is>
      </c>
      <c r="I427" s="211" t="inlineStr">
        <is>
          <t>B.1</t>
        </is>
      </c>
      <c r="J427" s="208" t="inlineStr">
        <is>
          <t>-</t>
        </is>
      </c>
      <c r="K427" s="211" t="inlineStr">
        <is>
          <t>含目标</t>
        </is>
      </c>
      <c r="L427" s="209" t="inlineStr">
        <is>
          <t>HTM</t>
        </is>
      </c>
      <c r="M427" s="209" t="inlineStr">
        <is>
          <t>中文</t>
        </is>
      </c>
      <c r="N427" s="203" t="inlineStr">
        <is>
          <t>https://www.gov.cn/zhengce/content/2022-05/30/content_5693013.htm</t>
        </is>
      </c>
    </row>
    <row r="428">
      <c r="B428" s="198" t="inlineStr">
        <is>
          <t>IP2210</t>
        </is>
      </c>
      <c r="C428" s="208" t="n">
        <v>2022</v>
      </c>
      <c r="D428" s="210" t="inlineStr">
        <is>
          <t>关于加快推进冷链物流运输高质量发展的实施意见</t>
        </is>
      </c>
      <c r="E428" s="210" t="inlineStr">
        <is>
          <t>Implementation Opinions on Promoting High-Quality Development of Cold-Chain Transportation</t>
        </is>
      </c>
      <c r="F428" s="209" t="inlineStr">
        <is>
          <t>交通运输部；国家铁路局；中国民用航空局；国家邮政局；中国国家铁路集团有限公司</t>
        </is>
      </c>
      <c r="G428" s="209" t="inlineStr">
        <is>
          <t>实施意见</t>
        </is>
      </c>
      <c r="H428" s="210" t="inlineStr">
        <is>
          <t>经济规划（含气候）</t>
        </is>
      </c>
      <c r="I428" s="211" t="inlineStr">
        <is>
          <t>B.4</t>
        </is>
      </c>
      <c r="J428" s="208" t="inlineStr">
        <is>
          <t>-</t>
        </is>
      </c>
      <c r="K428" s="211" t="inlineStr">
        <is>
          <t>无目标</t>
        </is>
      </c>
      <c r="L428" s="209" t="inlineStr">
        <is>
          <t>HTM</t>
        </is>
      </c>
      <c r="M428" s="209" t="inlineStr">
        <is>
          <t>中文</t>
        </is>
      </c>
      <c r="N428" s="203" t="inlineStr">
        <is>
          <t>https://xxgk.mot.gov.cn/2020/jigou/ysfws/202204/t20220411_3650541.html</t>
        </is>
      </c>
    </row>
    <row r="429">
      <c r="B429" s="198" t="inlineStr">
        <is>
          <t>IP2215</t>
        </is>
      </c>
      <c r="C429" s="208" t="n">
        <v>2022</v>
      </c>
      <c r="D429" s="210" t="inlineStr">
        <is>
          <t>关于进一步完善市场导向的绿色技术创新体系实施方案（2023—2025年）</t>
        </is>
      </c>
      <c r="E429" s="210" t="inlineStr">
        <is>
          <t>Implementation Plan on Further Improving the Market-oriented Green Technology Innovation System (2023-2025)</t>
        </is>
      </c>
      <c r="F429" s="209" t="inlineStr">
        <is>
          <t>国家发展和改革委员会；科学技术部</t>
        </is>
      </c>
      <c r="G429" s="209" t="inlineStr">
        <is>
          <t>实施方案</t>
        </is>
      </c>
      <c r="H429" s="210" t="inlineStr">
        <is>
          <t>明确减缓</t>
        </is>
      </c>
      <c r="I429" s="211" t="inlineStr">
        <is>
          <t>C.1</t>
        </is>
      </c>
      <c r="J429" s="208" t="inlineStr">
        <is>
          <t>2023-2025</t>
        </is>
      </c>
      <c r="K429" s="211" t="inlineStr">
        <is>
          <t>无目标</t>
        </is>
      </c>
      <c r="L429" s="209" t="inlineStr">
        <is>
          <t>PDF</t>
        </is>
      </c>
      <c r="M429" s="209" t="inlineStr">
        <is>
          <t>中文</t>
        </is>
      </c>
      <c r="N429" s="203" t="inlineStr">
        <is>
          <t>https://www.ndrc.gov.cn/xwdt/tzgg/202212/t20221228_1344206_ext.html</t>
        </is>
      </c>
    </row>
    <row r="430">
      <c r="B430" s="198" t="inlineStr">
        <is>
          <t>IP2216</t>
        </is>
      </c>
      <c r="C430" s="208" t="n">
        <v>2022</v>
      </c>
      <c r="D430" s="210" t="inlineStr">
        <is>
          <t>建立健全碳达峰碳中和标准计量体系实施方案</t>
        </is>
      </c>
      <c r="E430" s="210" t="inlineStr">
        <is>
          <t>Implementation Plan of Carbon Peak Carbon Neutralization Standard Measurement System</t>
        </is>
      </c>
      <c r="F430" s="209" t="inlineStr">
        <is>
          <t>国家市场监督管理总局；国家发展和改革委员会；工业和信息化部；自然资源部；生态环境部；住房和城乡建设部；交通运输部；中国气象局；国家林业和草原局</t>
        </is>
      </c>
      <c r="G430" s="209" t="inlineStr">
        <is>
          <t>实施方案</t>
        </is>
      </c>
      <c r="H430" s="210" t="inlineStr">
        <is>
          <t>明确减缓</t>
        </is>
      </c>
      <c r="I430" s="211" t="inlineStr">
        <is>
          <t>C.3</t>
        </is>
      </c>
      <c r="J430" s="208" t="inlineStr">
        <is>
          <t>-</t>
        </is>
      </c>
      <c r="K430" s="211" t="inlineStr">
        <is>
          <t>无目标</t>
        </is>
      </c>
      <c r="L430" s="209" t="inlineStr">
        <is>
          <t>PDF</t>
        </is>
      </c>
      <c r="M430" s="209" t="inlineStr">
        <is>
          <t>中文</t>
        </is>
      </c>
      <c r="N430" s="203" t="inlineStr">
        <is>
          <t>https://www.gov.cn/zhengce/zhengceku/2022-11/01/content_5723071.htm</t>
        </is>
      </c>
    </row>
    <row r="431">
      <c r="B431" s="198" t="inlineStr">
        <is>
          <t>IP2217</t>
        </is>
      </c>
      <c r="C431" s="208" t="n">
        <v>2022</v>
      </c>
      <c r="D431" s="210" t="inlineStr">
        <is>
          <t>进一步提升电动汽车充电基础设施服务保障能力的实施意见</t>
        </is>
      </c>
      <c r="E431" s="210" t="inlineStr">
        <is>
          <t>Implementation Opinions on Further Enhancing the Service Guarantee Capability of Electric Vehicle Charging Infrastructure</t>
        </is>
      </c>
      <c r="F431" s="209" t="inlineStr">
        <is>
          <t>国家发展和改革委员会；工业和信息化部；住房和城乡建设部；商务部；国家能源局</t>
        </is>
      </c>
      <c r="G431" s="209" t="inlineStr">
        <is>
          <t>实施意见</t>
        </is>
      </c>
      <c r="H431" s="210" t="inlineStr">
        <is>
          <t>促进减缓</t>
        </is>
      </c>
      <c r="I431" s="211" t="inlineStr">
        <is>
          <t>B.3, B.4</t>
        </is>
      </c>
      <c r="J431" s="208" t="inlineStr">
        <is>
          <t>-</t>
        </is>
      </c>
      <c r="K431" s="211" t="inlineStr">
        <is>
          <t>含目标</t>
        </is>
      </c>
      <c r="L431" s="209" t="inlineStr">
        <is>
          <t>HTM</t>
        </is>
      </c>
      <c r="M431" s="209" t="inlineStr">
        <is>
          <t>中文</t>
        </is>
      </c>
      <c r="N431" s="203" t="inlineStr">
        <is>
          <t>https://www.ndrc.gov.cn/xxgk/zcfb/ghxwj/202201/t20220121_1312634.html?code=&amp;state=123</t>
        </is>
      </c>
    </row>
    <row r="432">
      <c r="B432" s="198" t="inlineStr">
        <is>
          <t>IP2218</t>
        </is>
      </c>
      <c r="C432" s="208" t="n">
        <v>2022</v>
      </c>
      <c r="D432" s="210" t="inlineStr">
        <is>
          <t>加快推动工业资源综合利用实施方案</t>
        </is>
      </c>
      <c r="E432" s="210" t="inlineStr">
        <is>
          <t>Implementation Plan for Accelerating the Comprehensive Utilization of Industrial Resources</t>
        </is>
      </c>
      <c r="F432" s="209" t="inlineStr">
        <is>
          <t>工业和信息化部；国家发展和改革委员会；科学技术部；财政部；自然资源部；生态环境部；商务部；国家税务总局</t>
        </is>
      </c>
      <c r="G432" s="209" t="inlineStr">
        <is>
          <t>实施方案</t>
        </is>
      </c>
      <c r="H432" s="210" t="inlineStr">
        <is>
          <t>经济规划（含气候）</t>
        </is>
      </c>
      <c r="I432" s="211" t="inlineStr">
        <is>
          <t>B.2</t>
        </is>
      </c>
      <c r="J432" s="208" t="inlineStr">
        <is>
          <t>-</t>
        </is>
      </c>
      <c r="K432" s="211" t="inlineStr">
        <is>
          <t>无目标</t>
        </is>
      </c>
      <c r="L432" s="209" t="inlineStr">
        <is>
          <t>HTM</t>
        </is>
      </c>
      <c r="M432" s="209" t="inlineStr">
        <is>
          <t>中文</t>
        </is>
      </c>
      <c r="N432" s="203" t="inlineStr">
        <is>
          <t>https://wap.miit.gov.cn/jgsj/jns/zhlyh/art/2022/art_c80aad4ef15b4864a42ba751c4c22119.html</t>
        </is>
      </c>
    </row>
    <row r="433">
      <c r="B433" s="198" t="inlineStr">
        <is>
          <t>IP2219</t>
        </is>
      </c>
      <c r="C433" s="208" t="n">
        <v>2022</v>
      </c>
      <c r="D433" s="210" t="inlineStr">
        <is>
          <t>城乡建设领域碳达峰实施方案</t>
        </is>
      </c>
      <c r="E433" s="210" t="inlineStr">
        <is>
          <t>Implementation Plans for Carbon Peaking in Urban and Rural Development</t>
        </is>
      </c>
      <c r="F433" s="209" t="inlineStr">
        <is>
          <t>住房和城乡建设部；国家发展和改革委员会</t>
        </is>
      </c>
      <c r="G433" s="209" t="inlineStr">
        <is>
          <t>实施方案</t>
        </is>
      </c>
      <c r="H433" s="210" t="inlineStr">
        <is>
          <t>明确减缓</t>
        </is>
      </c>
      <c r="I433" s="211" t="inlineStr">
        <is>
          <t>C.6</t>
        </is>
      </c>
      <c r="J433" s="208" t="inlineStr">
        <is>
          <t>-</t>
        </is>
      </c>
      <c r="K433" s="211" t="inlineStr">
        <is>
          <t>含目标</t>
        </is>
      </c>
      <c r="L433" s="209" t="inlineStr">
        <is>
          <t>HTM</t>
        </is>
      </c>
      <c r="M433" s="209" t="inlineStr">
        <is>
          <t>中文</t>
        </is>
      </c>
      <c r="N433" s="203" t="inlineStr">
        <is>
          <t>https://baike.baidu.com/item/%E5%9F%8E%E4%B9%A1%E5%BB%BA%E8%AE%BE%E9%A2%86%E5%9F%9F%E7%A2%B3%E8%BE%BE%E5%B3%B0%E5%AE%9E%E6%96%BD%E6%96%B9%E6%A1%88/61723326</t>
        </is>
      </c>
    </row>
    <row r="434">
      <c r="B434" s="198" t="inlineStr">
        <is>
          <t>IP2220</t>
        </is>
      </c>
      <c r="C434" s="208" t="n">
        <v>2022</v>
      </c>
      <c r="D434" s="210" t="inlineStr">
        <is>
          <t>建材行业碳达峰实施方案</t>
        </is>
      </c>
      <c r="E434" s="210" t="inlineStr">
        <is>
          <t>Implementation Plans for Carbon Peaking in Building Materials</t>
        </is>
      </c>
      <c r="F434" s="209" t="inlineStr">
        <is>
          <t>工业和信息化部；国家发展和改革委员会；生态环境部；住房和城乡建设部</t>
        </is>
      </c>
      <c r="G434" s="209" t="inlineStr">
        <is>
          <t>实施方案</t>
        </is>
      </c>
      <c r="H434" s="210" t="inlineStr">
        <is>
          <t>明确减缓</t>
        </is>
      </c>
      <c r="I434" s="211" t="inlineStr">
        <is>
          <t>B.2</t>
        </is>
      </c>
      <c r="J434" s="208" t="inlineStr">
        <is>
          <t>-</t>
        </is>
      </c>
      <c r="K434" s="211" t="inlineStr">
        <is>
          <t>含目标</t>
        </is>
      </c>
      <c r="L434" s="209" t="inlineStr">
        <is>
          <t>HTM</t>
        </is>
      </c>
      <c r="M434" s="209" t="inlineStr">
        <is>
          <t>中文</t>
        </is>
      </c>
      <c r="N434" s="203" t="inlineStr">
        <is>
          <t>https://baike.baidu.com/item/%E5%BB%BA%E6%9D%90%E8%A1%8C%E4%B8%9A%E7%A2%B3%E8%BE%BE%E5%B3%B0%E5%AE%9E%E6%96%BD%E6%96%B9%E6%A1%88/62182581</t>
        </is>
      </c>
    </row>
    <row r="435">
      <c r="B435" s="198" t="inlineStr">
        <is>
          <t>IP2221</t>
        </is>
      </c>
      <c r="C435" s="208" t="n">
        <v>2022</v>
      </c>
      <c r="D435" s="210" t="inlineStr">
        <is>
          <t>有色金属行业碳达峰实施方案</t>
        </is>
      </c>
      <c r="E435" s="210" t="inlineStr">
        <is>
          <t>Implementation Plans for Carbon Peaking in Nonferrous Metals</t>
        </is>
      </c>
      <c r="F435" s="209" t="inlineStr">
        <is>
          <t>工业和信息化部；国家发展和改革委员会；生态环境部</t>
        </is>
      </c>
      <c r="G435" s="209" t="inlineStr">
        <is>
          <t>实施方案</t>
        </is>
      </c>
      <c r="H435" s="210" t="inlineStr">
        <is>
          <t>明确减缓</t>
        </is>
      </c>
      <c r="I435" s="211" t="inlineStr">
        <is>
          <t>B.2</t>
        </is>
      </c>
      <c r="J435" s="208" t="inlineStr">
        <is>
          <t>-</t>
        </is>
      </c>
      <c r="K435" s="211" t="inlineStr">
        <is>
          <t>含目标</t>
        </is>
      </c>
      <c r="L435" s="209" t="inlineStr">
        <is>
          <t>HTM</t>
        </is>
      </c>
      <c r="M435" s="209" t="inlineStr">
        <is>
          <t>中文</t>
        </is>
      </c>
      <c r="N435" s="203" t="inlineStr">
        <is>
          <t>https://baike.baidu.com/item/%E6%9C%89%E8%89%B2%E9%87%91%E5%B1%9E%E8%A1%8C%E4%B8%9A%E7%A2%B3%E8%BE%BE%E5%B3%B0%E5%AE%9E%E6%96%BD%E6%96%B9%E6%A1%88/62254056</t>
        </is>
      </c>
    </row>
    <row r="436">
      <c r="B436" s="198" t="inlineStr">
        <is>
          <t>IP2301</t>
        </is>
      </c>
      <c r="C436" s="208" t="n">
        <v>2023</v>
      </c>
      <c r="D436" s="210" t="inlineStr">
        <is>
          <t>加快推进充电基础设施建设 更好支持新能源汽车下乡和乡村振兴的实施意见</t>
        </is>
      </c>
      <c r="E436" s="210" t="inlineStr">
        <is>
          <t>Implementation Opinions on Accelerating the Construction of Charging Infrastructure to Better Support New Energy Vehicles in Rural Areas and Rural Revitalization</t>
        </is>
      </c>
      <c r="F436" s="209" t="inlineStr">
        <is>
          <t>国家发展和改革委员会；国家能源局；工业和信息化部；住房和城乡建设部；农业农村部</t>
        </is>
      </c>
      <c r="G436" s="209" t="inlineStr">
        <is>
          <t>实施方案</t>
        </is>
      </c>
      <c r="H436" s="210" t="inlineStr">
        <is>
          <t>促进减缓</t>
        </is>
      </c>
      <c r="I436" s="211" t="inlineStr">
        <is>
          <t>B.4, B.3</t>
        </is>
      </c>
      <c r="J436" s="208" t="inlineStr">
        <is>
          <t>-</t>
        </is>
      </c>
      <c r="K436" s="211" t="inlineStr">
        <is>
          <t>无目标</t>
        </is>
      </c>
      <c r="L436" s="209" t="inlineStr">
        <is>
          <t>HTM</t>
        </is>
      </c>
      <c r="M436" s="209" t="inlineStr">
        <is>
          <t>中文</t>
        </is>
      </c>
      <c r="N436" s="203" t="inlineStr">
        <is>
          <t>https://www.ndrc.gov.cn/xxgk/zcfb/tz/202305/t20230517_1355814.html</t>
        </is>
      </c>
    </row>
    <row r="437">
      <c r="B437" s="198" t="inlineStr">
        <is>
          <t>IP2303</t>
        </is>
      </c>
      <c r="C437" s="208" t="n">
        <v>2023</v>
      </c>
      <c r="D437" s="210" t="inlineStr">
        <is>
          <t>绿色建材产业高质量发展实施方案</t>
        </is>
      </c>
      <c r="E437" s="210" t="inlineStr">
        <is>
          <t>Implementation Plan for High-Quality Development of the Green Building Materials Industry</t>
        </is>
      </c>
      <c r="F437" s="209" t="inlineStr">
        <is>
          <t>工业和信息化部；国家发展和改革委员会；住房和城乡建设部；生态环境部；国家市场监督管理总局</t>
        </is>
      </c>
      <c r="G437" s="209" t="inlineStr">
        <is>
          <t>实施方案</t>
        </is>
      </c>
      <c r="H437" s="210" t="inlineStr">
        <is>
          <t>明确减缓</t>
        </is>
      </c>
      <c r="I437" s="211" t="inlineStr">
        <is>
          <t>B.2</t>
        </is>
      </c>
      <c r="J437" s="208" t="inlineStr">
        <is>
          <t>-</t>
        </is>
      </c>
      <c r="K437" s="211" t="inlineStr">
        <is>
          <t>无目标</t>
        </is>
      </c>
      <c r="L437" s="209" t="inlineStr">
        <is>
          <t>PDF</t>
        </is>
      </c>
      <c r="M437" s="209" t="inlineStr">
        <is>
          <t>中文</t>
        </is>
      </c>
      <c r="N437" s="203" t="inlineStr">
        <is>
          <t>https://www.gov.cn/zhengce/zhengceku/202401/content_6925435.htm</t>
        </is>
      </c>
    </row>
    <row r="438">
      <c r="B438" s="198" t="inlineStr">
        <is>
          <t>IP2401</t>
        </is>
      </c>
      <c r="C438" s="208" t="n">
        <v>2024</v>
      </c>
      <c r="D438" s="210" t="inlineStr">
        <is>
          <t>国家重点低碳技术征集推广实施方案</t>
        </is>
      </c>
      <c r="E438" s="210" t="inlineStr">
        <is>
          <t>Implementation Plan for Collection and Promotion of National Key Low-Carbon Technologies</t>
        </is>
      </c>
      <c r="F438" s="209" t="inlineStr">
        <is>
          <t>生态环境部；科学技术部；工业和信息化部；住房和城乡建设部；交通运输部；农业农村部</t>
        </is>
      </c>
      <c r="G438" s="209" t="inlineStr">
        <is>
          <t>实施方案</t>
        </is>
      </c>
      <c r="H438" s="210" t="inlineStr">
        <is>
          <t>明确减缓</t>
        </is>
      </c>
      <c r="I438" s="211" t="inlineStr">
        <is>
          <t>C.1</t>
        </is>
      </c>
      <c r="J438" s="208" t="inlineStr">
        <is>
          <t>-</t>
        </is>
      </c>
      <c r="K438" s="211" t="inlineStr">
        <is>
          <t>无目标</t>
        </is>
      </c>
      <c r="L438" s="209" t="inlineStr">
        <is>
          <t>PDF</t>
        </is>
      </c>
      <c r="M438" s="209" t="inlineStr">
        <is>
          <t>中文</t>
        </is>
      </c>
      <c r="N438" s="203" t="inlineStr">
        <is>
          <t>https://www.mee.gov.cn/xxgk2018/xxgk/xxgk05/202402/t20240222_1066647.html</t>
        </is>
      </c>
    </row>
    <row r="439">
      <c r="B439" s="198" t="inlineStr">
        <is>
          <t>IP2402</t>
        </is>
      </c>
      <c r="C439" s="208" t="n">
        <v>2024</v>
      </c>
      <c r="D439" s="210" t="inlineStr">
        <is>
          <t>推动工业领域设备更新实施方案</t>
        </is>
      </c>
      <c r="E439" s="210" t="inlineStr">
        <is>
          <t>Implementation Plan for Accelerating Equipment Renewals in Industrial Sector</t>
        </is>
      </c>
      <c r="F439" s="209" t="inlineStr">
        <is>
          <t>工业和信息化部；国家发展和改革委员会；财政部</t>
        </is>
      </c>
      <c r="G439" s="209" t="inlineStr">
        <is>
          <t>实施方案</t>
        </is>
      </c>
      <c r="H439" s="210" t="inlineStr">
        <is>
          <t>促进减缓</t>
        </is>
      </c>
      <c r="I439" s="211" t="inlineStr">
        <is>
          <t>B.2</t>
        </is>
      </c>
      <c r="J439" s="208" t="inlineStr">
        <is>
          <t>-</t>
        </is>
      </c>
      <c r="K439" s="211" t="inlineStr">
        <is>
          <t>无目标</t>
        </is>
      </c>
      <c r="L439" s="209" t="inlineStr">
        <is>
          <t>HTM</t>
        </is>
      </c>
      <c r="M439" s="209" t="inlineStr">
        <is>
          <t>中文</t>
        </is>
      </c>
      <c r="N439" s="203" t="inlineStr">
        <is>
          <t>https://www.gov.cn/zhengce/zhengceku/202404/content_6944252.htm</t>
        </is>
      </c>
    </row>
    <row r="440">
      <c r="B440" s="198" t="inlineStr">
        <is>
          <t>IP2403</t>
        </is>
      </c>
      <c r="C440" s="208" t="n">
        <v>2024</v>
      </c>
      <c r="D440" s="210" t="inlineStr">
        <is>
          <t>能源重点领域大规模设备更新实施方案</t>
        </is>
      </c>
      <c r="E440" s="210" t="inlineStr">
        <is>
          <t>Implementation Plan for Large-scale Equipment Renewals in Key Areas of Energy Sector</t>
        </is>
      </c>
      <c r="F440" s="209" t="inlineStr">
        <is>
          <t>国家发展和改革委员会；国家能源局</t>
        </is>
      </c>
      <c r="G440" s="209" t="inlineStr">
        <is>
          <t>实施方案</t>
        </is>
      </c>
      <c r="H440" s="210" t="inlineStr">
        <is>
          <t>促进减缓</t>
        </is>
      </c>
      <c r="I440" s="211" t="inlineStr">
        <is>
          <t>B.1</t>
        </is>
      </c>
      <c r="J440" s="208" t="inlineStr">
        <is>
          <t>-</t>
        </is>
      </c>
      <c r="K440" s="211" t="inlineStr">
        <is>
          <t>无目标</t>
        </is>
      </c>
      <c r="L440" s="209" t="inlineStr">
        <is>
          <t>PDF</t>
        </is>
      </c>
      <c r="M440" s="209" t="inlineStr">
        <is>
          <t>中文</t>
        </is>
      </c>
      <c r="N440" s="203" t="inlineStr">
        <is>
          <t>https://www.ndrc.gov.cn/xxgk/zcfb/tz/202408/t20240821_1392506.html</t>
        </is>
      </c>
    </row>
    <row r="441" ht="14.5" customHeight="1" s="235">
      <c r="B441" s="198" t="inlineStr">
        <is>
          <t>IP2404</t>
        </is>
      </c>
      <c r="C441" s="208" t="n">
        <v>2024</v>
      </c>
      <c r="D441" s="210" t="inlineStr">
        <is>
          <t>配电网高质量发展行动实施方案（2024—2027年）</t>
        </is>
      </c>
      <c r="E441" s="210" t="inlineStr">
        <is>
          <t>Implementation Plan for the High-quality Development of Distribution Networks (2024-2027)</t>
        </is>
      </c>
      <c r="F441" s="209" t="inlineStr">
        <is>
          <t>国家能源局</t>
        </is>
      </c>
      <c r="G441" s="209" t="inlineStr">
        <is>
          <t>实施方案</t>
        </is>
      </c>
      <c r="H441" s="210" t="inlineStr">
        <is>
          <t>经济规划（含气候）</t>
        </is>
      </c>
      <c r="I441" s="211" t="inlineStr">
        <is>
          <t>B.1</t>
        </is>
      </c>
      <c r="J441" s="208" t="inlineStr">
        <is>
          <t>2024-2027</t>
        </is>
      </c>
      <c r="K441" s="211" t="inlineStr">
        <is>
          <t>无目标</t>
        </is>
      </c>
      <c r="L441" s="209" t="inlineStr">
        <is>
          <t>PDF</t>
        </is>
      </c>
      <c r="M441" s="209" t="inlineStr">
        <is>
          <t>中文</t>
        </is>
      </c>
      <c r="N441" s="203" t="inlineStr">
        <is>
          <t>https://zfxxgk.nea.gov.cn/2024-08/02/c_1310784260.htm</t>
        </is>
      </c>
    </row>
    <row r="442">
      <c r="B442" s="198" t="inlineStr">
        <is>
          <t>IP2405</t>
        </is>
      </c>
      <c r="C442" s="208" t="n">
        <v>2024</v>
      </c>
      <c r="D442" s="210" t="inlineStr">
        <is>
          <t>关于建立碳足迹管理体系的实施方案</t>
        </is>
      </c>
      <c r="E442" s="210" t="inlineStr">
        <is>
          <t>Implementation Plan for the Establishment of a Carbon Footprint Management System</t>
        </is>
      </c>
      <c r="F442" s="209" t="inlineStr">
        <is>
          <t>生态环境部；国家发展和改革委员会；工业和信息化部；财政部；交通运输部；商务部；海关总署；国家市场监督管理总局</t>
        </is>
      </c>
      <c r="G442" s="209" t="inlineStr">
        <is>
          <t>实施方案</t>
        </is>
      </c>
      <c r="H442" s="210" t="inlineStr">
        <is>
          <t>明确减缓</t>
        </is>
      </c>
      <c r="I442" s="211" t="inlineStr">
        <is>
          <t>C.3</t>
        </is>
      </c>
      <c r="J442" s="208" t="inlineStr">
        <is>
          <t>-</t>
        </is>
      </c>
      <c r="K442" s="211" t="inlineStr">
        <is>
          <t>无目标</t>
        </is>
      </c>
      <c r="L442" s="209" t="inlineStr">
        <is>
          <t>PDF</t>
        </is>
      </c>
      <c r="M442" s="209" t="inlineStr">
        <is>
          <t>中文</t>
        </is>
      </c>
      <c r="N442" s="203" t="inlineStr">
        <is>
          <t>https://www.mee.gov.cn/xxgk2018/xxgk/xxgk03/202406/t20240604_1074986.html</t>
        </is>
      </c>
    </row>
    <row r="443">
      <c r="B443" s="198" t="inlineStr">
        <is>
          <t>IP2406</t>
        </is>
      </c>
      <c r="C443" s="208" t="n">
        <v>2024</v>
      </c>
      <c r="D443" s="210" t="inlineStr">
        <is>
          <t>电力系统调节能力优化专项行动实施方案 （2025—2027年）</t>
        </is>
      </c>
      <c r="E443" s="210" t="inlineStr">
        <is>
          <t>Implementation Plan for Special Action on Optimization of Power System Regulation Capacity (2025-2027)</t>
        </is>
      </c>
      <c r="F443" s="209" t="inlineStr">
        <is>
          <t>国家发展和改革委员会；国家能源局</t>
        </is>
      </c>
      <c r="G443" s="209" t="inlineStr">
        <is>
          <t>实施方案</t>
        </is>
      </c>
      <c r="H443" s="210" t="inlineStr">
        <is>
          <t>经济规划（含气候）</t>
        </is>
      </c>
      <c r="I443" s="211" t="inlineStr">
        <is>
          <t>B.1</t>
        </is>
      </c>
      <c r="J443" s="208" t="inlineStr">
        <is>
          <t>2025-2027</t>
        </is>
      </c>
      <c r="K443" s="211" t="inlineStr">
        <is>
          <t>无目标</t>
        </is>
      </c>
      <c r="L443" s="209" t="inlineStr">
        <is>
          <t>PDF</t>
        </is>
      </c>
      <c r="M443" s="209" t="inlineStr">
        <is>
          <t>中文</t>
        </is>
      </c>
      <c r="N443" s="203" t="inlineStr">
        <is>
          <t>https://www.gov.cn/zhengce/zhengceku/202501/content_6996643.htm</t>
        </is>
      </c>
    </row>
    <row r="444">
      <c r="B444" s="198" t="inlineStr">
        <is>
          <t>IP2407</t>
        </is>
      </c>
      <c r="C444" s="208" t="n">
        <v>2024</v>
      </c>
      <c r="D444" s="210" t="inlineStr">
        <is>
          <t>加快工业领域清洁低碳氢应用实施方案</t>
        </is>
      </c>
      <c r="E444" s="210" t="inlineStr">
        <is>
          <t>Implementation Plan for Clean and Low-Carbon Hydrogen Applications in the Industrial Sector</t>
        </is>
      </c>
      <c r="F444" s="209" t="inlineStr">
        <is>
          <t>工业和信息化部；国家发展和改革委员会；国家能源局</t>
        </is>
      </c>
      <c r="G444" s="209" t="inlineStr">
        <is>
          <t>实施方案</t>
        </is>
      </c>
      <c r="H444" s="210" t="inlineStr">
        <is>
          <t>明确减缓</t>
        </is>
      </c>
      <c r="I444" s="211" t="inlineStr">
        <is>
          <t>B.2</t>
        </is>
      </c>
      <c r="J444" s="208" t="inlineStr">
        <is>
          <t>-</t>
        </is>
      </c>
      <c r="K444" s="211" t="inlineStr">
        <is>
          <t>无目标</t>
        </is>
      </c>
      <c r="L444" s="209" t="inlineStr">
        <is>
          <t>PDF</t>
        </is>
      </c>
      <c r="M444" s="209" t="inlineStr">
        <is>
          <t>中文</t>
        </is>
      </c>
      <c r="N444" s="203" t="inlineStr">
        <is>
          <t>https://www.nea.gov.cn/20241231/22b72793b0c946a4b9bfc2b06612b32e/c.html</t>
        </is>
      </c>
    </row>
    <row r="445">
      <c r="B445" s="198" t="inlineStr">
        <is>
          <t>IP2408</t>
        </is>
      </c>
      <c r="C445" s="208" t="n">
        <v>2024</v>
      </c>
      <c r="D445" s="210" t="inlineStr">
        <is>
          <t>推进建筑和市政基础设施设备更新工作实施方案</t>
        </is>
      </c>
      <c r="E445" s="210" t="inlineStr">
        <is>
          <t>Implementation Plan for Accelerating the Renewal of Building and Municipal Infrastructure Equipment</t>
        </is>
      </c>
      <c r="F445" s="209" t="inlineStr">
        <is>
          <t>住房和城乡建设部</t>
        </is>
      </c>
      <c r="G445" s="209" t="inlineStr">
        <is>
          <t>实施方案</t>
        </is>
      </c>
      <c r="H445" s="210" t="inlineStr">
        <is>
          <t>促进减缓</t>
        </is>
      </c>
      <c r="I445" s="211" t="inlineStr">
        <is>
          <t>B.3</t>
        </is>
      </c>
      <c r="J445" s="208" t="inlineStr">
        <is>
          <t>-</t>
        </is>
      </c>
      <c r="K445" s="211" t="inlineStr">
        <is>
          <t>无目标</t>
        </is>
      </c>
      <c r="L445" s="209" t="inlineStr">
        <is>
          <t>PDF</t>
        </is>
      </c>
      <c r="M445" s="209" t="inlineStr">
        <is>
          <t>中文</t>
        </is>
      </c>
      <c r="N445" s="203" t="inlineStr">
        <is>
          <t>https://www.gov.cn/zhengce/zhengceku/202404/content_6944067.htm</t>
        </is>
      </c>
    </row>
    <row r="446">
      <c r="B446" s="198" t="inlineStr">
        <is>
          <t>IP2501</t>
        </is>
      </c>
      <c r="C446" s="208" t="n">
        <v>2025</v>
      </c>
      <c r="D446" s="210" t="inlineStr">
        <is>
          <t>铝产业高质量发展实施方案（2025—2027年）</t>
        </is>
      </c>
      <c r="E446" s="210" t="inlineStr">
        <is>
          <t>Implementation Plan for High Quality Development of Aluminum Industry (2025-2027)</t>
        </is>
      </c>
      <c r="F446" s="209" t="inlineStr">
        <is>
          <t>工业和信息化部；国家发展和改革委员会；自然资源部；生态环境部；商务部；中国人民银行；国务院国有资产监督管理委员会；海关总署；国家市场监督管理总局；国家能源局</t>
        </is>
      </c>
      <c r="G446" s="209" t="inlineStr">
        <is>
          <t>实施方案</t>
        </is>
      </c>
      <c r="H446" s="210" t="inlineStr">
        <is>
          <t>经济规划（含气候）</t>
        </is>
      </c>
      <c r="I446" s="211" t="inlineStr">
        <is>
          <t>B.2</t>
        </is>
      </c>
      <c r="J446" s="208" t="inlineStr">
        <is>
          <t>2025-2027</t>
        </is>
      </c>
      <c r="K446" s="211" t="inlineStr">
        <is>
          <t>无目标</t>
        </is>
      </c>
      <c r="L446" s="209" t="inlineStr">
        <is>
          <t>PDF</t>
        </is>
      </c>
      <c r="M446" s="209" t="inlineStr">
        <is>
          <t>中文</t>
        </is>
      </c>
      <c r="N446" s="203" t="inlineStr">
        <is>
          <t>https://newenergy.in-en.com/html/newenergy-2440093.shtml?utm_source=cbnewsletter&amp;utm_medium=email&amp;utm_term=2025-04-07&amp;utm_campaign=China+Briefing+Solar+exports+Carbon+market+expansion+Leaders+climate+commitments</t>
        </is>
      </c>
    </row>
    <row r="447">
      <c r="B447" s="198" t="inlineStr">
        <is>
          <t>IP2502</t>
        </is>
      </c>
      <c r="C447" s="208" t="n">
        <v>2025</v>
      </c>
      <c r="D447" s="210" t="inlineStr">
        <is>
          <t>养殖业节粮行动实施方案</t>
        </is>
      </c>
      <c r="E447" s="210" t="inlineStr">
        <is>
          <t>Implementation Plan for Grain Saving Action in Livestock Industry</t>
        </is>
      </c>
      <c r="F447" s="209" t="inlineStr">
        <is>
          <t>农业农村部</t>
        </is>
      </c>
      <c r="G447" s="209" t="inlineStr">
        <is>
          <t>实施方案</t>
        </is>
      </c>
      <c r="H447" s="210" t="inlineStr">
        <is>
          <t>促进减缓</t>
        </is>
      </c>
      <c r="I447" s="211" t="inlineStr">
        <is>
          <t>B.5</t>
        </is>
      </c>
      <c r="J447" s="208" t="inlineStr">
        <is>
          <t>-</t>
        </is>
      </c>
      <c r="K447" s="211" t="inlineStr">
        <is>
          <t>无目标</t>
        </is>
      </c>
      <c r="L447" s="209" t="inlineStr">
        <is>
          <t>HTM</t>
        </is>
      </c>
      <c r="M447" s="209" t="inlineStr">
        <is>
          <t>中文</t>
        </is>
      </c>
      <c r="N447" s="203" t="inlineStr">
        <is>
          <t>https://www.moa.gov.cn/govpublic/xmsyj/202504/t20250429_6473633.htm</t>
        </is>
      </c>
    </row>
    <row r="448">
      <c r="B448" s="198" t="inlineStr">
        <is>
          <t>IP2503</t>
        </is>
      </c>
      <c r="C448" s="208" t="n">
        <v>2025</v>
      </c>
      <c r="D448" s="210" t="inlineStr">
        <is>
          <t>新一代煤电升级专项行动实施方案（2025—2027年）</t>
        </is>
      </c>
      <c r="E448" s="210" t="inlineStr">
        <is>
          <t>Implementation Plan for the Next-Generation Coal Power Upgrade Initiative (2025-2027)</t>
        </is>
      </c>
      <c r="F448" s="209" t="inlineStr">
        <is>
          <t>国家发展和改革委员会；国家能源局</t>
        </is>
      </c>
      <c r="G448" s="209" t="inlineStr">
        <is>
          <t>实施方案</t>
        </is>
      </c>
      <c r="H448" s="210" t="inlineStr">
        <is>
          <t>化石能源</t>
        </is>
      </c>
      <c r="I448" s="211" t="inlineStr">
        <is>
          <t>B.1</t>
        </is>
      </c>
      <c r="J448" s="208" t="inlineStr">
        <is>
          <t>2025-2027</t>
        </is>
      </c>
      <c r="K448" s="211" t="inlineStr">
        <is>
          <t>无目标</t>
        </is>
      </c>
      <c r="L448" s="209" t="inlineStr">
        <is>
          <t>PDF</t>
        </is>
      </c>
      <c r="M448" s="209" t="inlineStr">
        <is>
          <t>中文</t>
        </is>
      </c>
      <c r="N448" s="203" t="inlineStr">
        <is>
          <t>https://www.gov.cn/zhengce/zhengceku/202504/content_7018738.htm</t>
        </is>
      </c>
    </row>
    <row r="449" ht="14.5" customHeight="1" s="235">
      <c r="B449" s="198" t="inlineStr">
        <is>
          <t>IP2504</t>
        </is>
      </c>
      <c r="C449" s="208" t="n">
        <v>2025</v>
      </c>
      <c r="D449" s="210" t="inlineStr">
        <is>
          <t>轻工业数字化转型实施方案</t>
        </is>
      </c>
      <c r="E449" s="210" t="inlineStr">
        <is>
          <t>Implementation Plan for the Digital Transition of the Light Industry</t>
        </is>
      </c>
      <c r="F449" s="209" t="inlineStr">
        <is>
          <t>工业和信息化部；教育部；国家市场监督管理总局</t>
        </is>
      </c>
      <c r="G449" s="209" t="inlineStr">
        <is>
          <t>实施方案</t>
        </is>
      </c>
      <c r="H449" s="210" t="inlineStr">
        <is>
          <t>经济规划（含气候）</t>
        </is>
      </c>
      <c r="I449" s="211" t="inlineStr">
        <is>
          <t>B.2</t>
        </is>
      </c>
      <c r="J449" s="208" t="inlineStr">
        <is>
          <t>-</t>
        </is>
      </c>
      <c r="K449" s="211" t="inlineStr">
        <is>
          <t>无目标</t>
        </is>
      </c>
      <c r="L449" s="209" t="inlineStr">
        <is>
          <t>HTM</t>
        </is>
      </c>
      <c r="M449" s="209" t="inlineStr">
        <is>
          <t>中文</t>
        </is>
      </c>
      <c r="N449" s="203" t="inlineStr">
        <is>
          <t>https://www.gov.cn/zhengce/zhengceku/202503/content_7015987.htm</t>
        </is>
      </c>
    </row>
    <row r="450">
      <c r="B450" s="198" t="inlineStr">
        <is>
          <t>IP2506</t>
        </is>
      </c>
      <c r="C450" s="208" t="n">
        <v>2025</v>
      </c>
      <c r="D450" s="210" t="inlineStr">
        <is>
          <t>银行业保险业绿色金融高质量发展实施方案</t>
        </is>
      </c>
      <c r="E450" s="210" t="inlineStr">
        <is>
          <t>Implementation Plan for High-Quality Development of Green Finance in the Banking and Insurance Sectors</t>
        </is>
      </c>
      <c r="F450" s="209" t="inlineStr">
        <is>
          <t>国家金融监督管理总局；中国人民银行</t>
        </is>
      </c>
      <c r="G450" s="209" t="inlineStr">
        <is>
          <t>实施方案</t>
        </is>
      </c>
      <c r="H450" s="210" t="inlineStr">
        <is>
          <t>明确减缓</t>
        </is>
      </c>
      <c r="I450" s="211" t="inlineStr">
        <is>
          <t>C.2</t>
        </is>
      </c>
      <c r="J450" s="208" t="inlineStr">
        <is>
          <t>-</t>
        </is>
      </c>
      <c r="K450" s="211" t="inlineStr">
        <is>
          <t>无目标</t>
        </is>
      </c>
      <c r="L450" s="209" t="inlineStr">
        <is>
          <t>HTM</t>
        </is>
      </c>
      <c r="M450" s="209" t="inlineStr">
        <is>
          <t>中文</t>
        </is>
      </c>
      <c r="N450" s="203" t="inlineStr">
        <is>
          <t>https://www.nfra.gov.cn/cn/view/pages/ItemDetail.html?docId=1199877&amp;itemId=928</t>
        </is>
      </c>
    </row>
    <row r="451">
      <c r="B451" s="198" t="inlineStr">
        <is>
          <t>IP2507</t>
        </is>
      </c>
      <c r="C451" s="208" t="n">
        <v>2025</v>
      </c>
      <c r="D451" s="210" t="inlineStr">
        <is>
          <t>关于加强生态环境领域科技创新 推动美丽中国建设的实施意见</t>
        </is>
      </c>
      <c r="E451" s="210" t="inlineStr">
        <is>
          <t>Implementation Opinions on Strengthening Technological Innovation in the Field of Ecological Environment to Promote the Construction of a Beautiful China</t>
        </is>
      </c>
      <c r="F451" s="209" t="inlineStr">
        <is>
          <t>生态环境部；国家发展和改革委员会；教育部；工业和信息化部；财政部；人力资源和社会保障部；自然资源部；住房和城乡建设部；交通运输部；水利部；农业农村部；国务院国有资产监督管理委员会；中国科学院；中国气象局；国家林业和草原局；国家自然科学基金委员会</t>
        </is>
      </c>
      <c r="G451" s="209" t="inlineStr">
        <is>
          <t>实施意见</t>
        </is>
      </c>
      <c r="H451" s="210" t="inlineStr">
        <is>
          <t>促进减缓</t>
        </is>
      </c>
      <c r="I451" s="211" t="inlineStr">
        <is>
          <t>C.1</t>
        </is>
      </c>
      <c r="J451" s="208" t="inlineStr">
        <is>
          <t>-</t>
        </is>
      </c>
      <c r="K451" s="211" t="inlineStr">
        <is>
          <t>无目标</t>
        </is>
      </c>
      <c r="L451" s="209" t="inlineStr">
        <is>
          <t>PDF</t>
        </is>
      </c>
      <c r="M451" s="209" t="inlineStr">
        <is>
          <t>中文</t>
        </is>
      </c>
      <c r="N451" s="203" t="inlineStr">
        <is>
          <t>https://www.mee.gov.cn/xxgk2018/xxgk/xxgk03/202502/t20250220_1102555.html</t>
        </is>
      </c>
    </row>
    <row r="452">
      <c r="B452" s="198" t="inlineStr">
        <is>
          <t>IP2508</t>
        </is>
      </c>
      <c r="C452" s="208" t="n">
        <v>2025</v>
      </c>
      <c r="D452" s="210" t="inlineStr">
        <is>
          <t>美丽乡村建设实施方案</t>
        </is>
      </c>
      <c r="E452" s="210" t="inlineStr">
        <is>
          <t>Implementation Plan for the Construction of Beautiful Countryside</t>
        </is>
      </c>
      <c r="F452" s="209" t="inlineStr">
        <is>
          <t>生态环境部；农业农村部；国家发展和改革委员会；财政部；自然资源部；住房和城乡建设部；水利部；国家市场监督管理总局；国家林业和草原局</t>
        </is>
      </c>
      <c r="G452" s="209" t="inlineStr">
        <is>
          <t>实施方案</t>
        </is>
      </c>
      <c r="H452" s="210" t="inlineStr">
        <is>
          <t>促进减缓</t>
        </is>
      </c>
      <c r="I452" s="211" t="inlineStr">
        <is>
          <t>C.6</t>
        </is>
      </c>
      <c r="J452" s="208" t="inlineStr">
        <is>
          <t>-</t>
        </is>
      </c>
      <c r="K452" s="211" t="inlineStr">
        <is>
          <t>无目标</t>
        </is>
      </c>
      <c r="L452" s="209" t="inlineStr">
        <is>
          <t>PDF</t>
        </is>
      </c>
      <c r="M452" s="209" t="inlineStr">
        <is>
          <t>中文</t>
        </is>
      </c>
      <c r="N452" s="203" t="inlineStr">
        <is>
          <t>https://www.mee.gov.cn/xxgk2018/xxgk/xxgk03/202501/t20250120_1100929.html</t>
        </is>
      </c>
    </row>
    <row r="453">
      <c r="B453" s="198" t="inlineStr">
        <is>
          <t>IP2509</t>
        </is>
      </c>
      <c r="C453" s="208" t="n">
        <v>2025</v>
      </c>
      <c r="D453" s="210" t="inlineStr">
        <is>
          <t>美丽城市建设实施方案</t>
        </is>
      </c>
      <c r="E453" s="210" t="inlineStr">
        <is>
          <t>Implementation Plan for the Construction of Beautiful Cities</t>
        </is>
      </c>
      <c r="F453" s="209" t="inlineStr">
        <is>
          <t>生态环境部；中共中央；国家发展和改革委员会；工业和信息化部；财政部；自然资源部；住房和城乡建设部；交通运输部；文化和旅游部；中国人民银行；国家数据局</t>
        </is>
      </c>
      <c r="G453" s="209" t="inlineStr">
        <is>
          <t>实施方案</t>
        </is>
      </c>
      <c r="H453" s="210" t="inlineStr">
        <is>
          <t>促进减缓</t>
        </is>
      </c>
      <c r="I453" s="211" t="inlineStr">
        <is>
          <t>C.6</t>
        </is>
      </c>
      <c r="J453" s="208" t="inlineStr">
        <is>
          <t>-</t>
        </is>
      </c>
      <c r="K453" s="211" t="inlineStr">
        <is>
          <t>无目标</t>
        </is>
      </c>
      <c r="L453" s="209" t="inlineStr">
        <is>
          <t>PDF</t>
        </is>
      </c>
      <c r="M453" s="209" t="inlineStr">
        <is>
          <t>中文</t>
        </is>
      </c>
      <c r="N453" s="203" t="inlineStr">
        <is>
          <t>https://www.gov.cn/zhengce/zhengceku/202501/content_7000079.htm</t>
        </is>
      </c>
    </row>
    <row r="454">
      <c r="B454" s="198" t="inlineStr">
        <is>
          <t>IP2511</t>
        </is>
      </c>
      <c r="C454" s="208" t="n">
        <v>2025</v>
      </c>
      <c r="D454" s="210" t="inlineStr">
        <is>
          <t>关于推进“人工智能+”能源高质量发展的实施意见</t>
        </is>
      </c>
      <c r="E454" s="210" t="inlineStr">
        <is>
          <t>Implementation Opinions for Promoting High-Quality Development of “AI+” Energy</t>
        </is>
      </c>
      <c r="F454" s="209" t="inlineStr">
        <is>
          <t>国家发展和改革委员会；国家能源局</t>
        </is>
      </c>
      <c r="G454" s="209" t="inlineStr">
        <is>
          <t>实施意见</t>
        </is>
      </c>
      <c r="H454" s="210" t="inlineStr">
        <is>
          <t>经济规划（含气候）</t>
        </is>
      </c>
      <c r="I454" s="211" t="inlineStr">
        <is>
          <t>B.3</t>
        </is>
      </c>
      <c r="J454" s="208" t="inlineStr">
        <is>
          <t>-</t>
        </is>
      </c>
      <c r="K454" s="211" t="inlineStr">
        <is>
          <t>无目标</t>
        </is>
      </c>
      <c r="L454" s="209" t="inlineStr">
        <is>
          <t>HTM</t>
        </is>
      </c>
      <c r="M454" s="209" t="inlineStr">
        <is>
          <t>中文</t>
        </is>
      </c>
      <c r="N454" s="203" t="inlineStr">
        <is>
          <t>https://www.nea.gov.cn/20250908/8a90bf7f17b141038fe7be0988a2c603/c.html</t>
        </is>
      </c>
    </row>
    <row r="455">
      <c r="B455" s="198" t="inlineStr">
        <is>
          <t>IP2512</t>
        </is>
      </c>
      <c r="C455" s="208" t="n">
        <v>2025</v>
      </c>
      <c r="D455" s="210" t="inlineStr">
        <is>
          <t>关于深入推进工业和信息化绿色低碳标准化工作的实施方案</t>
        </is>
      </c>
      <c r="E455" s="210" t="inlineStr">
        <is>
          <t>Implementation Plan for Advancing Green and Low-Carbon Standardization in the Industrial and Information Technology Sectors</t>
        </is>
      </c>
      <c r="F455" s="209" t="inlineStr">
        <is>
          <t>工业和信息化部</t>
        </is>
      </c>
      <c r="G455" s="209" t="inlineStr">
        <is>
          <t>实施方案</t>
        </is>
      </c>
      <c r="H455" s="210" t="inlineStr">
        <is>
          <t>明确减缓</t>
        </is>
      </c>
      <c r="I455" s="211" t="inlineStr">
        <is>
          <t>B.2</t>
        </is>
      </c>
      <c r="J455" s="208" t="inlineStr">
        <is>
          <t>-</t>
        </is>
      </c>
      <c r="K455" s="211" t="inlineStr">
        <is>
          <t>无目标</t>
        </is>
      </c>
      <c r="L455" s="209" t="inlineStr">
        <is>
          <t>PDF</t>
        </is>
      </c>
      <c r="M455" s="209" t="inlineStr">
        <is>
          <t>中文</t>
        </is>
      </c>
      <c r="N455" s="203" t="inlineStr">
        <is>
          <t>https://www.miit.gov.cn/zwgk/zcwj/wjfb/tz/art/2025/art_e9123ba56ce74d74b09124019c7d509b.html</t>
        </is>
      </c>
    </row>
    <row r="456">
      <c r="B456" s="198" t="inlineStr">
        <is>
          <t>IP2513</t>
        </is>
      </c>
      <c r="C456" s="208" t="n">
        <v>2025</v>
      </c>
      <c r="D456" s="226" t="inlineStr">
        <is>
          <t>节水装备高质量发展实施方案（2025—2030 年）</t>
        </is>
      </c>
      <c r="E456" s="210" t="inlineStr">
        <is>
          <t>Implementation Plan for High-Quality Development of Water-Saving Equipment (2025–2030)</t>
        </is>
      </c>
      <c r="F456" s="209" t="inlineStr">
        <is>
          <t>工业和信息化部；水利部</t>
        </is>
      </c>
      <c r="G456" s="209" t="inlineStr">
        <is>
          <t>实施方案</t>
        </is>
      </c>
      <c r="H456" s="210" t="inlineStr">
        <is>
          <t>促进减缓</t>
        </is>
      </c>
      <c r="I456" s="211" t="inlineStr">
        <is>
          <t>B.2</t>
        </is>
      </c>
      <c r="J456" s="208" t="inlineStr">
        <is>
          <t>2025–2030</t>
        </is>
      </c>
      <c r="K456" s="211" t="inlineStr">
        <is>
          <t>无目标</t>
        </is>
      </c>
      <c r="L456" s="209" t="inlineStr">
        <is>
          <t>PDF</t>
        </is>
      </c>
      <c r="M456" s="209" t="inlineStr">
        <is>
          <t>中文</t>
        </is>
      </c>
      <c r="N456" s="203" t="inlineStr">
        <is>
          <t>https://www.miit.gov.cn/jgsj/jns/gzdt/art/2025/art_8eb5473a00b04635805511c2d61be046.html</t>
        </is>
      </c>
    </row>
    <row r="457">
      <c r="B457" s="198" t="inlineStr">
        <is>
          <t>IP2514</t>
        </is>
      </c>
      <c r="C457" s="208" t="n">
        <v>2025</v>
      </c>
      <c r="D457" s="226" t="inlineStr">
        <is>
          <t>商务部关于拓展绿色贸易的实施意见</t>
        </is>
      </c>
      <c r="E457" s="210" t="inlineStr">
        <is>
          <t>Implementation Opinions for Expanding Green Trade</t>
        </is>
      </c>
      <c r="F457" s="209" t="inlineStr">
        <is>
          <t>商务部</t>
        </is>
      </c>
      <c r="G457" s="209" t="inlineStr">
        <is>
          <t>实施方案</t>
        </is>
      </c>
      <c r="H457" s="210" t="inlineStr">
        <is>
          <t>明确减缓</t>
        </is>
      </c>
      <c r="I457" s="211" t="inlineStr">
        <is>
          <t>B.2</t>
        </is>
      </c>
      <c r="J457" s="208" t="inlineStr">
        <is>
          <t>-</t>
        </is>
      </c>
      <c r="K457" s="211" t="inlineStr">
        <is>
          <t>无目标</t>
        </is>
      </c>
      <c r="L457" s="209" t="inlineStr">
        <is>
          <t>HTM</t>
        </is>
      </c>
      <c r="M457" s="209" t="inlineStr">
        <is>
          <t>中文</t>
        </is>
      </c>
      <c r="N457" s="203" t="inlineStr">
        <is>
          <t>https://wms.mofcom.gov.cn/zcfb/wmzc/art/2025/art_65a91bb52e84415c88149c4f16c34a95.html</t>
        </is>
      </c>
    </row>
    <row r="458">
      <c r="B458" s="198" t="inlineStr">
        <is>
          <t>IP2601</t>
        </is>
      </c>
      <c r="C458" s="208" t="n">
        <v>2026</v>
      </c>
      <c r="D458" s="226" t="inlineStr">
        <is>
          <t>节能装备高质量发展实施方案（2026—2028年）</t>
        </is>
      </c>
      <c r="E458" s="210" t="inlineStr">
        <is>
          <t>Implementation Plan for the High-Quality Development of Energy-Saving Equipment (2026–2028)</t>
        </is>
      </c>
      <c r="F458" s="209" t="inlineStr">
        <is>
          <t>工业和信息化部；国家发展和改革委员会；国务院国有资产监督管理委员会；国家能源局</t>
        </is>
      </c>
      <c r="G458" s="209" t="inlineStr">
        <is>
          <t>实施方案</t>
        </is>
      </c>
      <c r="H458" s="210" t="inlineStr">
        <is>
          <t>促进减缓</t>
        </is>
      </c>
      <c r="I458" s="211" t="inlineStr">
        <is>
          <t>B.2</t>
        </is>
      </c>
      <c r="J458" s="208" t="inlineStr">
        <is>
          <t>2026–2028</t>
        </is>
      </c>
      <c r="K458" s="211" t="inlineStr">
        <is>
          <t>无目标</t>
        </is>
      </c>
      <c r="L458" s="209" t="inlineStr">
        <is>
          <t>PDF</t>
        </is>
      </c>
      <c r="M458" s="209" t="inlineStr">
        <is>
          <t>中文</t>
        </is>
      </c>
      <c r="N458" s="203" t="inlineStr">
        <is>
          <t>https://wap.miit.gov.cn/zwgk/zcwj/wjfb/tz/art/2026/art_a3250eaa656845149b12615070009204.html</t>
        </is>
      </c>
    </row>
    <row r="459">
      <c r="B459" s="0" t="inlineStr">
        <is>
          <t>IP2602</t>
        </is>
      </c>
      <c r="C459" s="0" t="n">
        <v>2026</v>
      </c>
      <c r="D459" s="0" t="inlineStr">
        <is>
          <t>可再生能源消费最低比重目标和可再生能源电力消纳责任权重制度实施办法</t>
        </is>
      </c>
      <c r="E459" s="0" t="inlineStr">
        <is>
          <t>Implementation Measures for the Minimum Share Target of Renewable Energy Consumption and the Renewable Energy Power Consumption Responsibility Weight System</t>
        </is>
      </c>
      <c r="F459" s="0" t="inlineStr">
        <is>
          <t>国家发展改革委等部门</t>
        </is>
      </c>
      <c r="G459" s="0" t="inlineStr">
        <is>
          <t>实施方案</t>
        </is>
      </c>
      <c r="H459" s="0" t="inlineStr">
        <is>
          <t>促进减缓</t>
        </is>
      </c>
      <c r="I459" s="0" t="inlineStr">
        <is>
          <t>Mitigation-enabling</t>
        </is>
      </c>
      <c r="J459" s="0" t="inlineStr">
        <is>
          <t>B.1</t>
        </is>
      </c>
      <c r="K459" s="0" t="inlineStr">
        <is>
          <t>无目标</t>
        </is>
      </c>
      <c r="L459" s="0" t="inlineStr">
        <is>
          <t>PDF</t>
        </is>
      </c>
      <c r="M459" s="0" t="inlineStr">
        <is>
          <t>中文</t>
        </is>
      </c>
      <c r="N459" s="0" t="inlineStr">
        <is>
          <t>https://www.ndrc.gov.cn/xxgk/zcfb/fzggwl/202606/P020260612578227968808.pdf</t>
        </is>
      </c>
    </row>
    <row r="460">
      <c r="B460" s="0" t="inlineStr">
        <is>
          <t>IP2603</t>
        </is>
      </c>
      <c r="C460" s="0" t="n">
        <v>2026</v>
      </c>
      <c r="D460" s="0" t="inlineStr">
        <is>
          <t>推动新能源重卡规模化应用实施方案</t>
        </is>
      </c>
      <c r="E460" s="0" t="inlineStr">
        <is>
          <t>Implementation Plan for Promoting the Large-Scale Application of New Energy Heavy-Duty Trucks</t>
        </is>
      </c>
      <c r="F460" s="0" t="inlineStr">
        <is>
          <t>交通运输部等部门</t>
        </is>
      </c>
      <c r="G460" s="0" t="inlineStr">
        <is>
          <t>实施方案</t>
        </is>
      </c>
      <c r="H460" s="0" t="inlineStr">
        <is>
          <t>明确减缓</t>
        </is>
      </c>
      <c r="I460" s="0" t="inlineStr">
        <is>
          <t>Explicit mitigation</t>
        </is>
      </c>
      <c r="J460" s="0" t="inlineStr">
        <is>
          <t>B.4</t>
        </is>
      </c>
      <c r="K460" s="0" t="inlineStr">
        <is>
          <t>含目标</t>
        </is>
      </c>
      <c r="L460" s="0" t="inlineStr">
        <is>
          <t>HTM</t>
        </is>
      </c>
      <c r="M460" s="0" t="inlineStr">
        <is>
          <t>中文</t>
        </is>
      </c>
      <c r="N460" s="0" t="inlineStr">
        <is>
          <t>https://www.gov.cn/zhengce/zhengceku/202606/content_7072002.htm</t>
        </is>
      </c>
    </row>
    <row r="461">
      <c r="A461" s="0" t="n"/>
      <c r="B461" s="0" t="inlineStr">
        <is>
          <t>IP2604</t>
        </is>
      </c>
      <c r="C461" s="0" t="n">
        <v>2026</v>
      </c>
      <c r="D461" s="0" t="inlineStr">
        <is>
          <t>促进数字化绿色化协同转型发展实施方案（2026-2030年）</t>
        </is>
      </c>
      <c r="E461" s="0" t="inlineStr">
        <is>
          <t>Implementation Plan for Promoting Coordinated Digital and Green Transformation (2026-2030)</t>
        </is>
      </c>
      <c r="F461" s="0" t="inlineStr">
        <is>
          <t>中央网信办等部门</t>
        </is>
      </c>
      <c r="G461" s="0" t="inlineStr">
        <is>
          <t>实施方案</t>
        </is>
      </c>
      <c r="H461" s="0" t="inlineStr">
        <is>
          <t>明确减缓</t>
        </is>
      </c>
      <c r="I461" s="0" t="inlineStr">
        <is>
          <t>B.3</t>
        </is>
      </c>
      <c r="J461" s="0" t="inlineStr">
        <is>
          <t>2026-2030</t>
        </is>
      </c>
      <c r="K461" s="0" t="inlineStr">
        <is>
          <t>含目标</t>
        </is>
      </c>
      <c r="L461" s="0" t="inlineStr">
        <is>
          <t>HTM</t>
        </is>
      </c>
      <c r="M461" s="0" t="inlineStr">
        <is>
          <t>中文</t>
        </is>
      </c>
      <c r="N461" s="0" t="inlineStr">
        <is>
          <t>https://www.cac.gov.cn/2026-09/04/c_1790271981772781.htm</t>
        </is>
      </c>
    </row>
    <row r="462">
      <c r="B462" s="205" t="inlineStr">
        <is>
          <t>通知</t>
        </is>
      </c>
      <c r="C462" s="206" t="n"/>
      <c r="D462" s="206" t="n"/>
      <c r="E462" s="206" t="n"/>
      <c r="F462" s="206" t="n"/>
      <c r="G462" s="206" t="n"/>
      <c r="H462" s="206" t="n"/>
      <c r="I462" s="206" t="n"/>
      <c r="J462" s="206" t="n"/>
      <c r="K462" s="206" t="n"/>
      <c r="L462" s="206" t="n"/>
      <c r="M462" s="206" t="n"/>
      <c r="N462" s="207" t="inlineStr">
        <is>
          <t>https://www.miit.gov.cn/zwgk/zcwj/wjfb/tz/art/2025/art_5f72b18071ec49b5916bb9f99e58872e.html</t>
        </is>
      </c>
    </row>
    <row r="463">
      <c r="B463" s="198" t="inlineStr">
        <is>
          <t>N0501</t>
        </is>
      </c>
      <c r="C463" s="208" t="n">
        <v>2005</v>
      </c>
      <c r="D463" s="210" t="inlineStr">
        <is>
          <t>关于做好建设节约型社会近期重点工作的通知</t>
        </is>
      </c>
      <c r="E463" s="210" t="inlineStr">
        <is>
          <t>Notice on the Immediate Priorities for Building a Conservation-oriented Society</t>
        </is>
      </c>
      <c r="F463" s="209" t="inlineStr">
        <is>
          <t>国务院</t>
        </is>
      </c>
      <c r="G463" s="209" t="inlineStr">
        <is>
          <t>通知</t>
        </is>
      </c>
      <c r="H463" s="210" t="inlineStr">
        <is>
          <t>促进减缓</t>
        </is>
      </c>
      <c r="I463" s="211" t="inlineStr">
        <is>
          <t>C.4</t>
        </is>
      </c>
      <c r="J463" s="208" t="inlineStr">
        <is>
          <t>-</t>
        </is>
      </c>
      <c r="K463" s="211" t="inlineStr">
        <is>
          <t>无目标</t>
        </is>
      </c>
      <c r="L463" s="209" t="inlineStr">
        <is>
          <t>HTM</t>
        </is>
      </c>
      <c r="M463" s="209" t="inlineStr">
        <is>
          <t>中文</t>
        </is>
      </c>
      <c r="N463" s="203" t="inlineStr">
        <is>
          <t>https://www.gov.cn/gongbao/content/2005/content_64306.htm</t>
        </is>
      </c>
    </row>
    <row r="464">
      <c r="B464" s="198" t="inlineStr">
        <is>
          <t>N0801</t>
        </is>
      </c>
      <c r="C464" s="208" t="n">
        <v>2008</v>
      </c>
      <c r="D464" s="210" t="inlineStr">
        <is>
          <t>关于加强气候变化和气象防灾减灾科学普及工作的通知</t>
        </is>
      </c>
      <c r="E464" s="210" t="inlineStr">
        <is>
          <t>Notice on Strengthening the Popularization of Climate Change and Meteorological Disaster Prevention and Mitigation Science</t>
        </is>
      </c>
      <c r="F464" s="209" t="inlineStr">
        <is>
          <t>中国气象局；科学技术部</t>
        </is>
      </c>
      <c r="G464" s="209" t="inlineStr">
        <is>
          <t>通知</t>
        </is>
      </c>
      <c r="H464" s="210" t="inlineStr">
        <is>
          <t>明确减缓</t>
        </is>
      </c>
      <c r="I464" s="211" t="inlineStr">
        <is>
          <t>D.1</t>
        </is>
      </c>
      <c r="J464" s="208" t="inlineStr">
        <is>
          <t>-</t>
        </is>
      </c>
      <c r="K464" s="211" t="inlineStr">
        <is>
          <t>无目标</t>
        </is>
      </c>
      <c r="L464" s="209" t="inlineStr">
        <is>
          <t>HTM</t>
        </is>
      </c>
      <c r="M464" s="209" t="inlineStr">
        <is>
          <t>中文</t>
        </is>
      </c>
      <c r="N464" s="203" t="inlineStr">
        <is>
          <t>https://www.most.gov.cn/xxgk/xinxifenlei/fdzdgknr/qtwj/qtwj2010before/200811/t20081129_65726.html</t>
        </is>
      </c>
    </row>
    <row r="465">
      <c r="B465" s="198" t="inlineStr">
        <is>
          <t>N0901</t>
        </is>
      </c>
      <c r="C465" s="208" t="n">
        <v>2009</v>
      </c>
      <c r="D465" s="210" t="inlineStr">
        <is>
          <t>环境保护部要求国家生态工业示范园发展低碳经济</t>
        </is>
      </c>
      <c r="E465" s="210" t="inlineStr">
        <is>
          <t>Notice on Strengthening the Development of Low-Carbon Economy in National Ecological Industrial Demonstration Parks</t>
        </is>
      </c>
      <c r="F465" s="209" t="inlineStr">
        <is>
          <t>生态环境部</t>
        </is>
      </c>
      <c r="G465" s="209" t="inlineStr">
        <is>
          <t>通知</t>
        </is>
      </c>
      <c r="H465" s="210" t="inlineStr">
        <is>
          <t>明确减缓</t>
        </is>
      </c>
      <c r="I465" s="211" t="inlineStr">
        <is>
          <t>B.1</t>
        </is>
      </c>
      <c r="J465" s="208" t="inlineStr">
        <is>
          <t>-</t>
        </is>
      </c>
      <c r="K465" s="211" t="inlineStr">
        <is>
          <t>无目标</t>
        </is>
      </c>
      <c r="L465" s="209" t="inlineStr">
        <is>
          <t>HTM</t>
        </is>
      </c>
      <c r="M465" s="209" t="inlineStr">
        <is>
          <t>中文</t>
        </is>
      </c>
      <c r="N465" s="203" t="inlineStr">
        <is>
          <t>https://www.gov.cn/gzdt/2009-12/30/content_1500005.htm</t>
        </is>
      </c>
    </row>
    <row r="466">
      <c r="B466" s="198" t="inlineStr">
        <is>
          <t>N1302</t>
        </is>
      </c>
      <c r="C466" s="208" t="n">
        <v>2013</v>
      </c>
      <c r="D466" s="210" t="inlineStr">
        <is>
          <t>关于加强碳捕集、利用和封存试验示范项目环境保护工作的通知</t>
        </is>
      </c>
      <c r="E466" s="210" t="inlineStr">
        <is>
          <t>Notice on Strengthening Environmental Protection Work for Carbon Capture, Utilization and Storage Pilot Demonstration Projects</t>
        </is>
      </c>
      <c r="F466" s="209" t="inlineStr">
        <is>
          <t>生态环境部</t>
        </is>
      </c>
      <c r="G466" s="209" t="inlineStr">
        <is>
          <t>通知</t>
        </is>
      </c>
      <c r="H466" s="210" t="inlineStr">
        <is>
          <t>明确减缓</t>
        </is>
      </c>
      <c r="I466" s="211" t="inlineStr">
        <is>
          <t>D.3</t>
        </is>
      </c>
      <c r="J466" s="208" t="inlineStr">
        <is>
          <t>-</t>
        </is>
      </c>
      <c r="K466" s="211" t="inlineStr">
        <is>
          <t>无目标</t>
        </is>
      </c>
      <c r="L466" s="209" t="inlineStr">
        <is>
          <t>HTM</t>
        </is>
      </c>
      <c r="M466" s="209" t="inlineStr">
        <is>
          <t>中文</t>
        </is>
      </c>
      <c r="N466" s="203" t="inlineStr">
        <is>
          <t>https://www.mee.gov.cn/gkml/hbb/bgt/201311/t20131104_262804.htm</t>
        </is>
      </c>
    </row>
    <row r="467">
      <c r="B467" s="198" t="inlineStr">
        <is>
          <t>N2001</t>
        </is>
      </c>
      <c r="C467" s="208" t="n">
        <v>2020</v>
      </c>
      <c r="D467" s="210" t="inlineStr">
        <is>
          <t>关于做好2020年重点领域化解过剩产能工作的通知</t>
        </is>
      </c>
      <c r="E467" s="210" t="inlineStr">
        <is>
          <t>Notice on Doing a Good Job in Resolving Excess Capacity in Key Areas in 2020</t>
        </is>
      </c>
      <c r="F467" s="209" t="inlineStr">
        <is>
          <t>国家发展和改革委员会；工业和信息化部；国家能源局；财政部；人力资源和社会保障部；国务院国有资产监督管理委员会</t>
        </is>
      </c>
      <c r="G467" s="209" t="inlineStr">
        <is>
          <t>通知</t>
        </is>
      </c>
      <c r="H467" s="210" t="inlineStr">
        <is>
          <t>经济规划（含气候）</t>
        </is>
      </c>
      <c r="I467" s="211" t="inlineStr">
        <is>
          <t>B.2</t>
        </is>
      </c>
      <c r="J467" s="208" t="n">
        <v>2020</v>
      </c>
      <c r="K467" s="211" t="inlineStr">
        <is>
          <t>无目标</t>
        </is>
      </c>
      <c r="L467" s="209" t="inlineStr">
        <is>
          <t>HTM</t>
        </is>
      </c>
      <c r="M467" s="209" t="inlineStr">
        <is>
          <t>中文</t>
        </is>
      </c>
      <c r="N467" s="203" t="inlineStr">
        <is>
          <t>https://www.ndrc.gov.cn/xxgk/zcfb/tz/202006/t20200618_1231503.html?code=&amp;state=123</t>
        </is>
      </c>
    </row>
    <row r="468" ht="14.5" customHeight="1" s="235">
      <c r="B468" s="198" t="inlineStr">
        <is>
          <t>N2101</t>
        </is>
      </c>
      <c r="C468" s="208" t="n">
        <v>2021</v>
      </c>
      <c r="D468" s="210" t="inlineStr">
        <is>
          <t>关于做好新能源配套送出工程投资建设有关事项的通知</t>
        </is>
      </c>
      <c r="E468" s="210" t="inlineStr">
        <is>
          <t>Notice on Doing a Good Job in Investment and Construction of New Energy Supporting Transmission Projects</t>
        </is>
      </c>
      <c r="F468" s="209" t="inlineStr">
        <is>
          <t>国家发展和改革委员会；国家能源局</t>
        </is>
      </c>
      <c r="G468" s="209" t="inlineStr">
        <is>
          <t>通知</t>
        </is>
      </c>
      <c r="H468" s="210" t="inlineStr">
        <is>
          <t>促进减缓</t>
        </is>
      </c>
      <c r="I468" s="211" t="inlineStr">
        <is>
          <t>B.1</t>
        </is>
      </c>
      <c r="J468" s="208" t="inlineStr">
        <is>
          <t>-</t>
        </is>
      </c>
      <c r="K468" s="211" t="inlineStr">
        <is>
          <t>无目标</t>
        </is>
      </c>
      <c r="L468" s="209" t="inlineStr">
        <is>
          <t>HTM</t>
        </is>
      </c>
      <c r="M468" s="209" t="inlineStr">
        <is>
          <t>中文</t>
        </is>
      </c>
      <c r="N468" s="203" t="inlineStr">
        <is>
          <t>https://www.ndrc.gov.cn/xwdt/tzgg/202107/t20210705_1285400.html?code=&amp;state=123</t>
        </is>
      </c>
    </row>
    <row r="469">
      <c r="B469" s="198" t="inlineStr">
        <is>
          <t>N2601</t>
        </is>
      </c>
      <c r="C469" s="208" t="n">
        <v>2026</v>
      </c>
      <c r="D469" s="210" t="inlineStr">
        <is>
          <t>关于实施绿色消费推进行动的通知</t>
        </is>
      </c>
      <c r="E469" s="210" t="inlineStr">
        <is>
          <t>Notice for the Implementation of Green Consumption Promotion</t>
        </is>
      </c>
      <c r="F469" s="209" t="inlineStr">
        <is>
          <t>商务部；国家发展和改革委员会；工业和信息化部；生态环境部；住房和城乡建设部；农业农村部；中国人民银行；国家市场监督管理总局；国家金融监督管理总局</t>
        </is>
      </c>
      <c r="G469" s="209" t="inlineStr">
        <is>
          <t>通知</t>
        </is>
      </c>
      <c r="H469" s="210" t="inlineStr">
        <is>
          <t>促进减缓</t>
        </is>
      </c>
      <c r="I469" s="211" t="inlineStr">
        <is>
          <t>C.4</t>
        </is>
      </c>
      <c r="J469" s="208" t="inlineStr">
        <is>
          <t>2026-2030</t>
        </is>
      </c>
      <c r="K469" s="211" t="inlineStr">
        <is>
          <t>无目标</t>
        </is>
      </c>
      <c r="L469" s="209" t="inlineStr">
        <is>
          <t>HTM</t>
        </is>
      </c>
      <c r="M469" s="209" t="inlineStr">
        <is>
          <t>中文</t>
        </is>
      </c>
      <c r="N469" s="203" t="inlineStr">
        <is>
          <t>https://www.gov.cn/zhengce/zhengceku/202601/content_7053876.htm</t>
        </is>
      </c>
    </row>
    <row r="470">
      <c r="B470" s="0" t="inlineStr">
        <is>
          <t>N2602</t>
        </is>
      </c>
      <c r="C470" s="0" t="n">
        <v>2026</v>
      </c>
      <c r="D470" s="0" t="inlineStr">
        <is>
          <t>关于开展2026年新能源汽车下乡活动的通知</t>
        </is>
      </c>
      <c r="E470" s="0" t="inlineStr">
        <is>
          <t>Notice on the 2026 Campaign to Bring New Energy Vehicles to Rural Areas</t>
        </is>
      </c>
      <c r="F470" s="0" t="inlineStr">
        <is>
          <t>工业和信息化部等部门</t>
        </is>
      </c>
      <c r="G470" s="0" t="inlineStr">
        <is>
          <t>通知</t>
        </is>
      </c>
      <c r="H470" s="0" t="inlineStr">
        <is>
          <t>促进减缓</t>
        </is>
      </c>
      <c r="I470" s="0" t="inlineStr">
        <is>
          <t>Mitigation-enabling</t>
        </is>
      </c>
      <c r="J470" s="0" t="inlineStr">
        <is>
          <t>B.4</t>
        </is>
      </c>
      <c r="K470" s="0" t="inlineStr">
        <is>
          <t>无目标</t>
        </is>
      </c>
      <c r="L470" s="0" t="inlineStr">
        <is>
          <t>HTM</t>
        </is>
      </c>
      <c r="M470" s="0" t="inlineStr">
        <is>
          <t>中文</t>
        </is>
      </c>
      <c r="N470" s="0" t="inlineStr">
        <is>
          <t>https://www.miit.gov.cn/zwgk/zcwj/wjfb/tz/art/2026/art_addcc0a2fd3f4bf6993e3e48f7b8d4c3.html</t>
        </is>
      </c>
    </row>
    <row r="471">
      <c r="B471" s="0" t="inlineStr">
        <is>
          <t>N2603</t>
        </is>
      </c>
      <c r="C471" s="0" t="n">
        <v>2026</v>
      </c>
      <c r="D471" s="0" t="inlineStr">
        <is>
          <t>关于组织开展地热能高质量开发利用试点工作的通知</t>
        </is>
      </c>
      <c r="E471" s="0" t="inlineStr">
        <is>
          <t>Notice on Organizing Pilot Projects for the High-Quality Development and Utilization of Geothermal Energy</t>
        </is>
      </c>
      <c r="F471" s="0" t="inlineStr">
        <is>
          <t>国家能源局综合司</t>
        </is>
      </c>
      <c r="G471" s="0" t="inlineStr">
        <is>
          <t>通知</t>
        </is>
      </c>
      <c r="H471" s="0" t="inlineStr">
        <is>
          <t>促进减缓</t>
        </is>
      </c>
      <c r="I471" s="0" t="inlineStr">
        <is>
          <t>Mitigation-enabling</t>
        </is>
      </c>
      <c r="J471" s="0" t="inlineStr">
        <is>
          <t>B.1</t>
        </is>
      </c>
      <c r="K471" s="0" t="inlineStr">
        <is>
          <t>无目标</t>
        </is>
      </c>
      <c r="L471" s="0" t="inlineStr">
        <is>
          <t>HTM</t>
        </is>
      </c>
      <c r="M471" s="0" t="inlineStr">
        <is>
          <t>中文</t>
        </is>
      </c>
      <c r="N471" s="0" t="inlineStr">
        <is>
          <t>https://www.nea.gov.cn/20260615/ebbeeb6d9e804a658ac13d70b2e4bd6f/c.html</t>
        </is>
      </c>
    </row>
    <row r="472">
      <c r="B472" s="0" t="inlineStr">
        <is>
          <t>N2604</t>
        </is>
      </c>
      <c r="C472" s="0" t="n">
        <v>2026</v>
      </c>
      <c r="D472" s="0" t="inlineStr">
        <is>
          <t>关于深入推进农村能源革命 开展村镇微能网建设试点工作的通知</t>
        </is>
      </c>
      <c r="E472" s="0" t="inlineStr">
        <is>
          <t>Notice on Deepening the Rural Energy Revolution and Piloting the Construction of Village and Township Micro-Energy Grids</t>
        </is>
      </c>
      <c r="F472" s="0" t="inlineStr">
        <is>
          <t>国家能源局综合司</t>
        </is>
      </c>
      <c r="G472" s="0" t="inlineStr">
        <is>
          <t>通知</t>
        </is>
      </c>
      <c r="H472" s="0" t="inlineStr">
        <is>
          <t>促进减缓</t>
        </is>
      </c>
      <c r="I472" s="0" t="inlineStr">
        <is>
          <t>Mitigation-enabling</t>
        </is>
      </c>
      <c r="J472" s="0" t="inlineStr">
        <is>
          <t>B.1</t>
        </is>
      </c>
      <c r="K472" s="0" t="inlineStr">
        <is>
          <t>含目标</t>
        </is>
      </c>
      <c r="L472" s="0" t="inlineStr">
        <is>
          <t>HTM</t>
        </is>
      </c>
      <c r="M472" s="0" t="inlineStr">
        <is>
          <t>中文</t>
        </is>
      </c>
      <c r="N472" s="0" t="inlineStr">
        <is>
          <t>https://www.nea.gov.cn/20260720/49d1f73c7afb489aa3ff3375b2da941c/c.html</t>
        </is>
      </c>
    </row>
    <row r="473">
      <c r="B473" s="0" t="inlineStr">
        <is>
          <t>N2605</t>
        </is>
      </c>
      <c r="C473" s="0" t="n">
        <v>2026</v>
      </c>
      <c r="D473" s="0" t="inlineStr">
        <is>
          <t>关于组织开展2026年度重点行业能效、碳效领跑者企业推荐工作的通知</t>
        </is>
      </c>
      <c r="E473" s="0" t="inlineStr">
        <is>
          <t>Notice on Recommending Benchmark Enterprises for Energy and Carbon Efficiency in Key Industries in 2026</t>
        </is>
      </c>
      <c r="F473" s="0" t="inlineStr">
        <is>
          <t>工业和信息化部；国家发展和改革委员会；市场监管总局</t>
        </is>
      </c>
      <c r="G473" s="0" t="inlineStr">
        <is>
          <t>通知</t>
        </is>
      </c>
      <c r="H473" s="0" t="inlineStr">
        <is>
          <t>促进减缓</t>
        </is>
      </c>
      <c r="I473" s="0" t="inlineStr">
        <is>
          <t>Mitigation-enabling</t>
        </is>
      </c>
      <c r="J473" s="0" t="inlineStr">
        <is>
          <t>B.2</t>
        </is>
      </c>
      <c r="K473" s="0" t="inlineStr">
        <is>
          <t>无目标</t>
        </is>
      </c>
      <c r="L473" s="0" t="inlineStr">
        <is>
          <t>HTM</t>
        </is>
      </c>
      <c r="M473" s="0" t="inlineStr">
        <is>
          <t>中文</t>
        </is>
      </c>
      <c r="N473" s="0" t="inlineStr">
        <is>
          <t>https://wap.miit.gov.cn/zwgk/zcwj/wjfb/tz/art/2026/art_277a824ef0ae478faf7dc2d4f14b5db6.html</t>
        </is>
      </c>
    </row>
    <row r="474">
      <c r="B474" s="0" t="inlineStr">
        <is>
          <t>N2606</t>
        </is>
      </c>
      <c r="C474" s="0" t="n">
        <v>2026</v>
      </c>
      <c r="D474" s="0" t="inlineStr">
        <is>
          <t>关于组织开展国家级零碳工厂建设工作的通知</t>
        </is>
      </c>
      <c r="E474" s="0" t="inlineStr">
        <is>
          <t>Notice on Organizing the Construction of National-Level Zero-Carbon Factories</t>
        </is>
      </c>
      <c r="F474" s="0" t="inlineStr">
        <is>
          <t>工业和信息化部</t>
        </is>
      </c>
      <c r="G474" s="0" t="inlineStr">
        <is>
          <t>通知</t>
        </is>
      </c>
      <c r="H474" s="0" t="inlineStr">
        <is>
          <t>明确减缓</t>
        </is>
      </c>
      <c r="I474" s="0" t="inlineStr">
        <is>
          <t>Explicit mitigation</t>
        </is>
      </c>
      <c r="J474" s="0" t="inlineStr">
        <is>
          <t>A.2</t>
        </is>
      </c>
      <c r="K474" s="0" t="inlineStr">
        <is>
          <t>无目标</t>
        </is>
      </c>
      <c r="L474" s="0" t="inlineStr">
        <is>
          <t>HTM</t>
        </is>
      </c>
      <c r="M474" s="0" t="inlineStr">
        <is>
          <t>中文</t>
        </is>
      </c>
      <c r="N474" s="0" t="inlineStr">
        <is>
          <t>https://www.miit.gov.cn/jgsj/jns/nyjy/art/2026/art_93fe83f24eb843789a636f6c5f9e79c6.html</t>
        </is>
      </c>
    </row>
    <row r="475" ht="14.5" customHeight="1" s="235">
      <c r="B475" s="205" t="inlineStr">
        <is>
          <t>工作方案</t>
        </is>
      </c>
      <c r="C475" s="206" t="n"/>
      <c r="D475" s="206" t="n"/>
      <c r="E475" s="206" t="n"/>
      <c r="F475" s="206" t="n"/>
      <c r="G475" s="206" t="n"/>
      <c r="H475" s="206" t="n"/>
      <c r="I475" s="206" t="n"/>
      <c r="J475" s="206" t="n"/>
      <c r="K475" s="206" t="n"/>
      <c r="L475" s="206" t="n"/>
      <c r="M475" s="206" t="n"/>
      <c r="N475" s="207" t="inlineStr">
        <is>
          <t>https://www.gov.cn/zhengce/2020-12/21/content_5571916.htm</t>
        </is>
      </c>
    </row>
    <row r="476">
      <c r="B476" s="198" t="inlineStr">
        <is>
          <t>WOP0701</t>
        </is>
      </c>
      <c r="C476" s="208" t="n">
        <v>2007</v>
      </c>
      <c r="D476" s="226" t="inlineStr">
        <is>
          <t>节能减排综合性工作方案</t>
        </is>
      </c>
      <c r="E476" s="210" t="inlineStr">
        <is>
          <t>Comprehensive Work Plan for Energy Conservation and Emission Reduction</t>
        </is>
      </c>
      <c r="F476" s="209" t="inlineStr">
        <is>
          <t>国务院</t>
        </is>
      </c>
      <c r="G476" s="209" t="inlineStr">
        <is>
          <t>工作方案</t>
        </is>
      </c>
      <c r="H476" s="210" t="inlineStr">
        <is>
          <t>明确减缓</t>
        </is>
      </c>
      <c r="I476" s="211" t="inlineStr">
        <is>
          <t>B.1</t>
        </is>
      </c>
      <c r="J476" s="211" t="inlineStr">
        <is>
          <t>-</t>
        </is>
      </c>
      <c r="K476" s="211" t="inlineStr">
        <is>
          <t>含目标</t>
        </is>
      </c>
      <c r="L476" s="209" t="inlineStr">
        <is>
          <t>HTM</t>
        </is>
      </c>
      <c r="M476" s="209" t="inlineStr">
        <is>
          <t>中文</t>
        </is>
      </c>
      <c r="N476" s="203" t="inlineStr">
        <is>
          <t>https://www.gov.cn/zwgk/2007-06/03/content_634545.htm</t>
        </is>
      </c>
    </row>
    <row r="477">
      <c r="B477" s="198" t="inlineStr">
        <is>
          <t>WOP0801</t>
        </is>
      </c>
      <c r="C477" s="208" t="n">
        <v>2008</v>
      </c>
      <c r="D477" s="226" t="inlineStr">
        <is>
          <t>2008年节能减排工作安排</t>
        </is>
      </c>
      <c r="E477" s="210" t="inlineStr">
        <is>
          <t>Work Plan for Energy Conservation and Emission Reduction in 2008</t>
        </is>
      </c>
      <c r="F477" s="209" t="inlineStr">
        <is>
          <t>国务院</t>
        </is>
      </c>
      <c r="G477" s="209" t="inlineStr">
        <is>
          <t>工作安排</t>
        </is>
      </c>
      <c r="H477" s="210" t="inlineStr">
        <is>
          <t>明确减缓</t>
        </is>
      </c>
      <c r="I477" s="211" t="inlineStr">
        <is>
          <t>A</t>
        </is>
      </c>
      <c r="J477" s="211" t="inlineStr">
        <is>
          <t>-</t>
        </is>
      </c>
      <c r="K477" s="211" t="inlineStr">
        <is>
          <t>无目标</t>
        </is>
      </c>
      <c r="L477" s="209" t="inlineStr">
        <is>
          <t>HTM</t>
        </is>
      </c>
      <c r="M477" s="209" t="inlineStr">
        <is>
          <t>中文</t>
        </is>
      </c>
      <c r="N477" s="203" t="inlineStr">
        <is>
          <t>https://www.gov.cn/zhengce/zhengceku/2016-09/22/content_5110758.htm</t>
        </is>
      </c>
    </row>
    <row r="478">
      <c r="B478" s="198" t="inlineStr">
        <is>
          <t>WOP0901</t>
        </is>
      </c>
      <c r="C478" s="208" t="n">
        <v>2009</v>
      </c>
      <c r="D478" s="226" t="inlineStr">
        <is>
          <t>2009年节能减排工作安排</t>
        </is>
      </c>
      <c r="E478" s="210" t="inlineStr">
        <is>
          <t>Work Plan for Energy Conservation and Emission Reduction in 2009</t>
        </is>
      </c>
      <c r="F478" s="209" t="inlineStr">
        <is>
          <t>国务院</t>
        </is>
      </c>
      <c r="G478" s="209" t="inlineStr">
        <is>
          <t>工作安排</t>
        </is>
      </c>
      <c r="H478" s="210" t="inlineStr">
        <is>
          <t>明确减缓</t>
        </is>
      </c>
      <c r="I478" s="211" t="inlineStr">
        <is>
          <t>A</t>
        </is>
      </c>
      <c r="J478" s="211" t="inlineStr">
        <is>
          <t>-</t>
        </is>
      </c>
      <c r="K478" s="211" t="inlineStr">
        <is>
          <t>无目标</t>
        </is>
      </c>
      <c r="L478" s="209" t="inlineStr">
        <is>
          <t>HTM</t>
        </is>
      </c>
      <c r="M478" s="209" t="inlineStr">
        <is>
          <t>中文</t>
        </is>
      </c>
      <c r="N478" s="203" t="inlineStr">
        <is>
          <t>https://www.gov.cn/zhengce/zhengceku/2009-07/31/content_4899.htm</t>
        </is>
      </c>
    </row>
    <row r="479">
      <c r="B479" s="198" t="inlineStr">
        <is>
          <t>WOP1501</t>
        </is>
      </c>
      <c r="C479" s="208" t="n">
        <v>2015</v>
      </c>
      <c r="D479" s="210" t="inlineStr">
        <is>
          <t>全面实施燃煤电厂超低排放和节能改造工作方案</t>
        </is>
      </c>
      <c r="E479" s="210" t="inlineStr">
        <is>
          <t>Ultra-Low Emission and Energy-Saving Transformation Work Plan for Coal-Fired Power Plants</t>
        </is>
      </c>
      <c r="F479" s="209" t="inlineStr">
        <is>
          <t>环境保护部；国家发展和改革委员会；国家能源局</t>
        </is>
      </c>
      <c r="G479" s="209" t="inlineStr">
        <is>
          <t>工作方案</t>
        </is>
      </c>
      <c r="H479" s="210" t="inlineStr">
        <is>
          <t>化石能源</t>
        </is>
      </c>
      <c r="I479" s="211" t="inlineStr">
        <is>
          <t>B.1</t>
        </is>
      </c>
      <c r="J479" s="211" t="inlineStr">
        <is>
          <t>-</t>
        </is>
      </c>
      <c r="K479" s="211" t="inlineStr">
        <is>
          <t>含目标</t>
        </is>
      </c>
      <c r="L479" s="209" t="inlineStr">
        <is>
          <t>PDF</t>
        </is>
      </c>
      <c r="M479" s="209" t="inlineStr">
        <is>
          <t>中文</t>
        </is>
      </c>
      <c r="N479" s="203" t="inlineStr">
        <is>
          <t>https://www.mee.gov.cn/gkml/hbb/bwj/201512/t20151215_319170.htm</t>
        </is>
      </c>
    </row>
    <row r="480">
      <c r="B480" s="198" t="inlineStr">
        <is>
          <t>WOP2101</t>
        </is>
      </c>
      <c r="C480" s="208" t="n">
        <v>2021</v>
      </c>
      <c r="D480" s="210" t="inlineStr">
        <is>
          <t>反食品浪费工作方案</t>
        </is>
      </c>
      <c r="E480" s="210" t="inlineStr">
        <is>
          <t>Anti-Food Waste Work Plan</t>
        </is>
      </c>
      <c r="F480" s="209" t="inlineStr">
        <is>
          <t>国家发展和改革委员会；商务部；国家市场监督管理总局；国家粮食和物资储备局</t>
        </is>
      </c>
      <c r="G480" s="209" t="inlineStr">
        <is>
          <t>工作方案</t>
        </is>
      </c>
      <c r="H480" s="210" t="inlineStr">
        <is>
          <t>促进减缓</t>
        </is>
      </c>
      <c r="I480" s="211" t="inlineStr">
        <is>
          <t>D.2</t>
        </is>
      </c>
      <c r="J480" s="211" t="inlineStr">
        <is>
          <t>-</t>
        </is>
      </c>
      <c r="K480" s="211" t="inlineStr">
        <is>
          <t>无目标</t>
        </is>
      </c>
      <c r="L480" s="209" t="inlineStr">
        <is>
          <t>PDF</t>
        </is>
      </c>
      <c r="M480" s="209" t="inlineStr">
        <is>
          <t>中文</t>
        </is>
      </c>
      <c r="N480" s="203" t="inlineStr">
        <is>
          <t>https://www.ndrc.gov.cn/xxgk/zcfb/tz/202112/t20211217_1308233.html?code=&amp;state=123</t>
        </is>
      </c>
    </row>
    <row r="481">
      <c r="B481" s="198" t="inlineStr">
        <is>
          <t>WOP2102</t>
        </is>
      </c>
      <c r="C481" s="208" t="n">
        <v>2021</v>
      </c>
      <c r="D481" s="210" t="inlineStr">
        <is>
          <t>清洁能源消纳情况综合监管工作方案</t>
        </is>
      </c>
      <c r="E481" s="210" t="inlineStr">
        <is>
          <t>Work Plan for the Comprehensive Supervision of Clean Energy Consumption</t>
        </is>
      </c>
      <c r="F481" s="209" t="inlineStr">
        <is>
          <t>国家能源局</t>
        </is>
      </c>
      <c r="G481" s="209" t="inlineStr">
        <is>
          <t>工作方案</t>
        </is>
      </c>
      <c r="H481" s="210" t="inlineStr">
        <is>
          <t>促进减缓</t>
        </is>
      </c>
      <c r="I481" s="211" t="inlineStr">
        <is>
          <t>B.1</t>
        </is>
      </c>
      <c r="J481" s="211" t="inlineStr">
        <is>
          <t>-</t>
        </is>
      </c>
      <c r="K481" s="211" t="inlineStr">
        <is>
          <t>无目标</t>
        </is>
      </c>
      <c r="L481" s="209" t="inlineStr">
        <is>
          <t>HTM</t>
        </is>
      </c>
      <c r="M481" s="209" t="inlineStr">
        <is>
          <t>中文</t>
        </is>
      </c>
      <c r="N481" s="203" t="inlineStr">
        <is>
          <t>http://zfxxgk.nea.gov.cn/2021-03/17/c_139829878.htm</t>
        </is>
      </c>
    </row>
    <row r="482">
      <c r="B482" s="198" t="inlineStr">
        <is>
          <t>WOP2202</t>
        </is>
      </c>
      <c r="C482" s="208" t="n">
        <v>2022</v>
      </c>
      <c r="D482" s="210" t="inlineStr">
        <is>
          <t xml:space="preserve">推进多式联运发展优化调整运输结构工作方案（2021—2025年）
</t>
        </is>
      </c>
      <c r="E482" s="210" t="inlineStr">
        <is>
          <t>Work Plan for Promoting the Development, Optimization, and Adjustment of Transport Structure in Multimodal Transport (2021–2025)</t>
        </is>
      </c>
      <c r="F482" s="209" t="inlineStr">
        <is>
          <t>国务院</t>
        </is>
      </c>
      <c r="G482" s="209" t="inlineStr">
        <is>
          <t>工作方案</t>
        </is>
      </c>
      <c r="H482" s="210" t="inlineStr">
        <is>
          <t>经济规划（含气候）</t>
        </is>
      </c>
      <c r="I482" s="211" t="inlineStr">
        <is>
          <t>B.4</t>
        </is>
      </c>
      <c r="J482" s="211" t="inlineStr">
        <is>
          <t>-</t>
        </is>
      </c>
      <c r="K482" s="211" t="inlineStr">
        <is>
          <t>无目标</t>
        </is>
      </c>
      <c r="L482" s="209" t="inlineStr">
        <is>
          <t>HTM</t>
        </is>
      </c>
      <c r="M482" s="209" t="inlineStr">
        <is>
          <t>中文</t>
        </is>
      </c>
      <c r="N482" s="203" t="inlineStr">
        <is>
          <t>https://www.gov.cn/zhengce/content/2022-01/07/content_5666914.htm</t>
        </is>
      </c>
    </row>
    <row r="483">
      <c r="B483" s="198" t="inlineStr">
        <is>
          <t>WOP2401</t>
        </is>
      </c>
      <c r="C483" s="208" t="n">
        <v>2024</v>
      </c>
      <c r="D483" s="210" t="inlineStr">
        <is>
          <t>完善碳排放统计核算体系工作方案</t>
        </is>
      </c>
      <c r="E483" s="210" t="inlineStr">
        <is>
          <t>Work Plan for Improving the Carbon Emission Accounting and Statistical System</t>
        </is>
      </c>
      <c r="F483" s="209" t="inlineStr">
        <is>
          <t>国家发展和改革委员会；生态环境部；国家统计局；工业和信息化部；住房和城乡建设部；交通运输部；国家市场监督管理总局；国家能源局</t>
        </is>
      </c>
      <c r="G483" s="209" t="inlineStr">
        <is>
          <t>工作方案</t>
        </is>
      </c>
      <c r="H483" s="210" t="inlineStr">
        <is>
          <t>明确减缓</t>
        </is>
      </c>
      <c r="I483" s="211" t="inlineStr">
        <is>
          <t>C.3</t>
        </is>
      </c>
      <c r="J483" s="211" t="inlineStr">
        <is>
          <t>-</t>
        </is>
      </c>
      <c r="K483" s="211" t="inlineStr">
        <is>
          <t>无目标</t>
        </is>
      </c>
      <c r="L483" s="209" t="inlineStr">
        <is>
          <t>PDF</t>
        </is>
      </c>
      <c r="M483" s="209" t="inlineStr">
        <is>
          <t>中文</t>
        </is>
      </c>
      <c r="N483" s="203" t="inlineStr">
        <is>
          <t>https://www.gov.cn/zhengce/zhengceku/202410/content_6983052.htm</t>
        </is>
      </c>
    </row>
    <row r="484">
      <c r="B484" s="198" t="inlineStr">
        <is>
          <t>WOP2403</t>
        </is>
      </c>
      <c r="C484" s="208" t="n">
        <v>2024</v>
      </c>
      <c r="D484" s="210" t="inlineStr">
        <is>
          <t>加快推动建筑领域节能降碳工作方案</t>
        </is>
      </c>
      <c r="E484" s="210" t="inlineStr">
        <is>
          <t>Work Plan on Accelerating Energy Conservation and Carbon Reduction in the Building Sector</t>
        </is>
      </c>
      <c r="F484" s="209" t="inlineStr">
        <is>
          <t>国家发展和改革委员会；住房和城乡建设部</t>
        </is>
      </c>
      <c r="G484" s="209" t="inlineStr">
        <is>
          <t>工作方案</t>
        </is>
      </c>
      <c r="H484" s="210" t="inlineStr">
        <is>
          <t>明确减缓</t>
        </is>
      </c>
      <c r="I484" s="211" t="inlineStr">
        <is>
          <t>B.3</t>
        </is>
      </c>
      <c r="J484" s="211" t="inlineStr">
        <is>
          <t>-</t>
        </is>
      </c>
      <c r="K484" s="211" t="inlineStr">
        <is>
          <t>含目标</t>
        </is>
      </c>
      <c r="L484" s="209" t="inlineStr">
        <is>
          <t>HTM</t>
        </is>
      </c>
      <c r="M484" s="209" t="inlineStr">
        <is>
          <t>中文</t>
        </is>
      </c>
      <c r="N484" s="203" t="inlineStr">
        <is>
          <t>https://www.gov.cn/zhengce/zhengceku/202403/content_6939607.htm</t>
        </is>
      </c>
    </row>
    <row r="485">
      <c r="B485" s="198" t="inlineStr">
        <is>
          <t>WOP2501</t>
        </is>
      </c>
      <c r="C485" s="208" t="n">
        <v>2025</v>
      </c>
      <c r="D485" s="210" t="inlineStr">
        <is>
          <t>中国履行〈关于消耗臭氧层物质的蒙特利尔议定书〉国家方案（2025—2030年）</t>
        </is>
      </c>
      <c r="E485" s="210" t="inlineStr">
        <is>
          <t>China's National Plan for Implementing the Montreal Protocol on Substances that Deplete the Ozone Layer (2025-2030)</t>
        </is>
      </c>
      <c r="F485" s="209" t="inlineStr">
        <is>
          <t>生态环境部；国家发展和改革委员会；工业和信息化部；商务部；海关总署</t>
        </is>
      </c>
      <c r="G485" s="209" t="inlineStr">
        <is>
          <t>国家方案</t>
        </is>
      </c>
      <c r="H485" s="210" t="inlineStr">
        <is>
          <t>促进减缓</t>
        </is>
      </c>
      <c r="I485" s="211" t="inlineStr">
        <is>
          <t>A</t>
        </is>
      </c>
      <c r="J485" s="211" t="inlineStr">
        <is>
          <t>2025-2030</t>
        </is>
      </c>
      <c r="K485" s="211" t="inlineStr">
        <is>
          <t>无目标</t>
        </is>
      </c>
      <c r="L485" s="209" t="inlineStr">
        <is>
          <t>PDF</t>
        </is>
      </c>
      <c r="M485" s="209" t="inlineStr">
        <is>
          <t>中文</t>
        </is>
      </c>
      <c r="N485" s="203" t="inlineStr">
        <is>
          <t>https://www.mee.gov.cn/xxgk2018/xxgk/xxgk03/202504/t20250423_1117396.html</t>
        </is>
      </c>
    </row>
    <row r="486">
      <c r="B486" s="198" t="inlineStr">
        <is>
          <t>WOP2502</t>
        </is>
      </c>
      <c r="C486" s="208" t="n">
        <v>2025</v>
      </c>
      <c r="D486" s="210" t="inlineStr">
        <is>
          <t>汽车行业稳增长工作方案(2025—2026年)</t>
        </is>
      </c>
      <c r="E486" s="210" t="inlineStr">
        <is>
          <t>Work Plan for Stabilizing Growth in the Automobile Industry (2025–2026)</t>
        </is>
      </c>
      <c r="F486" s="209" t="inlineStr">
        <is>
          <t>工业和信息化部；公安部；财政部；交通运输部；商务部；海关总署；国家市场监督管理总局；国家能源局</t>
        </is>
      </c>
      <c r="G486" s="209" t="inlineStr">
        <is>
          <t>工作方案</t>
        </is>
      </c>
      <c r="H486" s="210" t="inlineStr">
        <is>
          <t>经济规划（含气候）</t>
        </is>
      </c>
      <c r="I486" s="211" t="inlineStr">
        <is>
          <t>B.4</t>
        </is>
      </c>
      <c r="J486" s="211" t="inlineStr">
        <is>
          <t>2025–2026</t>
        </is>
      </c>
      <c r="K486" s="211" t="inlineStr">
        <is>
          <t>含目标</t>
        </is>
      </c>
      <c r="L486" s="209" t="inlineStr">
        <is>
          <t>PDF</t>
        </is>
      </c>
      <c r="M486" s="209" t="inlineStr">
        <is>
          <t>中文</t>
        </is>
      </c>
      <c r="N486" s="203" t="inlineStr">
        <is>
          <t>https://www.gov.cn/zhengce/zhengceku/202509/content_7040552.htm</t>
        </is>
      </c>
    </row>
    <row r="487" ht="4" customHeight="1" s="235">
      <c r="B487" s="198" t="inlineStr">
        <is>
          <t>WOP2503</t>
        </is>
      </c>
      <c r="C487" s="208" t="n">
        <v>2025</v>
      </c>
      <c r="D487" s="210" t="inlineStr">
        <is>
          <t>有色金属行业稳增长工作方案（2025—2026年）</t>
        </is>
      </c>
      <c r="E487" s="210" t="inlineStr">
        <is>
          <t>Work Plan for Stabilizing Growth in the Non-ferrous Metal Industry (2025–2026)</t>
        </is>
      </c>
      <c r="F487" s="209" t="inlineStr">
        <is>
          <t>工业和信息化部；自然资源部；商务部；中国人民银行；国务院国有资产监督管理委员会；海关总署；中国证券监督管理委员会；国家粮食和物资储备局</t>
        </is>
      </c>
      <c r="G487" s="209" t="inlineStr">
        <is>
          <t>工作方案</t>
        </is>
      </c>
      <c r="H487" s="210" t="inlineStr">
        <is>
          <t>经济规划（含气候）</t>
        </is>
      </c>
      <c r="I487" s="211" t="inlineStr">
        <is>
          <t>B.2</t>
        </is>
      </c>
      <c r="J487" s="211" t="inlineStr">
        <is>
          <t>2025–2026</t>
        </is>
      </c>
      <c r="K487" s="211" t="inlineStr">
        <is>
          <t>含目标</t>
        </is>
      </c>
      <c r="L487" s="209" t="inlineStr">
        <is>
          <t>PDF</t>
        </is>
      </c>
      <c r="M487" s="209" t="inlineStr">
        <is>
          <t>中文</t>
        </is>
      </c>
      <c r="N487" s="203" t="inlineStr">
        <is>
          <t>https://www.miit.gov.cn/zwgk/zcwj/wjfb/tz/art/2025/art_5f72b18071ec49b5916bb9f99e58872e.html</t>
        </is>
      </c>
    </row>
    <row r="488" hidden="1" s="235">
      <c r="B488" s="198" t="inlineStr">
        <is>
          <t>WOP2504</t>
        </is>
      </c>
      <c r="C488" s="208" t="n">
        <v>2025</v>
      </c>
      <c r="D488" s="210" t="inlineStr">
        <is>
          <t>建材行业稳增长工作方案（2025—2026年）</t>
        </is>
      </c>
      <c r="E488" s="210" t="inlineStr">
        <is>
          <t>Work Plan for Stabilizing Growth in the Building Materials Industry (2025–2026)</t>
        </is>
      </c>
      <c r="F488" s="209" t="inlineStr">
        <is>
          <t>工业和信息化部；自然资源部；生态环境部；住房和城乡建设部；水利部；农业农村部</t>
        </is>
      </c>
      <c r="G488" s="209" t="inlineStr">
        <is>
          <t>工作方案</t>
        </is>
      </c>
      <c r="H488" s="210" t="inlineStr">
        <is>
          <t>经济规划（含气候）</t>
        </is>
      </c>
      <c r="I488" s="211" t="inlineStr">
        <is>
          <t>B.2</t>
        </is>
      </c>
      <c r="J488" s="211" t="inlineStr">
        <is>
          <t>2025–2026</t>
        </is>
      </c>
      <c r="K488" s="211" t="inlineStr">
        <is>
          <t>含目标</t>
        </is>
      </c>
      <c r="L488" s="209" t="inlineStr">
        <is>
          <t>PDF</t>
        </is>
      </c>
      <c r="M488" s="209" t="inlineStr">
        <is>
          <t>中文</t>
        </is>
      </c>
      <c r="N488" s="203" t="inlineStr">
        <is>
          <t>https://www.miit.gov.cn/zwgk/zcwj/wjfb/tz/art/2025/art_c73c2f6a0f20465aa92c360daa08619b.html</t>
        </is>
      </c>
    </row>
    <row r="489" hidden="1" s="235">
      <c r="B489" s="198" t="inlineStr">
        <is>
          <t>WOP2505</t>
        </is>
      </c>
      <c r="C489" s="208" t="n">
        <v>2025</v>
      </c>
      <c r="D489" s="210" t="inlineStr">
        <is>
          <t>钢铁行业稳增长工作方案（2025－2026年）</t>
        </is>
      </c>
      <c r="E489" s="210" t="inlineStr">
        <is>
          <t>Work Plan for Stabilizing Growth in the Steel Industry (2025–2026)</t>
        </is>
      </c>
      <c r="F489" s="209" t="inlineStr">
        <is>
          <t>工业和信息化部；自然资源部；生态环境部；商务部；国家市场监督管理总局</t>
        </is>
      </c>
      <c r="G489" s="209" t="inlineStr">
        <is>
          <t>工作方案</t>
        </is>
      </c>
      <c r="H489" s="210" t="inlineStr">
        <is>
          <t>经济规划（含气候）</t>
        </is>
      </c>
      <c r="I489" s="211" t="inlineStr">
        <is>
          <t>B.2</t>
        </is>
      </c>
      <c r="J489" s="211" t="inlineStr">
        <is>
          <t>2025–2026</t>
        </is>
      </c>
      <c r="K489" s="211" t="inlineStr">
        <is>
          <t>含目标</t>
        </is>
      </c>
      <c r="L489" s="209" t="inlineStr">
        <is>
          <t>PDF</t>
        </is>
      </c>
      <c r="M489" s="209" t="inlineStr">
        <is>
          <t>中文</t>
        </is>
      </c>
      <c r="N489" s="203" t="inlineStr">
        <is>
          <t>https://www.miit.gov.cn/zwgk/zcwj/wjfb/tz/art/2025/art_e0b143ab438a4de4973ba9031c75b673.html</t>
        </is>
      </c>
    </row>
    <row r="490" hidden="1" s="235">
      <c r="B490" s="198" t="inlineStr">
        <is>
          <t>WOP2506</t>
        </is>
      </c>
      <c r="C490" s="208" t="n">
        <v>2025</v>
      </c>
      <c r="D490" s="210" t="inlineStr">
        <is>
          <t>石化化工行业稳增长工作方案（2025-2026年）</t>
        </is>
      </c>
      <c r="E490" s="210" t="inlineStr">
        <is>
          <t>Work Plan for Stabilizing Growth in the Petrochemical Industry (2025–2026)</t>
        </is>
      </c>
      <c r="F490" s="209" t="inlineStr">
        <is>
          <t>工业和信息化部；生态环境部；应急管理部；中国人民银行；国家市场监督管理总局；国家金融监督管理总局；中华全国供销合作总社</t>
        </is>
      </c>
      <c r="G490" s="209" t="inlineStr">
        <is>
          <t>工作方案</t>
        </is>
      </c>
      <c r="H490" s="210" t="inlineStr">
        <is>
          <t>经济规划（含气候）</t>
        </is>
      </c>
      <c r="I490" s="211" t="inlineStr">
        <is>
          <t>B.1</t>
        </is>
      </c>
      <c r="J490" s="211" t="inlineStr">
        <is>
          <t>2025–2026</t>
        </is>
      </c>
      <c r="K490" s="211" t="inlineStr">
        <is>
          <t>含目标</t>
        </is>
      </c>
      <c r="L490" s="209" t="inlineStr">
        <is>
          <t>PDF</t>
        </is>
      </c>
      <c r="M490" s="209" t="inlineStr">
        <is>
          <t>中文</t>
        </is>
      </c>
      <c r="N490" s="203" t="inlineStr">
        <is>
          <t>https://www.miit.gov.cn/zwgk/zcwj/wjfb/tz/art/2025/art_fc1de65c987b44ab8560d2acf3b142a4.html</t>
        </is>
      </c>
    </row>
    <row r="491" hidden="1" s="235">
      <c r="B491" s="198" t="inlineStr">
        <is>
          <t>WOP2507</t>
        </is>
      </c>
      <c r="C491" s="208" t="n">
        <v>2025</v>
      </c>
      <c r="D491" s="210" t="inlineStr">
        <is>
          <t>轻工业稳增长工作方案（2025—2026年）</t>
        </is>
      </c>
      <c r="E491" s="210" t="inlineStr">
        <is>
          <t>Work Plan for Stabilizing Growth in the Light Industry (2025–2026)</t>
        </is>
      </c>
      <c r="F491" s="209" t="inlineStr">
        <is>
          <t>工业和信息化部；商务部；国家市场监督管理总局</t>
        </is>
      </c>
      <c r="G491" s="209" t="inlineStr">
        <is>
          <t>工作方案</t>
        </is>
      </c>
      <c r="H491" s="210" t="inlineStr">
        <is>
          <t>经济规划（含气候）</t>
        </is>
      </c>
      <c r="I491" s="211" t="inlineStr">
        <is>
          <t>B.2</t>
        </is>
      </c>
      <c r="J491" s="211" t="inlineStr">
        <is>
          <t>2025–2027</t>
        </is>
      </c>
      <c r="K491" s="211" t="inlineStr">
        <is>
          <t>含目标</t>
        </is>
      </c>
      <c r="L491" s="209" t="inlineStr">
        <is>
          <t>PDF</t>
        </is>
      </c>
      <c r="M491" s="209" t="inlineStr">
        <is>
          <t>中文</t>
        </is>
      </c>
      <c r="N491" s="203" t="inlineStr">
        <is>
          <t>https://www.miit.gov.cn/jgsj/xfpgys/wjfb/art/2025/art_7bd09ef20e60494aba48b36116118cbb.html</t>
        </is>
      </c>
    </row>
    <row r="492" hidden="1" s="235">
      <c r="B492" s="198" t="inlineStr">
        <is>
          <t>WOP2508</t>
        </is>
      </c>
      <c r="C492" s="208" t="n">
        <v>2025</v>
      </c>
      <c r="D492" s="210" t="inlineStr">
        <is>
          <t>电力装备行业稳增长工作方案（2025-2026年）</t>
        </is>
      </c>
      <c r="E492" s="210" t="inlineStr">
        <is>
          <t>Work Plan for Stabilizing Growth in the Power Equipment Industry (2025–2026)</t>
        </is>
      </c>
      <c r="F492" s="209" t="inlineStr">
        <is>
          <t>工业和信息化部；国家市场监督管理总局；国家能源局</t>
        </is>
      </c>
      <c r="G492" s="209" t="inlineStr">
        <is>
          <t>工作方案</t>
        </is>
      </c>
      <c r="H492" s="210" t="inlineStr">
        <is>
          <t>经济规划（含气候）</t>
        </is>
      </c>
      <c r="I492" s="211" t="inlineStr">
        <is>
          <t>B.2</t>
        </is>
      </c>
      <c r="J492" s="211" t="inlineStr">
        <is>
          <t>2025–2027</t>
        </is>
      </c>
      <c r="K492" s="211" t="inlineStr">
        <is>
          <t>含目标</t>
        </is>
      </c>
      <c r="L492" s="209" t="inlineStr">
        <is>
          <t>PDF</t>
        </is>
      </c>
      <c r="M492" s="209" t="inlineStr">
        <is>
          <t>中文</t>
        </is>
      </c>
      <c r="N492" s="203" t="inlineStr">
        <is>
          <t>https://www.miit.gov.cn/zwgk/zcwj/wjfb/tz/art/2025/art_e6fdc1fc198d4b3a86551a53c54b9491.html</t>
        </is>
      </c>
    </row>
    <row r="493" hidden="1" s="235">
      <c r="B493" s="198" t="inlineStr">
        <is>
          <t>WOP2509</t>
        </is>
      </c>
      <c r="C493" s="208" t="n">
        <v>2025</v>
      </c>
      <c r="D493" s="210" t="inlineStr">
        <is>
          <t>国家应对气候变化标准体系建设方案</t>
        </is>
      </c>
      <c r="E493" s="210" t="inlineStr">
        <is>
          <t>National Plan for the Construction of the National Climate Change Response Standards System</t>
        </is>
      </c>
      <c r="F493" s="209" t="inlineStr">
        <is>
          <t>生态环境部；国家发展和改革委员会；工业和信息化部；自然资源部；住房和城乡建设部；交通运输部；水利部；商务部；中国人民银行；国家市场监督管理总局；中国气象局；国家能源局；国家林业和草原局；国家铁路局；中国民用航空局</t>
        </is>
      </c>
      <c r="G493" s="209" t="inlineStr">
        <is>
          <t>国家方案</t>
        </is>
      </c>
      <c r="H493" s="210" t="inlineStr">
        <is>
          <t>明确减缓</t>
        </is>
      </c>
      <c r="I493" s="211" t="inlineStr">
        <is>
          <t>A</t>
        </is>
      </c>
      <c r="J493" s="211" t="inlineStr">
        <is>
          <t>-</t>
        </is>
      </c>
      <c r="K493" s="211" t="inlineStr">
        <is>
          <t>无目标</t>
        </is>
      </c>
      <c r="L493" s="209" t="inlineStr">
        <is>
          <t>PDF</t>
        </is>
      </c>
      <c r="M493" s="209" t="inlineStr">
        <is>
          <t>中文</t>
        </is>
      </c>
      <c r="N493" s="203" t="inlineStr">
        <is>
          <t>https://www.mee.gov.cn/xxgk2018/xxgk/xxgk03/202505/t20250530_1120372.html</t>
        </is>
      </c>
    </row>
    <row r="494" hidden="1" s="235">
      <c r="B494" s="0" t="inlineStr">
        <is>
          <t>WOP2601</t>
        </is>
      </c>
      <c r="C494" s="0" t="n">
        <v>2026</v>
      </c>
      <c r="D494" s="0" t="inlineStr">
        <is>
          <t>“十五五”公共机构节能降碳工作方案</t>
        </is>
      </c>
      <c r="E494" s="0" t="inlineStr">
        <is>
          <t>15th Five-Year Work Plan for Energy Conservation and Carbon Reduction in Public Institutions</t>
        </is>
      </c>
      <c r="F494" s="0" t="inlineStr">
        <is>
          <t>国家机关事务管理局；国家发展和改革委员会</t>
        </is>
      </c>
      <c r="G494" s="0" t="inlineStr">
        <is>
          <t>工作方案</t>
        </is>
      </c>
      <c r="H494" s="0" t="inlineStr">
        <is>
          <t>明确减缓</t>
        </is>
      </c>
      <c r="I494" s="0" t="inlineStr">
        <is>
          <t>Explicit mitigation</t>
        </is>
      </c>
      <c r="J494" s="0" t="inlineStr">
        <is>
          <t>B.3</t>
        </is>
      </c>
      <c r="K494" s="0" t="inlineStr">
        <is>
          <t>含目标</t>
        </is>
      </c>
      <c r="L494" s="0" t="inlineStr">
        <is>
          <t>HTM</t>
        </is>
      </c>
      <c r="M494" s="0" t="inlineStr">
        <is>
          <t>中文</t>
        </is>
      </c>
      <c r="N494" s="0" t="inlineStr">
        <is>
          <t>https://www.ggj.gov.cn/tzgg/202607/t20260731_49588.htm</t>
        </is>
      </c>
    </row>
    <row r="495" hidden="1" s="235">
      <c r="B495" s="205" t="inlineStr">
        <is>
          <t>白皮书</t>
        </is>
      </c>
      <c r="C495" s="206" t="n"/>
      <c r="D495" s="206" t="n"/>
      <c r="E495" s="206" t="n"/>
      <c r="F495" s="206" t="n"/>
      <c r="G495" s="206" t="n"/>
      <c r="H495" s="206" t="n"/>
      <c r="I495" s="206" t="n"/>
      <c r="J495" s="206" t="n"/>
      <c r="K495" s="206" t="n"/>
      <c r="L495" s="206" t="n"/>
      <c r="M495" s="206" t="n"/>
      <c r="N495" s="207" t="n"/>
    </row>
    <row r="496">
      <c r="B496" s="198" t="inlineStr">
        <is>
          <t>WP1201</t>
        </is>
      </c>
      <c r="C496" s="208" t="n">
        <v>2012</v>
      </c>
      <c r="D496" s="210" t="inlineStr">
        <is>
          <t>中国的能源政策（2012）</t>
        </is>
      </c>
      <c r="E496" s="210" t="inlineStr">
        <is>
          <t xml:space="preserve">China Energy White Paper 2012 </t>
        </is>
      </c>
      <c r="F496" s="209" t="inlineStr">
        <is>
          <t>国务院</t>
        </is>
      </c>
      <c r="G496" s="209" t="inlineStr">
        <is>
          <t>白皮书</t>
        </is>
      </c>
      <c r="H496" s="210" t="inlineStr">
        <is>
          <t>经济规划（含气候）</t>
        </is>
      </c>
      <c r="I496" s="211" t="inlineStr">
        <is>
          <t>B.1</t>
        </is>
      </c>
      <c r="J496" s="211" t="inlineStr">
        <is>
          <t>-</t>
        </is>
      </c>
      <c r="K496" s="211" t="inlineStr">
        <is>
          <t>含目标</t>
        </is>
      </c>
      <c r="L496" s="209" t="inlineStr">
        <is>
          <t>HTM</t>
        </is>
      </c>
      <c r="M496" s="209" t="inlineStr">
        <is>
          <t>中文</t>
        </is>
      </c>
      <c r="N496" s="203" t="inlineStr">
        <is>
          <t>https://www.iea.org/policies/5479-china-energy-white-paper-2012</t>
        </is>
      </c>
    </row>
    <row r="497">
      <c r="B497" s="198" t="inlineStr">
        <is>
          <t>WP1401</t>
        </is>
      </c>
      <c r="C497" s="208" t="n">
        <v>2014</v>
      </c>
      <c r="D497" s="210" t="inlineStr">
        <is>
          <t>2013年林业应对气候变化政策与行动白皮书</t>
        </is>
      </c>
      <c r="E497" s="210" t="inlineStr">
        <is>
          <t>2013 White Paper on Forestry Policies and Actions to Address Climate Change</t>
        </is>
      </c>
      <c r="F497" s="209" t="inlineStr">
        <is>
          <t>国家林业和草原局</t>
        </is>
      </c>
      <c r="G497" s="209" t="inlineStr">
        <is>
          <t>白皮书</t>
        </is>
      </c>
      <c r="H497" s="210" t="inlineStr">
        <is>
          <t>明确减缓</t>
        </is>
      </c>
      <c r="I497" s="211" t="inlineStr">
        <is>
          <t>B.5</t>
        </is>
      </c>
      <c r="J497" s="211" t="inlineStr">
        <is>
          <t>-</t>
        </is>
      </c>
      <c r="K497" s="211" t="inlineStr">
        <is>
          <t>无目标</t>
        </is>
      </c>
      <c r="L497" s="209" t="inlineStr">
        <is>
          <t>HTM</t>
        </is>
      </c>
      <c r="M497" s="209" t="inlineStr">
        <is>
          <t>中文</t>
        </is>
      </c>
      <c r="N497" s="203" t="inlineStr">
        <is>
          <t>https://www.gov.cn/xinwen/2014-03/06/content_2630690.htm</t>
        </is>
      </c>
    </row>
    <row r="498" hidden="1" s="235">
      <c r="B498" s="198" t="inlineStr">
        <is>
          <t>WP1701</t>
        </is>
      </c>
      <c r="C498" s="208" t="n">
        <v>2017</v>
      </c>
      <c r="D498" s="210" t="inlineStr">
        <is>
          <t>2016年林业应对气候变化政策与行动白皮书</t>
        </is>
      </c>
      <c r="E498" s="210" t="inlineStr">
        <is>
          <t>2016 White Paper on Forestry Policies and Actions to Address Climate Change</t>
        </is>
      </c>
      <c r="F498" s="209" t="inlineStr">
        <is>
          <t>国家林业和草原局</t>
        </is>
      </c>
      <c r="G498" s="209" t="inlineStr">
        <is>
          <t>白皮书</t>
        </is>
      </c>
      <c r="H498" s="210" t="inlineStr">
        <is>
          <t>明确减缓</t>
        </is>
      </c>
      <c r="I498" s="211" t="inlineStr">
        <is>
          <t>B.5</t>
        </is>
      </c>
      <c r="J498" s="211" t="inlineStr">
        <is>
          <t>-</t>
        </is>
      </c>
      <c r="K498" s="211" t="inlineStr">
        <is>
          <t>含目标</t>
        </is>
      </c>
      <c r="L498" s="209" t="inlineStr">
        <is>
          <t>PDF</t>
        </is>
      </c>
      <c r="M498" s="209" t="inlineStr">
        <is>
          <t>中文</t>
        </is>
      </c>
      <c r="N498" s="203" t="inlineStr">
        <is>
          <t>https://lcj.tongliao.gov.cn/xwzx/bmdt/201709/t20170919_808361.html</t>
        </is>
      </c>
    </row>
    <row r="499" hidden="1" s="235">
      <c r="B499" s="198" t="inlineStr">
        <is>
          <t>WP1801</t>
        </is>
      </c>
      <c r="C499" s="208" t="n">
        <v>2018</v>
      </c>
      <c r="D499" s="210" t="inlineStr">
        <is>
          <t>2017年林业和草原应对气候变化政策与行动白皮书</t>
        </is>
      </c>
      <c r="E499" s="210" t="inlineStr">
        <is>
          <t>2017 White Paper on Forestry and Grassland Policies and Actions to Address Climate Change</t>
        </is>
      </c>
      <c r="F499" s="209" t="inlineStr">
        <is>
          <t>国家林业和草原局</t>
        </is>
      </c>
      <c r="G499" s="209" t="inlineStr">
        <is>
          <t>白皮书</t>
        </is>
      </c>
      <c r="H499" s="210" t="inlineStr">
        <is>
          <t>明确减缓</t>
        </is>
      </c>
      <c r="I499" s="211" t="inlineStr">
        <is>
          <t>B.5</t>
        </is>
      </c>
      <c r="J499" s="211" t="inlineStr">
        <is>
          <t>-</t>
        </is>
      </c>
      <c r="K499" s="211" t="inlineStr">
        <is>
          <t>无目标</t>
        </is>
      </c>
      <c r="L499" s="209" t="inlineStr">
        <is>
          <t>HTM</t>
        </is>
      </c>
      <c r="M499" s="209" t="inlineStr">
        <is>
          <t>中文</t>
        </is>
      </c>
      <c r="N499" s="203" t="inlineStr">
        <is>
          <t>https://www.gov.cn/zhengce/zhengceku/2018-12/31/content_5437840.htm</t>
        </is>
      </c>
    </row>
    <row r="500" hidden="1" s="235">
      <c r="B500" s="198" t="inlineStr">
        <is>
          <t>WP2001</t>
        </is>
      </c>
      <c r="C500" s="208" t="n">
        <v>2020</v>
      </c>
      <c r="D500" s="210" t="inlineStr">
        <is>
          <t>2019年林业和草原应对气候变化政策与行动白皮书</t>
        </is>
      </c>
      <c r="E500" s="210" t="inlineStr">
        <is>
          <t>2019 White Paper on Forestry and Grassland Policies and Actions to Address Climate Change</t>
        </is>
      </c>
      <c r="F500" s="209" t="inlineStr">
        <is>
          <t>国家林业和草原局</t>
        </is>
      </c>
      <c r="G500" s="209" t="inlineStr">
        <is>
          <t>白皮书</t>
        </is>
      </c>
      <c r="H500" s="210" t="inlineStr">
        <is>
          <t>明确减缓</t>
        </is>
      </c>
      <c r="I500" s="211" t="inlineStr">
        <is>
          <t>B.5</t>
        </is>
      </c>
      <c r="J500" s="211" t="inlineStr">
        <is>
          <t>-</t>
        </is>
      </c>
      <c r="K500" s="211" t="inlineStr">
        <is>
          <t>无目标</t>
        </is>
      </c>
      <c r="L500" s="209" t="inlineStr">
        <is>
          <t>PDF</t>
        </is>
      </c>
      <c r="M500" s="209" t="inlineStr">
        <is>
          <t>中文</t>
        </is>
      </c>
      <c r="N500" s="203" t="inlineStr">
        <is>
          <t>https://www.forestry.gov.cn/c/www/lczy/16087.jhtml</t>
        </is>
      </c>
    </row>
    <row r="501" hidden="1" s="235">
      <c r="B501" s="198" t="inlineStr">
        <is>
          <t>WP2002</t>
        </is>
      </c>
      <c r="C501" s="208" t="n">
        <v>2020</v>
      </c>
      <c r="D501" s="210" t="inlineStr">
        <is>
          <t>《新时代的中国能源发展》白皮书</t>
        </is>
      </c>
      <c r="E501" s="210" t="inlineStr">
        <is>
          <t>White Paper on Energy Development "Energy in China's New Era"</t>
        </is>
      </c>
      <c r="F501" s="209" t="inlineStr">
        <is>
          <t>国务院</t>
        </is>
      </c>
      <c r="G501" s="209" t="inlineStr">
        <is>
          <t>白皮书</t>
        </is>
      </c>
      <c r="H501" s="210" t="inlineStr">
        <is>
          <t>经济规划（含气候）</t>
        </is>
      </c>
      <c r="I501" s="211" t="inlineStr">
        <is>
          <t>B.1</t>
        </is>
      </c>
      <c r="J501" s="211" t="inlineStr">
        <is>
          <t>-</t>
        </is>
      </c>
      <c r="K501" s="211" t="inlineStr">
        <is>
          <t>无目标</t>
        </is>
      </c>
      <c r="L501" s="209" t="inlineStr">
        <is>
          <t>HTM</t>
        </is>
      </c>
      <c r="M501" s="209" t="inlineStr">
        <is>
          <t>中文</t>
        </is>
      </c>
      <c r="N501" s="203" t="inlineStr">
        <is>
          <t>https://www.gov.cn/zhengce/2020-12/21/content_5571916.htm</t>
        </is>
      </c>
    </row>
    <row r="502" hidden="1" s="235">
      <c r="B502" s="205" t="inlineStr">
        <is>
          <t>补充规划框架</t>
        </is>
      </c>
      <c r="C502" s="206" t="n"/>
      <c r="D502" s="206" t="n"/>
      <c r="E502" s="206" t="n"/>
      <c r="F502" s="206" t="n"/>
      <c r="G502" s="206" t="n"/>
      <c r="H502" s="206" t="n"/>
      <c r="I502" s="206" t="n"/>
      <c r="J502" s="206" t="n"/>
      <c r="K502" s="206" t="n"/>
      <c r="L502" s="206" t="n"/>
      <c r="M502" s="206" t="n"/>
      <c r="N502" s="207" t="n"/>
    </row>
    <row r="503" hidden="1" s="235">
      <c r="B503" s="198" t="inlineStr">
        <is>
          <t>PF0701</t>
        </is>
      </c>
      <c r="C503" s="208" t="n">
        <v>2007</v>
      </c>
      <c r="D503" s="210" t="inlineStr">
        <is>
          <t>中国能源状况和政策</t>
        </is>
      </c>
      <c r="E503" s="210" t="inlineStr">
        <is>
          <t>China's Energy Conditions and Policies</t>
        </is>
      </c>
      <c r="F503" s="209" t="inlineStr">
        <is>
          <t>生态环境部</t>
        </is>
      </c>
      <c r="G503" s="209" t="inlineStr">
        <is>
          <t>政策</t>
        </is>
      </c>
      <c r="H503" s="210" t="inlineStr">
        <is>
          <t>经济规划（含气候）</t>
        </is>
      </c>
      <c r="I503" s="211" t="inlineStr">
        <is>
          <t>B.1</t>
        </is>
      </c>
      <c r="J503" s="211" t="inlineStr">
        <is>
          <t>-</t>
        </is>
      </c>
      <c r="K503" s="211" t="inlineStr">
        <is>
          <t>含目标</t>
        </is>
      </c>
      <c r="L503" s="209" t="inlineStr">
        <is>
          <t>HTM</t>
        </is>
      </c>
      <c r="M503" s="209" t="inlineStr">
        <is>
          <t>英文</t>
        </is>
      </c>
      <c r="N503" s="203" t="inlineStr">
        <is>
          <t>https://english.mee.gov.cn/Resources/Plans/Plans/200801/t20080103_115879.shtml</t>
        </is>
      </c>
    </row>
    <row r="504">
      <c r="B504" s="198" t="inlineStr">
        <is>
          <t>PF1101</t>
        </is>
      </c>
      <c r="C504" s="208" t="n">
        <v>2011</v>
      </c>
      <c r="D504" s="210" t="inlineStr">
        <is>
          <t>全国造林绿化规划纲要(2011-2020 年)</t>
        </is>
      </c>
      <c r="E504" s="210" t="inlineStr">
        <is>
          <t>Outline of National Afforestation Planning (2011-2020)</t>
        </is>
      </c>
      <c r="F504" s="209" t="inlineStr">
        <is>
          <t>全国绿化委员会；国家林业局</t>
        </is>
      </c>
      <c r="G504" s="209" t="inlineStr">
        <is>
          <t>规划</t>
        </is>
      </c>
      <c r="H504" s="210" t="inlineStr">
        <is>
          <t>促进减缓</t>
        </is>
      </c>
      <c r="I504" s="211" t="inlineStr">
        <is>
          <t>B.5</t>
        </is>
      </c>
      <c r="J504" s="211" t="inlineStr">
        <is>
          <t>2011-2020</t>
        </is>
      </c>
      <c r="K504" s="211" t="inlineStr">
        <is>
          <t>含目标</t>
        </is>
      </c>
      <c r="L504" s="209" t="inlineStr">
        <is>
          <t>PDF</t>
        </is>
      </c>
      <c r="M504" s="209" t="inlineStr">
        <is>
          <t>中文</t>
        </is>
      </c>
      <c r="N504" s="203" t="inlineStr">
        <is>
          <t>https://www.forestry.gov.cn/uploadfile/main/2011-7/file/2011-7-12-8920476e3e204817a8d33e821e5fdb44.pdf</t>
        </is>
      </c>
    </row>
    <row r="505">
      <c r="B505" s="198" t="inlineStr">
        <is>
          <t>PF1601</t>
        </is>
      </c>
      <c r="C505" s="208" t="n">
        <v>2016</v>
      </c>
      <c r="D505" s="210" t="inlineStr">
        <is>
          <t>能源生产和消费革命战略(2016-2030)</t>
        </is>
      </c>
      <c r="E505" s="210" t="inlineStr">
        <is>
          <t>Energy Production and Consumption Revolution Strategy (2016-2030)</t>
        </is>
      </c>
      <c r="F505" s="209" t="inlineStr">
        <is>
          <t>国家发展和改革委员会；国家能源局</t>
        </is>
      </c>
      <c r="G505" s="209" t="inlineStr">
        <is>
          <t>战略</t>
        </is>
      </c>
      <c r="H505" s="210" t="inlineStr">
        <is>
          <t>经济规划（含气候）</t>
        </is>
      </c>
      <c r="I505" s="211" t="inlineStr">
        <is>
          <t>B.1</t>
        </is>
      </c>
      <c r="J505" s="211" t="inlineStr">
        <is>
          <t>2016-2030</t>
        </is>
      </c>
      <c r="K505" s="211" t="inlineStr">
        <is>
          <t>无目标</t>
        </is>
      </c>
      <c r="L505" s="209" t="inlineStr">
        <is>
          <t>PDF</t>
        </is>
      </c>
      <c r="M505" s="209" t="inlineStr">
        <is>
          <t>中文</t>
        </is>
      </c>
      <c r="N505" s="203" t="inlineStr">
        <is>
          <t>https://www.ndrc.gov.cn/xxgk/zcfb/tz/201704/t20170425_962953.html?code=&amp;state=123</t>
        </is>
      </c>
    </row>
    <row r="506">
      <c r="B506" s="198" t="inlineStr">
        <is>
          <t>PF1602</t>
        </is>
      </c>
      <c r="C506" s="208" t="n">
        <v>2016</v>
      </c>
      <c r="D506" s="210" t="inlineStr">
        <is>
          <t>全国造林绿化规划纲要(2016-2020 年)</t>
        </is>
      </c>
      <c r="E506" s="210" t="inlineStr">
        <is>
          <t>National Afforestation and Greening Plan (2016–2020)</t>
        </is>
      </c>
      <c r="F506" s="209" t="inlineStr">
        <is>
          <t>全国绿化委员会；国家林业局</t>
        </is>
      </c>
      <c r="G506" s="209" t="inlineStr">
        <is>
          <t>规划纲要</t>
        </is>
      </c>
      <c r="H506" s="210" t="inlineStr">
        <is>
          <t>明确减缓</t>
        </is>
      </c>
      <c r="I506" s="211" t="inlineStr">
        <is>
          <t>B.5</t>
        </is>
      </c>
      <c r="J506" s="211" t="inlineStr">
        <is>
          <t>2016-2020</t>
        </is>
      </c>
      <c r="K506" s="211" t="inlineStr">
        <is>
          <t>含目标</t>
        </is>
      </c>
      <c r="L506" s="209" t="inlineStr">
        <is>
          <t>PDF</t>
        </is>
      </c>
      <c r="M506" s="209" t="inlineStr">
        <is>
          <t>中文</t>
        </is>
      </c>
      <c r="N506" s="203" t="inlineStr">
        <is>
          <t>https://www.doc88.com/p-74659513278812.html</t>
        </is>
      </c>
    </row>
    <row r="507">
      <c r="B507" s="198" t="inlineStr">
        <is>
          <t>PF1701</t>
        </is>
      </c>
      <c r="C507" s="208" t="n">
        <v>2017</v>
      </c>
      <c r="D507" s="210" t="inlineStr">
        <is>
          <t>北方地区冬季清洁取暖规划(2017-2021 年)</t>
        </is>
      </c>
      <c r="E507" s="210" t="inlineStr">
        <is>
          <t>Winter Clean Heating Plan in Northern China (2017-2021)</t>
        </is>
      </c>
      <c r="F507" s="209" t="inlineStr">
        <is>
          <t>国家发展和改革委员会；国家能源局；财政部；环境保护部；住房和城乡建设部；国务院国有资产监督管理委员会；国家质量监督检验检疫总局；中国银行业监督管理委员会；中国证券监督管理委员会；中央军委后勤保障部</t>
        </is>
      </c>
      <c r="G507" s="209" t="inlineStr">
        <is>
          <t>规划</t>
        </is>
      </c>
      <c r="H507" s="210" t="inlineStr">
        <is>
          <t>经济规划（含气候）</t>
        </is>
      </c>
      <c r="I507" s="211" t="inlineStr">
        <is>
          <t>B.1</t>
        </is>
      </c>
      <c r="J507" s="211" t="inlineStr">
        <is>
          <t>2017-2021</t>
        </is>
      </c>
      <c r="K507" s="211" t="inlineStr">
        <is>
          <t>含目标</t>
        </is>
      </c>
      <c r="L507" s="209" t="inlineStr">
        <is>
          <t>PDF</t>
        </is>
      </c>
      <c r="M507" s="209" t="inlineStr">
        <is>
          <t>中文</t>
        </is>
      </c>
      <c r="N507" s="203" t="inlineStr">
        <is>
          <t>https://www.gov.cn/xinwen/2017-12/20/5248855/files/7ed7d7cda8984ae39a4e9620a4660c7f.pdf</t>
        </is>
      </c>
    </row>
    <row r="508">
      <c r="B508" s="198" t="inlineStr">
        <is>
          <t>PF1901</t>
        </is>
      </c>
      <c r="C508" s="208" t="n">
        <v>2019</v>
      </c>
      <c r="D508" s="210" t="inlineStr">
        <is>
          <t>交通强国建设纲要</t>
        </is>
      </c>
      <c r="E508" s="210" t="inlineStr">
        <is>
          <t>Outline for Building a Strong Transportation Country</t>
        </is>
      </c>
      <c r="F508" s="209" t="inlineStr">
        <is>
          <t>中共中央；国务院</t>
        </is>
      </c>
      <c r="G508" s="209" t="inlineStr">
        <is>
          <t>建设纲要</t>
        </is>
      </c>
      <c r="H508" s="210" t="inlineStr">
        <is>
          <t>经济规划（含气候）</t>
        </is>
      </c>
      <c r="I508" s="211" t="inlineStr">
        <is>
          <t>B.4</t>
        </is>
      </c>
      <c r="J508" s="211" t="inlineStr">
        <is>
          <t>-</t>
        </is>
      </c>
      <c r="K508" s="211" t="inlineStr">
        <is>
          <t>无目标</t>
        </is>
      </c>
      <c r="L508" s="209" t="inlineStr">
        <is>
          <t>HTM</t>
        </is>
      </c>
      <c r="M508" s="209" t="inlineStr">
        <is>
          <t>中文</t>
        </is>
      </c>
      <c r="N508" s="203" t="inlineStr">
        <is>
          <t>https://www.gov.cn/zhengce/2019-09/19/content_5431432.htm</t>
        </is>
      </c>
    </row>
    <row r="509">
      <c r="B509" s="198" t="inlineStr">
        <is>
          <t>PF2001</t>
        </is>
      </c>
      <c r="C509" s="208" t="n">
        <v>2020</v>
      </c>
      <c r="D509" s="210" t="inlineStr">
        <is>
          <t>全国重要生态系统保护和修复重大工程总体规划（2021-2035年）</t>
        </is>
      </c>
      <c r="E509" s="210" t="inlineStr">
        <is>
          <t>Overall Plan for Major Projects of National Important Ecosystem Protection and Restoration (2021-2035)</t>
        </is>
      </c>
      <c r="F509" s="209" t="inlineStr">
        <is>
          <t>国家发展和改革委员会；自然资源部</t>
        </is>
      </c>
      <c r="G509" s="209" t="inlineStr">
        <is>
          <t>总体规划</t>
        </is>
      </c>
      <c r="H509" s="210" t="inlineStr">
        <is>
          <t>促进减缓</t>
        </is>
      </c>
      <c r="I509" s="211" t="inlineStr">
        <is>
          <t>B.5, D.3</t>
        </is>
      </c>
      <c r="J509" s="211" t="inlineStr">
        <is>
          <t>2021-2035</t>
        </is>
      </c>
      <c r="K509" s="211" t="inlineStr">
        <is>
          <t>无目标</t>
        </is>
      </c>
      <c r="L509" s="209" t="inlineStr">
        <is>
          <t>PDF</t>
        </is>
      </c>
      <c r="M509" s="209" t="inlineStr">
        <is>
          <t>中文</t>
        </is>
      </c>
      <c r="N509" s="203" t="inlineStr">
        <is>
          <t>https://www.gov.cn/zhengce/zhengceku/2020-06/12/content_5518982.htm</t>
        </is>
      </c>
    </row>
    <row r="510">
      <c r="B510" s="198" t="inlineStr">
        <is>
          <t>PF2101</t>
        </is>
      </c>
      <c r="C510" s="208" t="n">
        <v>2021</v>
      </c>
      <c r="D510" s="210" t="inlineStr">
        <is>
          <t>国家综合立体交通网规划纲要</t>
        </is>
      </c>
      <c r="E510" s="210" t="inlineStr">
        <is>
          <t>Outline of National integrated Three-Dimensional Transportation Network Plan</t>
        </is>
      </c>
      <c r="F510" s="209" t="inlineStr">
        <is>
          <t>中共中央；国务院</t>
        </is>
      </c>
      <c r="G510" s="209" t="inlineStr">
        <is>
          <t>国家规划纲要</t>
        </is>
      </c>
      <c r="H510" s="210" t="inlineStr">
        <is>
          <t>经济规划（含气候）</t>
        </is>
      </c>
      <c r="I510" s="211" t="inlineStr">
        <is>
          <t>B.4</t>
        </is>
      </c>
      <c r="J510" s="211" t="inlineStr">
        <is>
          <t>-</t>
        </is>
      </c>
      <c r="K510" s="211" t="inlineStr">
        <is>
          <t>无目标</t>
        </is>
      </c>
      <c r="L510" s="209" t="inlineStr">
        <is>
          <t>HTM</t>
        </is>
      </c>
      <c r="M510" s="209" t="inlineStr">
        <is>
          <t>中文</t>
        </is>
      </c>
      <c r="N510" s="203" t="inlineStr">
        <is>
          <t>https://www.gov.cn/zhengce/2021-02/24/content_5588654.htm</t>
        </is>
      </c>
    </row>
    <row r="511">
      <c r="B511" s="198" t="inlineStr">
        <is>
          <t>PF2102</t>
        </is>
      </c>
      <c r="C511" s="208" t="n">
        <v>2021</v>
      </c>
      <c r="D511" s="210" t="inlineStr">
        <is>
          <t>电机能效提升计划（2021-2023年）</t>
        </is>
      </c>
      <c r="E511" s="210" t="inlineStr">
        <is>
          <t>Electric Motor Efficiency Improvement Plan (2021-2023)</t>
        </is>
      </c>
      <c r="F511" s="209" t="inlineStr">
        <is>
          <t>工业和信息化部；国家市场监督管理总局</t>
        </is>
      </c>
      <c r="G511" s="209" t="inlineStr">
        <is>
          <t>计划</t>
        </is>
      </c>
      <c r="H511" s="210" t="inlineStr">
        <is>
          <t>促进减缓</t>
        </is>
      </c>
      <c r="I511" s="211" t="inlineStr">
        <is>
          <t>C.1</t>
        </is>
      </c>
      <c r="J511" s="211" t="inlineStr">
        <is>
          <t>2021-2023</t>
        </is>
      </c>
      <c r="K511" s="211" t="inlineStr">
        <is>
          <t>无目标</t>
        </is>
      </c>
      <c r="L511" s="209" t="inlineStr">
        <is>
          <t>PDF</t>
        </is>
      </c>
      <c r="M511" s="209" t="inlineStr">
        <is>
          <t>中文</t>
        </is>
      </c>
      <c r="N511" s="203" t="inlineStr">
        <is>
          <t>https://www.miit.gov.cn/jgsj/jns/gzdt/art/2021/art_09b9a0f43de9496abff73b1954831e37.html</t>
        </is>
      </c>
    </row>
    <row r="512">
      <c r="B512" s="198" t="inlineStr">
        <is>
          <t>PF2103</t>
        </is>
      </c>
      <c r="C512" s="208" t="n">
        <v>2021</v>
      </c>
      <c r="D512" s="210" t="inlineStr">
        <is>
          <t>生态保护和修复支撑体系重大工程建设规划（2021-2035年）</t>
        </is>
      </c>
      <c r="E512" s="210" t="inlineStr">
        <is>
          <t>Construction Plan for Major Ecological Protection and Restoration Support System Projects (2021–2035)</t>
        </is>
      </c>
      <c r="F512" s="209" t="inlineStr">
        <is>
          <t>国家发展和改革委员会；科学技术部；自然资源部；生态环境部；水利部；农业农村部；应急管理部；中国气象局；国家林业和草原局</t>
        </is>
      </c>
      <c r="G512" s="209" t="inlineStr">
        <is>
          <t>建设规划</t>
        </is>
      </c>
      <c r="H512" s="210" t="inlineStr">
        <is>
          <t>促进减缓</t>
        </is>
      </c>
      <c r="I512" s="211" t="inlineStr">
        <is>
          <t>B.5, D.3</t>
        </is>
      </c>
      <c r="J512" s="211" t="inlineStr">
        <is>
          <t>-</t>
        </is>
      </c>
      <c r="K512" s="211" t="inlineStr">
        <is>
          <t>含目标</t>
        </is>
      </c>
      <c r="L512" s="209" t="inlineStr">
        <is>
          <t>PDF</t>
        </is>
      </c>
      <c r="M512" s="209" t="inlineStr">
        <is>
          <t>中文</t>
        </is>
      </c>
      <c r="N512" s="203" t="inlineStr">
        <is>
          <t>https://www.ndrc.gov.cn/xxgk/zcfb/ghwb/202112/t20211222_1308922.html?code=&amp;state=123</t>
        </is>
      </c>
    </row>
    <row r="513">
      <c r="B513" s="198" t="inlineStr">
        <is>
          <t>PF2501</t>
        </is>
      </c>
      <c r="C513" s="208" t="n">
        <v>2025</v>
      </c>
      <c r="D513" s="210" t="inlineStr">
        <is>
          <t xml:space="preserve">2025年数字化绿色化协同转型发展工作要点 </t>
        </is>
      </c>
      <c r="E513" s="210" t="inlineStr">
        <is>
          <t>Key Points for Coordinated Digital and Green Transformation in 2025</t>
        </is>
      </c>
      <c r="F513" s="209" t="inlineStr">
        <is>
          <t>中央网络安全和信息化委员会</t>
        </is>
      </c>
      <c r="G513" s="209" t="inlineStr">
        <is>
          <t>发展工作要点</t>
        </is>
      </c>
      <c r="H513" s="210" t="inlineStr">
        <is>
          <t>明确减缓</t>
        </is>
      </c>
      <c r="I513" s="211" t="inlineStr">
        <is>
          <t>C.1</t>
        </is>
      </c>
      <c r="J513" s="211" t="n">
        <v>2025</v>
      </c>
      <c r="K513" s="211" t="inlineStr">
        <is>
          <t>无目标</t>
        </is>
      </c>
      <c r="L513" s="209" t="inlineStr">
        <is>
          <t>HTM</t>
        </is>
      </c>
      <c r="M513" s="209" t="inlineStr">
        <is>
          <t>中文</t>
        </is>
      </c>
      <c r="N513" s="203" t="inlineStr">
        <is>
          <t>https://www.cac.gov.cn/2025-04/25/c_1747290376047340.htm</t>
        </is>
      </c>
    </row>
    <row r="515">
      <c r="C515" s="192" t="n"/>
    </row>
    <row r="516">
      <c r="C516" s="227" t="n"/>
    </row>
    <row r="517">
      <c r="F517" s="171" t="n"/>
    </row>
    <row r="518">
      <c r="F518" s="171" t="n"/>
    </row>
    <row r="519">
      <c r="F519" s="171" t="n"/>
    </row>
    <row r="520">
      <c r="F520" s="171" t="n"/>
    </row>
    <row r="521">
      <c r="F521" s="171" t="n"/>
    </row>
    <row r="522">
      <c r="F522" s="171" t="n"/>
    </row>
    <row r="525">
      <c r="I525" s="173" t="n"/>
    </row>
    <row r="526">
      <c r="I526" s="173" t="n"/>
    </row>
    <row r="527">
      <c r="I527" s="173" t="n"/>
    </row>
    <row r="528">
      <c r="I528" s="173" t="n"/>
    </row>
    <row r="529">
      <c r="I529" s="173" t="n"/>
    </row>
    <row r="530">
      <c r="I530" s="173" t="n"/>
    </row>
  </sheetData>
  <hyperlinks>
    <hyperlink xmlns:r="http://schemas.openxmlformats.org/officeDocument/2006/relationships" ref="N9" r:id="rId1"/>
    <hyperlink xmlns:r="http://schemas.openxmlformats.org/officeDocument/2006/relationships" ref="N10" r:id="rId2"/>
    <hyperlink xmlns:r="http://schemas.openxmlformats.org/officeDocument/2006/relationships" ref="N11" r:id="rId3"/>
    <hyperlink xmlns:r="http://schemas.openxmlformats.org/officeDocument/2006/relationships" ref="N12" r:id="rId4"/>
    <hyperlink xmlns:r="http://schemas.openxmlformats.org/officeDocument/2006/relationships" ref="N13" r:id="rId5"/>
    <hyperlink xmlns:r="http://schemas.openxmlformats.org/officeDocument/2006/relationships" ref="N15" r:id="rId6"/>
    <hyperlink xmlns:r="http://schemas.openxmlformats.org/officeDocument/2006/relationships" ref="N16" r:id="rId7"/>
    <hyperlink xmlns:r="http://schemas.openxmlformats.org/officeDocument/2006/relationships" ref="N17" r:id="rId8"/>
    <hyperlink xmlns:r="http://schemas.openxmlformats.org/officeDocument/2006/relationships" ref="N18" r:id="rId9"/>
    <hyperlink xmlns:r="http://schemas.openxmlformats.org/officeDocument/2006/relationships" ref="N19" r:id="rId10"/>
    <hyperlink xmlns:r="http://schemas.openxmlformats.org/officeDocument/2006/relationships" ref="N20" r:id="rId11"/>
    <hyperlink xmlns:r="http://schemas.openxmlformats.org/officeDocument/2006/relationships" ref="N21" r:id="rId12"/>
    <hyperlink xmlns:r="http://schemas.openxmlformats.org/officeDocument/2006/relationships" ref="N23" r:id="rId13"/>
    <hyperlink xmlns:r="http://schemas.openxmlformats.org/officeDocument/2006/relationships" ref="N24" r:id="rId14"/>
    <hyperlink xmlns:r="http://schemas.openxmlformats.org/officeDocument/2006/relationships" ref="N25" r:id="rId15"/>
    <hyperlink xmlns:r="http://schemas.openxmlformats.org/officeDocument/2006/relationships" ref="N27" r:id="rId16"/>
    <hyperlink xmlns:r="http://schemas.openxmlformats.org/officeDocument/2006/relationships" ref="N28" r:id="rId17"/>
    <hyperlink xmlns:r="http://schemas.openxmlformats.org/officeDocument/2006/relationships" ref="N29" r:id="rId18"/>
    <hyperlink xmlns:r="http://schemas.openxmlformats.org/officeDocument/2006/relationships" ref="N30" r:id="rId19"/>
    <hyperlink xmlns:r="http://schemas.openxmlformats.org/officeDocument/2006/relationships" ref="N31" r:id="rId20"/>
    <hyperlink xmlns:r="http://schemas.openxmlformats.org/officeDocument/2006/relationships" ref="N32" r:id="rId21"/>
    <hyperlink xmlns:r="http://schemas.openxmlformats.org/officeDocument/2006/relationships" ref="N33" r:id="rId22"/>
    <hyperlink xmlns:r="http://schemas.openxmlformats.org/officeDocument/2006/relationships" ref="N34" r:id="rId23"/>
    <hyperlink xmlns:r="http://schemas.openxmlformats.org/officeDocument/2006/relationships" ref="N35" r:id="rId24"/>
    <hyperlink xmlns:r="http://schemas.openxmlformats.org/officeDocument/2006/relationships" ref="N36" r:id="rId25"/>
    <hyperlink xmlns:r="http://schemas.openxmlformats.org/officeDocument/2006/relationships" ref="N37" r:id="rId26"/>
    <hyperlink xmlns:r="http://schemas.openxmlformats.org/officeDocument/2006/relationships" ref="N38" r:id="rId27"/>
    <hyperlink xmlns:r="http://schemas.openxmlformats.org/officeDocument/2006/relationships" ref="N40" r:id="rId28"/>
    <hyperlink xmlns:r="http://schemas.openxmlformats.org/officeDocument/2006/relationships" ref="N41" r:id="rId29"/>
    <hyperlink xmlns:r="http://schemas.openxmlformats.org/officeDocument/2006/relationships" ref="N42" r:id="rId30"/>
    <hyperlink xmlns:r="http://schemas.openxmlformats.org/officeDocument/2006/relationships" ref="N43" r:id="rId31"/>
    <hyperlink xmlns:r="http://schemas.openxmlformats.org/officeDocument/2006/relationships" ref="N44" r:id="rId32"/>
    <hyperlink xmlns:r="http://schemas.openxmlformats.org/officeDocument/2006/relationships" ref="N45" r:id="rId33"/>
    <hyperlink xmlns:r="http://schemas.openxmlformats.org/officeDocument/2006/relationships" ref="N46" r:id="rId34"/>
    <hyperlink xmlns:r="http://schemas.openxmlformats.org/officeDocument/2006/relationships" ref="N47" r:id="rId35"/>
    <hyperlink xmlns:r="http://schemas.openxmlformats.org/officeDocument/2006/relationships" ref="N48" r:id="rId36"/>
    <hyperlink xmlns:r="http://schemas.openxmlformats.org/officeDocument/2006/relationships" ref="N49" r:id="rId37"/>
    <hyperlink xmlns:r="http://schemas.openxmlformats.org/officeDocument/2006/relationships" ref="N50" r:id="rId38"/>
    <hyperlink xmlns:r="http://schemas.openxmlformats.org/officeDocument/2006/relationships" ref="N51" r:id="rId39"/>
    <hyperlink xmlns:r="http://schemas.openxmlformats.org/officeDocument/2006/relationships" ref="N52" r:id="rId40"/>
    <hyperlink xmlns:r="http://schemas.openxmlformats.org/officeDocument/2006/relationships" ref="N53" r:id="rId41"/>
    <hyperlink xmlns:r="http://schemas.openxmlformats.org/officeDocument/2006/relationships" ref="N54" r:id="rId42"/>
    <hyperlink xmlns:r="http://schemas.openxmlformats.org/officeDocument/2006/relationships" ref="N55" r:id="rId43"/>
    <hyperlink xmlns:r="http://schemas.openxmlformats.org/officeDocument/2006/relationships" ref="N56" r:id="rId44"/>
    <hyperlink xmlns:r="http://schemas.openxmlformats.org/officeDocument/2006/relationships" ref="N58" r:id="rId45"/>
    <hyperlink xmlns:r="http://schemas.openxmlformats.org/officeDocument/2006/relationships" ref="N59" r:id="rId46"/>
    <hyperlink xmlns:r="http://schemas.openxmlformats.org/officeDocument/2006/relationships" ref="N60" r:id="rId47"/>
    <hyperlink xmlns:r="http://schemas.openxmlformats.org/officeDocument/2006/relationships" ref="N61" r:id="rId48"/>
    <hyperlink xmlns:r="http://schemas.openxmlformats.org/officeDocument/2006/relationships" ref="N62" r:id="rId49"/>
    <hyperlink xmlns:r="http://schemas.openxmlformats.org/officeDocument/2006/relationships" ref="N64" r:id="rId50"/>
    <hyperlink xmlns:r="http://schemas.openxmlformats.org/officeDocument/2006/relationships" ref="N65" r:id="rId51"/>
    <hyperlink xmlns:r="http://schemas.openxmlformats.org/officeDocument/2006/relationships" ref="N66" r:id="rId52"/>
    <hyperlink xmlns:r="http://schemas.openxmlformats.org/officeDocument/2006/relationships" ref="N67" r:id="rId53"/>
    <hyperlink xmlns:r="http://schemas.openxmlformats.org/officeDocument/2006/relationships" ref="N68" r:id="rId54"/>
    <hyperlink xmlns:r="http://schemas.openxmlformats.org/officeDocument/2006/relationships" ref="N69" r:id="rId55"/>
    <hyperlink xmlns:r="http://schemas.openxmlformats.org/officeDocument/2006/relationships" ref="N70" r:id="rId56"/>
    <hyperlink xmlns:r="http://schemas.openxmlformats.org/officeDocument/2006/relationships" ref="N71" r:id="rId57"/>
    <hyperlink xmlns:r="http://schemas.openxmlformats.org/officeDocument/2006/relationships" ref="N72" r:id="rId58"/>
    <hyperlink xmlns:r="http://schemas.openxmlformats.org/officeDocument/2006/relationships" ref="N73" r:id="rId59"/>
    <hyperlink xmlns:r="http://schemas.openxmlformats.org/officeDocument/2006/relationships" ref="N74" r:id="rId60"/>
    <hyperlink xmlns:r="http://schemas.openxmlformats.org/officeDocument/2006/relationships" ref="N75" r:id="rId61"/>
    <hyperlink xmlns:r="http://schemas.openxmlformats.org/officeDocument/2006/relationships" ref="N76" r:id="rId62"/>
    <hyperlink xmlns:r="http://schemas.openxmlformats.org/officeDocument/2006/relationships" ref="N77" r:id="rId63"/>
    <hyperlink xmlns:r="http://schemas.openxmlformats.org/officeDocument/2006/relationships" ref="N78" r:id="rId64"/>
    <hyperlink xmlns:r="http://schemas.openxmlformats.org/officeDocument/2006/relationships" ref="N79" r:id="rId65"/>
    <hyperlink xmlns:r="http://schemas.openxmlformats.org/officeDocument/2006/relationships" ref="N80" r:id="rId66"/>
    <hyperlink xmlns:r="http://schemas.openxmlformats.org/officeDocument/2006/relationships" ref="N81" r:id="rId67"/>
    <hyperlink xmlns:r="http://schemas.openxmlformats.org/officeDocument/2006/relationships" ref="N82" r:id="rId68"/>
    <hyperlink xmlns:r="http://schemas.openxmlformats.org/officeDocument/2006/relationships" ref="N83" r:id="rId69"/>
    <hyperlink xmlns:r="http://schemas.openxmlformats.org/officeDocument/2006/relationships" ref="N84" r:id="rId70"/>
    <hyperlink xmlns:r="http://schemas.openxmlformats.org/officeDocument/2006/relationships" ref="N85" r:id="rId71"/>
    <hyperlink xmlns:r="http://schemas.openxmlformats.org/officeDocument/2006/relationships" ref="N86" r:id="rId72"/>
    <hyperlink xmlns:r="http://schemas.openxmlformats.org/officeDocument/2006/relationships" ref="N87" r:id="rId73"/>
    <hyperlink xmlns:r="http://schemas.openxmlformats.org/officeDocument/2006/relationships" ref="N88" r:id="rId74"/>
    <hyperlink xmlns:r="http://schemas.openxmlformats.org/officeDocument/2006/relationships" ref="N89" r:id="rId75"/>
    <hyperlink xmlns:r="http://schemas.openxmlformats.org/officeDocument/2006/relationships" ref="N90" r:id="rId76"/>
    <hyperlink xmlns:r="http://schemas.openxmlformats.org/officeDocument/2006/relationships" ref="N91" r:id="rId77"/>
    <hyperlink xmlns:r="http://schemas.openxmlformats.org/officeDocument/2006/relationships" ref="N92" r:id="rId78"/>
    <hyperlink xmlns:r="http://schemas.openxmlformats.org/officeDocument/2006/relationships" ref="N94" r:id="rId79"/>
    <hyperlink xmlns:r="http://schemas.openxmlformats.org/officeDocument/2006/relationships" ref="N95" r:id="rId80"/>
    <hyperlink xmlns:r="http://schemas.openxmlformats.org/officeDocument/2006/relationships" ref="N96" r:id="rId81"/>
    <hyperlink xmlns:r="http://schemas.openxmlformats.org/officeDocument/2006/relationships" ref="N97" r:id="rId82"/>
    <hyperlink xmlns:r="http://schemas.openxmlformats.org/officeDocument/2006/relationships" ref="N98" r:id="rId83"/>
    <hyperlink xmlns:r="http://schemas.openxmlformats.org/officeDocument/2006/relationships" ref="N99" r:id="rId84"/>
    <hyperlink xmlns:r="http://schemas.openxmlformats.org/officeDocument/2006/relationships" ref="N100" r:id="rId85"/>
    <hyperlink xmlns:r="http://schemas.openxmlformats.org/officeDocument/2006/relationships" ref="N101" r:id="rId86"/>
    <hyperlink xmlns:r="http://schemas.openxmlformats.org/officeDocument/2006/relationships" ref="N102" r:id="rId87"/>
    <hyperlink xmlns:r="http://schemas.openxmlformats.org/officeDocument/2006/relationships" ref="N104" r:id="rId88"/>
    <hyperlink xmlns:r="http://schemas.openxmlformats.org/officeDocument/2006/relationships" ref="N105" r:id="rId89"/>
    <hyperlink xmlns:r="http://schemas.openxmlformats.org/officeDocument/2006/relationships" ref="N106" r:id="rId90"/>
    <hyperlink xmlns:r="http://schemas.openxmlformats.org/officeDocument/2006/relationships" ref="N107" r:id="rId91"/>
    <hyperlink xmlns:r="http://schemas.openxmlformats.org/officeDocument/2006/relationships" ref="N108" r:id="rId92"/>
    <hyperlink xmlns:r="http://schemas.openxmlformats.org/officeDocument/2006/relationships" ref="N109" r:id="rId93"/>
    <hyperlink xmlns:r="http://schemas.openxmlformats.org/officeDocument/2006/relationships" ref="N110" r:id="rId94"/>
    <hyperlink xmlns:r="http://schemas.openxmlformats.org/officeDocument/2006/relationships" ref="N111" r:id="rId95"/>
    <hyperlink xmlns:r="http://schemas.openxmlformats.org/officeDocument/2006/relationships" ref="N112" r:id="rId96"/>
    <hyperlink xmlns:r="http://schemas.openxmlformats.org/officeDocument/2006/relationships" ref="N113" r:id="rId97"/>
    <hyperlink xmlns:r="http://schemas.openxmlformats.org/officeDocument/2006/relationships" ref="N114" r:id="rId98"/>
    <hyperlink xmlns:r="http://schemas.openxmlformats.org/officeDocument/2006/relationships" ref="N115" r:id="rId99"/>
    <hyperlink xmlns:r="http://schemas.openxmlformats.org/officeDocument/2006/relationships" ref="N116" r:id="rId100"/>
    <hyperlink xmlns:r="http://schemas.openxmlformats.org/officeDocument/2006/relationships" ref="N117" r:id="rId101"/>
    <hyperlink xmlns:r="http://schemas.openxmlformats.org/officeDocument/2006/relationships" ref="N118" r:id="rId102"/>
    <hyperlink xmlns:r="http://schemas.openxmlformats.org/officeDocument/2006/relationships" ref="N119" r:id="rId103"/>
    <hyperlink xmlns:r="http://schemas.openxmlformats.org/officeDocument/2006/relationships" ref="N120" r:id="rId104"/>
    <hyperlink xmlns:r="http://schemas.openxmlformats.org/officeDocument/2006/relationships" ref="N121" r:id="rId105"/>
    <hyperlink xmlns:r="http://schemas.openxmlformats.org/officeDocument/2006/relationships" ref="N122" r:id="rId106"/>
    <hyperlink xmlns:r="http://schemas.openxmlformats.org/officeDocument/2006/relationships" ref="N123" r:id="rId107"/>
    <hyperlink xmlns:r="http://schemas.openxmlformats.org/officeDocument/2006/relationships" ref="N124" r:id="rId108"/>
    <hyperlink xmlns:r="http://schemas.openxmlformats.org/officeDocument/2006/relationships" ref="N125" r:id="rId109"/>
    <hyperlink xmlns:r="http://schemas.openxmlformats.org/officeDocument/2006/relationships" ref="N126" r:id="rId110"/>
    <hyperlink xmlns:r="http://schemas.openxmlformats.org/officeDocument/2006/relationships" ref="N127" r:id="rId111"/>
    <hyperlink xmlns:r="http://schemas.openxmlformats.org/officeDocument/2006/relationships" ref="N128" r:id="rId112"/>
    <hyperlink xmlns:r="http://schemas.openxmlformats.org/officeDocument/2006/relationships" ref="N129" r:id="rId113"/>
    <hyperlink xmlns:r="http://schemas.openxmlformats.org/officeDocument/2006/relationships" ref="N130" r:id="rId114"/>
    <hyperlink xmlns:r="http://schemas.openxmlformats.org/officeDocument/2006/relationships" ref="N131" r:id="rId115"/>
    <hyperlink xmlns:r="http://schemas.openxmlformats.org/officeDocument/2006/relationships" ref="N132" r:id="rId116"/>
    <hyperlink xmlns:r="http://schemas.openxmlformats.org/officeDocument/2006/relationships" ref="N133" r:id="rId117"/>
    <hyperlink xmlns:r="http://schemas.openxmlformats.org/officeDocument/2006/relationships" ref="N134" r:id="rId118"/>
    <hyperlink xmlns:r="http://schemas.openxmlformats.org/officeDocument/2006/relationships" ref="N135" r:id="rId119"/>
    <hyperlink xmlns:r="http://schemas.openxmlformats.org/officeDocument/2006/relationships" ref="N136" r:id="rId120"/>
    <hyperlink xmlns:r="http://schemas.openxmlformats.org/officeDocument/2006/relationships" ref="N137" r:id="rId121"/>
    <hyperlink xmlns:r="http://schemas.openxmlformats.org/officeDocument/2006/relationships" ref="N138" r:id="rId122"/>
    <hyperlink xmlns:r="http://schemas.openxmlformats.org/officeDocument/2006/relationships" ref="N139" r:id="rId123"/>
    <hyperlink xmlns:r="http://schemas.openxmlformats.org/officeDocument/2006/relationships" ref="N140" r:id="rId124"/>
    <hyperlink xmlns:r="http://schemas.openxmlformats.org/officeDocument/2006/relationships" ref="N141" r:id="rId125"/>
    <hyperlink xmlns:r="http://schemas.openxmlformats.org/officeDocument/2006/relationships" ref="N143" r:id="rId126"/>
    <hyperlink xmlns:r="http://schemas.openxmlformats.org/officeDocument/2006/relationships" ref="N144" r:id="rId127"/>
    <hyperlink xmlns:r="http://schemas.openxmlformats.org/officeDocument/2006/relationships" ref="N145" r:id="rId128"/>
    <hyperlink xmlns:r="http://schemas.openxmlformats.org/officeDocument/2006/relationships" ref="N146" r:id="rId129"/>
    <hyperlink xmlns:r="http://schemas.openxmlformats.org/officeDocument/2006/relationships" ref="N147" r:id="rId130"/>
    <hyperlink xmlns:r="http://schemas.openxmlformats.org/officeDocument/2006/relationships" ref="N148" r:id="rId131"/>
    <hyperlink xmlns:r="http://schemas.openxmlformats.org/officeDocument/2006/relationships" ref="N149" r:id="rId132"/>
    <hyperlink xmlns:r="http://schemas.openxmlformats.org/officeDocument/2006/relationships" ref="N150" r:id="rId133"/>
    <hyperlink xmlns:r="http://schemas.openxmlformats.org/officeDocument/2006/relationships" ref="N151" r:id="rId134"/>
    <hyperlink xmlns:r="http://schemas.openxmlformats.org/officeDocument/2006/relationships" ref="N152" r:id="rId135"/>
    <hyperlink xmlns:r="http://schemas.openxmlformats.org/officeDocument/2006/relationships" ref="N153" r:id="rId136"/>
    <hyperlink xmlns:r="http://schemas.openxmlformats.org/officeDocument/2006/relationships" ref="N154" r:id="rId137"/>
    <hyperlink xmlns:r="http://schemas.openxmlformats.org/officeDocument/2006/relationships" ref="N155" r:id="rId138"/>
    <hyperlink xmlns:r="http://schemas.openxmlformats.org/officeDocument/2006/relationships" ref="N156" r:id="rId139"/>
    <hyperlink xmlns:r="http://schemas.openxmlformats.org/officeDocument/2006/relationships" ref="N157" r:id="rId140"/>
    <hyperlink xmlns:r="http://schemas.openxmlformats.org/officeDocument/2006/relationships" ref="N158" r:id="rId141"/>
    <hyperlink xmlns:r="http://schemas.openxmlformats.org/officeDocument/2006/relationships" ref="N159" r:id="rId142"/>
    <hyperlink xmlns:r="http://schemas.openxmlformats.org/officeDocument/2006/relationships" ref="N160" r:id="rId143"/>
    <hyperlink xmlns:r="http://schemas.openxmlformats.org/officeDocument/2006/relationships" ref="N161" r:id="rId144"/>
    <hyperlink xmlns:r="http://schemas.openxmlformats.org/officeDocument/2006/relationships" ref="N162" r:id="rId145"/>
    <hyperlink xmlns:r="http://schemas.openxmlformats.org/officeDocument/2006/relationships" ref="N163" r:id="rId146"/>
    <hyperlink xmlns:r="http://schemas.openxmlformats.org/officeDocument/2006/relationships" ref="N164" r:id="rId147"/>
    <hyperlink xmlns:r="http://schemas.openxmlformats.org/officeDocument/2006/relationships" ref="N165" r:id="rId148"/>
    <hyperlink xmlns:r="http://schemas.openxmlformats.org/officeDocument/2006/relationships" ref="N166" r:id="rId149"/>
    <hyperlink xmlns:r="http://schemas.openxmlformats.org/officeDocument/2006/relationships" ref="N167" r:id="rId150"/>
    <hyperlink xmlns:r="http://schemas.openxmlformats.org/officeDocument/2006/relationships" ref="N168" r:id="rId151"/>
    <hyperlink xmlns:r="http://schemas.openxmlformats.org/officeDocument/2006/relationships" ref="N169" r:id="rId152"/>
    <hyperlink xmlns:r="http://schemas.openxmlformats.org/officeDocument/2006/relationships" ref="N170" r:id="rId153"/>
    <hyperlink xmlns:r="http://schemas.openxmlformats.org/officeDocument/2006/relationships" ref="N171" r:id="rId154"/>
    <hyperlink xmlns:r="http://schemas.openxmlformats.org/officeDocument/2006/relationships" ref="N172" r:id="rId155"/>
    <hyperlink xmlns:r="http://schemas.openxmlformats.org/officeDocument/2006/relationships" ref="N174" r:id="rId156"/>
    <hyperlink xmlns:r="http://schemas.openxmlformats.org/officeDocument/2006/relationships" ref="N176" r:id="rId157"/>
    <hyperlink xmlns:r="http://schemas.openxmlformats.org/officeDocument/2006/relationships" ref="N177" r:id="rId158"/>
    <hyperlink xmlns:r="http://schemas.openxmlformats.org/officeDocument/2006/relationships" ref="N178" r:id="rId159"/>
    <hyperlink xmlns:r="http://schemas.openxmlformats.org/officeDocument/2006/relationships" ref="N179" r:id="rId160"/>
    <hyperlink xmlns:r="http://schemas.openxmlformats.org/officeDocument/2006/relationships" ref="N180" r:id="rId161"/>
    <hyperlink xmlns:r="http://schemas.openxmlformats.org/officeDocument/2006/relationships" ref="N181" r:id="rId162"/>
    <hyperlink xmlns:r="http://schemas.openxmlformats.org/officeDocument/2006/relationships" ref="N182" r:id="rId163"/>
    <hyperlink xmlns:r="http://schemas.openxmlformats.org/officeDocument/2006/relationships" ref="N184" r:id="rId164"/>
    <hyperlink xmlns:r="http://schemas.openxmlformats.org/officeDocument/2006/relationships" ref="N185" r:id="rId165"/>
    <hyperlink xmlns:r="http://schemas.openxmlformats.org/officeDocument/2006/relationships" ref="N186" r:id="rId166"/>
    <hyperlink xmlns:r="http://schemas.openxmlformats.org/officeDocument/2006/relationships" ref="N187" r:id="rId167"/>
    <hyperlink xmlns:r="http://schemas.openxmlformats.org/officeDocument/2006/relationships" ref="N188" r:id="rId168"/>
    <hyperlink xmlns:r="http://schemas.openxmlformats.org/officeDocument/2006/relationships" ref="N189" r:id="rId169"/>
    <hyperlink xmlns:r="http://schemas.openxmlformats.org/officeDocument/2006/relationships" ref="N190" r:id="rId170"/>
    <hyperlink xmlns:r="http://schemas.openxmlformats.org/officeDocument/2006/relationships" ref="N191" r:id="rId171"/>
    <hyperlink xmlns:r="http://schemas.openxmlformats.org/officeDocument/2006/relationships" ref="N192" r:id="rId172"/>
    <hyperlink xmlns:r="http://schemas.openxmlformats.org/officeDocument/2006/relationships" ref="N193" r:id="rId173"/>
    <hyperlink xmlns:r="http://schemas.openxmlformats.org/officeDocument/2006/relationships" ref="N195" r:id="rId174"/>
    <hyperlink xmlns:r="http://schemas.openxmlformats.org/officeDocument/2006/relationships" ref="N196" r:id="rId175"/>
    <hyperlink xmlns:r="http://schemas.openxmlformats.org/officeDocument/2006/relationships" ref="N197" r:id="rId176"/>
    <hyperlink xmlns:r="http://schemas.openxmlformats.org/officeDocument/2006/relationships" ref="N198" r:id="rId177"/>
    <hyperlink xmlns:r="http://schemas.openxmlformats.org/officeDocument/2006/relationships" ref="N200" r:id="rId178"/>
    <hyperlink xmlns:r="http://schemas.openxmlformats.org/officeDocument/2006/relationships" ref="N201" r:id="rId179"/>
    <hyperlink xmlns:r="http://schemas.openxmlformats.org/officeDocument/2006/relationships" ref="N202" r:id="rId180"/>
    <hyperlink xmlns:r="http://schemas.openxmlformats.org/officeDocument/2006/relationships" ref="N203" r:id="rId181"/>
    <hyperlink xmlns:r="http://schemas.openxmlformats.org/officeDocument/2006/relationships" ref="N204" r:id="rId182"/>
    <hyperlink xmlns:r="http://schemas.openxmlformats.org/officeDocument/2006/relationships" ref="N205" r:id="rId183"/>
    <hyperlink xmlns:r="http://schemas.openxmlformats.org/officeDocument/2006/relationships" ref="N206" r:id="rId184"/>
    <hyperlink xmlns:r="http://schemas.openxmlformats.org/officeDocument/2006/relationships" ref="N207" r:id="rId185"/>
    <hyperlink xmlns:r="http://schemas.openxmlformats.org/officeDocument/2006/relationships" ref="N208" r:id="rId186"/>
    <hyperlink xmlns:r="http://schemas.openxmlformats.org/officeDocument/2006/relationships" ref="N209" r:id="rId187"/>
    <hyperlink xmlns:r="http://schemas.openxmlformats.org/officeDocument/2006/relationships" ref="N210" r:id="rId188"/>
    <hyperlink xmlns:r="http://schemas.openxmlformats.org/officeDocument/2006/relationships" ref="N211" r:id="rId189"/>
    <hyperlink xmlns:r="http://schemas.openxmlformats.org/officeDocument/2006/relationships" ref="N212" r:id="rId190"/>
    <hyperlink xmlns:r="http://schemas.openxmlformats.org/officeDocument/2006/relationships" ref="N213" r:id="rId191"/>
    <hyperlink xmlns:r="http://schemas.openxmlformats.org/officeDocument/2006/relationships" ref="N214" r:id="rId192"/>
    <hyperlink xmlns:r="http://schemas.openxmlformats.org/officeDocument/2006/relationships" ref="N215" r:id="rId193"/>
    <hyperlink xmlns:r="http://schemas.openxmlformats.org/officeDocument/2006/relationships" ref="N216" r:id="rId194"/>
    <hyperlink xmlns:r="http://schemas.openxmlformats.org/officeDocument/2006/relationships" ref="N217" r:id="rId195"/>
    <hyperlink xmlns:r="http://schemas.openxmlformats.org/officeDocument/2006/relationships" ref="N218" r:id="rId196"/>
    <hyperlink xmlns:r="http://schemas.openxmlformats.org/officeDocument/2006/relationships" ref="N219" r:id="rId197"/>
    <hyperlink xmlns:r="http://schemas.openxmlformats.org/officeDocument/2006/relationships" ref="N220" r:id="rId198"/>
    <hyperlink xmlns:r="http://schemas.openxmlformats.org/officeDocument/2006/relationships" ref="N221" r:id="rId199"/>
    <hyperlink xmlns:r="http://schemas.openxmlformats.org/officeDocument/2006/relationships" ref="N222" r:id="rId200"/>
    <hyperlink xmlns:r="http://schemas.openxmlformats.org/officeDocument/2006/relationships" ref="N223" r:id="rId201"/>
    <hyperlink xmlns:r="http://schemas.openxmlformats.org/officeDocument/2006/relationships" ref="N224" r:id="rId202"/>
    <hyperlink xmlns:r="http://schemas.openxmlformats.org/officeDocument/2006/relationships" ref="N225" r:id="rId203"/>
    <hyperlink xmlns:r="http://schemas.openxmlformats.org/officeDocument/2006/relationships" ref="N226" r:id="rId204"/>
    <hyperlink xmlns:r="http://schemas.openxmlformats.org/officeDocument/2006/relationships" ref="N227" r:id="rId205"/>
    <hyperlink xmlns:r="http://schemas.openxmlformats.org/officeDocument/2006/relationships" ref="N228" r:id="rId206"/>
    <hyperlink xmlns:r="http://schemas.openxmlformats.org/officeDocument/2006/relationships" ref="N229" r:id="rId207"/>
    <hyperlink xmlns:r="http://schemas.openxmlformats.org/officeDocument/2006/relationships" ref="N230" r:id="rId208"/>
    <hyperlink xmlns:r="http://schemas.openxmlformats.org/officeDocument/2006/relationships" ref="N231" r:id="rId209"/>
    <hyperlink xmlns:r="http://schemas.openxmlformats.org/officeDocument/2006/relationships" ref="N232" r:id="rId210"/>
    <hyperlink xmlns:r="http://schemas.openxmlformats.org/officeDocument/2006/relationships" ref="N233" r:id="rId211"/>
    <hyperlink xmlns:r="http://schemas.openxmlformats.org/officeDocument/2006/relationships" ref="N234" r:id="rId212"/>
    <hyperlink xmlns:r="http://schemas.openxmlformats.org/officeDocument/2006/relationships" ref="N235" r:id="rId213"/>
    <hyperlink xmlns:r="http://schemas.openxmlformats.org/officeDocument/2006/relationships" ref="N236" r:id="rId214"/>
    <hyperlink xmlns:r="http://schemas.openxmlformats.org/officeDocument/2006/relationships" ref="N237" r:id="rId215"/>
    <hyperlink xmlns:r="http://schemas.openxmlformats.org/officeDocument/2006/relationships" ref="N238" r:id="rId216"/>
    <hyperlink xmlns:r="http://schemas.openxmlformats.org/officeDocument/2006/relationships" ref="N239" r:id="rId217"/>
    <hyperlink xmlns:r="http://schemas.openxmlformats.org/officeDocument/2006/relationships" ref="N240" r:id="rId218"/>
    <hyperlink xmlns:r="http://schemas.openxmlformats.org/officeDocument/2006/relationships" ref="N241" r:id="rId219"/>
    <hyperlink xmlns:r="http://schemas.openxmlformats.org/officeDocument/2006/relationships" ref="N242" r:id="rId220"/>
    <hyperlink xmlns:r="http://schemas.openxmlformats.org/officeDocument/2006/relationships" ref="N243" r:id="rId221"/>
    <hyperlink xmlns:r="http://schemas.openxmlformats.org/officeDocument/2006/relationships" ref="N244" r:id="rId222"/>
    <hyperlink xmlns:r="http://schemas.openxmlformats.org/officeDocument/2006/relationships" ref="N245" r:id="rId223"/>
    <hyperlink xmlns:r="http://schemas.openxmlformats.org/officeDocument/2006/relationships" ref="N246" r:id="rId224"/>
    <hyperlink xmlns:r="http://schemas.openxmlformats.org/officeDocument/2006/relationships" ref="N247" r:id="rId225"/>
    <hyperlink xmlns:r="http://schemas.openxmlformats.org/officeDocument/2006/relationships" ref="N248" r:id="rId226"/>
    <hyperlink xmlns:r="http://schemas.openxmlformats.org/officeDocument/2006/relationships" ref="N249" r:id="rId227"/>
    <hyperlink xmlns:r="http://schemas.openxmlformats.org/officeDocument/2006/relationships" ref="N250" r:id="rId228"/>
    <hyperlink xmlns:r="http://schemas.openxmlformats.org/officeDocument/2006/relationships" ref="N251" r:id="rId229"/>
    <hyperlink xmlns:r="http://schemas.openxmlformats.org/officeDocument/2006/relationships" ref="N252" r:id="rId230"/>
    <hyperlink xmlns:r="http://schemas.openxmlformats.org/officeDocument/2006/relationships" ref="N254" r:id="rId231"/>
    <hyperlink xmlns:r="http://schemas.openxmlformats.org/officeDocument/2006/relationships" ref="N255" r:id="rId232"/>
    <hyperlink xmlns:r="http://schemas.openxmlformats.org/officeDocument/2006/relationships" ref="N256" r:id="rId233"/>
    <hyperlink xmlns:r="http://schemas.openxmlformats.org/officeDocument/2006/relationships" ref="N258" r:id="rId234"/>
    <hyperlink xmlns:r="http://schemas.openxmlformats.org/officeDocument/2006/relationships" ref="N259" r:id="rId235"/>
    <hyperlink xmlns:r="http://schemas.openxmlformats.org/officeDocument/2006/relationships" ref="N260" r:id="rId236"/>
    <hyperlink xmlns:r="http://schemas.openxmlformats.org/officeDocument/2006/relationships" ref="N261" r:id="rId237"/>
    <hyperlink xmlns:r="http://schemas.openxmlformats.org/officeDocument/2006/relationships" ref="N262" r:id="rId238"/>
    <hyperlink xmlns:r="http://schemas.openxmlformats.org/officeDocument/2006/relationships" ref="N263" r:id="rId239"/>
    <hyperlink xmlns:r="http://schemas.openxmlformats.org/officeDocument/2006/relationships" ref="N264" r:id="rId240"/>
    <hyperlink xmlns:r="http://schemas.openxmlformats.org/officeDocument/2006/relationships" ref="N265" r:id="rId241"/>
    <hyperlink xmlns:r="http://schemas.openxmlformats.org/officeDocument/2006/relationships" ref="N267" r:id="rId242"/>
    <hyperlink xmlns:r="http://schemas.openxmlformats.org/officeDocument/2006/relationships" ref="N268" r:id="rId243"/>
    <hyperlink xmlns:r="http://schemas.openxmlformats.org/officeDocument/2006/relationships" ref="N269" r:id="rId244"/>
    <hyperlink xmlns:r="http://schemas.openxmlformats.org/officeDocument/2006/relationships" ref="N270" r:id="rId245"/>
    <hyperlink xmlns:r="http://schemas.openxmlformats.org/officeDocument/2006/relationships" ref="N271" r:id="rId246"/>
    <hyperlink xmlns:r="http://schemas.openxmlformats.org/officeDocument/2006/relationships" ref="N272" r:id="rId247"/>
    <hyperlink xmlns:r="http://schemas.openxmlformats.org/officeDocument/2006/relationships" ref="N273" r:id="rId248"/>
    <hyperlink xmlns:r="http://schemas.openxmlformats.org/officeDocument/2006/relationships" ref="N274" r:id="rId249"/>
    <hyperlink xmlns:r="http://schemas.openxmlformats.org/officeDocument/2006/relationships" ref="N275" r:id="rId250"/>
    <hyperlink xmlns:r="http://schemas.openxmlformats.org/officeDocument/2006/relationships" ref="N276" r:id="rId251"/>
    <hyperlink xmlns:r="http://schemas.openxmlformats.org/officeDocument/2006/relationships" ref="N277" r:id="rId252"/>
    <hyperlink xmlns:r="http://schemas.openxmlformats.org/officeDocument/2006/relationships" ref="N278" r:id="rId253"/>
    <hyperlink xmlns:r="http://schemas.openxmlformats.org/officeDocument/2006/relationships" ref="N279" r:id="rId254"/>
    <hyperlink xmlns:r="http://schemas.openxmlformats.org/officeDocument/2006/relationships" ref="N280" r:id="rId255"/>
    <hyperlink xmlns:r="http://schemas.openxmlformats.org/officeDocument/2006/relationships" ref="N281" r:id="rId256"/>
    <hyperlink xmlns:r="http://schemas.openxmlformats.org/officeDocument/2006/relationships" ref="N282" r:id="rId257"/>
    <hyperlink xmlns:r="http://schemas.openxmlformats.org/officeDocument/2006/relationships" ref="N283" r:id="rId258"/>
    <hyperlink xmlns:r="http://schemas.openxmlformats.org/officeDocument/2006/relationships" ref="N284" r:id="rId259"/>
    <hyperlink xmlns:r="http://schemas.openxmlformats.org/officeDocument/2006/relationships" ref="N285" r:id="rId260"/>
    <hyperlink xmlns:r="http://schemas.openxmlformats.org/officeDocument/2006/relationships" ref="N286" r:id="rId261"/>
    <hyperlink xmlns:r="http://schemas.openxmlformats.org/officeDocument/2006/relationships" ref="N287" r:id="rId262"/>
    <hyperlink xmlns:r="http://schemas.openxmlformats.org/officeDocument/2006/relationships" ref="N288" r:id="rId263"/>
    <hyperlink xmlns:r="http://schemas.openxmlformats.org/officeDocument/2006/relationships" ref="N289" r:id="rId264"/>
    <hyperlink xmlns:r="http://schemas.openxmlformats.org/officeDocument/2006/relationships" ref="N290" r:id="rId265"/>
    <hyperlink xmlns:r="http://schemas.openxmlformats.org/officeDocument/2006/relationships" ref="N291" r:id="rId266"/>
    <hyperlink xmlns:r="http://schemas.openxmlformats.org/officeDocument/2006/relationships" ref="N292" r:id="rId267"/>
    <hyperlink xmlns:r="http://schemas.openxmlformats.org/officeDocument/2006/relationships" ref="N293" r:id="rId268"/>
    <hyperlink xmlns:r="http://schemas.openxmlformats.org/officeDocument/2006/relationships" ref="N294" r:id="rId269"/>
    <hyperlink xmlns:r="http://schemas.openxmlformats.org/officeDocument/2006/relationships" ref="N295" r:id="rId270"/>
    <hyperlink xmlns:r="http://schemas.openxmlformats.org/officeDocument/2006/relationships" ref="N296" r:id="rId271"/>
    <hyperlink xmlns:r="http://schemas.openxmlformats.org/officeDocument/2006/relationships" ref="N297" r:id="rId272"/>
    <hyperlink xmlns:r="http://schemas.openxmlformats.org/officeDocument/2006/relationships" ref="N298" r:id="rId273"/>
    <hyperlink xmlns:r="http://schemas.openxmlformats.org/officeDocument/2006/relationships" ref="N299" r:id="rId274"/>
    <hyperlink xmlns:r="http://schemas.openxmlformats.org/officeDocument/2006/relationships" ref="N300" r:id="rId275"/>
    <hyperlink xmlns:r="http://schemas.openxmlformats.org/officeDocument/2006/relationships" ref="N301" r:id="rId276"/>
    <hyperlink xmlns:r="http://schemas.openxmlformats.org/officeDocument/2006/relationships" ref="N302" r:id="rId277"/>
    <hyperlink xmlns:r="http://schemas.openxmlformats.org/officeDocument/2006/relationships" ref="N303" r:id="rId278"/>
    <hyperlink xmlns:r="http://schemas.openxmlformats.org/officeDocument/2006/relationships" ref="N305" r:id="rId279"/>
    <hyperlink xmlns:r="http://schemas.openxmlformats.org/officeDocument/2006/relationships" ref="N306" r:id="rId280"/>
    <hyperlink xmlns:r="http://schemas.openxmlformats.org/officeDocument/2006/relationships" ref="N307" r:id="rId281"/>
    <hyperlink xmlns:r="http://schemas.openxmlformats.org/officeDocument/2006/relationships" ref="N308" r:id="rId282"/>
    <hyperlink xmlns:r="http://schemas.openxmlformats.org/officeDocument/2006/relationships" ref="N309" r:id="rId283"/>
    <hyperlink xmlns:r="http://schemas.openxmlformats.org/officeDocument/2006/relationships" ref="N310" r:id="rId284"/>
    <hyperlink xmlns:r="http://schemas.openxmlformats.org/officeDocument/2006/relationships" ref="N311" r:id="rId285"/>
    <hyperlink xmlns:r="http://schemas.openxmlformats.org/officeDocument/2006/relationships" ref="N314" r:id="rId286"/>
    <hyperlink xmlns:r="http://schemas.openxmlformats.org/officeDocument/2006/relationships" ref="N315" r:id="rId287"/>
    <hyperlink xmlns:r="http://schemas.openxmlformats.org/officeDocument/2006/relationships" ref="N316" r:id="rId288"/>
    <hyperlink xmlns:r="http://schemas.openxmlformats.org/officeDocument/2006/relationships" ref="N317" r:id="rId289"/>
    <hyperlink xmlns:r="http://schemas.openxmlformats.org/officeDocument/2006/relationships" ref="N318" r:id="rId290"/>
    <hyperlink xmlns:r="http://schemas.openxmlformats.org/officeDocument/2006/relationships" ref="N319" r:id="rId291"/>
    <hyperlink xmlns:r="http://schemas.openxmlformats.org/officeDocument/2006/relationships" ref="N320" r:id="rId292"/>
    <hyperlink xmlns:r="http://schemas.openxmlformats.org/officeDocument/2006/relationships" ref="N321" r:id="rId293"/>
    <hyperlink xmlns:r="http://schemas.openxmlformats.org/officeDocument/2006/relationships" ref="N322" r:id="rId294"/>
    <hyperlink xmlns:r="http://schemas.openxmlformats.org/officeDocument/2006/relationships" ref="N323" r:id="rId295"/>
    <hyperlink xmlns:r="http://schemas.openxmlformats.org/officeDocument/2006/relationships" ref="N324" r:id="rId296"/>
    <hyperlink xmlns:r="http://schemas.openxmlformats.org/officeDocument/2006/relationships" ref="N325" r:id="rId297"/>
    <hyperlink xmlns:r="http://schemas.openxmlformats.org/officeDocument/2006/relationships" ref="N326" r:id="rId298"/>
    <hyperlink xmlns:r="http://schemas.openxmlformats.org/officeDocument/2006/relationships" ref="N327" r:id="rId299"/>
    <hyperlink xmlns:r="http://schemas.openxmlformats.org/officeDocument/2006/relationships" ref="N328" r:id="rId300"/>
    <hyperlink xmlns:r="http://schemas.openxmlformats.org/officeDocument/2006/relationships" ref="N329" r:id="rId301"/>
    <hyperlink xmlns:r="http://schemas.openxmlformats.org/officeDocument/2006/relationships" ref="N330" r:id="rId302"/>
    <hyperlink xmlns:r="http://schemas.openxmlformats.org/officeDocument/2006/relationships" ref="N331" r:id="rId303"/>
    <hyperlink xmlns:r="http://schemas.openxmlformats.org/officeDocument/2006/relationships" ref="N332" r:id="rId304"/>
    <hyperlink xmlns:r="http://schemas.openxmlformats.org/officeDocument/2006/relationships" ref="N333" r:id="rId305"/>
    <hyperlink xmlns:r="http://schemas.openxmlformats.org/officeDocument/2006/relationships" ref="N334" r:id="rId306"/>
    <hyperlink xmlns:r="http://schemas.openxmlformats.org/officeDocument/2006/relationships" ref="N335" r:id="rId307"/>
    <hyperlink xmlns:r="http://schemas.openxmlformats.org/officeDocument/2006/relationships" ref="N336" r:id="rId308"/>
    <hyperlink xmlns:r="http://schemas.openxmlformats.org/officeDocument/2006/relationships" ref="N337" r:id="rId309"/>
    <hyperlink xmlns:r="http://schemas.openxmlformats.org/officeDocument/2006/relationships" ref="N338" r:id="rId310"/>
    <hyperlink xmlns:r="http://schemas.openxmlformats.org/officeDocument/2006/relationships" ref="N339" r:id="rId311"/>
    <hyperlink xmlns:r="http://schemas.openxmlformats.org/officeDocument/2006/relationships" ref="N340" r:id="rId312"/>
    <hyperlink xmlns:r="http://schemas.openxmlformats.org/officeDocument/2006/relationships" ref="N341" r:id="rId313"/>
    <hyperlink xmlns:r="http://schemas.openxmlformats.org/officeDocument/2006/relationships" ref="N342" r:id="rId314"/>
    <hyperlink xmlns:r="http://schemas.openxmlformats.org/officeDocument/2006/relationships" ref="N343" r:id="rId315"/>
    <hyperlink xmlns:r="http://schemas.openxmlformats.org/officeDocument/2006/relationships" ref="N344" r:id="rId316"/>
    <hyperlink xmlns:r="http://schemas.openxmlformats.org/officeDocument/2006/relationships" ref="N345" r:id="rId317"/>
    <hyperlink xmlns:r="http://schemas.openxmlformats.org/officeDocument/2006/relationships" ref="N346" r:id="rId318"/>
    <hyperlink xmlns:r="http://schemas.openxmlformats.org/officeDocument/2006/relationships" ref="N347" r:id="rId319"/>
    <hyperlink xmlns:r="http://schemas.openxmlformats.org/officeDocument/2006/relationships" ref="N348" r:id="rId320"/>
    <hyperlink xmlns:r="http://schemas.openxmlformats.org/officeDocument/2006/relationships" ref="N349" r:id="rId321"/>
    <hyperlink xmlns:r="http://schemas.openxmlformats.org/officeDocument/2006/relationships" ref="N350" r:id="rId322"/>
    <hyperlink xmlns:r="http://schemas.openxmlformats.org/officeDocument/2006/relationships" ref="N351" r:id="rId323"/>
    <hyperlink xmlns:r="http://schemas.openxmlformats.org/officeDocument/2006/relationships" ref="N352" r:id="rId324"/>
    <hyperlink xmlns:r="http://schemas.openxmlformats.org/officeDocument/2006/relationships" ref="N353" r:id="rId325"/>
    <hyperlink xmlns:r="http://schemas.openxmlformats.org/officeDocument/2006/relationships" ref="N354" r:id="rId326"/>
    <hyperlink xmlns:r="http://schemas.openxmlformats.org/officeDocument/2006/relationships" ref="N355" r:id="rId327"/>
    <hyperlink xmlns:r="http://schemas.openxmlformats.org/officeDocument/2006/relationships" ref="N356" r:id="rId328"/>
    <hyperlink xmlns:r="http://schemas.openxmlformats.org/officeDocument/2006/relationships" ref="N357" r:id="rId329"/>
    <hyperlink xmlns:r="http://schemas.openxmlformats.org/officeDocument/2006/relationships" ref="N358" r:id="rId330"/>
    <hyperlink xmlns:r="http://schemas.openxmlformats.org/officeDocument/2006/relationships" ref="N359" r:id="rId331"/>
    <hyperlink xmlns:r="http://schemas.openxmlformats.org/officeDocument/2006/relationships" ref="N360" r:id="rId332"/>
    <hyperlink xmlns:r="http://schemas.openxmlformats.org/officeDocument/2006/relationships" ref="N361" r:id="rId333"/>
    <hyperlink xmlns:r="http://schemas.openxmlformats.org/officeDocument/2006/relationships" ref="N362" r:id="rId334"/>
    <hyperlink xmlns:r="http://schemas.openxmlformats.org/officeDocument/2006/relationships" ref="N363" r:id="rId335"/>
    <hyperlink xmlns:r="http://schemas.openxmlformats.org/officeDocument/2006/relationships" ref="N364" r:id="rId336"/>
    <hyperlink xmlns:r="http://schemas.openxmlformats.org/officeDocument/2006/relationships" ref="N365" r:id="rId337"/>
    <hyperlink xmlns:r="http://schemas.openxmlformats.org/officeDocument/2006/relationships" ref="N366" r:id="rId338"/>
    <hyperlink xmlns:r="http://schemas.openxmlformats.org/officeDocument/2006/relationships" ref="N367" r:id="rId339"/>
    <hyperlink xmlns:r="http://schemas.openxmlformats.org/officeDocument/2006/relationships" ref="N368" r:id="rId340"/>
    <hyperlink xmlns:r="http://schemas.openxmlformats.org/officeDocument/2006/relationships" ref="N369" r:id="rId341"/>
    <hyperlink xmlns:r="http://schemas.openxmlformats.org/officeDocument/2006/relationships" ref="N370" r:id="rId342"/>
    <hyperlink xmlns:r="http://schemas.openxmlformats.org/officeDocument/2006/relationships" ref="N371" r:id="rId343"/>
    <hyperlink xmlns:r="http://schemas.openxmlformats.org/officeDocument/2006/relationships" ref="N372" r:id="rId344"/>
    <hyperlink xmlns:r="http://schemas.openxmlformats.org/officeDocument/2006/relationships" ref="N373" r:id="rId345"/>
    <hyperlink xmlns:r="http://schemas.openxmlformats.org/officeDocument/2006/relationships" ref="N374" r:id="rId346"/>
    <hyperlink xmlns:r="http://schemas.openxmlformats.org/officeDocument/2006/relationships" ref="N375" r:id="rId347"/>
    <hyperlink xmlns:r="http://schemas.openxmlformats.org/officeDocument/2006/relationships" ref="N376" r:id="rId348"/>
    <hyperlink xmlns:r="http://schemas.openxmlformats.org/officeDocument/2006/relationships" ref="N377" r:id="rId349"/>
    <hyperlink xmlns:r="http://schemas.openxmlformats.org/officeDocument/2006/relationships" ref="N378" r:id="rId350"/>
    <hyperlink xmlns:r="http://schemas.openxmlformats.org/officeDocument/2006/relationships" ref="N379" r:id="rId351"/>
    <hyperlink xmlns:r="http://schemas.openxmlformats.org/officeDocument/2006/relationships" ref="N380" r:id="rId352"/>
    <hyperlink xmlns:r="http://schemas.openxmlformats.org/officeDocument/2006/relationships" ref="N381" r:id="rId353"/>
    <hyperlink xmlns:r="http://schemas.openxmlformats.org/officeDocument/2006/relationships" ref="N382" r:id="rId354"/>
    <hyperlink xmlns:r="http://schemas.openxmlformats.org/officeDocument/2006/relationships" ref="N384" r:id="rId355"/>
    <hyperlink xmlns:r="http://schemas.openxmlformats.org/officeDocument/2006/relationships" ref="N385" r:id="rId356"/>
    <hyperlink xmlns:r="http://schemas.openxmlformats.org/officeDocument/2006/relationships" ref="N386" r:id="rId357"/>
    <hyperlink xmlns:r="http://schemas.openxmlformats.org/officeDocument/2006/relationships" ref="N387" r:id="rId358"/>
    <hyperlink xmlns:r="http://schemas.openxmlformats.org/officeDocument/2006/relationships" ref="N388" r:id="rId359"/>
    <hyperlink xmlns:r="http://schemas.openxmlformats.org/officeDocument/2006/relationships" ref="N389" r:id="rId360"/>
    <hyperlink xmlns:r="http://schemas.openxmlformats.org/officeDocument/2006/relationships" ref="N390" r:id="rId361"/>
    <hyperlink xmlns:r="http://schemas.openxmlformats.org/officeDocument/2006/relationships" ref="N391" r:id="rId362"/>
    <hyperlink xmlns:r="http://schemas.openxmlformats.org/officeDocument/2006/relationships" ref="N392" r:id="rId363"/>
    <hyperlink xmlns:r="http://schemas.openxmlformats.org/officeDocument/2006/relationships" ref="N393" r:id="rId364"/>
    <hyperlink xmlns:r="http://schemas.openxmlformats.org/officeDocument/2006/relationships" ref="N394" r:id="rId365"/>
    <hyperlink xmlns:r="http://schemas.openxmlformats.org/officeDocument/2006/relationships" ref="N395" r:id="rId366"/>
    <hyperlink xmlns:r="http://schemas.openxmlformats.org/officeDocument/2006/relationships" ref="N396" r:id="rId367"/>
    <hyperlink xmlns:r="http://schemas.openxmlformats.org/officeDocument/2006/relationships" ref="N397" r:id="rId368"/>
    <hyperlink xmlns:r="http://schemas.openxmlformats.org/officeDocument/2006/relationships" ref="N398" r:id="rId369"/>
    <hyperlink xmlns:r="http://schemas.openxmlformats.org/officeDocument/2006/relationships" ref="N399" r:id="rId370"/>
    <hyperlink xmlns:r="http://schemas.openxmlformats.org/officeDocument/2006/relationships" ref="N400" r:id="rId371"/>
    <hyperlink xmlns:r="http://schemas.openxmlformats.org/officeDocument/2006/relationships" ref="N401" r:id="rId372"/>
    <hyperlink xmlns:r="http://schemas.openxmlformats.org/officeDocument/2006/relationships" ref="N402" r:id="rId373"/>
    <hyperlink xmlns:r="http://schemas.openxmlformats.org/officeDocument/2006/relationships" ref="N403" r:id="rId374"/>
    <hyperlink xmlns:r="http://schemas.openxmlformats.org/officeDocument/2006/relationships" ref="N404" r:id="rId375"/>
    <hyperlink xmlns:r="http://schemas.openxmlformats.org/officeDocument/2006/relationships" ref="N405" r:id="rId376"/>
    <hyperlink xmlns:r="http://schemas.openxmlformats.org/officeDocument/2006/relationships" ref="N406" r:id="rId377"/>
    <hyperlink xmlns:r="http://schemas.openxmlformats.org/officeDocument/2006/relationships" ref="N407" r:id="rId378"/>
    <hyperlink xmlns:r="http://schemas.openxmlformats.org/officeDocument/2006/relationships" ref="N408" r:id="rId379"/>
    <hyperlink xmlns:r="http://schemas.openxmlformats.org/officeDocument/2006/relationships" ref="N409" r:id="rId380"/>
    <hyperlink xmlns:r="http://schemas.openxmlformats.org/officeDocument/2006/relationships" ref="N410" r:id="rId381"/>
    <hyperlink xmlns:r="http://schemas.openxmlformats.org/officeDocument/2006/relationships" ref="N411" r:id="rId382"/>
    <hyperlink xmlns:r="http://schemas.openxmlformats.org/officeDocument/2006/relationships" ref="N412" r:id="rId383"/>
    <hyperlink xmlns:r="http://schemas.openxmlformats.org/officeDocument/2006/relationships" ref="N413" r:id="rId384"/>
    <hyperlink xmlns:r="http://schemas.openxmlformats.org/officeDocument/2006/relationships" ref="N414" r:id="rId385"/>
    <hyperlink xmlns:r="http://schemas.openxmlformats.org/officeDocument/2006/relationships" ref="N415" r:id="rId386"/>
    <hyperlink xmlns:r="http://schemas.openxmlformats.org/officeDocument/2006/relationships" ref="N416" r:id="rId387"/>
    <hyperlink xmlns:r="http://schemas.openxmlformats.org/officeDocument/2006/relationships" ref="N417" r:id="rId388"/>
    <hyperlink xmlns:r="http://schemas.openxmlformats.org/officeDocument/2006/relationships" ref="N418" r:id="rId389"/>
    <hyperlink xmlns:r="http://schemas.openxmlformats.org/officeDocument/2006/relationships" ref="N419" r:id="rId390"/>
    <hyperlink xmlns:r="http://schemas.openxmlformats.org/officeDocument/2006/relationships" ref="N420" r:id="rId391"/>
    <hyperlink xmlns:r="http://schemas.openxmlformats.org/officeDocument/2006/relationships" ref="N421" r:id="rId392"/>
    <hyperlink xmlns:r="http://schemas.openxmlformats.org/officeDocument/2006/relationships" ref="N422" r:id="rId393"/>
    <hyperlink xmlns:r="http://schemas.openxmlformats.org/officeDocument/2006/relationships" ref="N423" r:id="rId394"/>
    <hyperlink xmlns:r="http://schemas.openxmlformats.org/officeDocument/2006/relationships" ref="N424" r:id="rId395"/>
    <hyperlink xmlns:r="http://schemas.openxmlformats.org/officeDocument/2006/relationships" ref="N425" r:id="rId396"/>
    <hyperlink xmlns:r="http://schemas.openxmlformats.org/officeDocument/2006/relationships" ref="N426" r:id="rId397"/>
    <hyperlink xmlns:r="http://schemas.openxmlformats.org/officeDocument/2006/relationships" ref="N427" r:id="rId398"/>
    <hyperlink xmlns:r="http://schemas.openxmlformats.org/officeDocument/2006/relationships" ref="N428" r:id="rId399"/>
    <hyperlink xmlns:r="http://schemas.openxmlformats.org/officeDocument/2006/relationships" ref="N429" r:id="rId400"/>
    <hyperlink xmlns:r="http://schemas.openxmlformats.org/officeDocument/2006/relationships" ref="N430" r:id="rId401"/>
    <hyperlink xmlns:r="http://schemas.openxmlformats.org/officeDocument/2006/relationships" ref="N431" r:id="rId402"/>
    <hyperlink xmlns:r="http://schemas.openxmlformats.org/officeDocument/2006/relationships" ref="N432" r:id="rId403"/>
    <hyperlink xmlns:r="http://schemas.openxmlformats.org/officeDocument/2006/relationships" ref="N433" r:id="rId404"/>
    <hyperlink xmlns:r="http://schemas.openxmlformats.org/officeDocument/2006/relationships" ref="N434" r:id="rId405"/>
    <hyperlink xmlns:r="http://schemas.openxmlformats.org/officeDocument/2006/relationships" ref="N435" r:id="rId406"/>
    <hyperlink xmlns:r="http://schemas.openxmlformats.org/officeDocument/2006/relationships" ref="N436" r:id="rId407"/>
    <hyperlink xmlns:r="http://schemas.openxmlformats.org/officeDocument/2006/relationships" ref="N437" r:id="rId408"/>
    <hyperlink xmlns:r="http://schemas.openxmlformats.org/officeDocument/2006/relationships" ref="N438" r:id="rId409"/>
    <hyperlink xmlns:r="http://schemas.openxmlformats.org/officeDocument/2006/relationships" ref="N439" r:id="rId410"/>
    <hyperlink xmlns:r="http://schemas.openxmlformats.org/officeDocument/2006/relationships" ref="N440" r:id="rId411"/>
    <hyperlink xmlns:r="http://schemas.openxmlformats.org/officeDocument/2006/relationships" ref="N442" r:id="rId412"/>
    <hyperlink xmlns:r="http://schemas.openxmlformats.org/officeDocument/2006/relationships" ref="N443" r:id="rId413"/>
    <hyperlink xmlns:r="http://schemas.openxmlformats.org/officeDocument/2006/relationships" ref="N444" r:id="rId414"/>
    <hyperlink xmlns:r="http://schemas.openxmlformats.org/officeDocument/2006/relationships" ref="N445" r:id="rId415"/>
    <hyperlink xmlns:r="http://schemas.openxmlformats.org/officeDocument/2006/relationships" ref="N446" r:id="rId416"/>
    <hyperlink xmlns:r="http://schemas.openxmlformats.org/officeDocument/2006/relationships" ref="N447" r:id="rId417"/>
    <hyperlink xmlns:r="http://schemas.openxmlformats.org/officeDocument/2006/relationships" ref="N448" r:id="rId418"/>
    <hyperlink xmlns:r="http://schemas.openxmlformats.org/officeDocument/2006/relationships" ref="N450" r:id="rId419"/>
    <hyperlink xmlns:r="http://schemas.openxmlformats.org/officeDocument/2006/relationships" ref="N451" r:id="rId420"/>
    <hyperlink xmlns:r="http://schemas.openxmlformats.org/officeDocument/2006/relationships" ref="N452" r:id="rId421"/>
    <hyperlink xmlns:r="http://schemas.openxmlformats.org/officeDocument/2006/relationships" ref="N453" r:id="rId422"/>
    <hyperlink xmlns:r="http://schemas.openxmlformats.org/officeDocument/2006/relationships" ref="N454" r:id="rId423"/>
    <hyperlink xmlns:r="http://schemas.openxmlformats.org/officeDocument/2006/relationships" ref="N455" r:id="rId424"/>
    <hyperlink xmlns:r="http://schemas.openxmlformats.org/officeDocument/2006/relationships" ref="N456" r:id="rId425"/>
    <hyperlink xmlns:r="http://schemas.openxmlformats.org/officeDocument/2006/relationships" ref="N457" r:id="rId426"/>
    <hyperlink xmlns:r="http://schemas.openxmlformats.org/officeDocument/2006/relationships" ref="N458" r:id="rId427"/>
    <hyperlink xmlns:r="http://schemas.openxmlformats.org/officeDocument/2006/relationships" ref="N459" r:id="rId428"/>
    <hyperlink xmlns:r="http://schemas.openxmlformats.org/officeDocument/2006/relationships" ref="N460" r:id="rId429"/>
    <hyperlink xmlns:r="http://schemas.openxmlformats.org/officeDocument/2006/relationships" ref="N461" r:id="rId430"/>
    <hyperlink xmlns:r="http://schemas.openxmlformats.org/officeDocument/2006/relationships" ref="N462" r:id="rId431"/>
    <hyperlink xmlns:r="http://schemas.openxmlformats.org/officeDocument/2006/relationships" ref="N463" r:id="rId432"/>
    <hyperlink xmlns:r="http://schemas.openxmlformats.org/officeDocument/2006/relationships" ref="N464" r:id="rId433"/>
    <hyperlink xmlns:r="http://schemas.openxmlformats.org/officeDocument/2006/relationships" ref="N465" r:id="rId434"/>
    <hyperlink xmlns:r="http://schemas.openxmlformats.org/officeDocument/2006/relationships" ref="N466" r:id="rId435"/>
    <hyperlink xmlns:r="http://schemas.openxmlformats.org/officeDocument/2006/relationships" ref="N467" r:id="rId436"/>
    <hyperlink xmlns:r="http://schemas.openxmlformats.org/officeDocument/2006/relationships" ref="N469" r:id="rId437"/>
    <hyperlink xmlns:r="http://schemas.openxmlformats.org/officeDocument/2006/relationships" ref="N470" r:id="rId438"/>
    <hyperlink xmlns:r="http://schemas.openxmlformats.org/officeDocument/2006/relationships" ref="N471" r:id="rId439"/>
    <hyperlink xmlns:r="http://schemas.openxmlformats.org/officeDocument/2006/relationships" ref="N472" r:id="rId440"/>
    <hyperlink xmlns:r="http://schemas.openxmlformats.org/officeDocument/2006/relationships" ref="N473" r:id="rId441"/>
    <hyperlink xmlns:r="http://schemas.openxmlformats.org/officeDocument/2006/relationships" ref="N474" r:id="rId442"/>
    <hyperlink xmlns:r="http://schemas.openxmlformats.org/officeDocument/2006/relationships" ref="N476" r:id="rId443"/>
    <hyperlink xmlns:r="http://schemas.openxmlformats.org/officeDocument/2006/relationships" ref="N477" r:id="rId444"/>
    <hyperlink xmlns:r="http://schemas.openxmlformats.org/officeDocument/2006/relationships" ref="N478" r:id="rId445"/>
    <hyperlink xmlns:r="http://schemas.openxmlformats.org/officeDocument/2006/relationships" ref="N479" r:id="rId446"/>
    <hyperlink xmlns:r="http://schemas.openxmlformats.org/officeDocument/2006/relationships" ref="N480" r:id="rId447"/>
    <hyperlink xmlns:r="http://schemas.openxmlformats.org/officeDocument/2006/relationships" ref="N481" r:id="rId448"/>
    <hyperlink xmlns:r="http://schemas.openxmlformats.org/officeDocument/2006/relationships" ref="N482" r:id="rId449"/>
    <hyperlink xmlns:r="http://schemas.openxmlformats.org/officeDocument/2006/relationships" ref="N483" r:id="rId450"/>
    <hyperlink xmlns:r="http://schemas.openxmlformats.org/officeDocument/2006/relationships" ref="N484" r:id="rId451"/>
    <hyperlink xmlns:r="http://schemas.openxmlformats.org/officeDocument/2006/relationships" ref="N485" r:id="rId452"/>
    <hyperlink xmlns:r="http://schemas.openxmlformats.org/officeDocument/2006/relationships" ref="N486" r:id="rId453"/>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Florian</dc:creator>
  <dcterms:created xmlns:dcterms="http://purl.org/dc/terms/" xmlns:xsi="http://www.w3.org/2001/XMLSchema-instance" xsi:type="dcterms:W3CDTF">2026-06-09T18:33:51Z</dcterms:created>
  <dcterms:modified xmlns:dcterms="http://purl.org/dc/terms/" xmlns:xsi="http://www.w3.org/2001/XMLSchema-instance" xsi:type="dcterms:W3CDTF">2026-09-08T01:39:21Z</dcterms:modified>
  <cp:lastModifiedBy>Florian Wengel</cp:lastModifiedBy>
  <cp:revision>4</cp:revision>
</cp:coreProperties>
</file>

<file path=docProps/custom.xml><?xml version="1.0" encoding="utf-8"?>
<Properties xmlns="http://schemas.openxmlformats.org/officeDocument/2006/custom-properties">
  <property name="MSIP_Label_b98fac97-8d33-4425-95a4-f76d2cce012e_Enabled" fmtid="{D5CDD505-2E9C-101B-9397-08002B2CF9AE}" pid="2">
    <vt:lpwstr xmlns:vt="http://schemas.openxmlformats.org/officeDocument/2006/docPropsVTypes">true</vt:lpwstr>
  </property>
  <property name="MSIP_Label_b98fac97-8d33-4425-95a4-f76d2cce012e_SetDate" fmtid="{D5CDD505-2E9C-101B-9397-08002B2CF9AE}" pid="3">
    <vt:lpwstr xmlns:vt="http://schemas.openxmlformats.org/officeDocument/2006/docPropsVTypes">2026-06-09T18:44:36Z</vt:lpwstr>
  </property>
  <property name="MSIP_Label_b98fac97-8d33-4425-95a4-f76d2cce012e_Method" fmtid="{D5CDD505-2E9C-101B-9397-08002B2CF9AE}" pid="4">
    <vt:lpwstr xmlns:vt="http://schemas.openxmlformats.org/officeDocument/2006/docPropsVTypes">Standard</vt:lpwstr>
  </property>
  <property name="MSIP_Label_b98fac97-8d33-4425-95a4-f76d2cce012e_Name" fmtid="{D5CDD505-2E9C-101B-9397-08002B2CF9AE}" pid="5">
    <vt:lpwstr xmlns:vt="http://schemas.openxmlformats.org/officeDocument/2006/docPropsVTypes">defa4170-0d19-0005-0004-bc88714345d2</vt:lpwstr>
  </property>
  <property name="MSIP_Label_b98fac97-8d33-4425-95a4-f76d2cce012e_SiteId" fmtid="{D5CDD505-2E9C-101B-9397-08002B2CF9AE}" pid="6">
    <vt:lpwstr xmlns:vt="http://schemas.openxmlformats.org/officeDocument/2006/docPropsVTypes">674dd0a1-ae62-42c7-a39f-69ee199537a8</vt:lpwstr>
  </property>
  <property name="MSIP_Label_b98fac97-8d33-4425-95a4-f76d2cce012e_ActionId" fmtid="{D5CDD505-2E9C-101B-9397-08002B2CF9AE}" pid="7">
    <vt:lpwstr xmlns:vt="http://schemas.openxmlformats.org/officeDocument/2006/docPropsVTypes">9830d81d-e3ea-4605-8083-3e0f9b975e98</vt:lpwstr>
  </property>
  <property name="MSIP_Label_b98fac97-8d33-4425-95a4-f76d2cce012e_ContentBits" fmtid="{D5CDD505-2E9C-101B-9397-08002B2CF9AE}" pid="8">
    <vt:lpwstr xmlns:vt="http://schemas.openxmlformats.org/officeDocument/2006/docPropsVTypes">0</vt:lpwstr>
  </property>
  <property name="MSIP_Label_b98fac97-8d33-4425-95a4-f76d2cce012e_Tag" fmtid="{D5CDD505-2E9C-101B-9397-08002B2CF9AE}" pid="9">
    <vt:lpwstr xmlns:vt="http://schemas.openxmlformats.org/officeDocument/2006/docPropsVTypes">10, 3, 0, 1</vt:lpwstr>
  </property>
</Properties>
</file>