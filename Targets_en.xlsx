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1" activeTab="8" autoFilterDateGrouping="1"/>
  </bookViews>
  <sheets>
    <sheet xmlns:r="http://schemas.openxmlformats.org/officeDocument/2006/relationships" name="README" sheetId="1" state="visible" r:id="rId1"/>
    <sheet xmlns:r="http://schemas.openxmlformats.org/officeDocument/2006/relationships" name="Overview" sheetId="2" state="visible" r:id="rId2"/>
    <sheet xmlns:r="http://schemas.openxmlformats.org/officeDocument/2006/relationships" name="GHG Emissions" sheetId="3" state="visible" r:id="rId3"/>
    <sheet xmlns:r="http://schemas.openxmlformats.org/officeDocument/2006/relationships" name="Energy|Power" sheetId="4" state="visible" r:id="rId4"/>
    <sheet xmlns:r="http://schemas.openxmlformats.org/officeDocument/2006/relationships" name="Industry" sheetId="5" state="visible" r:id="rId5"/>
    <sheet xmlns:r="http://schemas.openxmlformats.org/officeDocument/2006/relationships" name="Buildings" sheetId="6" state="visible" r:id="rId6"/>
    <sheet xmlns:r="http://schemas.openxmlformats.org/officeDocument/2006/relationships" name="Transport" sheetId="7" state="visible" r:id="rId7"/>
    <sheet xmlns:r="http://schemas.openxmlformats.org/officeDocument/2006/relationships" name="LULUCF" sheetId="8" state="visible" r:id="rId8"/>
    <sheet xmlns:r="http://schemas.openxmlformats.org/officeDocument/2006/relationships" name="Circular Economy" sheetId="9" state="visible" r:id="rId9"/>
    <sheet xmlns:r="http://schemas.openxmlformats.org/officeDocument/2006/relationships" name="Pollution" sheetId="10" state="visible" r:id="rId10"/>
    <sheet xmlns:r="http://schemas.openxmlformats.org/officeDocument/2006/relationships" name="Finance" sheetId="11" state="visible" r:id="rId11"/>
    <sheet xmlns:r="http://schemas.openxmlformats.org/officeDocument/2006/relationships" name="Sources" sheetId="12" state="visible" r:id="rId12"/>
  </sheets>
  <definedNames/>
  <calcPr calcId="191029" fullCalcOnLoad="1"/>
</workbook>
</file>

<file path=xl/styles.xml><?xml version="1.0" encoding="utf-8"?>
<styleSheet xmlns="http://schemas.openxmlformats.org/spreadsheetml/2006/main">
  <numFmts count="0"/>
  <fonts count="23">
    <font>
      <name val="Calibri"/>
      <color theme="1"/>
      <sz val="10"/>
      <scheme val="minor"/>
    </font>
    <font>
      <name val="Calibri"/>
      <color indexed="4"/>
      <sz val="11"/>
      <u val="single"/>
    </font>
    <font>
      <name val="Calibri"/>
      <sz val="11"/>
    </font>
    <font>
      <name val="Arial Narrow"/>
      <sz val="11"/>
    </font>
    <font>
      <name val="Arial Narrow"/>
      <b val="1"/>
      <color indexed="65"/>
      <sz val="11"/>
    </font>
    <font>
      <name val="Arial Narrow"/>
      <color indexed="65"/>
      <sz val="11"/>
    </font>
    <font>
      <name val="Arial Narrow"/>
      <b val="1"/>
      <sz val="11"/>
    </font>
    <font>
      <name val="Arial Narrow"/>
      <i val="1"/>
      <sz val="11"/>
    </font>
    <font>
      <name val="Arial Narrow"/>
      <color indexed="2"/>
      <sz val="11"/>
    </font>
    <font>
      <name val="Arial Narrow"/>
      <color indexed="4"/>
      <sz val="11"/>
      <u val="single"/>
    </font>
    <font>
      <name val="Arial Narrow"/>
      <b val="1"/>
      <sz val="12"/>
    </font>
    <font>
      <name val="Arial Narrow"/>
      <b val="1"/>
      <color indexed="2"/>
      <sz val="12"/>
    </font>
    <font>
      <name val="Arial Narrow"/>
      <sz val="12"/>
    </font>
    <font>
      <name val="Arial Narrow"/>
      <color theme="1"/>
      <sz val="11"/>
    </font>
    <font>
      <name val="Arial Narrow"/>
      <color theme="1"/>
      <sz val="8"/>
    </font>
    <font>
      <name val="Arial Narrow"/>
      <b val="1"/>
      <color theme="0"/>
      <sz val="11"/>
    </font>
    <font>
      <name val="Arial Narrow"/>
      <b val="1"/>
      <color theme="0"/>
      <sz val="8"/>
    </font>
    <font>
      <name val="Arial Narrow"/>
      <b val="1"/>
      <sz val="9"/>
    </font>
    <font>
      <name val="Arial Narrow"/>
      <b val="1"/>
      <sz val="8"/>
    </font>
    <font>
      <name val="Arial Narrow"/>
      <b val="1"/>
      <color theme="1"/>
      <sz val="11"/>
    </font>
    <font>
      <name val="Arial Narrow"/>
      <b val="1"/>
      <color theme="1"/>
      <sz val="8"/>
    </font>
    <font>
      <name val="Arial Narrow"/>
      <color theme="10"/>
      <sz val="11"/>
      <u val="single"/>
    </font>
    <font>
      <name val="Arial Narrow"/>
      <sz val="8"/>
    </font>
  </fonts>
  <fills count="19">
    <fill>
      <patternFill/>
    </fill>
    <fill>
      <patternFill patternType="gray125"/>
    </fill>
    <fill>
      <patternFill patternType="solid">
        <fgColor rgb="FF595959"/>
      </patternFill>
    </fill>
    <fill>
      <patternFill patternType="solid">
        <fgColor rgb="FFDBE5F1"/>
      </patternFill>
    </fill>
    <fill>
      <patternFill patternType="solid">
        <fgColor rgb="FF4F81BD"/>
      </patternFill>
    </fill>
    <fill>
      <patternFill patternType="solid">
        <fgColor rgb="FF92CDDC"/>
      </patternFill>
    </fill>
    <fill>
      <patternFill patternType="solid">
        <fgColor theme="4" tint="0.7999816888943144"/>
        <bgColor indexed="65"/>
      </patternFill>
    </fill>
    <fill>
      <patternFill patternType="solid">
        <fgColor rgb="FFFBD4B4"/>
      </patternFill>
    </fill>
    <fill>
      <patternFill patternType="solid">
        <fgColor rgb="FFF2DBDB"/>
      </patternFill>
    </fill>
    <fill>
      <patternFill patternType="solid">
        <fgColor rgb="FFD6E3BC"/>
      </patternFill>
    </fill>
    <fill>
      <patternFill patternType="solid">
        <fgColor rgb="FFC2D69B"/>
      </patternFill>
    </fill>
    <fill>
      <patternFill patternType="solid">
        <fgColor rgb="FFCCC0D9"/>
      </patternFill>
    </fill>
    <fill>
      <patternFill patternType="solid">
        <fgColor rgb="FFD6D4CA"/>
      </patternFill>
    </fill>
    <fill>
      <patternFill patternType="solid">
        <fgColor theme="2" tint="-0.09997863704336681"/>
        <bgColor indexed="65"/>
      </patternFill>
    </fill>
    <fill>
      <patternFill patternType="solid">
        <fgColor theme="1" tint="0.249977111117893"/>
        <bgColor indexed="65"/>
      </patternFill>
    </fill>
    <fill>
      <patternFill patternType="solid">
        <fgColor theme="0"/>
      </patternFill>
    </fill>
    <fill>
      <patternFill patternType="solid">
        <fgColor theme="0" tint="-0.1499984740745262"/>
        <bgColor indexed="65"/>
      </patternFill>
    </fill>
    <fill>
      <patternFill patternType="solid">
        <fgColor theme="2"/>
      </patternFill>
    </fill>
    <fill>
      <patternFill patternType="solid">
        <fgColor theme="0" tint="-0.249977111117893"/>
        <bgColor indexed="65"/>
      </patternFill>
    </fill>
  </fills>
  <borders count="36">
    <border>
      <left/>
      <right/>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style="thin">
        <color auto="1"/>
      </top>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indexed="65"/>
      </left>
      <right style="thin">
        <color indexed="65"/>
      </right>
      <top style="thin">
        <color indexed="65"/>
      </top>
      <bottom style="thin">
        <color indexed="65"/>
      </bottom>
      <diagonal/>
    </border>
    <border>
      <left/>
      <right style="thin">
        <color indexed="65"/>
      </right>
      <top style="thin">
        <color indexed="65"/>
      </top>
      <bottom style="thin">
        <color indexed="65"/>
      </bottom>
      <diagonal/>
    </border>
    <border>
      <left style="thin">
        <color indexed="65"/>
      </left>
      <right/>
      <top style="thin">
        <color indexed="65"/>
      </top>
      <bottom style="thin">
        <color indexed="65"/>
      </bottom>
      <diagonal/>
    </border>
    <border>
      <left style="thin">
        <color indexed="65"/>
      </left>
      <right style="thin">
        <color indexed="65"/>
      </right>
      <top style="thin">
        <color indexed="65"/>
      </top>
      <bottom/>
      <diagonal/>
    </border>
    <border>
      <left/>
      <right style="thin">
        <color indexed="65"/>
      </right>
      <top style="thin">
        <color indexed="65"/>
      </top>
      <bottom/>
      <diagonal/>
    </border>
    <border>
      <left style="thin">
        <color indexed="65"/>
      </left>
      <right style="thin">
        <color indexed="65"/>
      </right>
      <top/>
      <bottom/>
      <diagonal/>
    </border>
    <border>
      <left style="thin">
        <color auto="1"/>
      </left>
      <right style="thin">
        <color auto="1"/>
      </right>
      <top style="thin">
        <color auto="1"/>
      </top>
      <bottom/>
      <diagonal/>
    </border>
    <border>
      <left/>
      <right/>
      <top style="medium">
        <color auto="1"/>
      </top>
      <bottom/>
      <diagonal/>
    </border>
    <border>
      <left/>
      <right style="medium">
        <color auto="1"/>
      </right>
      <top style="medium">
        <color auto="1"/>
      </top>
      <bottom/>
      <diagonal/>
    </border>
  </borders>
  <cellStyleXfs count="3">
    <xf numFmtId="0" fontId="0" fillId="0" borderId="0"/>
    <xf numFmtId="0" fontId="1" fillId="0" borderId="0"/>
    <xf numFmtId="0" fontId="2" fillId="0" borderId="0"/>
  </cellStyleXfs>
  <cellXfs count="246">
    <xf numFmtId="0" fontId="0" fillId="0" borderId="0" applyAlignment="1" pivotButton="0" quotePrefix="0" xfId="0">
      <alignment vertical="center"/>
    </xf>
    <xf numFmtId="0" fontId="0" fillId="0" borderId="0" pivotButton="0" quotePrefix="0" xfId="0"/>
    <xf numFmtId="0" fontId="3" fillId="0" borderId="0" applyAlignment="1" pivotButton="0" quotePrefix="0" xfId="2">
      <alignment horizontal="left"/>
    </xf>
    <xf numFmtId="0" fontId="4" fillId="2" borderId="0" applyAlignment="1" pivotButton="0" quotePrefix="0" xfId="0">
      <alignment horizontal="left" vertical="center"/>
    </xf>
    <xf numFmtId="0" fontId="5" fillId="2" borderId="1" applyAlignment="1" pivotButton="0" quotePrefix="0" xfId="2">
      <alignment horizontal="left"/>
    </xf>
    <xf numFmtId="0" fontId="4" fillId="2" borderId="1" applyAlignment="1" pivotButton="0" quotePrefix="0" xfId="2">
      <alignment horizontal="left"/>
    </xf>
    <xf numFmtId="0" fontId="4" fillId="2" borderId="2" applyAlignment="1" pivotButton="0" quotePrefix="0" xfId="2">
      <alignment horizontal="right" vertical="center"/>
    </xf>
    <xf numFmtId="0" fontId="3" fillId="0" borderId="0" pivotButton="0" quotePrefix="0" xfId="2"/>
    <xf numFmtId="0" fontId="3" fillId="0" borderId="0" applyAlignment="1" pivotButton="0" quotePrefix="0" xfId="2">
      <alignment vertical="center"/>
    </xf>
    <xf numFmtId="0" fontId="3" fillId="0" borderId="3" applyAlignment="1" pivotButton="0" quotePrefix="0" xfId="2">
      <alignment vertical="center"/>
    </xf>
    <xf numFmtId="0" fontId="6" fillId="0" borderId="4" applyAlignment="1" pivotButton="0" quotePrefix="0" xfId="2">
      <alignment horizontal="center" vertical="center"/>
    </xf>
    <xf numFmtId="0" fontId="3" fillId="0" borderId="2" applyAlignment="1" pivotButton="0" quotePrefix="0" xfId="2">
      <alignment vertical="center"/>
    </xf>
    <xf numFmtId="0" fontId="3" fillId="0" borderId="5" pivotButton="0" quotePrefix="0" xfId="2"/>
    <xf numFmtId="0" fontId="7" fillId="0" borderId="6" pivotButton="0" quotePrefix="0" xfId="2"/>
    <xf numFmtId="17" fontId="3" fillId="0" borderId="6" pivotButton="0" quotePrefix="0" xfId="2"/>
    <xf numFmtId="0" fontId="3" fillId="0" borderId="7" pivotButton="0" quotePrefix="0" xfId="2"/>
    <xf numFmtId="0" fontId="3" fillId="0" borderId="8" applyAlignment="1" pivotButton="0" quotePrefix="0" xfId="2">
      <alignment horizontal="right"/>
    </xf>
    <xf numFmtId="0" fontId="3" fillId="0" borderId="9" pivotButton="0" quotePrefix="0" xfId="2"/>
    <xf numFmtId="0" fontId="3" fillId="0" borderId="8" pivotButton="0" quotePrefix="0" xfId="2"/>
    <xf numFmtId="0" fontId="7" fillId="0" borderId="0" pivotButton="0" quotePrefix="0" xfId="2"/>
    <xf numFmtId="17" fontId="3" fillId="0" borderId="0" pivotButton="0" quotePrefix="0" xfId="2"/>
    <xf numFmtId="0" fontId="3" fillId="0" borderId="0" applyAlignment="1" pivotButton="0" quotePrefix="0" xfId="2">
      <alignment horizontal="right"/>
    </xf>
    <xf numFmtId="0" fontId="6" fillId="3" borderId="4" pivotButton="0" quotePrefix="0" xfId="2"/>
    <xf numFmtId="17" fontId="3" fillId="3" borderId="1" pivotButton="0" quotePrefix="0" xfId="2"/>
    <xf numFmtId="0" fontId="3" fillId="3" borderId="1" pivotButton="0" quotePrefix="0" xfId="2"/>
    <xf numFmtId="0" fontId="3" fillId="3" borderId="2" pivotButton="0" quotePrefix="0" xfId="2"/>
    <xf numFmtId="0" fontId="3" fillId="0" borderId="9" applyAlignment="1" pivotButton="0" quotePrefix="0" xfId="2">
      <alignment vertical="center"/>
    </xf>
    <xf numFmtId="17" fontId="3" fillId="0" borderId="7" applyAlignment="1" pivotButton="0" quotePrefix="0" xfId="2">
      <alignment vertical="center"/>
    </xf>
    <xf numFmtId="0" fontId="3" fillId="0" borderId="7" applyAlignment="1" pivotButton="0" quotePrefix="0" xfId="2">
      <alignment vertical="center"/>
    </xf>
    <xf numFmtId="0" fontId="3" fillId="0" borderId="8" applyAlignment="1" pivotButton="0" quotePrefix="0" xfId="2">
      <alignment vertical="center"/>
    </xf>
    <xf numFmtId="17" fontId="3" fillId="0" borderId="0" applyAlignment="1" pivotButton="0" quotePrefix="0" xfId="2">
      <alignment vertical="center"/>
    </xf>
    <xf numFmtId="0" fontId="3" fillId="0" borderId="5" applyAlignment="1" pivotButton="0" quotePrefix="0" xfId="2">
      <alignment vertical="center"/>
    </xf>
    <xf numFmtId="0" fontId="7" fillId="0" borderId="3" applyAlignment="1" pivotButton="0" quotePrefix="0" xfId="2">
      <alignment vertical="top"/>
    </xf>
    <xf numFmtId="0" fontId="3" fillId="0" borderId="10" applyAlignment="1" pivotButton="0" quotePrefix="0" xfId="2">
      <alignment vertical="top"/>
    </xf>
    <xf numFmtId="0" fontId="3" fillId="0" borderId="4" applyAlignment="1" pivotButton="0" quotePrefix="0" xfId="2">
      <alignment horizontal="left" vertical="center"/>
    </xf>
    <xf numFmtId="0" fontId="7" fillId="0" borderId="1" applyAlignment="1" pivotButton="0" quotePrefix="0" xfId="2">
      <alignment horizontal="left" vertical="center"/>
    </xf>
    <xf numFmtId="0" fontId="7" fillId="0" borderId="2" applyAlignment="1" pivotButton="0" quotePrefix="0" xfId="2">
      <alignment horizontal="left" vertical="center"/>
    </xf>
    <xf numFmtId="0" fontId="3" fillId="0" borderId="3" applyAlignment="1" pivotButton="0" quotePrefix="0" xfId="2">
      <alignment vertical="top"/>
    </xf>
    <xf numFmtId="0" fontId="3" fillId="0" borderId="9" applyAlignment="1" pivotButton="0" quotePrefix="0" xfId="2">
      <alignment vertical="top"/>
    </xf>
    <xf numFmtId="0" fontId="3" fillId="0" borderId="0" applyAlignment="1" pivotButton="0" quotePrefix="0" xfId="2">
      <alignment vertical="top"/>
    </xf>
    <xf numFmtId="0" fontId="3" fillId="0" borderId="6" applyAlignment="1" pivotButton="0" quotePrefix="0" xfId="0">
      <alignment horizontal="left" vertical="top"/>
    </xf>
    <xf numFmtId="0" fontId="3" fillId="0" borderId="10" pivotButton="0" quotePrefix="0" xfId="2"/>
    <xf numFmtId="0" fontId="3" fillId="0" borderId="11" pivotButton="0" quotePrefix="0" xfId="2"/>
    <xf numFmtId="0" fontId="3" fillId="0" borderId="12" pivotButton="0" quotePrefix="0" xfId="2"/>
    <xf numFmtId="0" fontId="3" fillId="0" borderId="3" pivotButton="0" quotePrefix="0" xfId="2"/>
    <xf numFmtId="0" fontId="8" fillId="0" borderId="0" pivotButton="0" quotePrefix="0" xfId="2"/>
    <xf numFmtId="0" fontId="8" fillId="0" borderId="7" pivotButton="0" quotePrefix="0" xfId="2"/>
    <xf numFmtId="0" fontId="3" fillId="0" borderId="4" pivotButton="0" quotePrefix="0" xfId="2"/>
    <xf numFmtId="0" fontId="3" fillId="0" borderId="1" pivotButton="0" quotePrefix="0" xfId="2"/>
    <xf numFmtId="0" fontId="8" fillId="0" borderId="1" pivotButton="0" quotePrefix="0" xfId="2"/>
    <xf numFmtId="0" fontId="3" fillId="0" borderId="2" pivotButton="0" quotePrefix="0" xfId="2"/>
    <xf numFmtId="0" fontId="3" fillId="0" borderId="0" applyAlignment="1" pivotButton="0" quotePrefix="0" xfId="0">
      <alignment horizontal="left" vertical="top"/>
    </xf>
    <xf numFmtId="0" fontId="8" fillId="0" borderId="0" applyAlignment="1" pivotButton="0" quotePrefix="0" xfId="0">
      <alignment horizontal="left" vertical="top"/>
    </xf>
    <xf numFmtId="0" fontId="8" fillId="0" borderId="0" applyAlignment="1" pivotButton="0" quotePrefix="0" xfId="2">
      <alignment horizontal="left"/>
    </xf>
    <xf numFmtId="0" fontId="9" fillId="0" borderId="0" pivotButton="0" quotePrefix="0" xfId="1"/>
    <xf numFmtId="0" fontId="6" fillId="0" borderId="0" applyAlignment="1" pivotButton="0" quotePrefix="0" xfId="2">
      <alignment vertical="center"/>
    </xf>
    <xf numFmtId="0" fontId="6" fillId="0" borderId="0" applyAlignment="1" pivotButton="0" quotePrefix="0" xfId="2">
      <alignment horizontal="center" vertical="center"/>
    </xf>
    <xf numFmtId="0" fontId="3" fillId="0" borderId="17" applyAlignment="1" pivotButton="0" quotePrefix="0" xfId="2">
      <alignment vertical="center"/>
    </xf>
    <xf numFmtId="0" fontId="3" fillId="0" borderId="18" applyAlignment="1" pivotButton="0" quotePrefix="0" xfId="2">
      <alignment horizontal="center" vertical="center"/>
    </xf>
    <xf numFmtId="0" fontId="3" fillId="0" borderId="0" applyAlignment="1" pivotButton="0" quotePrefix="0" xfId="2">
      <alignment horizontal="center" vertical="center"/>
    </xf>
    <xf numFmtId="0" fontId="3" fillId="0" borderId="17" applyAlignment="1" pivotButton="0" quotePrefix="0" xfId="2">
      <alignment vertical="top"/>
    </xf>
    <xf numFmtId="0" fontId="3" fillId="0" borderId="18" applyAlignment="1" pivotButton="0" quotePrefix="0" xfId="2">
      <alignment vertical="top"/>
    </xf>
    <xf numFmtId="0" fontId="3" fillId="0" borderId="19" applyAlignment="1" pivotButton="0" quotePrefix="0" xfId="2">
      <alignment vertical="center"/>
    </xf>
    <xf numFmtId="0" fontId="3" fillId="0" borderId="20" applyAlignment="1" pivotButton="0" quotePrefix="0" xfId="2">
      <alignment horizontal="center" vertical="center"/>
    </xf>
    <xf numFmtId="0" fontId="3" fillId="0" borderId="17" applyAlignment="1" pivotButton="0" quotePrefix="0" xfId="2">
      <alignment horizontal="center" vertical="center"/>
    </xf>
    <xf numFmtId="0" fontId="3" fillId="0" borderId="18" applyAlignment="1" pivotButton="0" quotePrefix="0" xfId="2">
      <alignment horizontal="center" vertical="center" wrapText="1"/>
    </xf>
    <xf numFmtId="0" fontId="3" fillId="0" borderId="17" pivotButton="0" quotePrefix="0" xfId="2"/>
    <xf numFmtId="0" fontId="3" fillId="0" borderId="21" applyAlignment="1" pivotButton="0" quotePrefix="0" xfId="2">
      <alignment vertical="center"/>
    </xf>
    <xf numFmtId="0" fontId="3" fillId="0" borderId="22" applyAlignment="1" pivotButton="0" quotePrefix="0" xfId="2">
      <alignment horizontal="center" vertical="center"/>
    </xf>
    <xf numFmtId="0" fontId="3" fillId="0" borderId="21" applyAlignment="1" pivotButton="0" quotePrefix="0" xfId="2">
      <alignment vertical="top"/>
    </xf>
    <xf numFmtId="0" fontId="3" fillId="0" borderId="22" applyAlignment="1" pivotButton="0" quotePrefix="0" xfId="2">
      <alignment vertical="top"/>
    </xf>
    <xf numFmtId="0" fontId="3" fillId="0" borderId="23" applyAlignment="1" pivotButton="0" quotePrefix="0" xfId="2">
      <alignment vertical="center"/>
    </xf>
    <xf numFmtId="0" fontId="3" fillId="0" borderId="24" applyAlignment="1" pivotButton="0" quotePrefix="0" xfId="2">
      <alignment horizontal="center" vertical="center"/>
    </xf>
    <xf numFmtId="0" fontId="3" fillId="0" borderId="21" applyAlignment="1" pivotButton="0" quotePrefix="0" xfId="2">
      <alignment horizontal="center" vertical="center"/>
    </xf>
    <xf numFmtId="0" fontId="3" fillId="0" borderId="22" applyAlignment="1" pivotButton="0" quotePrefix="0" xfId="2">
      <alignment horizontal="center" vertical="center" wrapText="1"/>
    </xf>
    <xf numFmtId="0" fontId="3" fillId="0" borderId="21" pivotButton="0" quotePrefix="0" xfId="2"/>
    <xf numFmtId="0" fontId="3" fillId="0" borderId="25" applyAlignment="1" pivotButton="0" quotePrefix="0" xfId="2">
      <alignment vertical="center"/>
    </xf>
    <xf numFmtId="0" fontId="3" fillId="0" borderId="26" applyAlignment="1" pivotButton="0" quotePrefix="0" xfId="2">
      <alignment horizontal="center" vertical="center"/>
    </xf>
    <xf numFmtId="0" fontId="3" fillId="0" borderId="0" applyAlignment="1" pivotButton="0" quotePrefix="0" xfId="2">
      <alignment horizontal="center"/>
    </xf>
    <xf numFmtId="0" fontId="3" fillId="0" borderId="25" pivotButton="0" quotePrefix="0" xfId="2"/>
    <xf numFmtId="0" fontId="3" fillId="0" borderId="26" applyAlignment="1" pivotButton="0" quotePrefix="0" xfId="2">
      <alignment vertical="top"/>
    </xf>
    <xf numFmtId="0" fontId="3" fillId="0" borderId="25" applyAlignment="1" pivotButton="0" quotePrefix="0" xfId="2">
      <alignment vertical="top"/>
    </xf>
    <xf numFmtId="0" fontId="10" fillId="0" borderId="19" applyAlignment="1" pivotButton="0" quotePrefix="0" xfId="2">
      <alignment vertical="center"/>
    </xf>
    <xf numFmtId="0" fontId="10" fillId="0" borderId="16" applyAlignment="1" pivotButton="0" quotePrefix="0" xfId="2">
      <alignment horizontal="center" vertical="center"/>
    </xf>
    <xf numFmtId="0" fontId="10" fillId="0" borderId="0" applyAlignment="1" pivotButton="0" quotePrefix="0" xfId="2">
      <alignment horizontal="center" vertical="center"/>
    </xf>
    <xf numFmtId="0" fontId="11" fillId="0" borderId="0" applyAlignment="1" pivotButton="0" quotePrefix="0" xfId="2">
      <alignment horizontal="center" vertical="center"/>
    </xf>
    <xf numFmtId="0" fontId="3" fillId="0" borderId="0" applyAlignment="1" pivotButton="0" quotePrefix="0" xfId="2">
      <alignment horizontal="center" vertical="top"/>
    </xf>
    <xf numFmtId="0" fontId="3" fillId="0" borderId="26" applyAlignment="1" pivotButton="0" quotePrefix="0" xfId="2">
      <alignment horizontal="center" vertical="center" wrapText="1"/>
    </xf>
    <xf numFmtId="0" fontId="3" fillId="0" borderId="25" applyAlignment="1" pivotButton="0" quotePrefix="0" xfId="2">
      <alignment horizontal="center" vertical="center"/>
    </xf>
    <xf numFmtId="0" fontId="6" fillId="4" borderId="14" applyAlignment="1" pivotButton="0" quotePrefix="0" xfId="0">
      <alignment horizontal="left" vertical="top"/>
    </xf>
    <xf numFmtId="0" fontId="3" fillId="5" borderId="27" pivotButton="0" quotePrefix="0" xfId="0"/>
    <xf numFmtId="0" fontId="3" fillId="5" borderId="27" applyAlignment="1" pivotButton="0" quotePrefix="0" xfId="0">
      <alignment horizontal="left"/>
    </xf>
    <xf numFmtId="0" fontId="3" fillId="5" borderId="28" pivotButton="0" quotePrefix="0" xfId="0"/>
    <xf numFmtId="0" fontId="3" fillId="5" borderId="29" pivotButton="0" quotePrefix="0" xfId="0"/>
    <xf numFmtId="0" fontId="12" fillId="5" borderId="27" pivotButton="0" quotePrefix="0" xfId="0"/>
    <xf numFmtId="0" fontId="12" fillId="5" borderId="27" applyAlignment="1" pivotButton="0" quotePrefix="0" xfId="0">
      <alignment horizontal="left"/>
    </xf>
    <xf numFmtId="0" fontId="3" fillId="5" borderId="28" applyAlignment="1" pivotButton="0" quotePrefix="0" xfId="0">
      <alignment horizontal="left"/>
    </xf>
    <xf numFmtId="0" fontId="3" fillId="5" borderId="30" pivotButton="0" quotePrefix="0" xfId="0"/>
    <xf numFmtId="0" fontId="3" fillId="5" borderId="30" applyAlignment="1" pivotButton="0" quotePrefix="0" xfId="0">
      <alignment horizontal="left"/>
    </xf>
    <xf numFmtId="0" fontId="3" fillId="5" borderId="31" pivotButton="0" quotePrefix="0" xfId="0"/>
    <xf numFmtId="0" fontId="12" fillId="5" borderId="30" pivotButton="0" quotePrefix="0" xfId="0"/>
    <xf numFmtId="0" fontId="12" fillId="5" borderId="28" pivotButton="0" quotePrefix="0" xfId="0"/>
    <xf numFmtId="0" fontId="3" fillId="5" borderId="30" applyAlignment="1" pivotButton="0" quotePrefix="0" xfId="0">
      <alignment vertical="center"/>
    </xf>
    <xf numFmtId="0" fontId="3" fillId="5" borderId="27" applyAlignment="1" pivotButton="0" quotePrefix="0" xfId="0">
      <alignment vertical="center"/>
    </xf>
    <xf numFmtId="0" fontId="3" fillId="5" borderId="30" applyAlignment="1" pivotButton="0" quotePrefix="0" xfId="0">
      <alignment horizontal="left" vertical="center"/>
    </xf>
    <xf numFmtId="0" fontId="3" fillId="5" borderId="30" applyAlignment="1" pivotButton="0" quotePrefix="0" xfId="2">
      <alignment horizontal="left"/>
    </xf>
    <xf numFmtId="0" fontId="3" fillId="5" borderId="30" pivotButton="0" quotePrefix="0" xfId="2"/>
    <xf numFmtId="0" fontId="3" fillId="5" borderId="31" applyAlignment="1" pivotButton="0" quotePrefix="0" xfId="2">
      <alignment horizontal="left"/>
    </xf>
    <xf numFmtId="0" fontId="3" fillId="5" borderId="27" applyAlignment="1" pivotButton="0" quotePrefix="0" xfId="0">
      <alignment horizontal="left" vertical="center"/>
    </xf>
    <xf numFmtId="0" fontId="3" fillId="5" borderId="27" applyAlignment="1" pivotButton="0" quotePrefix="0" xfId="2">
      <alignment horizontal="left"/>
    </xf>
    <xf numFmtId="0" fontId="3" fillId="5" borderId="27" pivotButton="0" quotePrefix="0" xfId="2"/>
    <xf numFmtId="0" fontId="3" fillId="5" borderId="28" applyAlignment="1" pivotButton="0" quotePrefix="0" xfId="2">
      <alignment horizontal="left"/>
    </xf>
    <xf numFmtId="0" fontId="0" fillId="0" borderId="0" applyAlignment="1" pivotButton="0" quotePrefix="0" xfId="0">
      <alignment horizontal="left" vertical="center"/>
    </xf>
    <xf numFmtId="0" fontId="3" fillId="6" borderId="27" pivotButton="0" quotePrefix="0" xfId="0"/>
    <xf numFmtId="0" fontId="3" fillId="6" borderId="27" applyAlignment="1" pivotButton="0" quotePrefix="0" xfId="0">
      <alignment horizontal="left"/>
    </xf>
    <xf numFmtId="9" fontId="3" fillId="6" borderId="27" pivotButton="0" quotePrefix="0" xfId="0"/>
    <xf numFmtId="0" fontId="3" fillId="0" borderId="27" pivotButton="0" quotePrefix="0" xfId="0"/>
    <xf numFmtId="0" fontId="3" fillId="6" borderId="30" pivotButton="0" quotePrefix="0" xfId="0"/>
    <xf numFmtId="0" fontId="3" fillId="6" borderId="30" applyAlignment="1" pivotButton="0" quotePrefix="0" xfId="0">
      <alignment horizontal="left"/>
    </xf>
    <xf numFmtId="0" fontId="12" fillId="7" borderId="27" pivotButton="0" quotePrefix="0" xfId="0"/>
    <xf numFmtId="0" fontId="12" fillId="7" borderId="27" applyAlignment="1" pivotButton="0" quotePrefix="0" xfId="0">
      <alignment horizontal="left"/>
    </xf>
    <xf numFmtId="0" fontId="12" fillId="7" borderId="30" pivotButton="0" quotePrefix="0" xfId="0"/>
    <xf numFmtId="0" fontId="12" fillId="7" borderId="30" applyAlignment="1" pivotButton="0" quotePrefix="0" xfId="0">
      <alignment horizontal="left"/>
    </xf>
    <xf numFmtId="0" fontId="3" fillId="8" borderId="27" pivotButton="0" quotePrefix="0" xfId="0"/>
    <xf numFmtId="0" fontId="3" fillId="8" borderId="28" pivotButton="0" quotePrefix="0" xfId="0"/>
    <xf numFmtId="0" fontId="3" fillId="8" borderId="27" applyAlignment="1" pivotButton="0" quotePrefix="0" xfId="0">
      <alignment horizontal="left"/>
    </xf>
    <xf numFmtId="0" fontId="3" fillId="8" borderId="27" applyAlignment="1" pivotButton="0" quotePrefix="0" xfId="0">
      <alignment horizontal="right"/>
    </xf>
    <xf numFmtId="9" fontId="3" fillId="8" borderId="27" pivotButton="0" quotePrefix="0" xfId="0"/>
    <xf numFmtId="0" fontId="3" fillId="8" borderId="0" pivotButton="0" quotePrefix="0" xfId="0"/>
    <xf numFmtId="0" fontId="3" fillId="8" borderId="30" pivotButton="0" quotePrefix="0" xfId="0"/>
    <xf numFmtId="0" fontId="3" fillId="8" borderId="31" pivotButton="0" quotePrefix="0" xfId="0"/>
    <xf numFmtId="0" fontId="3" fillId="9" borderId="27" pivotButton="0" quotePrefix="0" xfId="0"/>
    <xf numFmtId="0" fontId="3" fillId="9" borderId="28" pivotButton="0" quotePrefix="0" xfId="0"/>
    <xf numFmtId="0" fontId="3" fillId="9" borderId="29" pivotButton="0" quotePrefix="0" xfId="0"/>
    <xf numFmtId="0" fontId="3" fillId="9" borderId="27" applyAlignment="1" pivotButton="0" quotePrefix="0" xfId="0">
      <alignment horizontal="left"/>
    </xf>
    <xf numFmtId="0" fontId="3" fillId="9" borderId="30" pivotButton="0" quotePrefix="0" xfId="0"/>
    <xf numFmtId="0" fontId="3" fillId="9" borderId="31" pivotButton="0" quotePrefix="0" xfId="0"/>
    <xf numFmtId="0" fontId="3" fillId="9" borderId="27" applyAlignment="1" pivotButton="0" quotePrefix="0" xfId="0">
      <alignment horizontal="right"/>
    </xf>
    <xf numFmtId="0" fontId="12" fillId="9" borderId="27" applyAlignment="1" pivotButton="0" quotePrefix="0" xfId="0">
      <alignment horizontal="left"/>
    </xf>
    <xf numFmtId="0" fontId="3" fillId="10" borderId="27" pivotButton="0" quotePrefix="0" xfId="0"/>
    <xf numFmtId="0" fontId="3" fillId="10" borderId="27" applyAlignment="1" pivotButton="0" quotePrefix="0" xfId="0">
      <alignment horizontal="left"/>
    </xf>
    <xf numFmtId="0" fontId="3" fillId="10" borderId="28" pivotButton="0" quotePrefix="0" xfId="0"/>
    <xf numFmtId="9" fontId="3" fillId="10" borderId="27" pivotButton="0" quotePrefix="0" xfId="0"/>
    <xf numFmtId="10" fontId="3" fillId="10" borderId="27" pivotButton="0" quotePrefix="0" xfId="0"/>
    <xf numFmtId="0" fontId="3" fillId="10" borderId="30" pivotButton="0" quotePrefix="0" xfId="0"/>
    <xf numFmtId="0" fontId="3" fillId="10" borderId="30" applyAlignment="1" pivotButton="0" quotePrefix="0" xfId="0">
      <alignment horizontal="left"/>
    </xf>
    <xf numFmtId="0" fontId="3" fillId="10" borderId="31" pivotButton="0" quotePrefix="0" xfId="0"/>
    <xf numFmtId="0" fontId="3" fillId="11" borderId="27" pivotButton="0" quotePrefix="0" xfId="0"/>
    <xf numFmtId="0" fontId="3" fillId="11" borderId="30" pivotButton="0" quotePrefix="0" xfId="0"/>
    <xf numFmtId="0" fontId="3" fillId="11" borderId="28" pivotButton="0" quotePrefix="0" xfId="0"/>
    <xf numFmtId="0" fontId="3" fillId="11" borderId="31" pivotButton="0" quotePrefix="0" xfId="0"/>
    <xf numFmtId="0" fontId="3" fillId="11" borderId="27" applyAlignment="1" pivotButton="0" quotePrefix="0" xfId="0">
      <alignment horizontal="left"/>
    </xf>
    <xf numFmtId="0" fontId="3" fillId="11" borderId="27" pivotButton="0" quotePrefix="0" xfId="2"/>
    <xf numFmtId="0" fontId="3" fillId="11" borderId="28" pivotButton="0" quotePrefix="0" xfId="2"/>
    <xf numFmtId="0" fontId="3" fillId="11" borderId="30" applyAlignment="1" pivotButton="0" quotePrefix="0" xfId="0">
      <alignment horizontal="left"/>
    </xf>
    <xf numFmtId="0" fontId="3" fillId="11" borderId="27" applyAlignment="1" pivotButton="0" quotePrefix="0" xfId="2">
      <alignment horizontal="left"/>
    </xf>
    <xf numFmtId="0" fontId="3" fillId="11" borderId="30" pivotButton="0" quotePrefix="0" xfId="2"/>
    <xf numFmtId="0" fontId="3" fillId="11" borderId="31" pivotButton="0" quotePrefix="0" xfId="2"/>
    <xf numFmtId="0" fontId="3" fillId="11" borderId="32" pivotButton="0" quotePrefix="0" xfId="0"/>
    <xf numFmtId="0" fontId="3" fillId="12" borderId="27" pivotButton="0" quotePrefix="0" xfId="0"/>
    <xf numFmtId="0" fontId="3" fillId="12" borderId="27" applyAlignment="1" pivotButton="0" quotePrefix="0" xfId="0">
      <alignment horizontal="left"/>
    </xf>
    <xf numFmtId="0" fontId="3" fillId="12" borderId="28" pivotButton="0" quotePrefix="0" xfId="0"/>
    <xf numFmtId="0" fontId="3" fillId="12" borderId="29" pivotButton="0" quotePrefix="0" xfId="0"/>
    <xf numFmtId="0" fontId="3" fillId="12" borderId="30" pivotButton="0" quotePrefix="0" xfId="0"/>
    <xf numFmtId="0" fontId="3" fillId="12" borderId="31" pivotButton="0" quotePrefix="0" xfId="0"/>
    <xf numFmtId="0" fontId="3" fillId="12" borderId="30" applyAlignment="1" pivotButton="0" quotePrefix="0" xfId="0">
      <alignment horizontal="left"/>
    </xf>
    <xf numFmtId="0" fontId="12" fillId="12" borderId="27" pivotButton="0" quotePrefix="0" xfId="0"/>
    <xf numFmtId="0" fontId="12" fillId="12" borderId="30" pivotButton="0" quotePrefix="0" xfId="0"/>
    <xf numFmtId="0" fontId="12" fillId="12" borderId="28" pivotButton="0" quotePrefix="0" xfId="0"/>
    <xf numFmtId="0" fontId="6" fillId="4" borderId="0" applyAlignment="1" pivotButton="0" quotePrefix="0" xfId="0">
      <alignment horizontal="left" vertical="top"/>
    </xf>
    <xf numFmtId="0" fontId="3" fillId="13" borderId="27" pivotButton="0" quotePrefix="0" xfId="0"/>
    <xf numFmtId="0" fontId="13"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vertical="center"/>
    </xf>
    <xf numFmtId="0" fontId="14" fillId="0" borderId="0" applyAlignment="1" pivotButton="0" quotePrefix="0" xfId="0">
      <alignment horizontal="left" vertical="center"/>
    </xf>
    <xf numFmtId="0" fontId="15" fillId="14" borderId="0" applyAlignment="1" pivotButton="0" quotePrefix="0" xfId="0">
      <alignment horizontal="left" vertical="center" indent="1"/>
    </xf>
    <xf numFmtId="0" fontId="15" fillId="14" borderId="0" applyAlignment="1" pivotButton="0" quotePrefix="0" xfId="0">
      <alignment horizontal="left" vertical="center"/>
    </xf>
    <xf numFmtId="0" fontId="15" fillId="14" borderId="0" applyAlignment="1" pivotButton="0" quotePrefix="0" xfId="0">
      <alignment vertical="center"/>
    </xf>
    <xf numFmtId="0" fontId="16" fillId="14" borderId="0" applyAlignment="1" pivotButton="0" quotePrefix="0" xfId="0">
      <alignment vertical="center"/>
    </xf>
    <xf numFmtId="0" fontId="16" fillId="14" borderId="0" applyAlignment="1" pivotButton="0" quotePrefix="0" xfId="0">
      <alignment horizontal="left" vertical="center"/>
    </xf>
    <xf numFmtId="0" fontId="3" fillId="0" borderId="0" applyAlignment="1" pivotButton="0" quotePrefix="0" xfId="0">
      <alignment vertical="center"/>
    </xf>
    <xf numFmtId="0" fontId="17" fillId="0" borderId="0" applyAlignment="1" pivotButton="0" quotePrefix="0" xfId="0">
      <alignment horizontal="left" vertical="center" indent="1"/>
    </xf>
    <xf numFmtId="0" fontId="6" fillId="0" borderId="0" applyAlignment="1" pivotButton="0" quotePrefix="0" xfId="0">
      <alignment horizontal="left" vertical="center"/>
    </xf>
    <xf numFmtId="0" fontId="6" fillId="0" borderId="0" applyAlignment="1" pivotButton="0" quotePrefix="0" xfId="0">
      <alignment vertical="center"/>
    </xf>
    <xf numFmtId="0" fontId="18" fillId="0" borderId="0" applyAlignment="1" pivotButton="0" quotePrefix="0" xfId="0">
      <alignment vertical="center"/>
    </xf>
    <xf numFmtId="0" fontId="18" fillId="0" borderId="0" applyAlignment="1" pivotButton="0" quotePrefix="0" xfId="0">
      <alignment horizontal="left" vertical="center"/>
    </xf>
    <xf numFmtId="0" fontId="19" fillId="15" borderId="10" applyAlignment="1" pivotButton="0" quotePrefix="0" xfId="0">
      <alignment horizontal="left" vertical="center" indent="1"/>
    </xf>
    <xf numFmtId="0" fontId="19" fillId="15" borderId="11" applyAlignment="1" pivotButton="0" quotePrefix="0" xfId="0">
      <alignment vertical="center" wrapText="1"/>
    </xf>
    <xf numFmtId="0" fontId="19" fillId="15" borderId="11" applyAlignment="1" pivotButton="0" quotePrefix="0" xfId="0">
      <alignment vertical="center"/>
    </xf>
    <xf numFmtId="0" fontId="19" fillId="15" borderId="11" applyAlignment="1" pivotButton="0" quotePrefix="0" xfId="0">
      <alignment horizontal="left" vertical="center"/>
    </xf>
    <xf numFmtId="0" fontId="19" fillId="15" borderId="12" applyAlignment="1" pivotButton="0" quotePrefix="0" xfId="0">
      <alignment vertical="center"/>
    </xf>
    <xf numFmtId="0" fontId="19" fillId="0" borderId="0" applyAlignment="1" pivotButton="0" quotePrefix="0" xfId="0">
      <alignment vertical="center"/>
    </xf>
    <xf numFmtId="0" fontId="19" fillId="0" borderId="0" applyAlignment="1" pivotButton="0" quotePrefix="0" xfId="0">
      <alignment horizontal="left" vertical="center"/>
    </xf>
    <xf numFmtId="0" fontId="19" fillId="0" borderId="6" applyAlignment="1" pivotButton="0" quotePrefix="0" xfId="0">
      <alignment vertical="center"/>
    </xf>
    <xf numFmtId="0" fontId="19" fillId="0" borderId="6" applyAlignment="1" pivotButton="0" quotePrefix="0" xfId="0">
      <alignment horizontal="left" vertical="center"/>
    </xf>
    <xf numFmtId="0" fontId="20" fillId="16" borderId="10" applyAlignment="1" pivotButton="0" quotePrefix="0" xfId="0">
      <alignment vertical="center"/>
    </xf>
    <xf numFmtId="0" fontId="20" fillId="16" borderId="11" applyAlignment="1" pivotButton="0" quotePrefix="0" xfId="0">
      <alignment vertical="center"/>
    </xf>
    <xf numFmtId="0" fontId="20" fillId="16" borderId="12" applyAlignment="1" pivotButton="0" quotePrefix="0" xfId="0">
      <alignment vertical="center"/>
    </xf>
    <xf numFmtId="0" fontId="13" fillId="0" borderId="6" applyAlignment="1" pivotButton="0" quotePrefix="0" xfId="0">
      <alignment vertical="center"/>
    </xf>
    <xf numFmtId="0" fontId="13" fillId="17" borderId="6" applyAlignment="1" pivotButton="0" quotePrefix="0" xfId="0">
      <alignment horizontal="left" vertical="center"/>
    </xf>
    <xf numFmtId="0" fontId="14" fillId="17" borderId="6" applyAlignment="1" pivotButton="0" quotePrefix="0" xfId="0">
      <alignment vertical="center"/>
    </xf>
    <xf numFmtId="0" fontId="14" fillId="17" borderId="6" applyAlignment="1" pivotButton="0" quotePrefix="0" xfId="0">
      <alignment horizontal="left" vertical="center"/>
    </xf>
    <xf numFmtId="0" fontId="13" fillId="17" borderId="6" applyAlignment="1" pivotButton="0" quotePrefix="0" xfId="0">
      <alignment vertical="center"/>
    </xf>
    <xf numFmtId="0" fontId="21" fillId="0" borderId="6" applyAlignment="1" pivotButton="0" quotePrefix="0" xfId="1">
      <alignment vertical="center"/>
    </xf>
    <xf numFmtId="0" fontId="13" fillId="17" borderId="11" applyAlignment="1" pivotButton="0" quotePrefix="0" xfId="0">
      <alignment horizontal="left" vertical="center"/>
    </xf>
    <xf numFmtId="0" fontId="20" fillId="18" borderId="10" applyAlignment="1" pivotButton="0" quotePrefix="0" xfId="0">
      <alignment vertical="center"/>
    </xf>
    <xf numFmtId="0" fontId="20" fillId="18" borderId="11" applyAlignment="1" pivotButton="0" quotePrefix="0" xfId="0">
      <alignment vertical="center"/>
    </xf>
    <xf numFmtId="0" fontId="20" fillId="18" borderId="12" applyAlignment="1" pivotButton="0" quotePrefix="0" xfId="0">
      <alignment vertical="center"/>
    </xf>
    <xf numFmtId="0" fontId="13" fillId="16" borderId="6" applyAlignment="1" pivotButton="0" quotePrefix="0" xfId="0">
      <alignment horizontal="left" vertical="center"/>
    </xf>
    <xf numFmtId="0" fontId="14" fillId="16" borderId="6" applyAlignment="1" pivotButton="0" quotePrefix="0" xfId="0">
      <alignment vertical="center"/>
    </xf>
    <xf numFmtId="0" fontId="14" fillId="16" borderId="6" applyAlignment="1" pivotButton="0" quotePrefix="0" xfId="0">
      <alignment horizontal="left" vertical="center"/>
    </xf>
    <xf numFmtId="0" fontId="13" fillId="16" borderId="6" applyAlignment="1" pivotButton="0" quotePrefix="0" xfId="0">
      <alignment vertical="center"/>
    </xf>
    <xf numFmtId="0" fontId="14" fillId="16" borderId="6" applyAlignment="1" pivotButton="0" quotePrefix="0" xfId="0">
      <alignment vertical="center" wrapText="1"/>
    </xf>
    <xf numFmtId="0" fontId="1" fillId="0" borderId="0" applyAlignment="1" pivotButton="0" quotePrefix="0" xfId="1">
      <alignment vertical="center"/>
    </xf>
    <xf numFmtId="0" fontId="1" fillId="0" borderId="0" pivotButton="0" quotePrefix="0" xfId="1"/>
    <xf numFmtId="0" fontId="13" fillId="0" borderId="33" applyAlignment="1" pivotButton="0" quotePrefix="0" xfId="0">
      <alignment vertical="center"/>
    </xf>
    <xf numFmtId="0" fontId="13" fillId="16" borderId="33" applyAlignment="1" pivotButton="0" quotePrefix="0" xfId="0">
      <alignment horizontal="left" vertical="center"/>
    </xf>
    <xf numFmtId="0" fontId="14" fillId="16" borderId="33" applyAlignment="1" pivotButton="0" quotePrefix="0" xfId="0">
      <alignment vertical="center"/>
    </xf>
    <xf numFmtId="0" fontId="14" fillId="16" borderId="33" applyAlignment="1" pivotButton="0" quotePrefix="0" xfId="0">
      <alignment horizontal="left" vertical="center"/>
    </xf>
    <xf numFmtId="0" fontId="13" fillId="16" borderId="33" applyAlignment="1" pivotButton="0" quotePrefix="0" xfId="0">
      <alignment vertical="center"/>
    </xf>
    <xf numFmtId="0" fontId="21" fillId="0" borderId="33" applyAlignment="1" pivotButton="0" quotePrefix="0" xfId="1">
      <alignment vertical="center"/>
    </xf>
    <xf numFmtId="0" fontId="20" fillId="18" borderId="9" applyAlignment="1" pivotButton="0" quotePrefix="0" xfId="0">
      <alignment vertical="center"/>
    </xf>
    <xf numFmtId="0" fontId="20" fillId="18" borderId="7" applyAlignment="1" pivotButton="0" quotePrefix="0" xfId="0">
      <alignment vertical="center"/>
    </xf>
    <xf numFmtId="0" fontId="20" fillId="18" borderId="8" applyAlignment="1" pivotButton="0" quotePrefix="0" xfId="0">
      <alignment vertical="center"/>
    </xf>
    <xf numFmtId="0" fontId="13" fillId="0" borderId="10" applyAlignment="1" pivotButton="0" quotePrefix="0" xfId="0">
      <alignment vertical="center"/>
    </xf>
    <xf numFmtId="0" fontId="22" fillId="16" borderId="6" applyAlignment="1" pivotButton="0" quotePrefix="0" xfId="0">
      <alignment horizontal="left" vertical="center"/>
    </xf>
    <xf numFmtId="0" fontId="14" fillId="16" borderId="6" applyAlignment="1" pivotButton="0" quotePrefix="0" xfId="0">
      <alignment horizontal="left" vertical="center" wrapText="1"/>
    </xf>
    <xf numFmtId="0" fontId="13" fillId="0" borderId="0" applyAlignment="1" pivotButton="0" quotePrefix="0" xfId="0">
      <alignment horizontal="left" vertical="top"/>
    </xf>
    <xf numFmtId="0" fontId="3" fillId="0" borderId="6" applyAlignment="1" pivotButton="0" quotePrefix="0" xfId="0">
      <alignment horizontal="left" vertical="top"/>
    </xf>
    <xf numFmtId="0" fontId="0" fillId="0" borderId="13" pivotButton="0" quotePrefix="0" xfId="0"/>
    <xf numFmtId="0" fontId="0" fillId="0" borderId="14" pivotButton="0" quotePrefix="0" xfId="0"/>
    <xf numFmtId="0" fontId="3" fillId="0" borderId="10" applyAlignment="1" pivotButton="0" quotePrefix="0" xfId="0">
      <alignment horizontal="left" vertical="top"/>
    </xf>
    <xf numFmtId="0" fontId="0" fillId="0" borderId="3" pivotButton="0" quotePrefix="0" xfId="0"/>
    <xf numFmtId="0" fontId="0" fillId="0" borderId="9" pivotButton="0" quotePrefix="0" xfId="0"/>
    <xf numFmtId="0" fontId="7" fillId="0" borderId="5" applyAlignment="1" pivotButton="0" quotePrefix="0" xfId="2">
      <alignment horizontal="left" vertical="center"/>
    </xf>
    <xf numFmtId="0" fontId="0" fillId="0" borderId="0" pivotButton="0" quotePrefix="0" xfId="0"/>
    <xf numFmtId="0" fontId="0" fillId="0" borderId="5" pivotButton="0" quotePrefix="0" xfId="0"/>
    <xf numFmtId="0" fontId="6" fillId="0" borderId="15" applyAlignment="1" pivotButton="0" quotePrefix="0" xfId="2">
      <alignment horizontal="center" vertical="center"/>
    </xf>
    <xf numFmtId="0" fontId="0" fillId="0" borderId="16" pivotButton="0" quotePrefix="0" xfId="0"/>
    <xf numFmtId="0" fontId="7" fillId="0" borderId="0" pivotButton="0" quotePrefix="0" xfId="0"/>
    <xf numFmtId="17" fontId="3" fillId="3" borderId="2" pivotButton="0" quotePrefix="0" xfId="2"/>
    <xf numFmtId="0" fontId="0" fillId="0" borderId="1" pivotButton="0" quotePrefix="0" xfId="0"/>
    <xf numFmtId="0" fontId="0" fillId="0" borderId="2" pivotButton="0" quotePrefix="0" xfId="0"/>
    <xf numFmtId="17" fontId="3" fillId="0" borderId="8" applyAlignment="1" pivotButton="0" quotePrefix="0" xfId="2">
      <alignment vertical="center"/>
    </xf>
    <xf numFmtId="0" fontId="0" fillId="0" borderId="7" pivotButton="0" quotePrefix="0" xfId="0"/>
    <xf numFmtId="0" fontId="0" fillId="0" borderId="8" pivotButton="0" quotePrefix="0" xfId="0"/>
  </cellXfs>
  <cellStyles count="3">
    <cellStyle name="Normal" xfId="0" builtinId="0"/>
    <cellStyle name="Hyperlink" xfId="1" builtinId="8"/>
    <cellStyle name="Normal 2" xfId="2"/>
  </cellStyles>
  <dxfs count="109">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D6D4CA"/>
          <bgColor rgb="FFD6D4CA"/>
        </patternFill>
      </fill>
      <border>
        <left style="thin">
          <color indexed="65"/>
        </left>
        <right/>
        <top style="thin">
          <color indexed="65"/>
        </top>
        <bottom style="thin">
          <color indexed="65"/>
        </bottom>
        <vertical/>
        <horizontal/>
      </border>
    </dxf>
    <dxf>
      <font>
        <name val="Arial Narrow"/>
        <strike val="0"/>
        <sz val="11"/>
        <vertAlign val="baseline"/>
      </font>
      <fill>
        <patternFill patternType="solid">
          <fgColor rgb="FFD6D4CA"/>
          <bgColor rgb="FFD6D4CA"/>
        </patternFill>
      </fill>
      <border>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CC0D9"/>
          <bgColor rgb="FFCCC0D9"/>
        </patternFill>
      </fill>
      <border>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alignment horizontal="left" vertical="bottom"/>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alignment horizontal="left" vertical="bottom"/>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alignment horizontal="left" vertical="bottom"/>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alignment horizontal="left" vertical="bottom"/>
      <border>
        <left style="thin">
          <color indexed="65"/>
        </left>
        <right style="thin">
          <color indexed="65"/>
        </right>
        <top style="thin">
          <color indexed="65"/>
        </top>
        <bottom style="thin">
          <color indexed="65"/>
        </bottom>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alignment horizontal="left" vertical="bottom"/>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92CDDC"/>
          <bgColor rgb="FF92CDDC"/>
        </patternFill>
      </fill>
      <alignment horizontal="left" vertical="bottom"/>
      <border>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horizontal="left" vertical="bottom"/>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horizontal="lef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tc={B8B27293-26AF-4BDC-BD74-4FC87580AB3C}</author>
    <author>tc={A47282EB-4D65-41E4-853B-8E067F88D023}</author>
  </authors>
  <commentList>
    <comment ref="N148" authorId="0" shapeId="0">
      <text>
        <t xml:space="preserve">[Threaded comment]
Your version of Excel allows you to read this threaded comment; however, any edits to it will get removed if the file is opened in a newer version of Excel. Learn more: https://go.microsoft.com/fwlink/?linkid=870924
Comment:
    Wengel, Florian:
Can you find a better source?
</t>
      </text>
    </comment>
    <comment ref="N150" authorId="1" shapeId="0">
      <text>
        <t xml:space="preserve">[Threaded comment]
Your version of Excel allows you to read this threaded comment; however, any edits to it will get removed if the file is opened in a newer version of Excel. Learn more: https://go.microsoft.com/fwlink/?linkid=870924
Comment:
    Wengel, Florian:
could not access website
</t>
      </text>
    </comment>
  </commentList>
</comments>
</file>

<file path=xl/tables/table1.xml><?xml version="1.0" encoding="utf-8"?>
<table xmlns="http://schemas.openxmlformats.org/spreadsheetml/2006/main" id="1" name="Table2" displayName="Table2" ref="A1:L116" headerRowCount="1">
  <autoFilter ref="A1:L116"/>
  <sortState ref="A2:L116">
    <sortCondition ref="B1:B116"/>
  </sortState>
  <tableColumns count="12">
    <tableColumn id="1" name="Announcement_Year" dataDxfId="108"/>
    <tableColumn id="2" name="Metric" dataDxfId="107"/>
    <tableColumn id="3" name="Direction" dataDxfId="106"/>
    <tableColumn id="4" name="Target_Magnitude" dataDxfId="105"/>
    <tableColumn id="5" name="Baseline" dataDxfId="104"/>
    <tableColumn id="6" name="Target_Year_or_Period" dataDxfId="103"/>
    <tableColumn id="7" name="Count" dataDxfId="102"/>
    <tableColumn id="8" name="Target_Category" dataDxfId="101"/>
    <tableColumn id="9" name="Accountability" dataDxfId="100"/>
    <tableColumn id="10" name="Sentence" dataDxfId="99"/>
    <tableColumn id="11" name="Document" dataDxfId="98"/>
    <tableColumn id="12" name="Topic_Label" dataDxfId="97"/>
  </tableColumns>
  <tableStyleInfo name="TableStyleMedium2" showFirstColumn="0" showLastColumn="0" showRowStripes="1" showColumnStripes="0"/>
</table>
</file>

<file path=xl/tables/table2.xml><?xml version="1.0" encoding="utf-8"?>
<table xmlns="http://schemas.openxmlformats.org/spreadsheetml/2006/main" id="2" name="Table3" displayName="Table3" ref="A1:M474" headerRowCount="1">
  <autoFilter ref="A1:M474"/>
  <sortState ref="A2:M474">
    <sortCondition ref="B1:B474"/>
  </sortState>
  <tableColumns count="13">
    <tableColumn id="1" name="Announcement_Year" dataDxfId="96"/>
    <tableColumn id="2" name="Metric" dataDxfId="95"/>
    <tableColumn id="3" name="Direction" dataDxfId="94"/>
    <tableColumn id="4" name="Target_Magnitude" dataDxfId="93"/>
    <tableColumn id="5" name="Baseline" dataDxfId="92"/>
    <tableColumn id="6" name="Target_Year_or_Period" dataDxfId="91"/>
    <tableColumn id="7" name="Count" dataDxfId="90"/>
    <tableColumn id="8" name="Target_Category" dataDxfId="89"/>
    <tableColumn id="9" name="Accountability" dataDxfId="88"/>
    <tableColumn id="10" name="Sentence" dataDxfId="87"/>
    <tableColumn id="11" name="Document" dataDxfId="86"/>
    <tableColumn id="12" name="Topic_Label" dataDxfId="85"/>
    <tableColumn id="13" name="Subtopic_Label" dataDxfId="84"/>
  </tableColumns>
  <tableStyleInfo name="TableStyleMedium2" showFirstColumn="0" showLastColumn="0" showRowStripes="1" showColumnStripes="0"/>
</table>
</file>

<file path=xl/tables/table3.xml><?xml version="1.0" encoding="utf-8"?>
<table xmlns="http://schemas.openxmlformats.org/spreadsheetml/2006/main" id="3" name="Table4" displayName="Table4" ref="A1:L184" headerRowCount="1">
  <autoFilter ref="A1:L184"/>
  <sortState ref="A2:L184">
    <sortCondition ref="B1:B184"/>
  </sortState>
  <tableColumns count="12">
    <tableColumn id="1" name="Announcement_Year" dataDxfId="83"/>
    <tableColumn id="2" name="Metric" dataDxfId="82"/>
    <tableColumn id="3" name="Direction" dataDxfId="81"/>
    <tableColumn id="4" name="Target_Magnitude" dataDxfId="80"/>
    <tableColumn id="5" name="Baseline" dataDxfId="79"/>
    <tableColumn id="6" name="Target_Year_or_Period" dataDxfId="78"/>
    <tableColumn id="7" name="Count" dataDxfId="77"/>
    <tableColumn id="8" name="Target_Category" dataDxfId="76"/>
    <tableColumn id="9" name="Accountability" dataDxfId="75"/>
    <tableColumn id="10" name="Sentence" dataDxfId="74"/>
    <tableColumn id="11" name="Document" dataDxfId="73"/>
    <tableColumn id="12" name="Topic_Label" dataDxfId="72"/>
  </tableColumns>
  <tableStyleInfo name="TableStyleMedium2" showFirstColumn="0" showLastColumn="0" showRowStripes="1" showColumnStripes="0"/>
</table>
</file>

<file path=xl/tables/table4.xml><?xml version="1.0" encoding="utf-8"?>
<table xmlns="http://schemas.openxmlformats.org/spreadsheetml/2006/main" id="4" name="Table5" displayName="Table5" ref="A1:L89" headerRowCount="1">
  <autoFilter ref="A1:L89"/>
  <sortState ref="A2:L89">
    <sortCondition ref="B1:B89"/>
  </sortState>
  <tableColumns count="12">
    <tableColumn id="1" name="Announcement_Year" dataDxfId="71"/>
    <tableColumn id="2" name="Metric" dataDxfId="70"/>
    <tableColumn id="3" name="Direction" dataDxfId="69"/>
    <tableColumn id="4" name="Target_Magnitude" dataDxfId="68"/>
    <tableColumn id="5" name="Baseline" dataDxfId="67"/>
    <tableColumn id="6" name="Target_Year_or_Period" dataDxfId="66"/>
    <tableColumn id="7" name="Count" dataDxfId="65"/>
    <tableColumn id="8" name="Target_Category" dataDxfId="64"/>
    <tableColumn id="9" name="Accountability" dataDxfId="63"/>
    <tableColumn id="10" name="Sentence" dataDxfId="62"/>
    <tableColumn id="11" name="Document" dataDxfId="61"/>
    <tableColumn id="12" name="Topic_Label" dataDxfId="60"/>
  </tableColumns>
  <tableStyleInfo name="TableStyleMedium2" showFirstColumn="0" showLastColumn="0" showRowStripes="1" showColumnStripes="0"/>
</table>
</file>

<file path=xl/tables/table5.xml><?xml version="1.0" encoding="utf-8"?>
<table xmlns="http://schemas.openxmlformats.org/spreadsheetml/2006/main" id="5" name="Table6" displayName="Table6" ref="A1:L84" headerRowCount="1">
  <autoFilter ref="A1:L84"/>
  <sortState ref="A2:L84">
    <sortCondition ref="B1:B84"/>
  </sortState>
  <tableColumns count="12">
    <tableColumn id="1" name="Announcement_Year" dataDxfId="59"/>
    <tableColumn id="2" name="Metric" dataDxfId="58"/>
    <tableColumn id="3" name="Direction" dataDxfId="57"/>
    <tableColumn id="4" name="Target_Magnitude" dataDxfId="56"/>
    <tableColumn id="5" name="Baseline" dataDxfId="55"/>
    <tableColumn id="6" name="Target_Year_or_Period" dataDxfId="54"/>
    <tableColumn id="7" name="Count" dataDxfId="53"/>
    <tableColumn id="8" name="Target_Category" dataDxfId="52"/>
    <tableColumn id="9" name="Accountability" dataDxfId="51"/>
    <tableColumn id="10" name="Sentence" dataDxfId="50"/>
    <tableColumn id="11" name="Document" dataDxfId="49"/>
    <tableColumn id="12" name="Topic_Label" dataDxfId="48"/>
  </tableColumns>
  <tableStyleInfo name="TableStyleMedium2" showFirstColumn="0" showLastColumn="0" showRowStripes="1" showColumnStripes="0"/>
</table>
</file>

<file path=xl/tables/table6.xml><?xml version="1.0" encoding="utf-8"?>
<table xmlns="http://schemas.openxmlformats.org/spreadsheetml/2006/main" id="6" name="Table7" displayName="Table7" ref="A1:L201" headerRowCount="1">
  <autoFilter ref="A1:L201"/>
  <sortState ref="A2:L201">
    <sortCondition ref="B1:B201"/>
  </sortState>
  <tableColumns count="12">
    <tableColumn id="1" name="Announcement_Year" dataDxfId="47"/>
    <tableColumn id="2" name="Metric" dataDxfId="46"/>
    <tableColumn id="3" name="Direction" dataDxfId="45"/>
    <tableColumn id="4" name="Target_Magnitude" dataDxfId="44"/>
    <tableColumn id="5" name="Baseline" dataDxfId="43"/>
    <tableColumn id="6" name="Target_Year_or_Period" dataDxfId="42"/>
    <tableColumn id="7" name="Count" dataDxfId="41"/>
    <tableColumn id="8" name="Target_Category" dataDxfId="40"/>
    <tableColumn id="9" name="Accountability" dataDxfId="39"/>
    <tableColumn id="10" name="Sentence" dataDxfId="38"/>
    <tableColumn id="11" name="Document" dataDxfId="37"/>
    <tableColumn id="12" name="Topic_Label" dataDxfId="36"/>
  </tableColumns>
  <tableStyleInfo name="TableStyleMedium2" showFirstColumn="0" showLastColumn="0" showRowStripes="1" showColumnStripes="0"/>
</table>
</file>

<file path=xl/tables/table7.xml><?xml version="1.0" encoding="utf-8"?>
<table xmlns="http://schemas.openxmlformats.org/spreadsheetml/2006/main" id="7" name="Table1" displayName="Table1" ref="A1:L182" headerRowCount="1">
  <autoFilter ref="A1:L182"/>
  <sortState ref="A2:L182">
    <sortCondition ref="B1:B182"/>
  </sortState>
  <tableColumns count="12">
    <tableColumn id="1" name="Announcement_Year" dataDxfId="35"/>
    <tableColumn id="2" name="Metric" dataDxfId="34"/>
    <tableColumn id="3" name="Direction" dataDxfId="33"/>
    <tableColumn id="4" name="Target_Magnitude" dataDxfId="32"/>
    <tableColumn id="5" name="Baseline" dataDxfId="31"/>
    <tableColumn id="6" name="Target_Year_or_Period" dataDxfId="30"/>
    <tableColumn id="7" name="Count" dataDxfId="29"/>
    <tableColumn id="8" name="Target_Category" dataDxfId="28"/>
    <tableColumn id="9" name="Accountability" dataDxfId="27"/>
    <tableColumn id="10" name="Sentence" dataDxfId="26"/>
    <tableColumn id="11" name="Document" dataDxfId="25"/>
    <tableColumn id="12" name="Topic_Label" dataDxfId="24"/>
  </tableColumns>
  <tableStyleInfo name="TableStyleMedium2" showFirstColumn="0" showLastColumn="0" showRowStripes="1" showColumnStripes="0"/>
</table>
</file>

<file path=xl/tables/table8.xml><?xml version="1.0" encoding="utf-8"?>
<table xmlns="http://schemas.openxmlformats.org/spreadsheetml/2006/main" id="8" name="Table8" displayName="Table8" ref="A1:L82" headerRowCount="1">
  <autoFilter ref="A1:L82"/>
  <sortState ref="A3:L82">
    <sortCondition ref="B1:B82"/>
  </sortState>
  <tableColumns count="12">
    <tableColumn id="1" name="Announcement_Year" dataDxfId="23"/>
    <tableColumn id="2" name="Metric" dataDxfId="22"/>
    <tableColumn id="3" name="Direction" dataDxfId="21"/>
    <tableColumn id="4" name="Target_Magnitude" dataDxfId="20"/>
    <tableColumn id="5" name="Baseline" dataDxfId="19"/>
    <tableColumn id="6" name="Target_Year_or_Period" dataDxfId="18"/>
    <tableColumn id="7" name="Count" dataDxfId="17"/>
    <tableColumn id="8" name="Target_Category" dataDxfId="16"/>
    <tableColumn id="9" name="Accountability" dataDxfId="15"/>
    <tableColumn id="10" name="Sentence" dataDxfId="14"/>
    <tableColumn id="11" name="Document" dataDxfId="13"/>
    <tableColumn id="12" name="Topic_Label" dataDxfId="12"/>
  </tableColumns>
  <tableStyleInfo name="TableStyleMedium2" showFirstColumn="0" showLastColumn="0" showRowStripes="1" showColumnStripes="0"/>
</table>
</file>

<file path=xl/tables/table9.xml><?xml version="1.0" encoding="utf-8"?>
<table xmlns="http://schemas.openxmlformats.org/spreadsheetml/2006/main" id="9" name="Table9" displayName="Table9" ref="A1:L22" headerRowCount="1">
  <autoFilter ref="A1:L22"/>
  <sortState ref="A2:L22">
    <sortCondition ref="B1:B22"/>
  </sortState>
  <tableColumns count="12">
    <tableColumn id="1" name="Announcement_Year" dataDxfId="11"/>
    <tableColumn id="2" name="Metric" dataDxfId="10"/>
    <tableColumn id="3" name="Direction" dataDxfId="9"/>
    <tableColumn id="4" name="Target_Magnitude" dataDxfId="8"/>
    <tableColumn id="5" name="Baseline" dataDxfId="7"/>
    <tableColumn id="6" name="Target_Year_or_Period" dataDxfId="6"/>
    <tableColumn id="7" name="Count" dataDxfId="5"/>
    <tableColumn id="8" name="Target_Category" dataDxfId="4"/>
    <tableColumn id="9" name="Accountability" dataDxfId="3"/>
    <tableColumn id="10" name="Sentence" dataDxfId="2"/>
    <tableColumn id="11" name="Document" dataDxfId="1"/>
    <tableColumn id="12" name="Topic_Label"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_rels/sheet12.xml.rels><Relationships xmlns="http://schemas.openxmlformats.org/package/2006/relationships"><Relationship Type="http://schemas.openxmlformats.org/officeDocument/2006/relationships/hyperlink" Target="https://www.adaptation-undp.org/sites/default/files/resources/chinas_national_climate_change_program.pdf" TargetMode="External" Id="rId1"/><Relationship Type="http://schemas.openxmlformats.org/officeDocument/2006/relationships/hyperlink" Target="https://zfxxgk.ndrc.gov.cn/web/iteminfo.jsp?id=298" TargetMode="External" Id="rId2"/><Relationship Type="http://schemas.openxmlformats.org/officeDocument/2006/relationships/hyperlink" Target="https://english.www.gov.cn/policies/latestreleases/202110/25/content_WS61760047c6d0df57f98e3c21.html" TargetMode="External" Id="rId3"/><Relationship Type="http://schemas.openxmlformats.org/officeDocument/2006/relationships/hyperlink" Target="https://english.www.gov.cn/policies/latestreleases/202110/27/content_WS6178a47ec6d0df57f98e3dfb.html" TargetMode="External" Id="rId4"/><Relationship Type="http://schemas.openxmlformats.org/officeDocument/2006/relationships/hyperlink" Target="https://unfccc.int/sites/default/files/resource/China%E2%80%99s%20Mid-Century%20Long-Term%20Low%20Greenhouse%20Gas%20Emission%20Development%20Strategy.pdf" TargetMode="External" Id="rId5"/><Relationship Type="http://schemas.openxmlformats.org/officeDocument/2006/relationships/hyperlink" Target="https://www.gov.cn/guowuyuan/2015-09/21/content_2936327.htm" TargetMode="External" Id="rId6"/><Relationship Type="http://schemas.openxmlformats.org/officeDocument/2006/relationships/hyperlink" Target="https://www.gov.cn/xinwen/2015-05/05/content_2857363.htm" TargetMode="External" Id="rId7"/><Relationship Type="http://schemas.openxmlformats.org/officeDocument/2006/relationships/hyperlink" Target="https://www.gov.cn/zhengce/content/2021-02/22/content_5588274.htm" TargetMode="External" Id="rId8"/><Relationship Type="http://schemas.openxmlformats.org/officeDocument/2006/relationships/hyperlink" Target="http://english.scio.gov.cn/m/whitepapers/2021-10/27/content_77836502_4.htm" TargetMode="External" Id="rId9"/><Relationship Type="http://schemas.openxmlformats.org/officeDocument/2006/relationships/hyperlink" Target="https://www.gov.cn/zhengce/202408/content_6967663.htm" TargetMode="External" Id="rId10"/><Relationship Type="http://schemas.openxmlformats.org/officeDocument/2006/relationships/hyperlink" Target="https://www.gov.cn/zhengce/202401/content_6925405.htm" TargetMode="External" Id="rId11"/><Relationship Type="http://schemas.openxmlformats.org/officeDocument/2006/relationships/hyperlink" Target="https://www.gov.cn/zhengce/content/202408/content_6966079.htm" TargetMode="External" Id="rId12"/><Relationship Type="http://schemas.openxmlformats.org/officeDocument/2006/relationships/hyperlink" Target="https://english.mee.gov.cn/News_service/media_news/202012/t20201216_813364.shtml?utm_source=chatgpt.com" TargetMode="External" Id="rId13"/><Relationship Type="http://schemas.openxmlformats.org/officeDocument/2006/relationships/hyperlink" Target="https://www.chinadaily.com.cn/a/202104/22/WS60819863a31024ad0bab9b58.html?utm_source=chatgpt.com" TargetMode="External" Id="rId14"/><Relationship Type="http://schemas.openxmlformats.org/officeDocument/2006/relationships/hyperlink" Target="https://english.www.gov.cn/news/202509/25/content_WS68d47dcac6d00ca5f9a066a5.html" TargetMode="External" Id="rId15"/><Relationship Type="http://schemas.openxmlformats.org/officeDocument/2006/relationships/hyperlink" Target="https://unfccc.int/resource/docs/natc/chnnc1c.pdf" TargetMode="External" Id="rId16"/><Relationship Type="http://schemas.openxmlformats.org/officeDocument/2006/relationships/hyperlink" Target="https://unfccc.int/resource/docs/natc/chnnc2e.pdf" TargetMode="External" Id="rId17"/><Relationship Type="http://schemas.openxmlformats.org/officeDocument/2006/relationships/hyperlink" Target="https://www.greenpolicyplatform.org/national-documents/peoples-republic-china-nationally-determined-contribution-ndc-chinese" TargetMode="External" Id="rId18"/><Relationship Type="http://schemas.openxmlformats.org/officeDocument/2006/relationships/hyperlink" Target="https://unfccc.int/sites/default/files/resource/The%20People%E2%80%99s%20Republic%20of%20China%20First%20Biennial%20Transparency%20Report%20on%20Climate%20Change.pdf" TargetMode="External" Id="rId19"/><Relationship Type="http://schemas.openxmlformats.org/officeDocument/2006/relationships/hyperlink" Target="https://unfccc.int/sites/default/files/resource/China%202BUR_English.pdf" TargetMode="External" Id="rId20"/><Relationship Type="http://schemas.openxmlformats.org/officeDocument/2006/relationships/hyperlink" Target="https://english.mee.gov.cn/Resources/Reports/reports/201907/P020190702566752327206.pdf" TargetMode="External" Id="rId21"/><Relationship Type="http://schemas.openxmlformats.org/officeDocument/2006/relationships/hyperlink" Target="https://unfccc.int/NDCREG" TargetMode="External" Id="rId22"/><Relationship Type="http://schemas.openxmlformats.org/officeDocument/2006/relationships/hyperlink" Target="https://unfccc.int/NDCREG" TargetMode="External" Id="rId23"/><Relationship Type="http://schemas.openxmlformats.org/officeDocument/2006/relationships/hyperlink" Target="https://unfccc.int/sites/default/files/resource/China_BUR3_English.pdf" TargetMode="External" Id="rId24"/><Relationship Type="http://schemas.openxmlformats.org/officeDocument/2006/relationships/hyperlink" Target="https://unfccc.int/sites/default/files/resource/China_NC4_English.pdf" TargetMode="External" Id="rId25"/><Relationship Type="http://schemas.openxmlformats.org/officeDocument/2006/relationships/hyperlink" Target="https://www.mee.gov.cn/ywdt/hjywnews/202312/t20231229_1060290.shtml" TargetMode="External" Id="rId26"/><Relationship Type="http://schemas.openxmlformats.org/officeDocument/2006/relationships/hyperlink" Target="https://unfccc.int/sites/default/files/2025-11/2035%E5%B9%B4%E4%B8%AD%E5%9B%BD%E5%9B%BD%E5%AE%B6%E8%87%AA%E4%B8%BB%E8%B4%A1%E7%8C%AE%E6%8A%A5%E5%91%8A.pdf" TargetMode="External" Id="rId27"/><Relationship Type="http://schemas.openxmlformats.org/officeDocument/2006/relationships/hyperlink" Target="http://bb.china-embassy.gov.cn/eng/sgxw/200811/P020210724224798219558.pdf" TargetMode="External" Id="rId28"/><Relationship Type="http://schemas.openxmlformats.org/officeDocument/2006/relationships/hyperlink" Target="https://www.ccchina.org.cn/WebSite/CCChina/UpFile/File571.pdf" TargetMode="External" Id="rId29"/><Relationship Type="http://schemas.openxmlformats.org/officeDocument/2006/relationships/hyperlink" Target="http://www.ncsc.org.cn/yjcg/cbw/201307/W020180920484673915021.pdf" TargetMode="External" Id="rId30"/><Relationship Type="http://schemas.openxmlformats.org/officeDocument/2006/relationships/hyperlink" Target="https://www.gov.cn/jrzg/2011-11/22/content_2000047.htm" TargetMode="External" Id="rId31"/><Relationship Type="http://schemas.openxmlformats.org/officeDocument/2006/relationships/hyperlink" Target="http://www.ncsc.org.cn/yjcg/cbw/201307/W020180920484675924333.pdf" TargetMode="External" Id="rId32"/><Relationship Type="http://schemas.openxmlformats.org/officeDocument/2006/relationships/hyperlink" Target="http://www.ncsc.org.cn/yjcg/cbw/201311/W020180920484676540025.pdf" TargetMode="External" Id="rId33"/><Relationship Type="http://schemas.openxmlformats.org/officeDocument/2006/relationships/hyperlink" Target="https://faolex.fao.org/docs/pdf/chn229788.pdf" TargetMode="External" Id="rId34"/><Relationship Type="http://schemas.openxmlformats.org/officeDocument/2006/relationships/hyperlink" Target="https://www.cma.gov.cn/en2014/climate/featutes/201511/P020151120633951236905.pdf" TargetMode="External" Id="rId35"/><Relationship Type="http://schemas.openxmlformats.org/officeDocument/2006/relationships/hyperlink" Target="http://english.mee.gov.cn/Resources/Reports/reports/201812/P020181203551911199524.pdf" TargetMode="External" Id="rId36"/><Relationship Type="http://schemas.openxmlformats.org/officeDocument/2006/relationships/hyperlink" Target="https://en.ndrc.gov.cn/news/pressreleases/202105/P020210527390986419589.pdf" TargetMode="External" Id="rId37"/><Relationship Type="http://schemas.openxmlformats.org/officeDocument/2006/relationships/hyperlink" Target="https://english.mee.gov.cn/News_service/news_release/201812/P020181203536441502157.pdf" TargetMode="External" Id="rId38"/><Relationship Type="http://schemas.openxmlformats.org/officeDocument/2006/relationships/hyperlink" Target="https://english.mee.gov.cn/Resources/Reports/reports/201912/P020191204495763994956.pdf" TargetMode="External" Id="rId39"/><Relationship Type="http://schemas.openxmlformats.org/officeDocument/2006/relationships/hyperlink" Target="http://www.ncsc.org.cn/yjcg/cbw/202111/P020211117418821628432.pdf" TargetMode="External" Id="rId40"/><Relationship Type="http://schemas.openxmlformats.org/officeDocument/2006/relationships/hyperlink" Target="https://english.mee.gov.cn/Resources/Reports/reports/202211/P020221110605466439270.pdf" TargetMode="External" Id="rId41"/><Relationship Type="http://schemas.openxmlformats.org/officeDocument/2006/relationships/hyperlink" Target="https://www.mee.gov.cn/ywgz/ydqhbh/wsqtkz/202310/W020231027674250657087.pdf" TargetMode="External" Id="rId42"/><Relationship Type="http://schemas.openxmlformats.org/officeDocument/2006/relationships/hyperlink" Target="https://english.mee.gov.cn/News_service/news_release/202501/P020250122370358250549.pdf" TargetMode="External" Id="rId43"/><Relationship Type="http://schemas.openxmlformats.org/officeDocument/2006/relationships/hyperlink" Target="https://www.gov.cn/lianbo/bumen/202510/content_7046295.htm" TargetMode="External" Id="rId44"/><Relationship Type="http://schemas.openxmlformats.org/officeDocument/2006/relationships/hyperlink" Target="https://policy.asiapacificenergy.org/sites/default/files/11th%20Five-Year%20Plan%20%282006-2010%29%20for%20National%20Economic%20and%20Social%20Development%20%28EN%29.pdf?utm_source=chatgpt.com" TargetMode="External" Id="rId45"/><Relationship Type="http://schemas.openxmlformats.org/officeDocument/2006/relationships/hyperlink" Target="https://policy.asiapacificenergy.org/node/37" TargetMode="External" Id="rId46"/><Relationship Type="http://schemas.openxmlformats.org/officeDocument/2006/relationships/hyperlink" Target="https://en.ndrc.gov.cn/policies/202105/P020210527785800103339.pdf?utm_source=chatgpt.com" TargetMode="External" Id="rId47"/><Relationship Type="http://schemas.openxmlformats.org/officeDocument/2006/relationships/hyperlink" Target="https://www.gov.cn/xinwen/2021-03/13/content_5592681.htm" TargetMode="External" Id="rId48"/><Relationship Type="http://schemas.openxmlformats.org/officeDocument/2006/relationships/hyperlink" Target="https://www.ndrc.gov.cn/fggz/fzzlgh/gjfzgh/202603/U020260317369114704096.pdf" TargetMode="External" Id="rId49"/><Relationship Type="http://schemas.openxmlformats.org/officeDocument/2006/relationships/hyperlink" Target="https://www.gov.cn/test/2006-02/16/content_201193.htm" TargetMode="External" Id="rId50"/><Relationship Type="http://schemas.openxmlformats.org/officeDocument/2006/relationships/hyperlink" Target="https://www.gov.cn/test/2006-02/16/content_201218.htm" TargetMode="External" Id="rId51"/><Relationship Type="http://schemas.openxmlformats.org/officeDocument/2006/relationships/hyperlink" Target="https://www.gov.cn/test/2009-03/16/content_1260216.htm" TargetMode="External" Id="rId52"/><Relationship Type="http://schemas.openxmlformats.org/officeDocument/2006/relationships/hyperlink" Target="https://baike.baidu.com/item/2007%E5%B9%B4%E5%9B%BD%E5%8A%A1%E9%99%A2%E6%94%BF%E5%BA%9C%E5%B7%A5%E4%BD%9C%E6%8A%A5%E5%91%8A/23324579?svcp_stk=1_MKwirz1vv4tNwJFmio_uUop4XWwiEISBAqnODFVnKpoAz-EiVMShmrtRb2f9WNliJ8JxnxqnK-jq_R7JOOQWf9FbR2BCRywc3PGi3mRcDxm-2zK5k3tOs_qk_XF9DQa4mTT4ADjyAlbL5n-QPRHE4aLJOJu-np5irKqXAmrEFPnrU1bFztdOEKyUoQqfgvY3oetREA_yfEMg-6LyeV0dj6L7FqkXf2jkOq71kI-cYEI%3D" TargetMode="External" Id="rId53"/><Relationship Type="http://schemas.openxmlformats.org/officeDocument/2006/relationships/hyperlink" Target="https://www.gov.cn/test/2009-03/16/content_1260198.htm" TargetMode="External" Id="rId54"/><Relationship Type="http://schemas.openxmlformats.org/officeDocument/2006/relationships/hyperlink" Target="https://www.gov.cn/test/2009-03/16/content_1260221.htm" TargetMode="External" Id="rId55"/><Relationship Type="http://schemas.openxmlformats.org/officeDocument/2006/relationships/hyperlink" Target="https://www.most.gov.cn/ztzl/lhzt/lhzt2010/zxdtlhzt2010/201003/t20100316_76307.html" TargetMode="External" Id="rId56"/><Relationship Type="http://schemas.openxmlformats.org/officeDocument/2006/relationships/hyperlink" Target="https://www.ndrc.gov.cn/xwdt/gdzt/2009gmjj2010gmjj/gy2010jjsh/201009/t20100909_1198236.html" TargetMode="External" Id="rId57"/><Relationship Type="http://schemas.openxmlformats.org/officeDocument/2006/relationships/hyperlink" Target="https://www.gov.cn/test/2011-03/15/content_1825270.htm" TargetMode="External" Id="rId58"/><Relationship Type="http://schemas.openxmlformats.org/officeDocument/2006/relationships/hyperlink" Target="https://www.12371.cn/2013/02/21/ARTI1361412057772396_all.shtml" TargetMode="External" Id="rId59"/><Relationship Type="http://schemas.openxmlformats.org/officeDocument/2006/relationships/hyperlink" Target="https://www.gov.cn/test/2012-03/15/content_2067314.htm" TargetMode="External" Id="rId60"/><Relationship Type="http://schemas.openxmlformats.org/officeDocument/2006/relationships/hyperlink" Target="https://epaper.gmw.cn/gmrb/html/2012-03/17/nw.D110000gmrb_20120317_1-04.htm" TargetMode="External" Id="rId61"/><Relationship Type="http://schemas.openxmlformats.org/officeDocument/2006/relationships/hyperlink" Target="https://www.gov.cn/test/2013-03/19/content_2357136.htm" TargetMode="External" Id="rId62"/><Relationship Type="http://schemas.openxmlformats.org/officeDocument/2006/relationships/hyperlink" Target="https://www.gov.cn/guowuyuan/2014-03/14/content_2638989.htm" TargetMode="External" Id="rId63"/><Relationship Type="http://schemas.openxmlformats.org/officeDocument/2006/relationships/hyperlink" Target="https://www.gov.cn/guowuyuan/2015-03/16/content_2835101.htm" TargetMode="External" Id="rId64"/><Relationship Type="http://schemas.openxmlformats.org/officeDocument/2006/relationships/hyperlink" Target="https://www.gov.cn/guowuyuan/2016-03/17/content_5054901.htm" TargetMode="External" Id="rId65"/><Relationship Type="http://schemas.openxmlformats.org/officeDocument/2006/relationships/hyperlink" Target="https://english.www.gov.cn/news/top_news/2016/03/19/content_281475310332486.htm" TargetMode="External" Id="rId66"/><Relationship Type="http://schemas.openxmlformats.org/officeDocument/2006/relationships/hyperlink" Target="http://lianghui.people.com.cn/2017/n1/2017/0316/c410899-29150065.html" TargetMode="External" Id="rId67"/><Relationship Type="http://schemas.openxmlformats.org/officeDocument/2006/relationships/hyperlink" Target="https://www.gov.cn/zhuanti/2018lh/2018zfgzbg/zfgzbg.htm" TargetMode="External" Id="rId68"/><Relationship Type="http://schemas.openxmlformats.org/officeDocument/2006/relationships/hyperlink" Target="https://www.xinhuanet.com/politics/2018lh/2018-03/23/c_1122583261.htm" TargetMode="External" Id="rId69"/><Relationship Type="http://schemas.openxmlformats.org/officeDocument/2006/relationships/hyperlink" Target="https://www.gov.cn/zhuanti/2019qglh/2019lhzfgzbg/index.htm" TargetMode="External" Id="rId70"/><Relationship Type="http://schemas.openxmlformats.org/officeDocument/2006/relationships/hyperlink" Target="https://www.gov.cn/gongbao/content/2020/content_5517495.htm" TargetMode="External" Id="rId71"/><Relationship Type="http://schemas.openxmlformats.org/officeDocument/2006/relationships/hyperlink" Target="https://english.www.gov.cn/news/topnews/202005/30/content_WS5ed24e81c6d0b3f0e9499215.html" TargetMode="External" Id="rId72"/><Relationship Type="http://schemas.openxmlformats.org/officeDocument/2006/relationships/hyperlink" Target="https://www.gov.cn/gongbao/content/2021/content_5593438.htm" TargetMode="External" Id="rId73"/><Relationship Type="http://schemas.openxmlformats.org/officeDocument/2006/relationships/hyperlink" Target="https://www.gov.cn/gongbao/content/2022/content_5679681.htm" TargetMode="External" Id="rId74"/><Relationship Type="http://schemas.openxmlformats.org/officeDocument/2006/relationships/hyperlink" Target="https://www.gov.cn/gongbao/content/2023/content_5747260.htm" TargetMode="External" Id="rId75"/><Relationship Type="http://schemas.openxmlformats.org/officeDocument/2006/relationships/hyperlink" Target="https://www.gov.cn/gongbao/2024/issue_11246/202403/content_6941846.html" TargetMode="External" Id="rId76"/><Relationship Type="http://schemas.openxmlformats.org/officeDocument/2006/relationships/hyperlink" Target="https://www.gov.cn/gongbao/2025/issue_11946/202503/content_7015861.html" TargetMode="External" Id="rId77"/><Relationship Type="http://schemas.openxmlformats.org/officeDocument/2006/relationships/hyperlink" Target="https://www.spp.gov.cn/spp/tt/202603/t20260313_723952.shtml" TargetMode="External" Id="rId78"/><Relationship Type="http://schemas.openxmlformats.org/officeDocument/2006/relationships/hyperlink" Target="https://www.renrendoc.com/paper/132337830.html" TargetMode="External" Id="rId79"/><Relationship Type="http://schemas.openxmlformats.org/officeDocument/2006/relationships/hyperlink" Target="https://policy.asiapacificenergy.org/sites/default/files/China_Energy_Saving_Plan.pdf?utm_source=chatgpt.com" TargetMode="External" Id="rId80"/><Relationship Type="http://schemas.openxmlformats.org/officeDocument/2006/relationships/hyperlink" Target="https://www.nea.gov.cn/131215784_11n.pdf" TargetMode="External" Id="rId81"/><Relationship Type="http://schemas.openxmlformats.org/officeDocument/2006/relationships/hyperlink" Target="https://baike.baidu.com/item/%E5%9B%BD%E5%AE%B6%E9%87%8D%E5%A4%A7%E7%A7%91%E6%8A%80%E5%9F%BA%E7%A1%80%E8%AE%BE%E6%96%BD%E5%BB%BA%E8%AE%BE%E4%B8%AD%E9%95%BF%E6%9C%9F%E8%A7%84%E5%88%92%EF%BC%882012%E2%80%942030%E5%B9%B4%EF%BC%89/7276618" TargetMode="External" Id="rId82"/><Relationship Type="http://schemas.openxmlformats.org/officeDocument/2006/relationships/hyperlink" Target="https://www.gov.cn/zhengce/zhengceku/2015-05/19/content_9784.htm" TargetMode="External" Id="rId83"/><Relationship Type="http://schemas.openxmlformats.org/officeDocument/2006/relationships/hyperlink" Target="https://www.gov.cn/gongbao/content/2017/content_5230289.htm" TargetMode="External" Id="rId84"/><Relationship Type="http://schemas.openxmlformats.org/officeDocument/2006/relationships/hyperlink" Target="http://zfxxgk.nea.gov.cn/2021-09/17/c_1310193456.htm" TargetMode="External" Id="rId85"/><Relationship Type="http://schemas.openxmlformats.org/officeDocument/2006/relationships/hyperlink" Target="https://www.ndrc.gov.cn/xxgk/zcfb/ghwb/202203/P020220323314396580505.pdf" TargetMode="External" Id="rId86"/><Relationship Type="http://schemas.openxmlformats.org/officeDocument/2006/relationships/hyperlink" Target="https://xxgk.mot.gov.cn/jigou/kjs/202203/t20220325_3647752.html" TargetMode="External" Id="rId87"/><Relationship Type="http://schemas.openxmlformats.org/officeDocument/2006/relationships/hyperlink" Target="https://baike.baidu.com/item/%E7%85%A4%E7%82%AD%E5%B7%A5%E4%B8%9A%E5%8F%91%E5%B1%95%E2%80%9C%E5%8D%81%E4%B8%80%E4%BA%94%E2%80%9D%E8%A7%84%E5%88%92/4073357" TargetMode="External" Id="rId88"/><Relationship Type="http://schemas.openxmlformats.org/officeDocument/2006/relationships/hyperlink" Target="https://zfxxgk.nea.gov.cn/auto79/201109/P020110921527315023013.pdf" TargetMode="External" Id="rId89"/><Relationship Type="http://schemas.openxmlformats.org/officeDocument/2006/relationships/hyperlink" Target="https://www.nea.gov.cn/2006-06/28/c_131215308.htm" TargetMode="External" Id="rId90"/><Relationship Type="http://schemas.openxmlformats.org/officeDocument/2006/relationships/hyperlink" Target="https://www.gov.cn/zhengce/zhengceku/2012-01/13/content_1294.htm" TargetMode="External" Id="rId91"/><Relationship Type="http://schemas.openxmlformats.org/officeDocument/2006/relationships/hyperlink" Target="https://baike.baidu.com/item/%E5%85%AC%E8%B7%AF%E6%B0%B4%E8%B7%AF%E4%BA%A4%E9%80%9A%E8%BF%90%E8%BE%93%E8%8A%82%E8%83%BD%E5%87%8F%E6%8E%92%E2%80%9C%E5%8D%81%E4%BA%8C%E4%BA%94%E2%80%9D%E8%A7%84%E5%88%92/3380241" TargetMode="External" Id="rId92"/><Relationship Type="http://schemas.openxmlformats.org/officeDocument/2006/relationships/hyperlink" Target="https://baike.baidu.com/item/%E7%85%A4%E5%B1%82%E6%B0%94%EF%BC%88%E7%85%A4%E7%9F%BF%E7%93%A6%E6%96%AF%EF%BC%89%E5%BC%80%E5%8F%91%E5%88%A9%E7%94%A8%E2%80%9C%E5%8D%81%E4%BA%8C%E4%BA%94%E2%80%9D%E8%A7%84%E5%88%92/5838983?fromModule=search-result_lemma" TargetMode="External" Id="rId93"/><Relationship Type="http://schemas.openxmlformats.org/officeDocument/2006/relationships/hyperlink" Target="https://www.gov.cn/zwgk/2012-08/21/content_2207867.htm" TargetMode="External" Id="rId94"/><Relationship Type="http://schemas.openxmlformats.org/officeDocument/2006/relationships/hyperlink" Target="https://www.most.gov.cn/xxgk/xinxifenlei/fdzdgknr/fgzc/gfxwj/gfxwj2012/201211/t20121101_97552.html" TargetMode="External" Id="rId95"/><Relationship Type="http://schemas.openxmlformats.org/officeDocument/2006/relationships/hyperlink" Target="https://www.gov.cn/gongbao/content/2012/content_2192397.htm" TargetMode="External" Id="rId96"/><Relationship Type="http://schemas.openxmlformats.org/officeDocument/2006/relationships/hyperlink" Target="https://zfxxgk.nea.gov.cn/auto87/201209/t20120912_1510.htm" TargetMode="External" Id="rId97"/><Relationship Type="http://schemas.openxmlformats.org/officeDocument/2006/relationships/hyperlink" Target="https://www.nea.gov.cn/2012-04/26/c_131551940.htm" TargetMode="External" Id="rId98"/><Relationship Type="http://schemas.openxmlformats.org/officeDocument/2006/relationships/hyperlink" Target="https://www.iea.org/policies/5471-wind-power-technology-development-12th-five-year-special-planning" TargetMode="External" Id="rId99"/><Relationship Type="http://schemas.openxmlformats.org/officeDocument/2006/relationships/hyperlink" Target="https://policy.asiapacificenergy.org/sites/default/files/12th%20Five%20Year%20Plan%20of%20Renewable%20Energy%20Development%20%28CH%29.pdf" TargetMode="External" Id="rId100"/><Relationship Type="http://schemas.openxmlformats.org/officeDocument/2006/relationships/hyperlink" Target="https://baike.baidu.com/item/%E7%85%A4%E7%82%AD%E5%B7%A5%E4%B8%9A%E5%8F%91%E5%B1%95%E2%80%9C%E5%8D%81%E4%BA%8C%E4%BA%94%E2%80%9D%E8%A7%84%E5%88%92?fromModule=lemma_search-box" TargetMode="External" Id="rId101"/><Relationship Type="http://schemas.openxmlformats.org/officeDocument/2006/relationships/hyperlink" Target="https://www.most.gov.cn/xxgk/xinxifenlei/fdzdgknr/fgzc/gfxwj/gfxwj2013/201303/t20130315_100225.html" TargetMode="External" Id="rId102"/><Relationship Type="http://schemas.openxmlformats.org/officeDocument/2006/relationships/hyperlink" Target="https://www.gov.cn/zwgk/2013-01/23/content_2318554.htm" TargetMode="External" Id="rId103"/><Relationship Type="http://schemas.openxmlformats.org/officeDocument/2006/relationships/hyperlink" Target="https://www.gov.cn/zhengce/zhengceku/2017-01/05/content_5156789.htm" TargetMode="External" Id="rId104"/><Relationship Type="http://schemas.openxmlformats.org/officeDocument/2006/relationships/hyperlink" Target="https://www.ndrc.gov.cn/fggz/fzzlgh/gjjzxgh/201708/t20170809_1196881.html?code=&amp;state=123" TargetMode="External" Id="rId105"/><Relationship Type="http://schemas.openxmlformats.org/officeDocument/2006/relationships/hyperlink" Target="https://www.ndrc.gov.cn/xxgk/zcfb/tz/201701/t20170117_962873.html?code=&amp;state=123" TargetMode="External" Id="rId106"/><Relationship Type="http://schemas.openxmlformats.org/officeDocument/2006/relationships/hyperlink" Target="https://www.ndrc.gov.cn/xxgk/zcfb/tz/201612/t20161230_962836.html" TargetMode="External" Id="rId107"/><Relationship Type="http://schemas.openxmlformats.org/officeDocument/2006/relationships/hyperlink" Target="https://fjb.nea.gov.cn/xxgk/zcfg/202311/t20231114_217580.html" TargetMode="External" Id="rId108"/><Relationship Type="http://schemas.openxmlformats.org/officeDocument/2006/relationships/hyperlink" Target="http://www.gov.cn/xinwen/2016-12/06/content_5143612.htm" TargetMode="External" Id="rId109"/><Relationship Type="http://schemas.openxmlformats.org/officeDocument/2006/relationships/hyperlink" Target="https://zfxxgk.ndrc.gov.cn/web/iteminfo.jsp?id=398" TargetMode="External" Id="rId110"/><Relationship Type="http://schemas.openxmlformats.org/officeDocument/2006/relationships/hyperlink" Target="http://www.nea.gov.cn/2016-11/29/c_135867633.htm" TargetMode="External" Id="rId111"/><Relationship Type="http://schemas.openxmlformats.org/officeDocument/2006/relationships/hyperlink" Target="http://zfxxgk.nea.gov.cn/auto87/201612/t20161216_2358.htm" TargetMode="External" Id="rId112"/><Relationship Type="http://schemas.openxmlformats.org/officeDocument/2006/relationships/hyperlink" Target="http://www.gov.cn/xinwen/2016-05/20/content_5074981.htm" TargetMode="External" Id="rId113"/><Relationship Type="http://schemas.openxmlformats.org/officeDocument/2006/relationships/hyperlink" Target="https://www.ndrc.gov.cn/xxgk/zcfb/ghwb/201701/t20170122_962224.html" TargetMode="External" Id="rId114"/><Relationship Type="http://schemas.openxmlformats.org/officeDocument/2006/relationships/hyperlink" Target="https://www.gov.cn/zhengce/content/2016-12/19/content_5150090.htm" TargetMode="External" Id="rId115"/><Relationship Type="http://schemas.openxmlformats.org/officeDocument/2006/relationships/hyperlink" Target="http://www.gov.cn/xinwen/2016-09/30/content_5114313.htm" TargetMode="External" Id="rId116"/><Relationship Type="http://schemas.openxmlformats.org/officeDocument/2006/relationships/hyperlink" Target="https://www.mee.gov.cn/ywgz/ydqhbh/wsqtkz/201904/t20190419_700360.shtml" TargetMode="External" Id="rId117"/><Relationship Type="http://schemas.openxmlformats.org/officeDocument/2006/relationships/hyperlink" Target="https://www.ndrc.gov.cn/xxgk/zcfb/ghwb/201612/t20161216_962211.html" TargetMode="External" Id="rId118"/><Relationship Type="http://schemas.openxmlformats.org/officeDocument/2006/relationships/hyperlink" Target="https://zjjcmspublic.oss-cn-hangzhou-zwynet-d01-a.internet.cloud.zj.gov.cn/jcms_files/jcms1/web3234/site/attach/0/562db9fdbf644a6996c8e7dc97c18dfc.pdf" TargetMode="External" Id="rId119"/><Relationship Type="http://schemas.openxmlformats.org/officeDocument/2006/relationships/hyperlink" Target="https://baike.baidu.com/item/%E5%85%AC%E5%85%B1%E6%9C%BA%E6%9E%84%E8%8A%82%E7%BA%A6%E8%83%BD%E6%BA%90%E8%B5%84%E6%BA%90%E5%8D%81%E4%B8%89%E4%BA%94%E8%A7%84%E5%88%92/19879514" TargetMode="External" Id="rId120"/><Relationship Type="http://schemas.openxmlformats.org/officeDocument/2006/relationships/hyperlink" Target="https://xxgk.mot.gov.cn/jigou/fgs/202006/t20200623_3307639.html" TargetMode="External" Id="rId121"/><Relationship Type="http://schemas.openxmlformats.org/officeDocument/2006/relationships/hyperlink" Target="https://gc.mnr.gov.cn/201806/t20180614_1796496.html" TargetMode="External" Id="rId122"/><Relationship Type="http://schemas.openxmlformats.org/officeDocument/2006/relationships/hyperlink" Target="https://en.gem.com.cn/upload/2017-01/06/6guanyuyinfashisanwujienenghuanbaochanyefazhanguihuadetongzhi.pdf" TargetMode="External" Id="rId123"/><Relationship Type="http://schemas.openxmlformats.org/officeDocument/2006/relationships/hyperlink" Target="https://www.ndrc.gov.cn/fggz/hjyzy/jnhnx/201701/t20170105_1134128.html?code=&amp;state=123" TargetMode="External" Id="rId124"/><Relationship Type="http://schemas.openxmlformats.org/officeDocument/2006/relationships/hyperlink" Target="https://www.ndrc.gov.cn/xxgk/zcfb/tz/201701/t20170119_962876.html?code=&amp;state=123" TargetMode="External" Id="rId125"/><Relationship Type="http://schemas.openxmlformats.org/officeDocument/2006/relationships/hyperlink" Target="https://www.ndrc.gov.cn/fggz/fzzlgh/gjjzxgh/201706/t20170621_1196816.html" TargetMode="External" Id="rId126"/><Relationship Type="http://schemas.openxmlformats.org/officeDocument/2006/relationships/hyperlink" Target="https://ccnt.igdp.cn/en/action-database/details/39e0200d00a3f18ff35701521411b80549eb9ab764543c50978e38d3fa57e438" TargetMode="External" Id="rId127"/><Relationship Type="http://schemas.openxmlformats.org/officeDocument/2006/relationships/hyperlink" Target="http://www.nea.gov.cn/2017-02/06/c_136035635.htm" TargetMode="External" Id="rId128"/><Relationship Type="http://schemas.openxmlformats.org/officeDocument/2006/relationships/hyperlink" Target="https://www.most.gov.cn/xxgk/xinxifenlei/fdzdgknr/fgzc/gfxwj/gfxwj2017/201705/t20170517_132850.html" TargetMode="External" Id="rId129"/><Relationship Type="http://schemas.openxmlformats.org/officeDocument/2006/relationships/hyperlink" Target="https://baike.baidu.com/item/%E2%80%9C%E5%8D%81%E4%B8%89%E4%BA%94%E2%80%9D%E7%8E%B0%E4%BB%A3%E7%BB%BC%E5%90%88%E4%BA%A4%E9%80%9A%E8%BF%90%E8%BE%93%E4%BD%93%E7%B3%BB%E5%8F%91%E5%B1%95%E8%A7%84%E5%88%92/20457990" TargetMode="External" Id="rId130"/><Relationship Type="http://schemas.openxmlformats.org/officeDocument/2006/relationships/hyperlink" Target="https://www.chinanecc.cn/upload/File/1489627753056.pdf" TargetMode="External" Id="rId131"/><Relationship Type="http://schemas.openxmlformats.org/officeDocument/2006/relationships/hyperlink" Target="http://www.gov.cn/zhengce/zhengceku/2021-12/03/content_5655701.htm" TargetMode="External" Id="rId132"/><Relationship Type="http://schemas.openxmlformats.org/officeDocument/2006/relationships/hyperlink" Target="https://www.gov.cn/zhengce/zhengceku/2021-12/29/5665166/files/90c1c79a00b44c67b59c29392476c862.pdf" TargetMode="External" Id="rId133"/><Relationship Type="http://schemas.openxmlformats.org/officeDocument/2006/relationships/hyperlink" Target="https://www.gov.cn/zhengce/content/2022-01/18/content_5669049.htm" TargetMode="External" Id="rId134"/><Relationship Type="http://schemas.openxmlformats.org/officeDocument/2006/relationships/hyperlink" Target="https://www.gov.cn/zhengce/zhengceku/2022-01/21/content_5669662.htm" TargetMode="External" Id="rId135"/><Relationship Type="http://schemas.openxmlformats.org/officeDocument/2006/relationships/hyperlink" Target="https://www.ndrc.gov.cn/xxgk/zcfb/ghwb/202206/t20220601_1326719.html" TargetMode="External" Id="rId136"/><Relationship Type="http://schemas.openxmlformats.org/officeDocument/2006/relationships/hyperlink" Target="https://www.gov.cn/zhengce/content/2022-01/24/content_5670202.htm" TargetMode="External" Id="rId137"/><Relationship Type="http://schemas.openxmlformats.org/officeDocument/2006/relationships/hyperlink" Target="https://www.gov.cn/zhengce/zhengceku/2021-11/14/content_5650830.htm" TargetMode="External" Id="rId138"/><Relationship Type="http://schemas.openxmlformats.org/officeDocument/2006/relationships/hyperlink" Target="http://www.forestry.gov.cn/c/www/lczc/44287.jhtml" TargetMode="External" Id="rId139"/><Relationship Type="http://schemas.openxmlformats.org/officeDocument/2006/relationships/hyperlink" Target="http://www.moa.gov.cn/govpublic/FZJHS/202109/t20210907_6375844.htm" TargetMode="External" Id="rId140"/><Relationship Type="http://schemas.openxmlformats.org/officeDocument/2006/relationships/hyperlink" Target="http://zfxxgk.nea.gov.cn/1310540453_16488637054861n.pdf" TargetMode="External" Id="rId141"/><Relationship Type="http://schemas.openxmlformats.org/officeDocument/2006/relationships/hyperlink" Target="https://www.gov.cn/zhengce/content/2021-12/12/content_5660244.htm" TargetMode="External" Id="rId142"/><Relationship Type="http://schemas.openxmlformats.org/officeDocument/2006/relationships/hyperlink" Target="http://www.greenfood.agri.cn/tzgg/202306/t20230612_7995081.htm" TargetMode="External" Id="rId143"/><Relationship Type="http://schemas.openxmlformats.org/officeDocument/2006/relationships/hyperlink" Target="https://www.ndrc.gov.cn/xxgk/zcfb/ghwb/202107/t20210707_1285527.html?code=&amp;state=123" TargetMode="External" Id="rId144"/><Relationship Type="http://schemas.openxmlformats.org/officeDocument/2006/relationships/hyperlink" Target="https://www.ndrc.gov.cn/xxgk/zcfb/tz/202111/t20211109_1303467.html?code=&amp;state=123" TargetMode="External" Id="rId145"/><Relationship Type="http://schemas.openxmlformats.org/officeDocument/2006/relationships/hyperlink" Target="https://www.ggj.gov.cn/tzgg/202106/t20210604_32593.htm" TargetMode="External" Id="rId146"/><Relationship Type="http://schemas.openxmlformats.org/officeDocument/2006/relationships/hyperlink" Target="https://www.mee.gov.cn/xxgk2018/xxgk/xxgk03/202112/t20211215_964275.html" TargetMode="External" Id="rId147"/><Relationship Type="http://schemas.openxmlformats.org/officeDocument/2006/relationships/hyperlink" Target="https://www.sac.gov.cn/xxgk/zcwj/art/2021/art_51ab9411394a44d78985f6f5efdc80a7.html" TargetMode="External" Id="rId148"/><Relationship Type="http://schemas.openxmlformats.org/officeDocument/2006/relationships/hyperlink" Target="https://www.ndrc.gov.cn/xxgk/zcfb/ghwb/202203/t20220322_1320016.html?code=&amp;state=123" TargetMode="External" Id="rId149"/><Relationship Type="http://schemas.openxmlformats.org/officeDocument/2006/relationships/hyperlink" Target="https://www.gov.cn/zhengce/zhengceku/2022-01/27/5670687/files/12d50c613b344165afb21bc596a190fc.pdf" TargetMode="External" Id="rId150"/><Relationship Type="http://schemas.openxmlformats.org/officeDocument/2006/relationships/hyperlink" Target="http://zfxxgk.nea.gov.cn/2022-01/29/c_1310523208.htm" TargetMode="External" Id="rId151"/><Relationship Type="http://schemas.openxmlformats.org/officeDocument/2006/relationships/hyperlink" Target="https://www.gov.cn/zhengce/content/2022-02/11/content_5673082.htm" TargetMode="External" Id="rId152"/><Relationship Type="http://schemas.openxmlformats.org/officeDocument/2006/relationships/hyperlink" Target="https://www.ndrc.gov.cn/xwdt/tzgg/202205/P020220510324283427632.pdf" TargetMode="External" Id="rId153"/><Relationship Type="http://schemas.openxmlformats.org/officeDocument/2006/relationships/hyperlink" Target="https://www.mee.gov.cn/xxgk2018/xxgk/xxgk10/202211/t20221102_999489.html" TargetMode="External" Id="rId154"/><Relationship Type="http://schemas.openxmlformats.org/officeDocument/2006/relationships/hyperlink" Target="https://www.gov.cn/zhengce/zhengceku/2022-03/12/content_5678698.htm" TargetMode="External" Id="rId155"/><Relationship Type="http://schemas.openxmlformats.org/officeDocument/2006/relationships/hyperlink" Target="https://www.gov.cn/zhengce/content/202605/content_7070539.htm" TargetMode="External" Id="rId156"/><Relationship Type="http://schemas.openxmlformats.org/officeDocument/2006/relationships/hyperlink" Target="https://www.gov.cn/gongbao/content/2012/content_2182749.htm" TargetMode="External" Id="rId157"/><Relationship Type="http://schemas.openxmlformats.org/officeDocument/2006/relationships/hyperlink" Target="https://www.gov.cn/gongbao/content/2013/content_2339517.htm" TargetMode="External" Id="rId158"/><Relationship Type="http://schemas.openxmlformats.org/officeDocument/2006/relationships/hyperlink" Target="https://fjb.nea.gov.cn/xxgk/zcfg/202311/t20231114_217452.html" TargetMode="External" Id="rId159"/><Relationship Type="http://schemas.openxmlformats.org/officeDocument/2006/relationships/hyperlink" Target="https://www.gov.cn/xinwen/2015-05/28/content_2869902.htm" TargetMode="External" Id="rId160"/><Relationship Type="http://schemas.openxmlformats.org/officeDocument/2006/relationships/hyperlink" Target="http://www.scio.gov.cn/xwfbh/xwbfbh/wqfbh/33978/34888/xgzc34894/Document/1484864/1484864.htm" TargetMode="External" Id="rId161"/><Relationship Type="http://schemas.openxmlformats.org/officeDocument/2006/relationships/hyperlink" Target="https://www.gov.cn/gongbao/content/2020/content_5560291.htm" TargetMode="External" Id="rId162"/><Relationship Type="http://schemas.openxmlformats.org/officeDocument/2006/relationships/hyperlink" Target="https://www.ndrc.gov.cn/xxgk/zcfb/tz/202109/t20210916_1296856.html" TargetMode="External" Id="rId163"/><Relationship Type="http://schemas.openxmlformats.org/officeDocument/2006/relationships/hyperlink" Target="https://wenku.baidu.com/view/56f0541afc4ffe473368aba4?fr=xueshu&amp;_wkts_=1745936543293&amp;needWelcomeRecommand=1" TargetMode="External" Id="rId164"/><Relationship Type="http://schemas.openxmlformats.org/officeDocument/2006/relationships/hyperlink" Target="https://wenku.baidu.com/view/a9808ddee309581b6bd97f19227916888486b9ad.html?fr=aladdin266&amp;ind=1&amp;aigcsid=0&amp;qtype=0&amp;lcid=1&amp;queryKey=&#24314;&#35774;&#20302;&#30899;&#20132;&#36890;&#31995;&#32479;&#25351;&#23548;&#24847;&#35265;+2011&amp;verifyType=undefined&amp;_wkts_=1745936736044&amp;bdQuery=&#24314;&#35774;&#20302;&#30899;&#20132;&#36890;&#31995;&#32479;&#25351;&#23548;&#24847;&#35265;+2011" TargetMode="External" Id="rId165"/><Relationship Type="http://schemas.openxmlformats.org/officeDocument/2006/relationships/hyperlink" Target="https://www.gov.cn/gongbao/content/2013/content_2466586.htm" TargetMode="External" Id="rId166"/><Relationship Type="http://schemas.openxmlformats.org/officeDocument/2006/relationships/hyperlink" Target="https://www.gov.cn/zhengce/content/2013-10/18/content_4854.htm" TargetMode="External" Id="rId167"/><Relationship Type="http://schemas.openxmlformats.org/officeDocument/2006/relationships/hyperlink" Target="https://wenku.baidu.com/view/d47e12424b2fb4daa58da0116c175f0e7cd119d4.html?fr=aladdin266&amp;ind=1&amp;aigcsid=0&amp;qtype=0&amp;lcid=1&amp;queryKey=&#21152;&#24555;&#29983;&#20135;&#24615;&#26381;&#21153;&#19994;&#21457;&#23637;&#25512;&#21160;&#20135;&#19994;&#32467;&#26500;&#35843;&#25972;&#21319;&#32423;&#30340;&#25351;&#23548;&#24847;&#35265;+2014&amp;verifyType=undefined&amp;_wkts_=1745937405223&amp;bdQuery=&#21152;&#24555;&#29983;&#20135;&#24615;&#26381;&#21153;&#19994;&#21457;&#23637;&#25512;&#21160;&#20135;&#19994;&#32467;&#26500;&#35843;&#25972;&#21319;&#32423;&#30340;&#25351;&#23548;&#24847;&#35265;+2014" TargetMode="External" Id="rId168"/><Relationship Type="http://schemas.openxmlformats.org/officeDocument/2006/relationships/hyperlink" Target="https://www.gov.cn/gongbao/content/2014/content_2723629.htm" TargetMode="External" Id="rId169"/><Relationship Type="http://schemas.openxmlformats.org/officeDocument/2006/relationships/hyperlink" Target="https://www.forestry.gov.cn/uploadfile/gfxwj/201419/4880f0ef-74d4-4458-a4a6-2c57c5536b73.pdf" TargetMode="External" Id="rId170"/><Relationship Type="http://schemas.openxmlformats.org/officeDocument/2006/relationships/hyperlink" Target="https://zfxxgk.nea.gov.cn/auto82/201401/t20140124_1756.htm" TargetMode="External" Id="rId171"/><Relationship Type="http://schemas.openxmlformats.org/officeDocument/2006/relationships/hyperlink" Target="https://zfxxgk.nea.gov.cn/auto85/201503/t20150325_1894.htm" TargetMode="External" Id="rId172"/><Relationship Type="http://schemas.openxmlformats.org/officeDocument/2006/relationships/hyperlink" Target="https://www.mee.gov.cn/gkml/hbb/gwy/201611/t20161124_368163.htm" TargetMode="External" Id="rId173"/><Relationship Type="http://schemas.openxmlformats.org/officeDocument/2006/relationships/hyperlink" Target="http://zfxxgk.nea.gov.cn/auto87/201603/t20160303_2205.htm" TargetMode="External" Id="rId174"/><Relationship Type="http://schemas.openxmlformats.org/officeDocument/2006/relationships/hyperlink" Target="http://www.hrcshp.org/cn/onews.asp?id=1552" TargetMode="External" Id="rId175"/><Relationship Type="http://schemas.openxmlformats.org/officeDocument/2006/relationships/hyperlink" Target="http://zfxxgk.nea.gov.cn/auto87/201707/t20170728_2835.htm" TargetMode="External" Id="rId176"/><Relationship Type="http://schemas.openxmlformats.org/officeDocument/2006/relationships/hyperlink" Target="https://www.gov.cn/xinwen/2017-09/20/content_5226347.htm" TargetMode="External" Id="rId177"/><Relationship Type="http://schemas.openxmlformats.org/officeDocument/2006/relationships/hyperlink" Target="http://zfxxgk.nea.gov.cn/auto87/201707/t20170728_2835.htm" TargetMode="External" Id="rId178"/><Relationship Type="http://schemas.openxmlformats.org/officeDocument/2006/relationships/hyperlink" Target="https://www.nea.gov.cn/2017-10/11/c_136672015.htm" TargetMode="External" Id="rId179"/><Relationship Type="http://schemas.openxmlformats.org/officeDocument/2006/relationships/hyperlink" Target="http://zfxxgk.nea.gov.cn/auto87/201712/t20171228_3085.htm" TargetMode="External" Id="rId180"/><Relationship Type="http://schemas.openxmlformats.org/officeDocument/2006/relationships/hyperlink" Target="https://www.ndrc.gov.cn/xxgk/zcfb/tz/201803/t20180323_962694.html?code=&amp;state=123" TargetMode="External" Id="rId181"/><Relationship Type="http://schemas.openxmlformats.org/officeDocument/2006/relationships/hyperlink" Target="https://www.most.gov.cn/xxgk/xinxifenlei/fdzdgknr/fgzc/gfxwj/gfxwj2019/201905/t20190514_146515.html" TargetMode="External" Id="rId182"/><Relationship Type="http://schemas.openxmlformats.org/officeDocument/2006/relationships/hyperlink" Target="https://www.gov.cn/zhengce/2019-06/26/content_5403497.htm" TargetMode="External" Id="rId183"/><Relationship Type="http://schemas.openxmlformats.org/officeDocument/2006/relationships/hyperlink" Target="https://www.gov.cn/gongbao/content/2019/content_5407670.htm" TargetMode="External" Id="rId184"/><Relationship Type="http://schemas.openxmlformats.org/officeDocument/2006/relationships/hyperlink" Target="https://www.gov.cn/xinwen/2019-02/14/content_5365516.htm" TargetMode="External" Id="rId185"/><Relationship Type="http://schemas.openxmlformats.org/officeDocument/2006/relationships/hyperlink" Target="https://www.mee.gov.cn/xxgk2018/xxgk/xxgk03/202010/t20201026_804792.html" TargetMode="External" Id="rId186"/><Relationship Type="http://schemas.openxmlformats.org/officeDocument/2006/relationships/hyperlink" Target="http://zfxxgk.nea.gov.cn/2020-09/29/c_139629966.htm" TargetMode="External" Id="rId187"/><Relationship Type="http://schemas.openxmlformats.org/officeDocument/2006/relationships/hyperlink" Target="http://www.nea.gov.cn/2020-06/22/c_139158412.htm" TargetMode="External" Id="rId188"/><Relationship Type="http://schemas.openxmlformats.org/officeDocument/2006/relationships/hyperlink" Target="https://www.ndrc.gov.cn/xxgk/zcfb/ghxwj/202107/t20210723_1291321.html?code=&amp;state=123" TargetMode="External" Id="rId189"/><Relationship Type="http://schemas.openxmlformats.org/officeDocument/2006/relationships/hyperlink" Target="https://www.mee.gov.cn/xxgk2018/xxgk/xxgk03/202101/t20210113_817221.html" TargetMode="External" Id="rId190"/><Relationship Type="http://schemas.openxmlformats.org/officeDocument/2006/relationships/hyperlink" Target="https://www.gov.cn/zhengce/content/2021-02/22/content_5588274.htm" TargetMode="External" Id="rId191"/><Relationship Type="http://schemas.openxmlformats.org/officeDocument/2006/relationships/hyperlink" Target="http://www.gov.cn/zhengce/content/2021-06/02/content_5614922.htm" TargetMode="External" Id="rId192"/><Relationship Type="http://schemas.openxmlformats.org/officeDocument/2006/relationships/hyperlink" Target="https://www.ndrc.gov.cn/xxgk/zcfb/ghxwj/202103/t20210305_1269046.html?code=&amp;state=123" TargetMode="External" Id="rId193"/><Relationship Type="http://schemas.openxmlformats.org/officeDocument/2006/relationships/hyperlink" Target="https://www.miit.gov.cn/jgsj/cws/wjfb/art/2021/art_cd604c71686e4f18a15c5c966fe32b13.html" TargetMode="External" Id="rId194"/><Relationship Type="http://schemas.openxmlformats.org/officeDocument/2006/relationships/hyperlink" Target="https://www.gov.cn/zhengce/zhengceku/2021-06/01/content_5614531.htm" TargetMode="External" Id="rId195"/><Relationship Type="http://schemas.openxmlformats.org/officeDocument/2006/relationships/hyperlink" Target="https://www.gov.cn/zhengce/zhengceku/2021-03/25/content_5595566.htm" TargetMode="External" Id="rId196"/><Relationship Type="http://schemas.openxmlformats.org/officeDocument/2006/relationships/hyperlink" Target="https://www.gov.cn/zhengce/zhengceku/2022-01/15/content_5668321.htm" TargetMode="External" Id="rId197"/><Relationship Type="http://schemas.openxmlformats.org/officeDocument/2006/relationships/hyperlink" Target="http://www.sasac.gov.cn/n2588035/c22499825/content.html" TargetMode="External" Id="rId198"/><Relationship Type="http://schemas.openxmlformats.org/officeDocument/2006/relationships/hyperlink" Target="https://www.mee.gov.cn/xxgk2018/xxgk/xxgk03/202105/t20210531_835481.html" TargetMode="External" Id="rId199"/><Relationship Type="http://schemas.openxmlformats.org/officeDocument/2006/relationships/hyperlink" Target="https://wap.miit.gov.cn/zwgk/zcwj/wjfb/yj/art/2021/art_77c69053e7174d63920c1406fa0567c7.html" TargetMode="External" Id="rId200"/><Relationship Type="http://schemas.openxmlformats.org/officeDocument/2006/relationships/hyperlink" Target="https://www.ndrc.gov.cn/xxgk/zcfb/tz/202201/t20220128_1313653.html?code=&amp;state=123" TargetMode="External" Id="rId201"/><Relationship Type="http://schemas.openxmlformats.org/officeDocument/2006/relationships/hyperlink" Target="https://www.ndrc.gov.cn/xxgk/zcfb/tz/202201/t20220121_1312656.html?code=&amp;state=123" TargetMode="External" Id="rId202"/><Relationship Type="http://schemas.openxmlformats.org/officeDocument/2006/relationships/hyperlink" Target="http://zfxxgk.nea.gov.cn/2022-03/17/c_1310534134.htm" TargetMode="External" Id="rId203"/><Relationship Type="http://schemas.openxmlformats.org/officeDocument/2006/relationships/hyperlink" Target="https://www.gov.cn/zhengce/zhengceku/2022-02/08/content_5672513.htm" TargetMode="External" Id="rId204"/><Relationship Type="http://schemas.openxmlformats.org/officeDocument/2006/relationships/hyperlink" Target="https://www.gov.cn/gongbao/content/2022/content_5696258.htm" TargetMode="External" Id="rId205"/><Relationship Type="http://schemas.openxmlformats.org/officeDocument/2006/relationships/hyperlink" Target="http://fzzx.shiyan.gov.cn/index.php?a=show&amp;catid=14&amp;id=791" TargetMode="External" Id="rId206"/><Relationship Type="http://schemas.openxmlformats.org/officeDocument/2006/relationships/hyperlink" Target="https://www.miit.gov.cn/jgsj/xfpgys/wjfb/art/2022/art_e35a9d4e01434af6b10ef17c5e177d37.html" TargetMode="External" Id="rId207"/><Relationship Type="http://schemas.openxmlformats.org/officeDocument/2006/relationships/hyperlink" Target="https://www.gov.cn/zhengce/zhengceku/2022-06/19/content_5696665.htm" TargetMode="External" Id="rId208"/><Relationship Type="http://schemas.openxmlformats.org/officeDocument/2006/relationships/hyperlink" Target="https://www.ndrc.gov.cn/xxgk/zcfb/tz/202302/t20230224_1349405.html" TargetMode="External" Id="rId209"/><Relationship Type="http://schemas.openxmlformats.org/officeDocument/2006/relationships/hyperlink" Target="https://www.ndrc.gov.cn/xxgk/zcfb/tz/202308/t20230817_1359879.html" TargetMode="External" Id="rId210"/><Relationship Type="http://schemas.openxmlformats.org/officeDocument/2006/relationships/hyperlink" Target="https://www.miit.gov.cn/zwgk/zcwj/wjfb/yj/art/2023/art_5fe76c58f263450ebc92c903427a6d12.html" TargetMode="External" Id="rId211"/><Relationship Type="http://schemas.openxmlformats.org/officeDocument/2006/relationships/hyperlink" Target="https://www.ndrc.gov.cn/xxgk/zcfb/tz/202310/t20231025_1361500_ext.html" TargetMode="External" Id="rId212"/><Relationship Type="http://schemas.openxmlformats.org/officeDocument/2006/relationships/hyperlink" Target="https://www.ndrc.gov.cn/xxgk/zcfb/tz/202310/t20231025_1361514_ext.html" TargetMode="External" Id="rId213"/><Relationship Type="http://schemas.openxmlformats.org/officeDocument/2006/relationships/hyperlink" Target="https://www.gov.cn/zhengce/content/202306/content_6887167.htm" TargetMode="External" Id="rId214"/><Relationship Type="http://schemas.openxmlformats.org/officeDocument/2006/relationships/hyperlink" Target="https://www.gov.cn/zhengce/zhengceku/202312/content_6923270.htm" TargetMode="External" Id="rId215"/><Relationship Type="http://schemas.openxmlformats.org/officeDocument/2006/relationships/hyperlink" Target="https://baike.baidu.com/item/2023%E5%B9%B4%E8%83%BD%E6%BA%90%E5%B7%A5%E4%BD%9C%E6%8C%87%E5%AF%BC%E6%84%8F%E8%A7%81/62882234" TargetMode="External" Id="rId216"/><Relationship Type="http://schemas.openxmlformats.org/officeDocument/2006/relationships/hyperlink" Target="https://www.miit.gov.cn/jgsj/jns/gzdt/art/2024/art_9fe98a60fb3546a8b3d11f0d70e00401.html" TargetMode="External" Id="rId217"/><Relationship Type="http://schemas.openxmlformats.org/officeDocument/2006/relationships/hyperlink" Target="https://www.ndrc.gov.cn/xxgk/zcfb/tz/202403/t20240301_1364313.html" TargetMode="External" Id="rId218"/><Relationship Type="http://schemas.openxmlformats.org/officeDocument/2006/relationships/hyperlink" Target="https://www.ndrc.gov.cn/xxgk/zcfb/tz/202410/t20241030_1394119.html" TargetMode="External" Id="rId219"/><Relationship Type="http://schemas.openxmlformats.org/officeDocument/2006/relationships/hyperlink" Target="http://www.moa.gov.cn/govpublic/FZJHS/202412/t20241230_6468640.htm" TargetMode="External" Id="rId220"/><Relationship Type="http://schemas.openxmlformats.org/officeDocument/2006/relationships/hyperlink" Target="https://zfxxgk.nea.gov.cn/2024-11/28/c_1212408354.htm" TargetMode="External" Id="rId221"/><Relationship Type="http://schemas.openxmlformats.org/officeDocument/2006/relationships/hyperlink" Target="https://www.gov.cn/zhengce/zhengceku/202504/content_7018244.htm" TargetMode="External" Id="rId222"/><Relationship Type="http://schemas.openxmlformats.org/officeDocument/2006/relationships/hyperlink" Target="https://xxgk.mot.gov.cn/2020/jigou/zhghs/202504/t20250425_4167770.html" TargetMode="External" Id="rId223"/><Relationship Type="http://schemas.openxmlformats.org/officeDocument/2006/relationships/hyperlink" Target="https://www.nea.gov.cn/20250227/105a07a9be2c4727b7fe12c11c7b84cf/c.html" TargetMode="External" Id="rId224"/><Relationship Type="http://schemas.openxmlformats.org/officeDocument/2006/relationships/hyperlink" Target="https://www.gov.cn/zhengce/zhengceku/202502/content_7005459.htm" TargetMode="External" Id="rId225"/><Relationship Type="http://schemas.openxmlformats.org/officeDocument/2006/relationships/hyperlink" Target="https://www.gov.cn/lianbo/bumen/202508/content_7035298.htm" TargetMode="External" Id="rId226"/><Relationship Type="http://schemas.openxmlformats.org/officeDocument/2006/relationships/hyperlink" Target="https://www.gov.cn/zhengce/content/202503/content_7010604.htm" TargetMode="External" Id="rId227"/><Relationship Type="http://schemas.openxmlformats.org/officeDocument/2006/relationships/hyperlink" Target="https://www.nea.gov.cn/20250922/32bc258f77744d408b2a7acca9aff818/c.html" TargetMode="External" Id="rId228"/><Relationship Type="http://schemas.openxmlformats.org/officeDocument/2006/relationships/hyperlink" Target="https://zfxxgk.ndrc.gov.cn/web/iteminfo.jsp?id=20561" TargetMode="External" Id="rId229"/><Relationship Type="http://schemas.openxmlformats.org/officeDocument/2006/relationships/hyperlink" Target="https://www.nea.gov.cn/20251107/8b990f43dc774fc88c643614205e383d/c.html" TargetMode="External" Id="rId230"/><Relationship Type="http://schemas.openxmlformats.org/officeDocument/2006/relationships/hyperlink" Target="https://wap.miit.gov.cn/jgsj/jns/wjfb/art/2026/art_b6741734dc864a7aaa323f7684aca743.html" TargetMode="External" Id="rId231"/><Relationship Type="http://schemas.openxmlformats.org/officeDocument/2006/relationships/hyperlink" Target="http://www.mwr.gov.cn/zwgk/gknr/202603/t20260319_2105135.html" TargetMode="External" Id="rId232"/><Relationship Type="http://schemas.openxmlformats.org/officeDocument/2006/relationships/hyperlink" Target="https://www.miit.gov.cn/zwgk/zcwj/wjfb/yj/art/2026/art_95cd611e3c664dfc96cd76ace1aa24d7.html" TargetMode="External" Id="rId233"/><Relationship Type="http://schemas.openxmlformats.org/officeDocument/2006/relationships/hyperlink" Target="https://www.gov.cn/gongbao/content/2005/content_64318.htm" TargetMode="External" Id="rId234"/><Relationship Type="http://schemas.openxmlformats.org/officeDocument/2006/relationships/hyperlink" Target="https://baike.baidu.com/item/&#22269;&#21153;&#38498;&#21150;&#20844;&#21381;&#20851;&#20110;&#21152;&#24555;&#29028;&#23618;&#27668;&#65288;&#29028;&#30719;&#29926;&#26031;&#65289;&#25277;&#37319;&#21033;&#29992;&#30340;&#33509;&#24178;&#24847;&#35265;/5239657?fr=aladdin" TargetMode="External" Id="rId235"/><Relationship Type="http://schemas.openxmlformats.org/officeDocument/2006/relationships/hyperlink" Target="https://www.gov.cn/gzdt/2007-10/16/content_777564.htm" TargetMode="External" Id="rId236"/><Relationship Type="http://schemas.openxmlformats.org/officeDocument/2006/relationships/hyperlink" Target="https://www.ndrc.gov.cn/fggz/hjyzy/jnhnx/201006/t20100601_1134361.html" TargetMode="External" Id="rId237"/><Relationship Type="http://schemas.openxmlformats.org/officeDocument/2006/relationships/hyperlink" Target="https://www.gov.cn/gongbao/content/2013/content_2339525.htm" TargetMode="External" Id="rId238"/><Relationship Type="http://schemas.openxmlformats.org/officeDocument/2006/relationships/hyperlink" Target="https://www.gov.cn/zwgk/2013-08/11/content_2464241.htm" TargetMode="External" Id="rId239"/><Relationship Type="http://schemas.openxmlformats.org/officeDocument/2006/relationships/hyperlink" Target="https://www.gov.cn/gongbao/content/2013/content_2455226.htm" TargetMode="External" Id="rId240"/><Relationship Type="http://schemas.openxmlformats.org/officeDocument/2006/relationships/hyperlink" Target="https://www.stats.gov.cn/xw/tjxw/tzgg/202302/t20230202_1893717.html" TargetMode="External" Id="rId241"/><Relationship Type="http://schemas.openxmlformats.org/officeDocument/2006/relationships/hyperlink" Target="https://fjb.nea.gov.cn/xxgk/zcfg/202311/t20231114_217455.html" TargetMode="External" Id="rId242"/><Relationship Type="http://schemas.openxmlformats.org/officeDocument/2006/relationships/hyperlink" Target="http://drc.gd.gov.cn/snyj/bmgl/content/mpost_3736970.html" TargetMode="External" Id="rId243"/><Relationship Type="http://schemas.openxmlformats.org/officeDocument/2006/relationships/hyperlink" Target="https://www.gov.cn/gongbao/content/2016/content_5045944.htm" TargetMode="External" Id="rId244"/><Relationship Type="http://schemas.openxmlformats.org/officeDocument/2006/relationships/hyperlink" Target="https://www.gov.cn/gongbao/content/2016/content_5045931.htm" TargetMode="External" Id="rId245"/><Relationship Type="http://schemas.openxmlformats.org/officeDocument/2006/relationships/hyperlink" Target="https://xxgk.mot.gov.cn/2020/jigou/zcyjs/202006/t20200623_3307286.html" TargetMode="External" Id="rId246"/><Relationship Type="http://schemas.openxmlformats.org/officeDocument/2006/relationships/hyperlink" Target="https://www.gov.cn/zhengce/2017-09/30/content_5228960.htm" TargetMode="External" Id="rId247"/><Relationship Type="http://schemas.openxmlformats.org/officeDocument/2006/relationships/hyperlink" Target="http://www.nea.gov.cn/2017-08/14/c_136525062.htm" TargetMode="External" Id="rId248"/><Relationship Type="http://schemas.openxmlformats.org/officeDocument/2006/relationships/hyperlink" Target="https://www.gov.cn/xinwen/2017-07/05/content_5207958.htm" TargetMode="External" Id="rId249"/><Relationship Type="http://schemas.openxmlformats.org/officeDocument/2006/relationships/hyperlink" Target="https://www.gov.cn/xinwen/2018-11/20/content_5341910.htm" TargetMode="External" Id="rId250"/><Relationship Type="http://schemas.openxmlformats.org/officeDocument/2006/relationships/hyperlink" Target="https://www.gov.cn/gongbao/content/2018/content_5303427.htm" TargetMode="External" Id="rId251"/><Relationship Type="http://schemas.openxmlformats.org/officeDocument/2006/relationships/hyperlink" Target="https://www.gov.cn/zhengce/zhengceku/2020-02/03/content_5474144.htm" TargetMode="External" Id="rId252"/><Relationship Type="http://schemas.openxmlformats.org/officeDocument/2006/relationships/hyperlink" Target="https://www.gov.cn/zhengce/zhengceku/2020-03/19/content_5493065.htm" TargetMode="External" Id="rId253"/><Relationship Type="http://schemas.openxmlformats.org/officeDocument/2006/relationships/hyperlink" Target="https://www.ndrc.gov.cn/xxgk/zcfb/tz/202103/t20210323_1270129.html?code=&amp;state=123" TargetMode="External" Id="rId254"/><Relationship Type="http://schemas.openxmlformats.org/officeDocument/2006/relationships/hyperlink" Target="https://www.gov.cn/zhengce/zhengceku/2021-10/22/content_5644224.htm" TargetMode="External" Id="rId255"/><Relationship Type="http://schemas.openxmlformats.org/officeDocument/2006/relationships/hyperlink" Target="https://www.gov.cn/gongbao/content/2021/content_5629600.htm" TargetMode="External" Id="rId256"/><Relationship Type="http://schemas.openxmlformats.org/officeDocument/2006/relationships/hyperlink" Target="https://www.gov.cn/zhengce/content/2021-03/30/content_5596791.htm" TargetMode="External" Id="rId257"/><Relationship Type="http://schemas.openxmlformats.org/officeDocument/2006/relationships/hyperlink" Target="https://www.gov.cn/zhengce/2021-10/21/content_5644083.htm" TargetMode="External" Id="rId258"/><Relationship Type="http://schemas.openxmlformats.org/officeDocument/2006/relationships/hyperlink" Target="https://www.gov.cn/zhengce/zhengceku/2021-06/08/content_5616290.htm?ivk_sa=1023197a" TargetMode="External" Id="rId259"/><Relationship Type="http://schemas.openxmlformats.org/officeDocument/2006/relationships/hyperlink" Target="https://www.gov.cn/gongbao/content/2021/content_5609079.htm" TargetMode="External" Id="rId260"/><Relationship Type="http://schemas.openxmlformats.org/officeDocument/2006/relationships/hyperlink" Target="https://www.gov.cn/gongbao/content/2021/content_5639830.htm" TargetMode="External" Id="rId261"/><Relationship Type="http://schemas.openxmlformats.org/officeDocument/2006/relationships/hyperlink" Target="https://www.gov.cn/zhengce/zhengceku/2021-11/10/content_5650075.htm" TargetMode="External" Id="rId262"/><Relationship Type="http://schemas.openxmlformats.org/officeDocument/2006/relationships/hyperlink" Target="http://zyhj.mof.gov.cn/zcfb/202205/t20220530_3814434.htm" TargetMode="External" Id="rId263"/><Relationship Type="http://schemas.openxmlformats.org/officeDocument/2006/relationships/hyperlink" Target="https://www.ndrc.gov.cn/xxgk/zcfb/tz/202202/t20220210_1314511.html?code=&amp;state=123" TargetMode="External" Id="rId264"/><Relationship Type="http://schemas.openxmlformats.org/officeDocument/2006/relationships/hyperlink" Target="https://www.gov.cn/zhengce/zhengceku/202310/content_6907977.htm" TargetMode="External" Id="rId265"/><Relationship Type="http://schemas.openxmlformats.org/officeDocument/2006/relationships/hyperlink" Target="https://www.gov.cn/zhengce/zhengceku/202410/content_6979595.htm" TargetMode="External" Id="rId266"/><Relationship Type="http://schemas.openxmlformats.org/officeDocument/2006/relationships/hyperlink" Target="https://www.gov.cn/zhengce/2021-10/21/content_5644083.htm" TargetMode="External" Id="rId267"/><Relationship Type="http://schemas.openxmlformats.org/officeDocument/2006/relationships/hyperlink" Target="https://www.ndrc.gov.cn/xxgk/zcfb/tz/202311/t20231124_1362231.html" TargetMode="External" Id="rId268"/><Relationship Type="http://schemas.openxmlformats.org/officeDocument/2006/relationships/hyperlink" Target="https://www.mee.gov.cn/xxgk2018/xxgk/xxgk03/202401/t20240119_1064243.html" TargetMode="External" Id="rId269"/><Relationship Type="http://schemas.openxmlformats.org/officeDocument/2006/relationships/hyperlink" Target="https://www.mee.gov.cn/zcwj/zyygwj/202401/t20240111_1063458.shtml" TargetMode="External" Id="rId270"/><Relationship Type="http://schemas.openxmlformats.org/officeDocument/2006/relationships/hyperlink" Target="https://www.mee.gov.cn/xxgk2018/xxgk/xxgk03/202401/t20240119_1064243.html" TargetMode="External" Id="rId271"/><Relationship Type="http://schemas.openxmlformats.org/officeDocument/2006/relationships/hyperlink" Target="https://www.gov.cn/zhengce/202408/content_6967663.htm" TargetMode="External" Id="rId272"/><Relationship Type="http://schemas.openxmlformats.org/officeDocument/2006/relationships/hyperlink" Target="https://www.gov.cn/zhengce/zhengceku/202503/content_7013158.htm" TargetMode="External" Id="rId273"/><Relationship Type="http://schemas.openxmlformats.org/officeDocument/2006/relationships/hyperlink" Target="https://www.gov.cn/gongbao/2025/issue_11906/202503/content_7011166.html" TargetMode="External" Id="rId274"/><Relationship Type="http://schemas.openxmlformats.org/officeDocument/2006/relationships/hyperlink" Target="https://xxgk.mot.gov.cn/2020/jigou/syj/202506/t20250627_4171424.html" TargetMode="External" Id="rId275"/><Relationship Type="http://schemas.openxmlformats.org/officeDocument/2006/relationships/hyperlink" Target="https://www.nea.gov.cn/20251017/7ea998503bad4d24bb2334cf41f300d9/c.html" TargetMode="External" Id="rId276"/><Relationship Type="http://schemas.openxmlformats.org/officeDocument/2006/relationships/hyperlink" Target="https://www.gov.cn/yaowen/liebiao/202604/content_7066615.htm" TargetMode="External" Id="rId277"/><Relationship Type="http://schemas.openxmlformats.org/officeDocument/2006/relationships/hyperlink" Target="https://www.msa.gov.cn/html/cnmsa/xxgk/article/2026/b096e4423f2947cab0db94c383b95c97.html?hav=6RvRN10hGunPXKr" TargetMode="External" Id="rId278"/><Relationship Type="http://schemas.openxmlformats.org/officeDocument/2006/relationships/hyperlink" Target="https://www.most.gov.cn/ztzl/jqjnjp/jnjptpxw/200707/W020130527384709847807.pdf" TargetMode="External" Id="rId279"/><Relationship Type="http://schemas.openxmlformats.org/officeDocument/2006/relationships/hyperlink" Target="https://www.tanjiaoyi.com/article-3014-1.html?" TargetMode="External" Id="rId280"/><Relationship Type="http://schemas.openxmlformats.org/officeDocument/2006/relationships/hyperlink" Target="https://baike.baidu.com/item/%E6%9E%97%E4%B8%9A%E5%BA%94%E5%AF%B9%E6%B0%94%E5%80%99%E5%8F%98%E5%8C%96%E2%80%9C%E5%8D%81%E4%BA%8C%E4%BA%94%E2%80%9D%E8%A1%8C%E5%8A%A8%E8%A6%81%E7%82%B9/9093983" TargetMode="External" Id="rId281"/><Relationship Type="http://schemas.openxmlformats.org/officeDocument/2006/relationships/hyperlink" Target="https://www.miit.gov.cn/cms_files/filemanager/oldfile/miit/n1146285/n1146352/n3054355/n3057542/n3057544/c3865061/part/3865062.pdf" TargetMode="External" Id="rId282"/><Relationship Type="http://schemas.openxmlformats.org/officeDocument/2006/relationships/hyperlink" Target="https://baike.baidu.com/item/%E7%BB%BF%E8%89%B2%E5%BB%BA%E7%AD%91%E8%A1%8C%E5%8A%A8%E6%96%B9%E6%A1%88/2910439" TargetMode="External" Id="rId283"/><Relationship Type="http://schemas.openxmlformats.org/officeDocument/2006/relationships/hyperlink" Target="http://www.gov.cn/zwgk/2013-09/12/content_2486773.htm" TargetMode="External" Id="rId284"/><Relationship Type="http://schemas.openxmlformats.org/officeDocument/2006/relationships/hyperlink" Target="http://www.nea.gov.cn/2014-12/03/c_133830458.htm" TargetMode="External" Id="rId285"/><Relationship Type="http://schemas.openxmlformats.org/officeDocument/2006/relationships/hyperlink" Target="https://www.gov.cn/zhengce/zhengceku/2014-05/26/content_8824.htm" TargetMode="External" Id="rId286"/><Relationship Type="http://schemas.openxmlformats.org/officeDocument/2006/relationships/hyperlink" Target="http://zfxxgk.nea.gov.cn/auto85/201505/t20150505_1917.htm" TargetMode="External" Id="rId287"/><Relationship Type="http://schemas.openxmlformats.org/officeDocument/2006/relationships/hyperlink" Target="https://baike.baidu.com/item/%E4%B8%A4%E9%83%A8%E9%97%A8%E5%87%BA%E5%8F%B0%E3%80%8A%E4%BF%83%E8%BF%9B%E7%BB%BF%E8%89%B2%E5%BB%BA%E6%9D%90%E7%94%9F%E4%BA%A7%E5%92%8C%E5%BA%94%E7%94%A8%E8%A1%8C%E5%8A%A8%E6%96%B9%E6%A1%88%E3%80%8B/18600087" TargetMode="External" Id="rId288"/><Relationship Type="http://schemas.openxmlformats.org/officeDocument/2006/relationships/hyperlink" Target="https://www.ndrc.gov.cn/xxgk/zcfb/tz/201606/t20160601_963080.html?code=&amp;state=123" TargetMode="External" Id="rId289"/><Relationship Type="http://schemas.openxmlformats.org/officeDocument/2006/relationships/hyperlink" Target="https://www.gov.cn/xinwen/2016-09/01/content_5104483.htm" TargetMode="External" Id="rId290"/><Relationship Type="http://schemas.openxmlformats.org/officeDocument/2006/relationships/hyperlink" Target="https://www.gov.cn/xinwen/2016-06/22/content_5084284.htm" TargetMode="External" Id="rId291"/><Relationship Type="http://schemas.openxmlformats.org/officeDocument/2006/relationships/hyperlink" Target="http://www.gov.cn/zhengce/zhengceku/2019-10/15/content_5440071.htm" TargetMode="External" Id="rId292"/><Relationship Type="http://schemas.openxmlformats.org/officeDocument/2006/relationships/hyperlink" Target="https://www.gov.cn/zhengce/content/2018-07/03/content_5303158.htm" TargetMode="External" Id="rId293"/><Relationship Type="http://schemas.openxmlformats.org/officeDocument/2006/relationships/hyperlink" Target="https://chinaenergyportal.org/en/action-plan-for-enhancing-the-guaranteed-charging-capacity-for-electric-vehicles/" TargetMode="External" Id="rId294"/><Relationship Type="http://schemas.openxmlformats.org/officeDocument/2006/relationships/hyperlink" Target="https://www.ndrc.gov.cn/xxgk/zcfb/ghxwj/201812/t20181204_960958.html" TargetMode="External" Id="rId295"/><Relationship Type="http://schemas.openxmlformats.org/officeDocument/2006/relationships/hyperlink" Target="https://www.ndrc.gov.cn/xxgk/zcfb/tz/201911/t20191105_1197738.html?code=&amp;state=123" TargetMode="External" Id="rId296"/><Relationship Type="http://schemas.openxmlformats.org/officeDocument/2006/relationships/hyperlink" Target="https://www.gov.cn/xinwen/2019-06/03/content_5397034.htm" TargetMode="External" Id="rId297"/><Relationship Type="http://schemas.openxmlformats.org/officeDocument/2006/relationships/hyperlink" Target="https://www.ndrc.gov.cn/xxgk/zcfb/tz/201906/t20190614_962461.html?code=&amp;state=123" TargetMode="External" Id="rId298"/><Relationship Type="http://schemas.openxmlformats.org/officeDocument/2006/relationships/hyperlink" Target="https://www.ndrc.gov.cn/xxgk/zcfb/tz/201907/t20190701_962470.html?code=&amp;state=123" TargetMode="External" Id="rId299"/><Relationship Type="http://schemas.openxmlformats.org/officeDocument/2006/relationships/hyperlink" Target="https://xxgk.mot.gov.cn/2020/jigou/ysfws/202007/t20200724_3437849.html" TargetMode="External" Id="rId300"/><Relationship Type="http://schemas.openxmlformats.org/officeDocument/2006/relationships/hyperlink" Target="https://www.gov.cn/zhengce/zhengceku/2020-07/24/content_5529745.htm" TargetMode="External" Id="rId301"/><Relationship Type="http://schemas.openxmlformats.org/officeDocument/2006/relationships/hyperlink" Target="https://www.gov.cn/zhengce/zhengceku/2020-08/29/content_5538354.htm" TargetMode="External" Id="rId302"/><Relationship Type="http://schemas.openxmlformats.org/officeDocument/2006/relationships/hyperlink" Target="http://www.moe.gov.cn/srcsite/A16/moe_784/202107/t20210728_547451.html" TargetMode="External" Id="rId303"/><Relationship Type="http://schemas.openxmlformats.org/officeDocument/2006/relationships/hyperlink" Target="https://www.mee.gov.cn/xxgk2018/xxgk/xxgk03/202102/t20210223_822116.html" TargetMode="External" Id="rId304"/><Relationship Type="http://schemas.openxmlformats.org/officeDocument/2006/relationships/hyperlink" Target="https://www.ndrc.gov.cn/xxgk/zcfb/tz/202110/P020211021702323037931.pdf" TargetMode="External" Id="rId305"/><Relationship Type="http://schemas.openxmlformats.org/officeDocument/2006/relationships/hyperlink" Target="https://www.ndrc.gov.cn/xxgk/zcfb/tz/202110/P020211021702322751485.pdf" TargetMode="External" Id="rId306"/><Relationship Type="http://schemas.openxmlformats.org/officeDocument/2006/relationships/hyperlink" Target="https://www.miit.gov.cn/zwgk/zcwj/wjfb/tz/art/2022/art_de86b26087844ebab5e886e954ca1453.html" TargetMode="External" Id="rId307"/><Relationship Type="http://schemas.openxmlformats.org/officeDocument/2006/relationships/hyperlink" Target="https://www.gov.cn/zhengce/zhengceku/2021-07/14/content_5624964.htm" TargetMode="External" Id="rId308"/><Relationship Type="http://schemas.openxmlformats.org/officeDocument/2006/relationships/hyperlink" Target="http://www.moe.gov.cn/srcsite/A08/s7056/202205/t20220506_625229.html" TargetMode="External" Id="rId309"/><Relationship Type="http://schemas.openxmlformats.org/officeDocument/2006/relationships/hyperlink" Target="https://www.nea.gov.cn/2022-10/09/c_1310668927.htm" TargetMode="External" Id="rId310"/><Relationship Type="http://schemas.openxmlformats.org/officeDocument/2006/relationships/hyperlink" Target="https://www.gov.cn/zhengce/content/2022-05/24/content_5692059.htm" TargetMode="External" Id="rId311"/><Relationship Type="http://schemas.openxmlformats.org/officeDocument/2006/relationships/hyperlink" Target="https://www.gov.cn/zhengce/zhengceku/2022-06/29/content_5698410.htm" TargetMode="External" Id="rId312"/><Relationship Type="http://schemas.openxmlformats.org/officeDocument/2006/relationships/hyperlink" Target="https://xxgk.mot.gov.cn/2020/jigou/glj/202208/t20220825_3670513.html" TargetMode="External" Id="rId313"/><Relationship Type="http://schemas.openxmlformats.org/officeDocument/2006/relationships/hyperlink" Target="http://www.cnljxh.com/news/show.php?id=470" TargetMode="External" Id="rId314"/><Relationship Type="http://schemas.openxmlformats.org/officeDocument/2006/relationships/hyperlink" Target="https://www.miit.gov.cn/zwgk/zcwj/wjfb/tz/art/2022/art_4ccbd89465cc4336b88b19a02bbf473b.html" TargetMode="External" Id="rId315"/><Relationship Type="http://schemas.openxmlformats.org/officeDocument/2006/relationships/hyperlink" Target="https://www.miit.gov.cn/zwgk/zcwj/wjfb/tz/art/2022/art_a6e264bf71ed44549904c9e27aeba472.html" TargetMode="External" Id="rId316"/><Relationship Type="http://schemas.openxmlformats.org/officeDocument/2006/relationships/hyperlink" Target="http://www.moa.gov.cn/govpublic/ZZYGLS/202212/t20221201_6416398.htm" TargetMode="External" Id="rId317"/><Relationship Type="http://schemas.openxmlformats.org/officeDocument/2006/relationships/hyperlink" Target="https://www.mee.gov.cn/xxgk2018/xxgk/xxgk03/202211/t20221116_1005042.html" TargetMode="External" Id="rId318"/><Relationship Type="http://schemas.openxmlformats.org/officeDocument/2006/relationships/hyperlink" Target="https://wap.miit.gov.cn/zwgk/zcwj/wjfb/tz/art/2022/art_cf9ca7196df7467394e580b84f82d957.html" TargetMode="External" Id="rId319"/><Relationship Type="http://schemas.openxmlformats.org/officeDocument/2006/relationships/hyperlink" Target="http://www.moa.gov.cn/govpublic/ZZYGLS/202212/t20221201_6416398.htm" TargetMode="External" Id="rId320"/><Relationship Type="http://schemas.openxmlformats.org/officeDocument/2006/relationships/hyperlink" Target="http://zfxxgk.nea.gov.cn/2023-02/27/c_1310704758.htm" TargetMode="External" Id="rId321"/><Relationship Type="http://schemas.openxmlformats.org/officeDocument/2006/relationships/hyperlink" Target="https://www.gov.cn/zhengce/zhengceku/202310/content_6908243.htm" TargetMode="External" Id="rId322"/><Relationship Type="http://schemas.openxmlformats.org/officeDocument/2006/relationships/hyperlink" Target="https://news.cctv.com/2023/12/07/ARTI5j8uPTZp7Wao7t5jeCg0231207.shtml" TargetMode="External" Id="rId323"/><Relationship Type="http://schemas.openxmlformats.org/officeDocument/2006/relationships/hyperlink" Target="https://www.mee.gov.cn/xxgk2018/xxgk/xxgk03/202311/t20231107_1055437.html" TargetMode="External" Id="rId324"/><Relationship Type="http://schemas.openxmlformats.org/officeDocument/2006/relationships/hyperlink" Target="https://www.ndrc.gov.cn/xxgk/zcfb/tz/202312/t20231215_1362653.html" TargetMode="External" Id="rId325"/><Relationship Type="http://schemas.openxmlformats.org/officeDocument/2006/relationships/hyperlink" Target="https://www.gov.cn/zhengce/zhengceku/202312/content_6923175.htm" TargetMode="External" Id="rId326"/><Relationship Type="http://schemas.openxmlformats.org/officeDocument/2006/relationships/hyperlink" Target="https://www.kczg.org.cn/rules/detail?id=6241327" TargetMode="External" Id="rId327"/><Relationship Type="http://schemas.openxmlformats.org/officeDocument/2006/relationships/hyperlink" Target="https://www.gov.cn/zhengce/content/202403/content_6939232.htm" TargetMode="External" Id="rId328"/><Relationship Type="http://schemas.openxmlformats.org/officeDocument/2006/relationships/hyperlink" Target="https://www.gov.cn/zhengce/zhengceku/202404/content_6945069.htm" TargetMode="External" Id="rId329"/><Relationship Type="http://schemas.openxmlformats.org/officeDocument/2006/relationships/hyperlink" Target="https://www.ndrc.gov.cn/xwdt/ztzl/tddgmsbgxhxfpyjhx/gzdt/202407/t20240718_1391800.html" TargetMode="External" Id="rId330"/><Relationship Type="http://schemas.openxmlformats.org/officeDocument/2006/relationships/hyperlink" Target="https://www.gov.cn/zhengce/content/202405/content_6954322.htm" TargetMode="External" Id="rId331"/><Relationship Type="http://schemas.openxmlformats.org/officeDocument/2006/relationships/hyperlink" Target="https://www.ndrc.gov.cn/xxgk/zcfb/tz/202407/t20240715_1391663.html" TargetMode="External" Id="rId332"/><Relationship Type="http://schemas.openxmlformats.org/officeDocument/2006/relationships/hyperlink" Target="https://www.ndrc.gov.cn/xwdt/tzgg/202408/t20240806_1392260.html" TargetMode="External" Id="rId333"/><Relationship Type="http://schemas.openxmlformats.org/officeDocument/2006/relationships/hyperlink" Target="https://www.gov.cn/zhengce/zhengceku/202412/P020241217518293168948.pdf" TargetMode="External" Id="rId334"/><Relationship Type="http://schemas.openxmlformats.org/officeDocument/2006/relationships/hyperlink" Target="https://www.gov.cn/zhengce/zhengceku/202406/content_6956307.htm" TargetMode="External" Id="rId335"/><Relationship Type="http://schemas.openxmlformats.org/officeDocument/2006/relationships/hyperlink" Target="https://www.gov.cn/zhengce/zhengceku/202406/content_6956304.htm" TargetMode="External" Id="rId336"/><Relationship Type="http://schemas.openxmlformats.org/officeDocument/2006/relationships/hyperlink" Target="https://www.gov.cn/zhengce/zhengceku/202406/content_6956306.htm" TargetMode="External" Id="rId337"/><Relationship Type="http://schemas.openxmlformats.org/officeDocument/2006/relationships/hyperlink" Target="https://www.ndrc.gov.cn/xxgk/zcfb/tz/202406/t20240607_1386763.html" TargetMode="External" Id="rId338"/><Relationship Type="http://schemas.openxmlformats.org/officeDocument/2006/relationships/hyperlink" Target="https://www.ndrc.gov.cn/xwdt/tzgg/202407/t20240723_1391888.html" TargetMode="External" Id="rId339"/><Relationship Type="http://schemas.openxmlformats.org/officeDocument/2006/relationships/hyperlink" Target="https://www.gov.cn/zhengce/zhengceku/202407/content_6964165.htm" TargetMode="External" Id="rId340"/><Relationship Type="http://schemas.openxmlformats.org/officeDocument/2006/relationships/hyperlink" Target="https://www.ndrc.gov.cn/xwdt/tzgg/202408/t20240808_1392292_ext.html" TargetMode="External" Id="rId341"/><Relationship Type="http://schemas.openxmlformats.org/officeDocument/2006/relationships/hyperlink" Target="https://www.mee.gov.cn/xxgk/hjyw/202401/t20240118_1064111.shtml" TargetMode="External" Id="rId342"/><Relationship Type="http://schemas.openxmlformats.org/officeDocument/2006/relationships/hyperlink" Target="https://www.gov.cn/zhengce/202411/content_6989264.htm" TargetMode="External" Id="rId343"/><Relationship Type="http://schemas.openxmlformats.org/officeDocument/2006/relationships/hyperlink" Target="https://www.ndrc.gov.cn/xxgk/zcfb/tz/202504/t20250402_1396954.html" TargetMode="External" Id="rId344"/><Relationship Type="http://schemas.openxmlformats.org/officeDocument/2006/relationships/hyperlink" Target="https://www.nea.gov.cn/20250218/8b14082a18c2423ba9779882d3791d30/c.html" TargetMode="External" Id="rId345"/><Relationship Type="http://schemas.openxmlformats.org/officeDocument/2006/relationships/hyperlink" Target="https://www.ndrc.gov.cn/xxgk/zcfb/tz/202509/t20250912_1400425.html" TargetMode="External" Id="rId346"/><Relationship Type="http://schemas.openxmlformats.org/officeDocument/2006/relationships/hyperlink" Target="https://www.mee.gov.cn/xxgk2018/xxgk/xxgk03/202508/t20250829_1126396.html?utm_source=cbnewsletter&amp;utm_medium=email&amp;utm_term=2025-09-25&amp;utm_campaign=China+Briefing+Shanghai+cooperation+summit+ETS+absolute+emissions+cap+China+s+heatwave+adaptation" TargetMode="External" Id="rId347"/><Relationship Type="http://schemas.openxmlformats.org/officeDocument/2006/relationships/hyperlink" Target="https://www.gov.cn/zhengce/zhengceku/202505/content_7024700.htm" TargetMode="External" Id="rId348"/><Relationship Type="http://schemas.openxmlformats.org/officeDocument/2006/relationships/hyperlink" Target="https://www.ndrc.gov.cn/xxgk/zcfb/tz/202510/P020251015595398499456.pdf" TargetMode="External" Id="rId349"/><Relationship Type="http://schemas.openxmlformats.org/officeDocument/2006/relationships/hyperlink" Target="https://www.ndrc.gov.cn/fggz/hjyzy/zyzhlyhxhjj/202601/t20260108_1403120.html" TargetMode="External" Id="rId350"/><Relationship Type="http://schemas.openxmlformats.org/officeDocument/2006/relationships/hyperlink" Target="https://www.gov.cn/zhengce/content/202601/content_7053807.htm" TargetMode="External" Id="rId351"/><Relationship Type="http://schemas.openxmlformats.org/officeDocument/2006/relationships/hyperlink" Target="https://www.nea.gov.cn/20260508/4dae97ca01d348e4871bb8654be34b3a/c.html" TargetMode="External" Id="rId352"/><Relationship Type="http://schemas.openxmlformats.org/officeDocument/2006/relationships/hyperlink" Target="https://www.miit.gov.cn/jgsj/ycls/gzdt/art/2026/art_d7f9d7930d3e406883e8afea6c9b3ab3.html" TargetMode="External" Id="rId353"/><Relationship Type="http://schemas.openxmlformats.org/officeDocument/2006/relationships/hyperlink" Target="https://www.gov.cn/zhengce/zhengceku/202603/P020260331708714713298.pdf" TargetMode="External" Id="rId354"/><Relationship Type="http://schemas.openxmlformats.org/officeDocument/2006/relationships/hyperlink" Target="https://baike.baidu.com/item/%E8%8A%82%E8%83%BD%E5%87%8F%E6%8E%92%E5%85%A8%E6%B0%91%E8%A1%8C%E5%8A%A8%E5%AE%9E%E6%96%BD%E6%96%B9%E6%A1%88/2726363" TargetMode="External" Id="rId355"/><Relationship Type="http://schemas.openxmlformats.org/officeDocument/2006/relationships/hyperlink" Target="https://xxgk.mot.gov.cn/2020/jigou/ysfws/202006/t20200623_3315133.html" TargetMode="External" Id="rId356"/><Relationship Type="http://schemas.openxmlformats.org/officeDocument/2006/relationships/hyperlink" Target="http://www.nea.gov.cn/2015-11/30/c_134867851.htm" TargetMode="External" Id="rId357"/><Relationship Type="http://schemas.openxmlformats.org/officeDocument/2006/relationships/hyperlink" Target="https://www.gov.cn/zhengce/zhengceku/2016-11/21/content_5135510.htm" TargetMode="External" Id="rId358"/><Relationship Type="http://schemas.openxmlformats.org/officeDocument/2006/relationships/hyperlink" Target="https://xxgk.mot.gov.cn/2020/jigou/zhghs/202006/t20200630_3319803.html" TargetMode="External" Id="rId359"/><Relationship Type="http://schemas.openxmlformats.org/officeDocument/2006/relationships/hyperlink" Target="https://www.gov.cn/xinwen/2017-11/14/content_5239536.htm" TargetMode="External" Id="rId360"/><Relationship Type="http://schemas.openxmlformats.org/officeDocument/2006/relationships/hyperlink" Target="https://www.gov.cn/gongbao/content/2019/content_5430516.htm" TargetMode="External" Id="rId361"/><Relationship Type="http://schemas.openxmlformats.org/officeDocument/2006/relationships/hyperlink" Target="https://www.cnca.gov.cn/zwxx/tz/2019/art/2019/art_afb18bd2c112466fa38c44838bdfe62d.html" TargetMode="External" Id="rId362"/><Relationship Type="http://schemas.openxmlformats.org/officeDocument/2006/relationships/hyperlink" Target="http://www.nea.gov.cn/2020-09/16/c_139372803.htm" TargetMode="External" Id="rId363"/><Relationship Type="http://schemas.openxmlformats.org/officeDocument/2006/relationships/hyperlink" Target="https://www.ndrc.gov.cn/xxgk/zcfb/tz/202005/t20200525_1228833.html?code=&amp;state=123" TargetMode="External" Id="rId364"/><Relationship Type="http://schemas.openxmlformats.org/officeDocument/2006/relationships/hyperlink" Target="https://www.ndrc.gov.cn/xxgk/zcfb/tz/202004/t20200414_1225639.html?code=&amp;state=123" TargetMode="External" Id="rId365"/><Relationship Type="http://schemas.openxmlformats.org/officeDocument/2006/relationships/hyperlink" Target="http://zfxxgk.nea.gov.cn/auto83/202001/t20200116_3972.htm" TargetMode="External" Id="rId366"/><Relationship Type="http://schemas.openxmlformats.org/officeDocument/2006/relationships/hyperlink" Target="https://www.ndrc.gov.cn/xwdt/tzgg/202112/t20211208_1307105.html?code=&amp;state=123" TargetMode="External" Id="rId367"/><Relationship Type="http://schemas.openxmlformats.org/officeDocument/2006/relationships/hyperlink" Target="https://www.most.gov.cn/xxgk/xinxifenlei/fdzdgknr/fgzc/gfxwj/gfxwj2021/202102/t20210202_172685.html" TargetMode="External" Id="rId368"/><Relationship Type="http://schemas.openxmlformats.org/officeDocument/2006/relationships/hyperlink" Target="https://www.ggj.gov.cn/tzgg/202111/t20211119_33936.htm" TargetMode="External" Id="rId369"/><Relationship Type="http://schemas.openxmlformats.org/officeDocument/2006/relationships/hyperlink" Target="https://www.ndrc.gov.cn/xxgk/zcfb/tz/202111/t20211130_1306223.html" TargetMode="External" Id="rId370"/><Relationship Type="http://schemas.openxmlformats.org/officeDocument/2006/relationships/hyperlink" Target="http://zfxxgk.nea.gov.cn/2021-12/29/c_1310411188.htm" TargetMode="External" Id="rId371"/><Relationship Type="http://schemas.openxmlformats.org/officeDocument/2006/relationships/hyperlink" Target="https://www.ndrc.gov.cn/xxgk/zcfb/tz/202111/P020211103333054582799.pdf" TargetMode="External" Id="rId372"/><Relationship Type="http://schemas.openxmlformats.org/officeDocument/2006/relationships/hyperlink" Target="https://baike.baidu.com/item/%E5%87%8F%E6%B1%A1%E9%99%8D%E7%A2%B3%E5%8D%8F%E5%90%8C%E5%A2%9E%E6%95%88%E5%AE%9E%E6%96%BD%E6%96%B9%E6%A1%88/59030016" TargetMode="External" Id="rId373"/><Relationship Type="http://schemas.openxmlformats.org/officeDocument/2006/relationships/hyperlink" Target="https://www.moa.gov.cn/govpublic/KJJYS/202206/P020220630331656855638.pdf" TargetMode="External" Id="rId374"/><Relationship Type="http://schemas.openxmlformats.org/officeDocument/2006/relationships/hyperlink" Target="https://www.ndrc.gov.cn/xwdt/tzgg/202201/t20220121_1312525.html?code=&amp;state=123" TargetMode="External" Id="rId375"/><Relationship Type="http://schemas.openxmlformats.org/officeDocument/2006/relationships/hyperlink" Target="https://www.gov.cn/zhengce/zhengceku/2022-08/19/content_5706074.htm" TargetMode="External" Id="rId376"/><Relationship Type="http://schemas.openxmlformats.org/officeDocument/2006/relationships/hyperlink" Target="https://baike.baidu.com/item/%E7%A7%91%E6%8A%80%E6%94%AF%E6%92%91%E7%A2%B3%E8%BE%BE%E5%B3%B0%E7%A2%B3%E4%B8%AD%E5%92%8C%E5%AE%9E%E6%96%BD%E6%96%B9%E6%A1%88%EF%BC%882022%E2%80%942030%E5%B9%B4%EF%BC%89/61878040" TargetMode="External" Id="rId377"/><Relationship Type="http://schemas.openxmlformats.org/officeDocument/2006/relationships/hyperlink" Target="https://wap.miit.gov.cn/jgsj/jns/wjfb/art/2022/art_9984665dbb904976a064a69be1b03f06.html" TargetMode="External" Id="rId378"/><Relationship Type="http://schemas.openxmlformats.org/officeDocument/2006/relationships/hyperlink" Target="https://www.ndrc.gov.cn/xxgk/zcfb/tz/202204/t20220411_1321822.html?code=&amp;state=123" TargetMode="External" Id="rId379"/><Relationship Type="http://schemas.openxmlformats.org/officeDocument/2006/relationships/hyperlink" Target="https://www.gov.cn/zhengce/content/2022-05/30/content_5693013.htm" TargetMode="External" Id="rId380"/><Relationship Type="http://schemas.openxmlformats.org/officeDocument/2006/relationships/hyperlink" Target="https://xxgk.mot.gov.cn/2020/jigou/ysfws/202204/t20220411_3650541.html" TargetMode="External" Id="rId381"/><Relationship Type="http://schemas.openxmlformats.org/officeDocument/2006/relationships/hyperlink" Target="https://www.ndrc.gov.cn/xwdt/tzgg/202212/t20221228_1344206_ext.html" TargetMode="External" Id="rId382"/><Relationship Type="http://schemas.openxmlformats.org/officeDocument/2006/relationships/hyperlink" Target="https://www.gov.cn/zhengce/zhengceku/2022-11/01/content_5723071.htm" TargetMode="External" Id="rId383"/><Relationship Type="http://schemas.openxmlformats.org/officeDocument/2006/relationships/hyperlink" Target="https://www.ndrc.gov.cn/xxgk/zcfb/ghxwj/202201/t20220121_1312634.html?code=&amp;state=123" TargetMode="External" Id="rId384"/><Relationship Type="http://schemas.openxmlformats.org/officeDocument/2006/relationships/hyperlink" Target="https://wap.miit.gov.cn/jgsj/jns/zhlyh/art/2022/art_c80aad4ef15b4864a42ba751c4c22119.html" TargetMode="External" Id="rId385"/><Relationship Type="http://schemas.openxmlformats.org/officeDocument/2006/relationships/hyperlink" Target="https://baike.baidu.com/item/%E5%9F%8E%E4%B9%A1%E5%BB%BA%E8%AE%BE%E9%A2%86%E5%9F%9F%E7%A2%B3%E8%BE%BE%E5%B3%B0%E5%AE%9E%E6%96%BD%E6%96%B9%E6%A1%88/61723326" TargetMode="External" Id="rId386"/><Relationship Type="http://schemas.openxmlformats.org/officeDocument/2006/relationships/hyperlink" Target="https://baike.baidu.com/item/%E5%BB%BA%E6%9D%90%E8%A1%8C%E4%B8%9A%E7%A2%B3%E8%BE%BE%E5%B3%B0%E5%AE%9E%E6%96%BD%E6%96%B9%E6%A1%88/62182581" TargetMode="External" Id="rId387"/><Relationship Type="http://schemas.openxmlformats.org/officeDocument/2006/relationships/hyperlink" Target="https://baike.baidu.com/item/%E6%9C%89%E8%89%B2%E9%87%91%E5%B1%9E%E8%A1%8C%E4%B8%9A%E7%A2%B3%E8%BE%BE%E5%B3%B0%E5%AE%9E%E6%96%BD%E6%96%B9%E6%A1%88/62254056" TargetMode="External" Id="rId388"/><Relationship Type="http://schemas.openxmlformats.org/officeDocument/2006/relationships/hyperlink" Target="https://www.ndrc.gov.cn/xxgk/zcfb/tz/202305/t20230517_1355814.html" TargetMode="External" Id="rId389"/><Relationship Type="http://schemas.openxmlformats.org/officeDocument/2006/relationships/hyperlink" Target="https://www.gov.cn/zhengce/zhengceku/202401/content_6925435.htm" TargetMode="External" Id="rId390"/><Relationship Type="http://schemas.openxmlformats.org/officeDocument/2006/relationships/hyperlink" Target="https://www.mee.gov.cn/xxgk2018/xxgk/xxgk05/202402/t20240222_1066647.html" TargetMode="External" Id="rId391"/><Relationship Type="http://schemas.openxmlformats.org/officeDocument/2006/relationships/hyperlink" Target="https://www.gov.cn/zhengce/zhengceku/202404/content_6944252.htm" TargetMode="External" Id="rId392"/><Relationship Type="http://schemas.openxmlformats.org/officeDocument/2006/relationships/hyperlink" Target="https://www.ndrc.gov.cn/xxgk/zcfb/tz/202408/t20240821_1392506.html" TargetMode="External" Id="rId393"/><Relationship Type="http://schemas.openxmlformats.org/officeDocument/2006/relationships/hyperlink" Target="https://zfxxgk.nea.gov.cn/2024-08/02/c_1310784260.htm" TargetMode="External" Id="rId394"/><Relationship Type="http://schemas.openxmlformats.org/officeDocument/2006/relationships/hyperlink" Target="https://www.mee.gov.cn/xxgk2018/xxgk/xxgk03/202406/t20240604_1074986.html" TargetMode="External" Id="rId395"/><Relationship Type="http://schemas.openxmlformats.org/officeDocument/2006/relationships/hyperlink" Target="https://www.gov.cn/zhengce/zhengceku/202501/content_6996643.htm" TargetMode="External" Id="rId396"/><Relationship Type="http://schemas.openxmlformats.org/officeDocument/2006/relationships/hyperlink" Target="https://www.nea.gov.cn/20241231/22b72793b0c946a4b9bfc2b06612b32e/c.html" TargetMode="External" Id="rId397"/><Relationship Type="http://schemas.openxmlformats.org/officeDocument/2006/relationships/hyperlink" Target="https://www.gov.cn/zhengce/zhengceku/202404/content_6944067.htm" TargetMode="External" Id="rId398"/><Relationship Type="http://schemas.openxmlformats.org/officeDocument/2006/relationships/hyperlink" Target="https://newenergy.in-en.com/html/newenergy-2440093.shtml?utm_source=cbnewsletter&amp;utm_medium=email&amp;utm_term=2025-04-07&amp;utm_campaign=China+Briefing+Solar+exports+Carbon+market+expansion+Leaders+climate+commitments" TargetMode="External" Id="rId399"/><Relationship Type="http://schemas.openxmlformats.org/officeDocument/2006/relationships/hyperlink" Target="https://www.moa.gov.cn/govpublic/xmsyj/202504/t20250429_6473633.htm" TargetMode="External" Id="rId400"/><Relationship Type="http://schemas.openxmlformats.org/officeDocument/2006/relationships/hyperlink" Target="https://www.gov.cn/zhengce/zhengceku/202504/content_7018738.htm" TargetMode="External" Id="rId401"/><Relationship Type="http://schemas.openxmlformats.org/officeDocument/2006/relationships/hyperlink" Target="https://www.gov.cn/zhengce/zhengceku/202503/content_7015987.htm" TargetMode="External" Id="rId402"/><Relationship Type="http://schemas.openxmlformats.org/officeDocument/2006/relationships/hyperlink" Target="https://www.nfra.gov.cn/cn/view/pages/ItemDetail.html?docId=1199877&amp;itemId=928" TargetMode="External" Id="rId403"/><Relationship Type="http://schemas.openxmlformats.org/officeDocument/2006/relationships/hyperlink" Target="https://www.mee.gov.cn/xxgk2018/xxgk/xxgk03/202502/t20250220_1102555.html" TargetMode="External" Id="rId404"/><Relationship Type="http://schemas.openxmlformats.org/officeDocument/2006/relationships/hyperlink" Target="https://www.mee.gov.cn/xxgk2018/xxgk/xxgk03/202501/t20250120_1100929.html" TargetMode="External" Id="rId405"/><Relationship Type="http://schemas.openxmlformats.org/officeDocument/2006/relationships/hyperlink" Target="https://www.gov.cn/zhengce/zhengceku/202501/content_7000079.htm" TargetMode="External" Id="rId406"/><Relationship Type="http://schemas.openxmlformats.org/officeDocument/2006/relationships/hyperlink" Target="https://www.nea.gov.cn/20250908/8a90bf7f17b141038fe7be0988a2c603/c.html" TargetMode="External" Id="rId407"/><Relationship Type="http://schemas.openxmlformats.org/officeDocument/2006/relationships/hyperlink" Target="https://www.miit.gov.cn/zwgk/zcwj/wjfb/tz/art/2025/art_e9123ba56ce74d74b09124019c7d509b.html" TargetMode="External" Id="rId408"/><Relationship Type="http://schemas.openxmlformats.org/officeDocument/2006/relationships/hyperlink" Target="https://www.miit.gov.cn/jgsj/jns/gzdt/art/2025/art_8eb5473a00b04635805511c2d61be046.html" TargetMode="External" Id="rId409"/><Relationship Type="http://schemas.openxmlformats.org/officeDocument/2006/relationships/hyperlink" Target="https://wms.mofcom.gov.cn/zcfb/wmzc/art/2025/art_65a91bb52e84415c88149c4f16c34a95.html" TargetMode="External" Id="rId410"/><Relationship Type="http://schemas.openxmlformats.org/officeDocument/2006/relationships/hyperlink" Target="https://wap.miit.gov.cn/zwgk/zcwj/wjfb/tz/art/2026/art_a3250eaa656845149b12615070009204.html" TargetMode="External" Id="rId411"/><Relationship Type="http://schemas.openxmlformats.org/officeDocument/2006/relationships/hyperlink" Target="https://www.gov.cn/gongbao/content/2005/content_64306.htm" TargetMode="External" Id="rId412"/><Relationship Type="http://schemas.openxmlformats.org/officeDocument/2006/relationships/hyperlink" Target="https://www.most.gov.cn/xxgk/xinxifenlei/fdzdgknr/qtwj/qtwj2010before/200811/t20081129_65726.html" TargetMode="External" Id="rId413"/><Relationship Type="http://schemas.openxmlformats.org/officeDocument/2006/relationships/hyperlink" Target="https://www.gov.cn/gzdt/2009-12/30/content_1500005.htm" TargetMode="External" Id="rId414"/><Relationship Type="http://schemas.openxmlformats.org/officeDocument/2006/relationships/hyperlink" Target="https://www.mee.gov.cn/gkml/hbb/bgt/201311/t20131104_262804.htm" TargetMode="External" Id="rId415"/><Relationship Type="http://schemas.openxmlformats.org/officeDocument/2006/relationships/hyperlink" Target="https://www.ndrc.gov.cn/xxgk/zcfb/tz/202006/t20200618_1231503.html?code=&amp;state=123" TargetMode="External" Id="rId416"/><Relationship Type="http://schemas.openxmlformats.org/officeDocument/2006/relationships/hyperlink" Target="https://www.ndrc.gov.cn/xwdt/tzgg/202107/t20210705_1285400.html?code=&amp;state=123" TargetMode="External" Id="rId417"/><Relationship Type="http://schemas.openxmlformats.org/officeDocument/2006/relationships/hyperlink" Target="https://www.gov.cn/zhengce/zhengceku/202601/content_7053876.htm" TargetMode="External" Id="rId418"/><Relationship Type="http://schemas.openxmlformats.org/officeDocument/2006/relationships/hyperlink" Target="https://www.gov.cn/zwgk/2007-06/03/content_634545.htm" TargetMode="External" Id="rId419"/><Relationship Type="http://schemas.openxmlformats.org/officeDocument/2006/relationships/hyperlink" Target="https://www.gov.cn/zhengce/zhengceku/2016-09/22/content_5110758.htm" TargetMode="External" Id="rId420"/><Relationship Type="http://schemas.openxmlformats.org/officeDocument/2006/relationships/hyperlink" Target="https://www.gov.cn/zhengce/zhengceku/2009-07/31/content_4899.htm" TargetMode="External" Id="rId421"/><Relationship Type="http://schemas.openxmlformats.org/officeDocument/2006/relationships/hyperlink" Target="https://www.mee.gov.cn/gkml/hbb/bwj/201512/t20151215_319170.htm" TargetMode="External" Id="rId422"/><Relationship Type="http://schemas.openxmlformats.org/officeDocument/2006/relationships/hyperlink" Target="https://www.ndrc.gov.cn/xxgk/zcfb/tz/202112/t20211217_1308233.html?code=&amp;state=123" TargetMode="External" Id="rId423"/><Relationship Type="http://schemas.openxmlformats.org/officeDocument/2006/relationships/hyperlink" Target="http://zfxxgk.nea.gov.cn/2021-03/17/c_139829878.htm" TargetMode="External" Id="rId424"/><Relationship Type="http://schemas.openxmlformats.org/officeDocument/2006/relationships/hyperlink" Target="https://www.gov.cn/zhengce/content/2022-01/07/content_5666914.htm" TargetMode="External" Id="rId425"/><Relationship Type="http://schemas.openxmlformats.org/officeDocument/2006/relationships/hyperlink" Target="https://www.gov.cn/zhengce/zhengceku/202410/content_6983052.htm" TargetMode="External" Id="rId426"/><Relationship Type="http://schemas.openxmlformats.org/officeDocument/2006/relationships/hyperlink" Target="https://www.gov.cn/zhengce/zhengceku/202403/content_6939607.htm" TargetMode="External" Id="rId427"/><Relationship Type="http://schemas.openxmlformats.org/officeDocument/2006/relationships/hyperlink" Target="https://www.mee.gov.cn/xxgk2018/xxgk/xxgk03/202504/t20250423_1117396.html" TargetMode="External" Id="rId428"/><Relationship Type="http://schemas.openxmlformats.org/officeDocument/2006/relationships/hyperlink" Target="https://www.gov.cn/zhengce/zhengceku/202509/content_7040552.htm" TargetMode="External" Id="rId429"/><Relationship Type="http://schemas.openxmlformats.org/officeDocument/2006/relationships/hyperlink" Target="https://www.miit.gov.cn/zwgk/zcwj/wjfb/tz/art/2025/art_5f72b18071ec49b5916bb9f99e58872e.html" TargetMode="External" Id="rId430"/><Relationship Type="http://schemas.openxmlformats.org/officeDocument/2006/relationships/hyperlink" Target="https://www.miit.gov.cn/zwgk/zcwj/wjfb/tz/art/2025/art_c73c2f6a0f20465aa92c360daa08619b.html" TargetMode="External" Id="rId431"/><Relationship Type="http://schemas.openxmlformats.org/officeDocument/2006/relationships/hyperlink" Target="https://www.miit.gov.cn/zwgk/zcwj/wjfb/tz/art/2025/art_e0b143ab438a4de4973ba9031c75b673.html" TargetMode="External" Id="rId432"/><Relationship Type="http://schemas.openxmlformats.org/officeDocument/2006/relationships/hyperlink" Target="https://www.miit.gov.cn/zwgk/zcwj/wjfb/tz/art/2025/art_fc1de65c987b44ab8560d2acf3b142a4.html" TargetMode="External" Id="rId433"/><Relationship Type="http://schemas.openxmlformats.org/officeDocument/2006/relationships/hyperlink" Target="https://www.miit.gov.cn/jgsj/xfpgys/wjfb/art/2025/art_7bd09ef20e60494aba48b36116118cbb.html" TargetMode="External" Id="rId434"/><Relationship Type="http://schemas.openxmlformats.org/officeDocument/2006/relationships/hyperlink" Target="https://www.miit.gov.cn/zwgk/zcwj/wjfb/tz/art/2025/art_e6fdc1fc198d4b3a86551a53c54b9491.html" TargetMode="External" Id="rId435"/><Relationship Type="http://schemas.openxmlformats.org/officeDocument/2006/relationships/hyperlink" Target="https://www.mee.gov.cn/xxgk2018/xxgk/xxgk03/202505/t20250530_1120372.html" TargetMode="External" Id="rId436"/><Relationship Type="http://schemas.openxmlformats.org/officeDocument/2006/relationships/hyperlink" Target="https://www.iea.org/policies/5479-china-energy-white-paper-2012" TargetMode="External" Id="rId437"/><Relationship Type="http://schemas.openxmlformats.org/officeDocument/2006/relationships/hyperlink" Target="https://www.gov.cn/xinwen/2014-03/06/content_2630690.htm" TargetMode="External" Id="rId438"/><Relationship Type="http://schemas.openxmlformats.org/officeDocument/2006/relationships/hyperlink" Target="https://lcj.tongliao.gov.cn/xwzx/bmdt/201709/t20170919_808361.html" TargetMode="External" Id="rId439"/><Relationship Type="http://schemas.openxmlformats.org/officeDocument/2006/relationships/hyperlink" Target="https://www.gov.cn/zhengce/zhengceku/2018-12/31/content_5437840.htm" TargetMode="External" Id="rId440"/><Relationship Type="http://schemas.openxmlformats.org/officeDocument/2006/relationships/hyperlink" Target="https://www.forestry.gov.cn/c/www/lczy/16087.jhtml" TargetMode="External" Id="rId441"/><Relationship Type="http://schemas.openxmlformats.org/officeDocument/2006/relationships/hyperlink" Target="https://www.gov.cn/zhengce/2020-12/21/content_5571916.htm" TargetMode="External" Id="rId442"/><Relationship Type="http://schemas.openxmlformats.org/officeDocument/2006/relationships/hyperlink" Target="https://english.mee.gov.cn/Resources/Plans/Plans/200801/t20080103_115879.shtml" TargetMode="External" Id="rId443"/><Relationship Type="http://schemas.openxmlformats.org/officeDocument/2006/relationships/hyperlink" Target="https://www.forestry.gov.cn/uploadfile/main/2011-7/file/2011-7-12-8920476e3e204817a8d33e821e5fdb44.pdf" TargetMode="External" Id="rId444"/><Relationship Type="http://schemas.openxmlformats.org/officeDocument/2006/relationships/hyperlink" Target="https://www.ndrc.gov.cn/xxgk/zcfb/tz/201704/t20170425_962953.html?code=&amp;state=123" TargetMode="External" Id="rId445"/><Relationship Type="http://schemas.openxmlformats.org/officeDocument/2006/relationships/hyperlink" Target="https://www.doc88.com/p-74659513278812.html" TargetMode="External" Id="rId446"/><Relationship Type="http://schemas.openxmlformats.org/officeDocument/2006/relationships/hyperlink" Target="https://www.gov.cn/xinwen/2017-12/20/5248855/files/7ed7d7cda8984ae39a4e9620a4660c7f.pdf" TargetMode="External" Id="rId447"/><Relationship Type="http://schemas.openxmlformats.org/officeDocument/2006/relationships/hyperlink" Target="https://www.gov.cn/zhengce/2019-09/19/content_5431432.htm" TargetMode="External" Id="rId448"/><Relationship Type="http://schemas.openxmlformats.org/officeDocument/2006/relationships/hyperlink" Target="https://www.gov.cn/zhengce/zhengceku/2020-06/12/content_5518982.htm" TargetMode="External" Id="rId449"/><Relationship Type="http://schemas.openxmlformats.org/officeDocument/2006/relationships/hyperlink" Target="https://www.gov.cn/zhengce/2021-02/24/content_5588654.htm" TargetMode="External" Id="rId450"/><Relationship Type="http://schemas.openxmlformats.org/officeDocument/2006/relationships/hyperlink" Target="https://www.miit.gov.cn/jgsj/jns/gzdt/art/2021/art_09b9a0f43de9496abff73b1954831e37.html" TargetMode="External" Id="rId451"/><Relationship Type="http://schemas.openxmlformats.org/officeDocument/2006/relationships/hyperlink" Target="https://www.ndrc.gov.cn/xxgk/zcfb/ghwb/202112/t20211222_1308922.html?code=&amp;state=123" TargetMode="External" Id="rId452"/><Relationship Type="http://schemas.openxmlformats.org/officeDocument/2006/relationships/hyperlink" Target="https://www.cac.gov.cn/2025-04/25/c_1747290376047340.htm" TargetMode="External" Id="rId45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2:T82"/>
  <sheetViews>
    <sheetView workbookViewId="0">
      <selection activeCell="B31" sqref="B31"/>
    </sheetView>
  </sheetViews>
  <sheetFormatPr baseColWidth="8" defaultColWidth="14" defaultRowHeight="13"/>
  <cols>
    <col width="3" customWidth="1" style="235" min="1" max="1"/>
    <col width="22" customWidth="1" style="235" min="2" max="2"/>
    <col width="12" customWidth="1" style="235" min="3" max="3"/>
    <col width="13" customWidth="1" style="235" min="4" max="16"/>
    <col width="15" customWidth="1" style="235" min="17" max="17"/>
    <col width="10" customWidth="1" style="235" min="18" max="18"/>
    <col width="27" customWidth="1" style="235" min="19" max="19"/>
    <col width="6" customWidth="1" style="235" min="20" max="20"/>
  </cols>
  <sheetData>
    <row r="1" ht="15" customHeight="1" s="235"/>
    <row r="2" ht="26.15" customHeight="1" s="235">
      <c r="A2" s="2" t="n"/>
      <c r="B2" s="3" t="inlineStr">
        <is>
          <t>China's National Climate Targets Database (v1.0.0)</t>
        </is>
      </c>
      <c r="C2" s="4" t="n"/>
      <c r="D2" s="4" t="n"/>
      <c r="E2" s="4" t="n"/>
      <c r="F2" s="4" t="n"/>
      <c r="G2" s="4" t="n"/>
      <c r="H2" s="4" t="n"/>
      <c r="I2" s="4" t="n"/>
      <c r="J2" s="4" t="n"/>
      <c r="K2" s="4" t="n"/>
      <c r="L2" s="4" t="n"/>
      <c r="M2" s="4" t="n"/>
      <c r="N2" s="4" t="n"/>
      <c r="O2" s="4" t="n"/>
      <c r="P2" s="4" t="n"/>
      <c r="Q2" s="4" t="n"/>
      <c r="R2" s="5" t="n"/>
      <c r="S2" s="6" t="inlineStr">
        <is>
          <t>CC BY 4.0</t>
        </is>
      </c>
      <c r="T2" s="7" t="n"/>
    </row>
    <row r="3" ht="17.15" customHeight="1" s="235">
      <c r="A3" s="8" t="n"/>
      <c r="B3" s="9" t="inlineStr">
        <is>
          <t>This dataset compiles quantified climate-related targets set by the Chinese central government from 2004 through mid-2026, drawn from official policy documents and government website entries, and organized into distinct thematic areas.</t>
        </is>
      </c>
      <c r="C3" s="8" t="n"/>
      <c r="D3" s="8" t="n"/>
      <c r="E3" s="8" t="n"/>
      <c r="F3" s="8" t="n"/>
      <c r="G3" s="8" t="n"/>
      <c r="H3" s="8" t="n"/>
      <c r="I3" s="8" t="n"/>
      <c r="J3" s="8" t="n"/>
      <c r="K3" s="8" t="n"/>
      <c r="L3" s="8" t="n"/>
      <c r="M3" s="8" t="n"/>
      <c r="N3" s="8" t="n"/>
      <c r="O3" s="8" t="n"/>
      <c r="P3" s="8" t="n"/>
      <c r="Q3" s="8" t="n"/>
      <c r="R3" s="10" t="inlineStr">
        <is>
          <t>Author</t>
        </is>
      </c>
      <c r="S3" s="11" t="inlineStr">
        <is>
          <t>Florian Wengel</t>
        </is>
      </c>
      <c r="T3" s="7" t="n"/>
    </row>
    <row r="4" ht="17.15" customHeight="1" s="235">
      <c r="A4" s="8" t="n"/>
      <c r="B4" s="9" t="inlineStr">
        <is>
          <t>In China, targets have a directive character in practice and serve as important guidance for government bodies.</t>
        </is>
      </c>
      <c r="C4" s="8" t="n"/>
      <c r="D4" s="8" t="n"/>
      <c r="E4" s="8" t="n"/>
      <c r="F4" s="8" t="n"/>
      <c r="G4" s="8" t="n"/>
      <c r="H4" s="8" t="n"/>
      <c r="I4" s="8" t="n"/>
      <c r="J4" s="8" t="n"/>
      <c r="K4" s="8" t="n"/>
      <c r="L4" s="8" t="n"/>
      <c r="M4" s="8" t="n"/>
      <c r="N4" s="8" t="n"/>
      <c r="O4" s="8" t="n"/>
      <c r="P4" s="8" t="n"/>
      <c r="Q4" s="8" t="n"/>
      <c r="R4" s="9" t="n"/>
      <c r="S4" s="12" t="inlineStr">
        <is>
          <t>SOAS University of London</t>
        </is>
      </c>
      <c r="T4" s="7" t="n"/>
    </row>
    <row r="5" ht="18" customHeight="1" s="235">
      <c r="B5" s="13" t="inlineStr">
        <is>
          <t>Last update</t>
        </is>
      </c>
      <c r="C5" s="14" t="n">
        <v>46272</v>
      </c>
      <c r="D5" s="15" t="n"/>
      <c r="E5" s="15" t="n"/>
      <c r="F5" s="15" t="n"/>
      <c r="G5" s="15" t="n"/>
      <c r="H5" s="15" t="n"/>
      <c r="I5" s="15" t="n"/>
      <c r="J5" s="15" t="n"/>
      <c r="K5" s="15" t="n"/>
      <c r="L5" s="15" t="n"/>
      <c r="M5" s="15" t="n"/>
      <c r="N5" s="15" t="n"/>
      <c r="O5" s="15" t="n"/>
      <c r="P5" s="15" t="n"/>
      <c r="Q5" s="16" t="inlineStr">
        <is>
          <t>Disclaimer: All errors are the author's.</t>
        </is>
      </c>
      <c r="R5" s="17" t="n"/>
      <c r="S5" s="18" t="inlineStr">
        <is>
          <t>705404@soas.ac.uk</t>
        </is>
      </c>
    </row>
    <row r="6" ht="15" customHeight="1" s="235">
      <c r="B6" s="239" t="inlineStr">
        <is>
          <t>2026-09-07: Unified percentage notation across the English version ("X percent" → "X%").</t>
        </is>
      </c>
    </row>
    <row r="7" ht="15" customHeight="1" s="235">
      <c r="B7" s="239" t="inlineStr">
        <is>
          <t>2026-09-07: Added 1 target from the Implementation Plan for Promoting Coordinated Digital and Green Transformation (2026-2030) (IP2604): renewable electricity consumption level in computing facilities and other key areas reaching the provincial renewable electricity consumption responsibility weight (2030).</t>
        </is>
      </c>
    </row>
    <row r="8" ht="17.15" customHeight="1" s="235">
      <c r="B8" s="239" t="inlineStr">
        <is>
          <t>2026-09-07: Simplified target category names by removing the "target" suffix (e.g. "Renewable energy target" → "Renewable energy"), in sync with the Chinese version.</t>
        </is>
      </c>
    </row>
    <row r="9" ht="15" customHeight="1" s="235">
      <c r="B9" s="19" t="inlineStr">
        <is>
          <t>2026-09-04: Per the inclusion criteria (directly reducing GHG emissions, indirectly promoting mitigation, or significantly affecting the emission pathway), 62 indicators without a direct climate link were screened and removed (travel convenience, security screening procedures, vehicle technical parameters, employment/revenue, biodiversity, etc.).
2026-09-04: Added 169 targets from 17 new 2026 policy documents (98 new targets, 63 reiterated targets, 8 strengthened or loosened targets), and added 26 policy documents to the Sources sheet.</t>
        </is>
      </c>
      <c r="C9" s="20" t="n"/>
      <c r="S9" s="21" t="n"/>
    </row>
    <row r="10" ht="15" customHeight="1" s="235">
      <c r="B10" s="22" t="inlineStr">
        <is>
          <t>Source information</t>
        </is>
      </c>
      <c r="C10" s="23" t="n"/>
      <c r="D10" s="24" t="n"/>
      <c r="E10" s="24" t="n"/>
      <c r="F10" s="24" t="n"/>
      <c r="G10" s="24" t="n"/>
      <c r="H10" s="24" t="n"/>
      <c r="I10" s="24" t="n"/>
      <c r="J10" s="24" t="n"/>
      <c r="K10" s="24" t="n"/>
      <c r="L10" s="24" t="n"/>
      <c r="M10" s="24" t="n"/>
      <c r="N10" s="24" t="n"/>
      <c r="O10" s="24" t="n"/>
      <c r="P10" s="24" t="n"/>
      <c r="Q10" s="24" t="n"/>
      <c r="R10" s="24" t="n"/>
      <c r="S10" s="25" t="n"/>
    </row>
    <row r="11" ht="17.15" customHeight="1" s="235">
      <c r="A11" s="8" t="n"/>
      <c r="B11" s="26" t="inlineStr">
        <is>
          <t>Climate targets are extracted from Chinese climate strategies issued by various agencies of the Chinese central government. These text documents were found on government agencies' websites, the online encyclopaedia Baidu Baike, Chinese state-owned media outlets, or other websites.</t>
        </is>
      </c>
      <c r="C11" s="27" t="n"/>
      <c r="D11" s="28" t="n"/>
      <c r="E11" s="28" t="n"/>
      <c r="F11" s="28" t="n"/>
      <c r="G11" s="28" t="n"/>
      <c r="H11" s="28" t="n"/>
      <c r="I11" s="28" t="n"/>
      <c r="J11" s="28" t="n"/>
      <c r="K11" s="28" t="n"/>
      <c r="L11" s="28" t="n"/>
      <c r="M11" s="28" t="n"/>
      <c r="N11" s="28" t="n"/>
      <c r="O11" s="28" t="n"/>
      <c r="P11" s="28" t="n"/>
      <c r="Q11" s="28" t="n"/>
      <c r="R11" s="28" t="n"/>
      <c r="S11" s="29" t="n"/>
    </row>
    <row r="12" ht="17.15" customHeight="1" s="235">
      <c r="B12" s="19" t="n"/>
      <c r="C12" s="20" t="n"/>
      <c r="S12" s="21" t="n"/>
    </row>
    <row r="13" ht="15" customHeight="1" s="235">
      <c r="B13" s="22" t="inlineStr">
        <is>
          <t>Climate target definition</t>
        </is>
      </c>
      <c r="C13" s="23" t="n"/>
      <c r="D13" s="24" t="n"/>
      <c r="E13" s="24" t="n"/>
      <c r="F13" s="24" t="n"/>
      <c r="G13" s="24" t="n"/>
      <c r="H13" s="24" t="n"/>
      <c r="I13" s="24" t="n"/>
      <c r="J13" s="24" t="n"/>
      <c r="K13" s="24" t="n"/>
      <c r="L13" s="24" t="n"/>
      <c r="M13" s="24" t="n"/>
      <c r="N13" s="24" t="n"/>
      <c r="O13" s="24" t="n"/>
      <c r="P13" s="24" t="n"/>
      <c r="Q13" s="24" t="n"/>
      <c r="R13" s="24" t="n"/>
      <c r="S13" s="25" t="n"/>
    </row>
    <row r="14" ht="15" customHeight="1" s="235">
      <c r="A14" s="8" t="n"/>
      <c r="B14" s="9" t="inlineStr">
        <is>
          <t>For the purpose of compiling this data set, we define climate targets in a broad sense as quantified commitments aimed at directly reducing GHG emissions, contributing indirectly to emission reduction, or significantly influencing GHG emission pathways.</t>
        </is>
      </c>
      <c r="C14" s="30" t="n"/>
      <c r="D14" s="8" t="n"/>
      <c r="E14" s="8" t="n"/>
      <c r="F14" s="8" t="n"/>
      <c r="G14" s="8" t="n"/>
      <c r="H14" s="8" t="n"/>
      <c r="I14" s="8" t="n"/>
      <c r="J14" s="8" t="n"/>
      <c r="K14" s="8" t="n"/>
      <c r="L14" s="8" t="n"/>
      <c r="M14" s="8" t="n"/>
      <c r="N14" s="8" t="n"/>
      <c r="O14" s="8" t="n"/>
      <c r="P14" s="8" t="n"/>
      <c r="Q14" s="8" t="n"/>
      <c r="R14" s="8" t="n"/>
      <c r="S14" s="31" t="n"/>
    </row>
    <row r="15" ht="15" customHeight="1" s="235">
      <c r="A15" s="8" t="n"/>
      <c r="B15" s="26" t="inlineStr">
        <is>
          <t>The dataset includes both hard targets and softer indicative targets.</t>
        </is>
      </c>
      <c r="C15" s="27" t="n"/>
      <c r="D15" s="28" t="n"/>
      <c r="E15" s="28" t="n"/>
      <c r="F15" s="28" t="n"/>
      <c r="G15" s="28" t="n"/>
      <c r="H15" s="28" t="n"/>
      <c r="I15" s="28" t="n"/>
      <c r="J15" s="28" t="n"/>
      <c r="K15" s="28" t="n"/>
      <c r="L15" s="28" t="n"/>
      <c r="M15" s="28" t="n"/>
      <c r="N15" s="28" t="n"/>
      <c r="O15" s="28" t="n"/>
      <c r="P15" s="28" t="n"/>
      <c r="Q15" s="28" t="n"/>
      <c r="R15" s="28" t="n"/>
      <c r="S15" s="29" t="n"/>
    </row>
    <row r="16" ht="15" customHeight="1" s="235">
      <c r="B16" s="19" t="n"/>
      <c r="C16" s="20" t="n"/>
    </row>
    <row r="17" ht="15" customHeight="1" s="235">
      <c r="B17" s="22" t="inlineStr">
        <is>
          <t>Scope &amp; coverage</t>
        </is>
      </c>
      <c r="C17" s="23" t="n"/>
      <c r="D17" s="24" t="n"/>
      <c r="E17" s="24" t="n"/>
      <c r="F17" s="24" t="n"/>
      <c r="G17" s="24" t="n"/>
      <c r="H17" s="24" t="n"/>
      <c r="I17" s="24" t="n"/>
      <c r="J17" s="24" t="n"/>
      <c r="K17" s="24" t="n"/>
      <c r="L17" s="24" t="n"/>
      <c r="M17" s="24" t="n"/>
      <c r="N17" s="24" t="n"/>
      <c r="O17" s="24" t="n"/>
      <c r="P17" s="24" t="n"/>
      <c r="Q17" s="24" t="n"/>
      <c r="R17" s="24" t="n"/>
      <c r="S17" s="25" t="n"/>
    </row>
    <row r="18" ht="15" customHeight="1" s="235">
      <c r="B18" s="9" t="inlineStr">
        <is>
          <t>This dataset only covers national level climate targets. It does not provide information on targets set at the subnational level. Targets are extracted from policy documents that were issued since 2004.</t>
        </is>
      </c>
      <c r="C18" s="30" t="n"/>
      <c r="D18" s="8" t="n"/>
      <c r="E18" s="8" t="n"/>
      <c r="F18" s="8" t="n"/>
      <c r="G18" s="8" t="n"/>
      <c r="H18" s="8" t="n"/>
      <c r="I18" s="8" t="n"/>
      <c r="J18" s="8" t="n"/>
      <c r="K18" s="8" t="n"/>
      <c r="L18" s="8" t="n"/>
      <c r="M18" s="8" t="n"/>
      <c r="N18" s="8" t="n"/>
      <c r="O18" s="8" t="n"/>
      <c r="P18" s="8" t="n"/>
      <c r="Q18" s="8" t="n"/>
      <c r="R18" s="8" t="n"/>
      <c r="S18" s="31" t="n"/>
    </row>
    <row r="19" ht="15" customHeight="1" s="235">
      <c r="B19" s="26" t="inlineStr">
        <is>
          <t>The dataset was compiled to be as comprehensive as possible, yet some targets may not have been captured.</t>
        </is>
      </c>
      <c r="C19" s="243" t="n"/>
      <c r="D19" s="244" t="n"/>
      <c r="E19" s="244" t="n"/>
      <c r="F19" s="244" t="n"/>
      <c r="G19" s="244" t="n"/>
      <c r="H19" s="244" t="n"/>
      <c r="I19" s="244" t="n"/>
      <c r="J19" s="244" t="n"/>
      <c r="K19" s="244" t="n"/>
      <c r="L19" s="244" t="n"/>
      <c r="M19" s="244" t="n"/>
      <c r="N19" s="244" t="n"/>
      <c r="O19" s="244" t="n"/>
      <c r="P19" s="244" t="n"/>
      <c r="Q19" s="244" t="n"/>
      <c r="R19" s="244" t="n"/>
      <c r="S19" s="245" t="n"/>
    </row>
    <row r="20" ht="15" customHeight="1" s="235">
      <c r="B20" s="19" t="n"/>
      <c r="C20" s="20" t="n"/>
    </row>
    <row r="21" ht="15" customHeight="1" s="235">
      <c r="B21" s="22" t="inlineStr">
        <is>
          <t>Dataset structure</t>
        </is>
      </c>
      <c r="C21" s="240" t="n"/>
      <c r="D21" s="241" t="n"/>
      <c r="E21" s="241" t="n"/>
      <c r="F21" s="241" t="n"/>
      <c r="G21" s="241" t="n"/>
      <c r="H21" s="241" t="n"/>
      <c r="I21" s="241" t="n"/>
      <c r="J21" s="241" t="n"/>
      <c r="K21" s="241" t="n"/>
      <c r="L21" s="241" t="n"/>
      <c r="M21" s="241" t="n"/>
      <c r="N21" s="241" t="n"/>
      <c r="O21" s="241" t="n"/>
      <c r="P21" s="241" t="n"/>
      <c r="Q21" s="241" t="n"/>
      <c r="R21" s="241" t="n"/>
      <c r="S21" s="242" t="n"/>
    </row>
    <row r="22" ht="15" customHeight="1" s="235">
      <c r="B22" s="32" t="inlineStr">
        <is>
          <t>Sheet</t>
        </is>
      </c>
      <c r="C22" s="234" t="inlineStr">
        <is>
          <t>Explanation</t>
        </is>
      </c>
      <c r="S22" s="236" t="n"/>
    </row>
    <row r="23" ht="15" customHeight="1" s="235">
      <c r="B23" s="33" t="inlineStr">
        <is>
          <t>Overview</t>
        </is>
      </c>
      <c r="C23" s="34" t="inlineStr">
        <is>
          <t>Summary statistics</t>
        </is>
      </c>
      <c r="D23" s="35" t="n"/>
      <c r="E23" s="35" t="n"/>
      <c r="F23" s="35" t="n"/>
      <c r="G23" s="35" t="n"/>
      <c r="H23" s="35" t="n"/>
      <c r="I23" s="35" t="n"/>
      <c r="J23" s="35" t="n"/>
      <c r="K23" s="35" t="n"/>
      <c r="L23" s="35" t="n"/>
      <c r="M23" s="35" t="n"/>
      <c r="N23" s="35" t="n"/>
      <c r="O23" s="35" t="n"/>
      <c r="P23" s="35" t="n"/>
      <c r="Q23" s="35" t="n"/>
      <c r="R23" s="35" t="n"/>
      <c r="S23" s="36" t="n"/>
    </row>
    <row r="24" ht="15" customHeight="1" s="235">
      <c r="B24" s="33" t="inlineStr">
        <is>
          <t>GHG Emissions</t>
        </is>
      </c>
      <c r="C24" s="37" t="inlineStr">
        <is>
          <t>All targets addressing greenhouse gas emissions, economy-wide or for specific sectors, systems or processes</t>
        </is>
      </c>
      <c r="D24" s="8" t="n"/>
      <c r="E24" s="8" t="n"/>
      <c r="F24" s="8" t="n"/>
      <c r="G24" s="8" t="n"/>
      <c r="H24" s="8" t="n"/>
      <c r="I24" s="8" t="n"/>
      <c r="J24" s="8" t="n"/>
      <c r="K24" s="8" t="n"/>
      <c r="L24" s="8" t="n"/>
      <c r="M24" s="8" t="n"/>
      <c r="N24" s="8" t="n"/>
      <c r="O24" s="8" t="n"/>
      <c r="P24" s="8" t="n"/>
      <c r="Q24" s="8" t="n"/>
      <c r="R24" s="8" t="n"/>
      <c r="S24" s="31" t="n"/>
    </row>
    <row r="25" ht="15" customHeight="1" s="235">
      <c r="B25" s="33" t="inlineStr">
        <is>
          <t>Energy|Power</t>
        </is>
      </c>
      <c r="C25" s="37" t="inlineStr">
        <is>
          <t>All targets related to energy supply (including targets related to coal power) and consumption</t>
        </is>
      </c>
      <c r="D25" s="8" t="n"/>
      <c r="E25" s="8" t="n"/>
      <c r="F25" s="8" t="n"/>
      <c r="G25" s="8" t="n"/>
      <c r="H25" s="8" t="n"/>
      <c r="I25" s="8" t="n"/>
      <c r="J25" s="8" t="n"/>
      <c r="K25" s="8" t="n"/>
      <c r="L25" s="8" t="n"/>
      <c r="M25" s="8" t="n"/>
      <c r="N25" s="8" t="n"/>
      <c r="O25" s="8" t="n"/>
      <c r="P25" s="8" t="n"/>
      <c r="Q25" s="8" t="n"/>
      <c r="R25" s="8" t="n"/>
      <c r="S25" s="31" t="n"/>
    </row>
    <row r="26" ht="15" customHeight="1" s="235">
      <c r="B26" s="33" t="inlineStr">
        <is>
          <t>Industry</t>
        </is>
      </c>
      <c r="C26" s="37" t="inlineStr">
        <is>
          <t>All targets related to the industrial sector, particularly carbon-intensive industrial processes</t>
        </is>
      </c>
      <c r="D26" s="8" t="n"/>
      <c r="E26" s="8" t="n"/>
      <c r="F26" s="8" t="n"/>
      <c r="G26" s="8" t="n"/>
      <c r="H26" s="8" t="n"/>
      <c r="I26" s="8" t="n"/>
      <c r="J26" s="8" t="n"/>
      <c r="K26" s="8" t="n"/>
      <c r="L26" s="8" t="n"/>
      <c r="M26" s="8" t="n"/>
      <c r="N26" s="8" t="n"/>
      <c r="O26" s="8" t="n"/>
      <c r="P26" s="8" t="n"/>
      <c r="Q26" s="8" t="n"/>
      <c r="R26" s="8" t="n"/>
      <c r="S26" s="31" t="n"/>
    </row>
    <row r="27" ht="15" customHeight="1" s="235">
      <c r="B27" s="33" t="inlineStr">
        <is>
          <t>Buildings</t>
        </is>
      </c>
      <c r="C27" s="37" t="inlineStr">
        <is>
          <t>All targets related to buildings and infrastructure</t>
        </is>
      </c>
      <c r="D27" s="8" t="n"/>
      <c r="E27" s="8" t="n"/>
      <c r="F27" s="8" t="n"/>
      <c r="G27" s="8" t="n"/>
      <c r="H27" s="8" t="n"/>
      <c r="I27" s="8" t="n"/>
      <c r="J27" s="8" t="n"/>
      <c r="K27" s="8" t="n"/>
      <c r="L27" s="8" t="n"/>
      <c r="M27" s="8" t="n"/>
      <c r="N27" s="8" t="n"/>
      <c r="O27" s="8" t="n"/>
      <c r="P27" s="8" t="n"/>
      <c r="Q27" s="8" t="n"/>
      <c r="R27" s="8" t="n"/>
      <c r="S27" s="31" t="n"/>
    </row>
    <row r="28" ht="15" customHeight="1" s="235">
      <c r="B28" s="33" t="inlineStr">
        <is>
          <t>Transport</t>
        </is>
      </c>
      <c r="C28" s="37" t="inlineStr">
        <is>
          <t>All targets related to transportation and logistics</t>
        </is>
      </c>
      <c r="D28" s="8" t="n"/>
      <c r="E28" s="8" t="n"/>
      <c r="F28" s="8" t="n"/>
      <c r="G28" s="8" t="n"/>
      <c r="H28" s="8" t="n"/>
      <c r="I28" s="8" t="n"/>
      <c r="J28" s="8" t="n"/>
      <c r="K28" s="8" t="n"/>
      <c r="L28" s="8" t="n"/>
      <c r="M28" s="8" t="n"/>
      <c r="N28" s="8" t="n"/>
      <c r="O28" s="8" t="n"/>
      <c r="P28" s="8" t="n"/>
      <c r="Q28" s="8" t="n"/>
      <c r="R28" s="8" t="n"/>
      <c r="S28" s="31" t="n"/>
    </row>
    <row r="29" ht="15" customHeight="1" s="235">
      <c r="B29" s="33" t="inlineStr">
        <is>
          <t>LULUCF</t>
        </is>
      </c>
      <c r="C29" s="37" t="inlineStr">
        <is>
          <t>All targets related to land use, agriculture and forestry</t>
        </is>
      </c>
      <c r="S29" s="12" t="n"/>
    </row>
    <row r="30" ht="15" customHeight="1" s="235">
      <c r="B30" s="33" t="inlineStr">
        <is>
          <t>Circular Economy</t>
        </is>
      </c>
      <c r="C30" s="37" t="inlineStr">
        <is>
          <t>All targets related to waste and water management and recycling</t>
        </is>
      </c>
      <c r="S30" s="12" t="n"/>
    </row>
    <row r="31" ht="15" customHeight="1" s="235">
      <c r="B31" s="33" t="inlineStr">
        <is>
          <t>Pollution</t>
        </is>
      </c>
      <c r="C31" s="37" t="inlineStr">
        <is>
          <t>All targets addressing air or water pollutants, economy-wide or for specific sectors, systems or processes</t>
        </is>
      </c>
      <c r="D31" s="8" t="n"/>
      <c r="E31" s="8" t="n"/>
      <c r="F31" s="8" t="n"/>
      <c r="G31" s="8" t="n"/>
      <c r="H31" s="8" t="n"/>
      <c r="I31" s="8" t="n"/>
      <c r="J31" s="8" t="n"/>
      <c r="K31" s="8" t="n"/>
      <c r="L31" s="8" t="n"/>
      <c r="M31" s="8" t="n"/>
      <c r="N31" s="8" t="n"/>
      <c r="O31" s="8" t="n"/>
      <c r="P31" s="8" t="n"/>
      <c r="Q31" s="8" t="n"/>
      <c r="R31" s="8" t="n"/>
      <c r="S31" s="31" t="n"/>
    </row>
    <row r="32" ht="15" customHeight="1" s="235">
      <c r="B32" s="33" t="inlineStr">
        <is>
          <t>Finance</t>
        </is>
      </c>
      <c r="C32" s="37" t="inlineStr">
        <is>
          <t>All targets related to the financing to achieve decarbonisation goals</t>
        </is>
      </c>
      <c r="S32" s="12" t="n"/>
    </row>
    <row r="33" ht="15" customHeight="1" s="235">
      <c r="B33" s="33" t="inlineStr">
        <is>
          <t>Sources</t>
        </is>
      </c>
      <c r="C33" s="38" t="inlineStr">
        <is>
          <t>Code identifying climate policy document used to source target data. Codes and the corresponding full titles of policy documents can be found in the 'Sources' sheet.</t>
        </is>
      </c>
      <c r="D33" s="15" t="n"/>
      <c r="E33" s="15" t="n"/>
      <c r="F33" s="15" t="n"/>
      <c r="G33" s="15" t="n"/>
      <c r="H33" s="15" t="n"/>
      <c r="I33" s="15" t="n"/>
      <c r="J33" s="15" t="n"/>
      <c r="K33" s="15" t="n"/>
      <c r="L33" s="15" t="n"/>
      <c r="M33" s="15" t="n"/>
      <c r="N33" s="15" t="n"/>
      <c r="O33" s="15" t="n"/>
      <c r="P33" s="15" t="n"/>
      <c r="Q33" s="15" t="n"/>
      <c r="R33" s="15" t="n"/>
      <c r="S33" s="18" t="n"/>
    </row>
    <row r="34" ht="15" customHeight="1" s="235">
      <c r="B34" s="19" t="n"/>
      <c r="C34" s="39" t="n"/>
    </row>
    <row r="35" ht="15" customHeight="1" s="235">
      <c r="B35" s="22" t="inlineStr">
        <is>
          <t>Column Descriptions</t>
        </is>
      </c>
      <c r="C35" s="23" t="n"/>
      <c r="D35" s="24" t="n"/>
      <c r="E35" s="24" t="n"/>
      <c r="F35" s="24" t="n"/>
      <c r="G35" s="24" t="n"/>
      <c r="H35" s="24" t="n"/>
      <c r="I35" s="24" t="n"/>
      <c r="J35" s="24" t="n"/>
      <c r="K35" s="24" t="n"/>
      <c r="L35" s="24" t="n"/>
      <c r="M35" s="24" t="n"/>
      <c r="N35" s="24" t="n"/>
      <c r="O35" s="24" t="n"/>
      <c r="P35" s="24" t="n"/>
      <c r="Q35" s="24" t="n"/>
      <c r="R35" s="24" t="n"/>
      <c r="S35" s="25" t="n"/>
    </row>
    <row r="36" ht="15" customHeight="1" s="235">
      <c r="B36" s="228" t="inlineStr">
        <is>
          <t>Announcement_Year</t>
        </is>
      </c>
      <c r="C36" s="41" t="inlineStr">
        <is>
          <t>The year in which the source document in which the target was found was officially released or published.</t>
        </is>
      </c>
      <c r="D36" s="42" t="n"/>
      <c r="E36" s="42" t="n"/>
      <c r="F36" s="42" t="n"/>
      <c r="G36" s="42" t="n"/>
      <c r="H36" s="42" t="n"/>
      <c r="I36" s="42" t="n"/>
      <c r="J36" s="42" t="n"/>
      <c r="K36" s="42" t="n"/>
      <c r="L36" s="42" t="n"/>
      <c r="M36" s="42" t="n"/>
      <c r="N36" s="42" t="n"/>
      <c r="O36" s="42" t="n"/>
      <c r="P36" s="42" t="n"/>
      <c r="Q36" s="42" t="n"/>
      <c r="R36" s="42" t="n"/>
      <c r="S36" s="43" t="n"/>
    </row>
    <row r="37" ht="15" customHeight="1" s="235">
      <c r="B37" s="228" t="inlineStr">
        <is>
          <t>Metric</t>
        </is>
      </c>
      <c r="C37" s="41" t="inlineStr">
        <is>
          <t>The core indicator the target is about (what is being measured).</t>
        </is>
      </c>
      <c r="D37" s="42" t="n"/>
      <c r="E37" s="42" t="n"/>
      <c r="F37" s="42" t="n"/>
      <c r="G37" s="42" t="n"/>
      <c r="H37" s="42" t="n"/>
      <c r="I37" s="42" t="n"/>
      <c r="J37" s="42" t="n"/>
      <c r="K37" s="42" t="n"/>
      <c r="L37" s="42" t="n"/>
      <c r="M37" s="42" t="n"/>
      <c r="N37" s="42" t="n"/>
      <c r="O37" s="42" t="n"/>
      <c r="P37" s="42" t="n"/>
      <c r="Q37" s="42" t="n"/>
      <c r="R37" s="42" t="n"/>
      <c r="S37" s="43" t="n"/>
    </row>
    <row r="38" ht="15" customHeight="1" s="235">
      <c r="B38" s="228" t="inlineStr">
        <is>
          <t>Direction</t>
        </is>
      </c>
      <c r="C38" s="41" t="inlineStr">
        <is>
          <t>The intended direction or type of change expressed by the target</t>
        </is>
      </c>
      <c r="D38" s="42" t="n"/>
      <c r="E38" s="42" t="n"/>
      <c r="F38" s="42" t="n"/>
      <c r="G38" s="42" t="n"/>
      <c r="H38" s="42" t="n"/>
      <c r="I38" s="42" t="n"/>
      <c r="J38" s="42" t="n"/>
      <c r="K38" s="42" t="n"/>
      <c r="L38" s="42" t="n"/>
      <c r="M38" s="42" t="n"/>
      <c r="N38" s="42" t="n"/>
      <c r="O38" s="42" t="n"/>
      <c r="P38" s="42" t="n"/>
      <c r="Q38" s="42" t="n"/>
      <c r="R38" s="42" t="n"/>
      <c r="S38" s="43" t="n"/>
    </row>
    <row r="39" ht="16" customHeight="1" s="235">
      <c r="B39" s="228" t="inlineStr">
        <is>
          <t>Target_Magnitude</t>
        </is>
      </c>
      <c r="C39" s="41" t="inlineStr">
        <is>
          <t>The target level or change magnitude (the numeric value together with its unit)</t>
        </is>
      </c>
      <c r="D39" s="42" t="n"/>
      <c r="E39" s="42" t="n"/>
      <c r="F39" s="42" t="n"/>
      <c r="G39" s="42" t="n"/>
      <c r="H39" s="42" t="n"/>
      <c r="I39" s="42" t="n"/>
      <c r="J39" s="42" t="n"/>
      <c r="K39" s="42" t="n"/>
      <c r="L39" s="42" t="n"/>
      <c r="M39" s="42" t="n"/>
      <c r="N39" s="42" t="n"/>
      <c r="O39" s="42" t="n"/>
      <c r="P39" s="42" t="n"/>
      <c r="Q39" s="42" t="n"/>
      <c r="R39" s="42" t="n"/>
      <c r="S39" s="43" t="n"/>
    </row>
    <row r="40" ht="16" customHeight="1" s="235">
      <c r="B40" s="229" t="n"/>
      <c r="C40" s="41" t="inlineStr">
        <is>
          <t>The level or year from which progress toward the target is measured, if specified in the source document. This is the starting reference year for the change magnitude.</t>
        </is>
      </c>
      <c r="D40" s="42" t="n"/>
      <c r="E40" s="42" t="n"/>
      <c r="F40" s="42" t="n"/>
      <c r="G40" s="42" t="n"/>
      <c r="H40" s="42" t="n"/>
      <c r="I40" s="42" t="n"/>
      <c r="J40" s="42" t="n"/>
      <c r="K40" s="42" t="n"/>
      <c r="L40" s="42" t="n"/>
      <c r="M40" s="42" t="n"/>
      <c r="N40" s="42" t="n"/>
      <c r="O40" s="42" t="n"/>
      <c r="P40" s="42" t="n"/>
      <c r="Q40" s="42" t="n"/>
      <c r="R40" s="42" t="n"/>
      <c r="S40" s="43" t="n"/>
    </row>
    <row r="41" ht="16" customHeight="1" s="235">
      <c r="B41" s="229" t="n"/>
      <c r="C41" s="41" t="inlineStr">
        <is>
          <t>The year or period in which the target is meant to be achieved.</t>
        </is>
      </c>
      <c r="D41" s="42" t="n"/>
      <c r="E41" s="42" t="n"/>
      <c r="F41" s="42" t="n"/>
      <c r="G41" s="42" t="n"/>
      <c r="H41" s="42" t="n"/>
      <c r="I41" s="42" t="n"/>
      <c r="J41" s="42" t="n"/>
      <c r="K41" s="42" t="n"/>
      <c r="L41" s="42" t="n"/>
      <c r="M41" s="42" t="n"/>
      <c r="N41" s="42" t="n"/>
      <c r="O41" s="42" t="n"/>
      <c r="P41" s="42" t="n"/>
      <c r="Q41" s="42" t="n"/>
      <c r="R41" s="42" t="n"/>
      <c r="S41" s="43" t="n"/>
    </row>
    <row r="42" ht="16" customHeight="1" s="235">
      <c r="B42" s="229" t="n"/>
      <c r="C42" s="44" t="inlineStr">
        <is>
          <t>A code indicating whether the target is new, repeated, strengthened, or loosened:</t>
        </is>
      </c>
      <c r="S42" s="12" t="n"/>
    </row>
    <row r="43" ht="16" customHeight="1" s="235">
      <c r="B43" s="229" t="n"/>
      <c r="C43" s="44" t="inlineStr">
        <is>
          <t>n = New target (appears for the first time)</t>
        </is>
      </c>
      <c r="S43" s="12" t="n"/>
    </row>
    <row r="44" ht="16" customHeight="1" s="235">
      <c r="B44" s="229" t="n"/>
      <c r="C44" s="44" t="inlineStr">
        <is>
          <t>r = Repeated target (same target level and same target year appears in multiple policy documents)</t>
        </is>
      </c>
      <c r="S44" s="12" t="n"/>
    </row>
    <row r="45" ht="16" customHeight="1" s="235">
      <c r="B45" s="230" t="n"/>
      <c r="C45" s="44" t="inlineStr">
        <is>
          <t>s/l = Strengthened or loosened target (same target year or period, but target level is made more or less ambitious)</t>
        </is>
      </c>
      <c r="J45" s="45" t="n"/>
      <c r="S45" s="12" t="n"/>
    </row>
    <row r="46" ht="16" customHeight="1" s="235">
      <c r="B46" s="230" t="n"/>
      <c r="C46" s="44" t="n"/>
      <c r="D46" s="7" t="inlineStr">
        <is>
          <t>s/l-UNC</t>
        </is>
      </c>
      <c r="E46" s="7" t="inlineStr">
        <is>
          <t>Strengthened or loosened target with unclear climate impact</t>
        </is>
      </c>
      <c r="J46" s="45" t="n"/>
      <c r="S46" s="12" t="n"/>
    </row>
    <row r="47" ht="16" customHeight="1" s="235">
      <c r="B47" s="229" t="n"/>
      <c r="C47" s="44" t="n"/>
      <c r="D47" s="7" t="inlineStr">
        <is>
          <t>s/l-POS</t>
        </is>
      </c>
      <c r="E47" s="7" t="inlineStr">
        <is>
          <t>Strengthened or loosened target with positive climate impact</t>
        </is>
      </c>
      <c r="J47" s="45" t="n"/>
      <c r="S47" s="12" t="n"/>
    </row>
    <row r="48" ht="16" customHeight="1" s="235">
      <c r="B48" s="229" t="n"/>
      <c r="C48" s="17" t="n"/>
      <c r="D48" s="15" t="inlineStr">
        <is>
          <t>s/l-NEG</t>
        </is>
      </c>
      <c r="E48" s="15" t="inlineStr">
        <is>
          <t>Strengthened or loosened target with negative climate impact</t>
        </is>
      </c>
      <c r="F48" s="15" t="n"/>
      <c r="G48" s="15" t="n"/>
      <c r="H48" s="15" t="n"/>
      <c r="I48" s="15" t="n"/>
      <c r="J48" s="46" t="n"/>
      <c r="K48" s="15" t="n"/>
      <c r="L48" s="15" t="n"/>
      <c r="M48" s="15" t="n"/>
      <c r="N48" s="15" t="n"/>
      <c r="O48" s="15" t="n"/>
      <c r="P48" s="15" t="n"/>
      <c r="Q48" s="15" t="n"/>
      <c r="R48" s="15" t="n"/>
      <c r="S48" s="18" t="n"/>
    </row>
    <row r="49" ht="16" customHeight="1" s="235">
      <c r="B49" s="229" t="n"/>
      <c r="C49" s="47" t="inlineStr">
        <is>
          <t>An attribute categorising targets based on the underlying mechanism through which they aim to contribute to climate mitigation or environmental outcomes:</t>
        </is>
      </c>
      <c r="D49" s="48" t="n"/>
      <c r="E49" s="48" t="n"/>
      <c r="F49" s="48" t="n"/>
      <c r="G49" s="48" t="n"/>
      <c r="H49" s="48" t="n"/>
      <c r="I49" s="48" t="n"/>
      <c r="J49" s="49" t="n"/>
      <c r="K49" s="48" t="n"/>
      <c r="L49" s="48" t="n"/>
      <c r="M49" s="48" t="n"/>
      <c r="N49" s="48" t="n"/>
      <c r="O49" s="48" t="n"/>
      <c r="P49" s="48" t="n"/>
      <c r="Q49" s="48" t="n"/>
      <c r="R49" s="48" t="n"/>
      <c r="S49" s="50" t="n"/>
    </row>
    <row r="50" ht="16" customHeight="1" s="235">
      <c r="B50" s="229" t="n"/>
      <c r="C50" s="44" t="inlineStr">
        <is>
          <t>Carbon reduction</t>
        </is>
      </c>
      <c r="E50" s="7" t="inlineStr">
        <is>
          <t>absolute reduction in emissions</t>
        </is>
      </c>
      <c r="J50" s="45" t="n"/>
      <c r="S50" s="12" t="n"/>
    </row>
    <row r="51" ht="16" customHeight="1" s="235">
      <c r="B51" s="229" t="n"/>
      <c r="C51" s="44" t="inlineStr">
        <is>
          <t>Carbon intensity</t>
        </is>
      </c>
      <c r="E51" s="7" t="inlineStr">
        <is>
          <t>relative reduction in emissions per unit of output</t>
        </is>
      </c>
      <c r="J51" s="45" t="n"/>
      <c r="S51" s="12" t="n"/>
    </row>
    <row r="52" ht="16" customHeight="1" s="235">
      <c r="B52" s="229" t="n"/>
      <c r="C52" s="44" t="inlineStr">
        <is>
          <t>Carbon sink</t>
        </is>
      </c>
      <c r="E52" s="7" t="inlineStr">
        <is>
          <t>increase in forest cover or carbon sink capacity</t>
        </is>
      </c>
      <c r="J52" s="45" t="n"/>
      <c r="S52" s="12" t="n"/>
    </row>
    <row r="53" ht="16" customHeight="1" s="235">
      <c r="B53" s="229" t="n"/>
      <c r="C53" s="44" t="inlineStr">
        <is>
          <t>Energy saving</t>
        </is>
      </c>
      <c r="E53" s="7" t="inlineStr">
        <is>
          <t>reduction of energy consumption</t>
        </is>
      </c>
      <c r="J53" s="45" t="n"/>
      <c r="S53" s="12" t="n"/>
    </row>
    <row r="54" ht="16" customHeight="1" s="235">
      <c r="B54" s="229" t="n"/>
      <c r="C54" s="44" t="inlineStr">
        <is>
          <t>Energy efficiency</t>
        </is>
      </c>
      <c r="E54" s="7" t="inlineStr">
        <is>
          <t>enhancing energy use efficiency</t>
        </is>
      </c>
      <c r="J54" s="45" t="n"/>
      <c r="S54" s="12" t="n"/>
    </row>
    <row r="55" ht="16" customHeight="1" s="235">
      <c r="B55" s="229" t="n"/>
      <c r="C55" s="44" t="inlineStr">
        <is>
          <t>Resource efficiency</t>
        </is>
      </c>
      <c r="E55" s="7" t="inlineStr">
        <is>
          <t>enhancing resource use efficiency</t>
        </is>
      </c>
      <c r="J55" s="45" t="n"/>
      <c r="S55" s="12" t="n"/>
    </row>
    <row r="56" ht="16" customHeight="1" s="235">
      <c r="B56" s="229" t="n"/>
      <c r="C56" s="44" t="inlineStr">
        <is>
          <t>Renewable energy</t>
        </is>
      </c>
      <c r="E56" s="7" t="inlineStr">
        <is>
          <t>expanding renewable energy</t>
        </is>
      </c>
      <c r="J56" s="45" t="n"/>
      <c r="S56" s="12" t="n"/>
    </row>
    <row r="57" ht="16" customHeight="1" s="235">
      <c r="B57" s="229" t="n"/>
      <c r="C57" s="44" t="inlineStr">
        <is>
          <t>Electrification</t>
        </is>
      </c>
      <c r="E57" s="7" t="inlineStr">
        <is>
          <t>enhancing electrification</t>
        </is>
      </c>
      <c r="J57" s="45" t="n"/>
      <c r="S57" s="12" t="n"/>
    </row>
    <row r="58" ht="16" customHeight="1" s="235">
      <c r="B58" s="229" t="n"/>
      <c r="C58" s="44" t="inlineStr">
        <is>
          <t>Transitional energy</t>
        </is>
      </c>
      <c r="E58" s="7" t="inlineStr">
        <is>
          <t>shift from coal to other fossil fuels and nuclear power</t>
        </is>
      </c>
      <c r="J58" s="45" t="n"/>
      <c r="S58" s="12" t="n"/>
    </row>
    <row r="59" ht="16" customHeight="1" s="235">
      <c r="B59" s="229" t="n"/>
      <c r="C59" s="44" t="inlineStr">
        <is>
          <t>Coal-related</t>
        </is>
      </c>
      <c r="E59" s="7" t="inlineStr">
        <is>
          <t>transformation and phase out of coal power</t>
        </is>
      </c>
      <c r="J59" s="45" t="n"/>
      <c r="S59" s="12" t="n"/>
    </row>
    <row r="60" ht="16" customHeight="1" s="235">
      <c r="B60" s="229" t="n"/>
      <c r="C60" s="44" t="inlineStr">
        <is>
          <t>Production-oriented</t>
        </is>
      </c>
      <c r="E60" s="7" t="inlineStr">
        <is>
          <t>expansion of production in green sectors or restriction of carbon intensive production</t>
        </is>
      </c>
      <c r="J60" s="45" t="n"/>
      <c r="S60" s="12" t="n"/>
    </row>
    <row r="61" ht="16" customHeight="1" s="235">
      <c r="B61" s="229" t="n"/>
      <c r="C61" s="44" t="inlineStr">
        <is>
          <t>Industrial transformation</t>
        </is>
      </c>
      <c r="E61" s="7" t="inlineStr">
        <is>
          <t>decarbonising carbon-intensive industries</t>
        </is>
      </c>
      <c r="J61" s="45" t="n"/>
      <c r="S61" s="12" t="n"/>
    </row>
    <row r="62" ht="16" customHeight="1" s="235">
      <c r="B62" s="229" t="n"/>
      <c r="C62" s="44" t="inlineStr">
        <is>
          <t>Technology innovation</t>
        </is>
      </c>
      <c r="E62" s="7" t="inlineStr">
        <is>
          <t>enhancing decarbonisation through green innovation</t>
        </is>
      </c>
      <c r="J62" s="45" t="n"/>
      <c r="S62" s="12" t="n"/>
    </row>
    <row r="63" ht="16" customHeight="1" s="235">
      <c r="B63" s="229" t="n"/>
      <c r="C63" s="44" t="inlineStr">
        <is>
          <t>Pollution control</t>
        </is>
      </c>
      <c r="E63" s="7" t="inlineStr">
        <is>
          <t>reduction in air, water, and land pollution</t>
        </is>
      </c>
      <c r="J63" s="45" t="n"/>
      <c r="S63" s="12" t="n"/>
    </row>
    <row r="64" ht="16" customHeight="1" s="235">
      <c r="B64" s="230" t="n"/>
      <c r="C64" s="44" t="inlineStr">
        <is>
          <t>Environmental quality</t>
        </is>
      </c>
      <c r="E64" s="7" t="inlineStr">
        <is>
          <t>improvement of the quality of the natural and built environment</t>
        </is>
      </c>
      <c r="J64" s="45" t="n"/>
      <c r="S64" s="12" t="n"/>
    </row>
    <row r="65" ht="16" customHeight="1" s="235">
      <c r="B65" s="230" t="n"/>
      <c r="C65" s="44" t="inlineStr">
        <is>
          <t>Recycling</t>
        </is>
      </c>
      <c r="E65" s="7" t="inlineStr">
        <is>
          <t>increase in material recovery, reuse, and recycling rates</t>
        </is>
      </c>
      <c r="J65" s="45" t="n"/>
      <c r="S65" s="12" t="n"/>
    </row>
    <row r="66" ht="16" customHeight="1" s="235">
      <c r="B66" s="229" t="n"/>
      <c r="C66" s="44" t="inlineStr">
        <is>
          <t>Green transportation</t>
        </is>
      </c>
      <c r="E66" s="7" t="inlineStr">
        <is>
          <t>promoting a low-carbon transportation system</t>
        </is>
      </c>
      <c r="J66" s="45" t="n"/>
      <c r="S66" s="12" t="n"/>
    </row>
    <row r="67" ht="16" customHeight="1" s="235">
      <c r="B67" s="229" t="n"/>
      <c r="C67" s="44" t="inlineStr">
        <is>
          <t>Climate finance</t>
        </is>
      </c>
      <c r="E67" s="7" t="inlineStr">
        <is>
          <t>mobilization of funds to mitigate and adapt to climate change</t>
        </is>
      </c>
      <c r="J67" s="45" t="n"/>
      <c r="S67" s="12" t="n"/>
    </row>
    <row r="68" ht="16" customHeight="1" s="235">
      <c r="B68" s="229" t="n"/>
      <c r="C68" s="47" t="inlineStr">
        <is>
          <t>An attribute indicating the accountable implementation unit to which a climate target applies:</t>
        </is>
      </c>
      <c r="D68" s="48" t="n"/>
      <c r="E68" s="48" t="n"/>
      <c r="F68" s="48" t="n"/>
      <c r="G68" s="48" t="n"/>
      <c r="H68" s="48" t="n"/>
      <c r="I68" s="48" t="n"/>
      <c r="J68" s="49" t="n"/>
      <c r="K68" s="48" t="n"/>
      <c r="L68" s="48" t="n"/>
      <c r="M68" s="48" t="n"/>
      <c r="N68" s="48" t="n"/>
      <c r="O68" s="48" t="n"/>
      <c r="P68" s="48" t="n"/>
      <c r="Q68" s="48" t="n"/>
      <c r="R68" s="48" t="n"/>
      <c r="S68" s="50" t="n"/>
    </row>
    <row r="69" ht="16" customHeight="1" s="235">
      <c r="B69" s="229" t="n"/>
      <c r="C69" s="44" t="inlineStr">
        <is>
          <t>enterprises</t>
        </is>
      </c>
      <c r="E69" s="7" t="inlineStr">
        <is>
          <t>applies to specific firms/plants/institutions</t>
        </is>
      </c>
      <c r="J69" s="45" t="n"/>
      <c r="S69" s="12" t="n"/>
    </row>
    <row r="70" ht="16" customHeight="1" s="235">
      <c r="B70" s="230" t="n"/>
      <c r="C70" s="44" t="inlineStr">
        <is>
          <t>areas</t>
        </is>
      </c>
      <c r="E70" s="7" t="inlineStr">
        <is>
          <t>applies to specific cities/regions/zones</t>
        </is>
      </c>
      <c r="J70" s="45" t="n"/>
      <c r="S70" s="12" t="n"/>
    </row>
    <row r="71" ht="15" customHeight="1" s="235">
      <c r="B71" s="230" t="n"/>
      <c r="C71" s="44" t="inlineStr">
        <is>
          <t>sectors</t>
        </is>
      </c>
      <c r="E71" s="7" t="inlineStr">
        <is>
          <t>applies to a defined industry or economic activity (e.g., steel)</t>
        </is>
      </c>
      <c r="J71" s="45" t="n"/>
      <c r="S71" s="12" t="n"/>
    </row>
    <row r="72" ht="15" customHeight="1" s="235">
      <c r="B72" s="230" t="n"/>
      <c r="C72" s="44" t="inlineStr">
        <is>
          <t>whole economy</t>
        </is>
      </c>
      <c r="E72" s="7" t="inlineStr">
        <is>
          <t>applies nationally across all economic activity</t>
        </is>
      </c>
      <c r="J72" s="45" t="n"/>
      <c r="S72" s="12" t="n"/>
    </row>
    <row r="73" ht="15" customHeight="1" s="235">
      <c r="B73" s="233" t="n"/>
      <c r="C73" s="17" t="inlineStr">
        <is>
          <t>unclear</t>
        </is>
      </c>
      <c r="D73" s="15" t="n"/>
      <c r="E73" s="15" t="inlineStr">
        <is>
          <t>scope/accountable unit not specified</t>
        </is>
      </c>
      <c r="F73" s="15" t="n"/>
      <c r="G73" s="15" t="n"/>
      <c r="H73" s="15" t="n"/>
      <c r="I73" s="15" t="n"/>
      <c r="J73" s="46" t="n"/>
      <c r="K73" s="15" t="n"/>
      <c r="L73" s="15" t="n"/>
      <c r="M73" s="15" t="n"/>
      <c r="N73" s="15" t="n"/>
      <c r="O73" s="15" t="n"/>
      <c r="P73" s="15" t="n"/>
      <c r="Q73" s="15" t="n"/>
      <c r="R73" s="15" t="n"/>
      <c r="S73" s="18" t="n"/>
    </row>
    <row r="74" ht="15" customHeight="1" s="235">
      <c r="B74" s="228" t="inlineStr">
        <is>
          <t>Sentence</t>
        </is>
      </c>
      <c r="C74" s="17" t="inlineStr">
        <is>
          <t>The sentence from the source document containing the quantified target with minor edits for clarity or completeness that do not alter meaning. Translated into English where applicable.</t>
        </is>
      </c>
      <c r="D74" s="15" t="n"/>
      <c r="E74" s="15" t="n"/>
      <c r="F74" s="15" t="n"/>
      <c r="G74" s="15" t="n"/>
      <c r="H74" s="15" t="n"/>
      <c r="I74" s="15" t="n"/>
      <c r="J74" s="15" t="n"/>
      <c r="K74" s="15" t="n"/>
      <c r="L74" s="15" t="n"/>
      <c r="M74" s="15" t="n"/>
      <c r="N74" s="15" t="n"/>
      <c r="O74" s="15" t="n"/>
      <c r="P74" s="15" t="n"/>
      <c r="Q74" s="15" t="n"/>
      <c r="R74" s="15" t="n"/>
      <c r="S74" s="18" t="n"/>
    </row>
    <row r="75" ht="15" customHeight="1" s="235">
      <c r="B75" s="228" t="inlineStr">
        <is>
          <t>Document</t>
        </is>
      </c>
      <c r="C75" s="41" t="inlineStr">
        <is>
          <t>The file name of the source document from which the target was extracted. The prefix typically indicates the policy type (e.g., “AP” = Action Plan, “FYP” = Five‑Year Plan) followed by the year of publication (21 = 2021) and an internal identifier.</t>
        </is>
      </c>
      <c r="D75" s="42" t="n"/>
      <c r="E75" s="42" t="n"/>
      <c r="F75" s="42" t="n"/>
      <c r="G75" s="42" t="n"/>
      <c r="H75" s="42" t="n"/>
      <c r="I75" s="42" t="n"/>
      <c r="J75" s="42" t="n"/>
      <c r="K75" s="42" t="n"/>
      <c r="L75" s="42" t="n"/>
      <c r="M75" s="42" t="n"/>
      <c r="N75" s="42" t="n"/>
      <c r="O75" s="42" t="n"/>
      <c r="P75" s="42" t="n"/>
      <c r="Q75" s="42" t="n"/>
      <c r="R75" s="42" t="n"/>
      <c r="S75" s="43" t="n"/>
    </row>
    <row r="76" hidden="1" ht="18" customHeight="1" s="235">
      <c r="B76" s="228" t="inlineStr">
        <is>
          <t>Topic_Label</t>
        </is>
      </c>
      <c r="C76" s="41" t="inlineStr">
        <is>
          <t>The thematic area or category that the target falls under.</t>
        </is>
      </c>
      <c r="D76" s="42" t="n"/>
      <c r="E76" s="42" t="n"/>
      <c r="F76" s="42" t="n"/>
      <c r="G76" s="42" t="n"/>
      <c r="H76" s="42" t="n"/>
      <c r="I76" s="42" t="n"/>
      <c r="J76" s="42" t="n"/>
      <c r="K76" s="42" t="n"/>
      <c r="L76" s="42" t="n"/>
      <c r="M76" s="42" t="n"/>
      <c r="N76" s="42" t="n"/>
      <c r="O76" s="42" t="n"/>
      <c r="P76" s="42" t="n"/>
      <c r="Q76" s="42" t="n"/>
      <c r="R76" s="42" t="n"/>
      <c r="S76" s="43" t="n"/>
    </row>
    <row r="77" ht="15" customHeight="1" s="235">
      <c r="B77" s="228" t="inlineStr">
        <is>
          <t>Subtopic_Label (in "Energy|Power" sheet only)</t>
        </is>
      </c>
      <c r="C77" s="15" t="inlineStr">
        <is>
          <t>A more granular categorisation within the main topic label, used to refine the thematic classification.</t>
        </is>
      </c>
      <c r="D77" s="15" t="n"/>
      <c r="E77" s="15" t="n"/>
      <c r="F77" s="15" t="n"/>
      <c r="G77" s="15" t="n"/>
      <c r="H77" s="15" t="n"/>
      <c r="I77" s="15" t="n"/>
      <c r="J77" s="15" t="n"/>
      <c r="K77" s="15" t="n"/>
      <c r="L77" s="15" t="n"/>
      <c r="M77" s="15" t="n"/>
      <c r="N77" s="15" t="n"/>
      <c r="O77" s="15" t="n"/>
      <c r="P77" s="15" t="n"/>
      <c r="Q77" s="15" t="n"/>
      <c r="R77" s="15" t="n"/>
      <c r="S77" s="18" t="n"/>
    </row>
    <row r="78" hidden="1" ht="15" customHeight="1" s="235">
      <c r="B78" s="51" t="n"/>
    </row>
    <row r="79" hidden="1" ht="18" customHeight="1" s="235">
      <c r="B79" s="52" t="n"/>
      <c r="C79" s="45" t="n"/>
    </row>
    <row r="80" ht="15" customHeight="1" s="235"/>
    <row r="81" ht="15" customHeight="1" s="235">
      <c r="B81" s="53" t="n"/>
    </row>
    <row r="82" ht="15" customHeight="1" s="235">
      <c r="C82" s="54" t="n"/>
    </row>
    <row r="83" ht="15" customHeight="1" s="235"/>
    <row r="84" ht="15" customHeight="1" s="235"/>
    <row r="85" ht="15" customHeight="1" s="235"/>
    <row r="86" ht="15" customHeight="1" s="235"/>
    <row r="87" ht="15" customHeight="1" s="235"/>
    <row r="88" ht="15" customHeight="1" s="235"/>
    <row r="89" ht="15" customHeight="1" s="235"/>
    <row r="90" ht="15" customHeight="1" s="235"/>
    <row r="91" ht="15" customHeight="1" s="235"/>
    <row r="92" ht="15" customHeight="1" s="235"/>
    <row r="93" ht="15" customHeight="1" s="235"/>
    <row r="94" ht="15" customHeight="1" s="235"/>
    <row r="95" ht="15" customHeight="1" s="235"/>
    <row r="96" ht="15" customHeight="1" s="235"/>
    <row r="97" ht="15" customHeight="1" s="235"/>
    <row r="98" ht="15" customHeight="1" s="235"/>
    <row r="99" ht="15" customHeight="1" s="235"/>
    <row r="100" ht="15" customHeight="1" s="235"/>
    <row r="101" ht="15" customHeight="1" s="235"/>
    <row r="102" ht="15" customHeight="1" s="235"/>
    <row r="103" ht="15" customHeight="1" s="235"/>
    <row r="104" ht="15" customHeight="1" s="235"/>
    <row r="105" ht="15" customHeight="1" s="235"/>
    <row r="106" ht="15" customHeight="1" s="235"/>
    <row r="107" ht="15" customHeight="1" s="235"/>
    <row r="108" ht="15" customHeight="1" s="235"/>
    <row r="109" ht="15" customHeight="1" s="235"/>
    <row r="110" ht="15" customHeight="1" s="235"/>
    <row r="111" ht="15" customHeight="1" s="235"/>
    <row r="112" ht="15" customHeight="1" s="235"/>
    <row r="113" ht="15" customHeight="1" s="235"/>
    <row r="114" ht="15" customHeight="1" s="235"/>
    <row r="115" ht="15" customHeight="1" s="235"/>
    <row r="116" ht="15" customHeight="1" s="235"/>
    <row r="117" ht="15" customHeight="1" s="235"/>
    <row r="118" ht="15" customHeight="1" s="235"/>
    <row r="119" ht="15" customHeight="1" s="235"/>
    <row r="120" ht="15" customHeight="1" s="235"/>
    <row r="121" ht="15" customHeight="1" s="235"/>
    <row r="122" ht="15" customHeight="1" s="235"/>
    <row r="123" ht="15" customHeight="1" s="235"/>
    <row r="124" ht="15" customHeight="1" s="235"/>
    <row r="125" ht="15" customHeight="1" s="235"/>
    <row r="126" ht="15" customHeight="1" s="235"/>
    <row r="127" ht="15" customHeight="1" s="235"/>
    <row r="128" ht="15" customHeight="1" s="235"/>
    <row r="129" ht="15" customHeight="1" s="235"/>
    <row r="130" ht="15" customHeight="1" s="235"/>
    <row r="131" ht="15" customHeight="1" s="235"/>
    <row r="132" ht="15" customHeight="1" s="235"/>
    <row r="133" ht="15" customHeight="1" s="235"/>
    <row r="134" ht="15" customHeight="1" s="235"/>
    <row r="135" ht="15" customHeight="1" s="235"/>
    <row r="136" ht="15" customHeight="1" s="235"/>
    <row r="137" ht="15" customHeight="1" s="235"/>
    <row r="138" ht="15" customHeight="1" s="235"/>
    <row r="139" ht="15" customHeight="1" s="235"/>
    <row r="140" ht="15" customHeight="1" s="235"/>
    <row r="141" ht="15" customHeight="1" s="235"/>
    <row r="142" ht="15" customHeight="1" s="235"/>
    <row r="143" ht="15" customHeight="1" s="235"/>
    <row r="144" ht="15" customHeight="1" s="235"/>
    <row r="145" ht="15" customHeight="1" s="235"/>
    <row r="146" ht="15" customHeight="1" s="235"/>
    <row r="147" ht="15" customHeight="1" s="235"/>
    <row r="148" ht="15" customHeight="1" s="235"/>
    <row r="149" ht="15" customHeight="1" s="235"/>
    <row r="150" ht="15" customHeight="1" s="235"/>
    <row r="151" ht="15" customHeight="1" s="235"/>
    <row r="152" ht="15" customHeight="1" s="235"/>
    <row r="153" ht="15" customHeight="1" s="235"/>
    <row r="154" ht="15" customHeight="1" s="235"/>
    <row r="155" ht="15" customHeight="1" s="235"/>
    <row r="156" ht="15" customHeight="1" s="235"/>
    <row r="157" ht="15" customHeight="1" s="235"/>
    <row r="158" ht="15" customHeight="1" s="235"/>
    <row r="159" ht="15" customHeight="1" s="235"/>
    <row r="160" ht="15" customHeight="1" s="235"/>
    <row r="161" ht="15" customHeight="1" s="235"/>
    <row r="162" ht="15" customHeight="1" s="235"/>
    <row r="163" ht="15" customHeight="1" s="235"/>
    <row r="164" ht="15" customHeight="1" s="235"/>
    <row r="165" ht="15" customHeight="1" s="235"/>
    <row r="166" ht="15" customHeight="1" s="235"/>
    <row r="167" ht="15" customHeight="1" s="235"/>
    <row r="168" ht="15" customHeight="1" s="235"/>
    <row r="169" ht="15" customHeight="1" s="235"/>
    <row r="170" ht="15" customHeight="1" s="235"/>
    <row r="171" ht="15" customHeight="1" s="235"/>
    <row r="172" ht="15" customHeight="1" s="235"/>
    <row r="173" ht="15" customHeight="1" s="235"/>
    <row r="174" ht="15" customHeight="1" s="235"/>
    <row r="175" ht="15" customHeight="1" s="235"/>
    <row r="176" ht="15" customHeight="1" s="235"/>
    <row r="177" ht="15" customHeight="1" s="235"/>
    <row r="178" ht="15" customHeight="1" s="235"/>
    <row r="179" ht="15" customHeight="1" s="235"/>
    <row r="180" ht="15" customHeight="1" s="235"/>
    <row r="181" ht="15" customHeight="1" s="235"/>
    <row r="182" ht="15" customHeight="1" s="235"/>
    <row r="183" ht="15" customHeight="1" s="235"/>
    <row r="184" ht="15" customHeight="1" s="235"/>
    <row r="185" ht="15" customHeight="1" s="235"/>
    <row r="186" ht="15" customHeight="1" s="235"/>
    <row r="187" ht="15" customHeight="1" s="235"/>
    <row r="188" ht="15" customHeight="1" s="235"/>
    <row r="189" ht="15" customHeight="1" s="235"/>
    <row r="190" ht="15" customHeight="1" s="235"/>
    <row r="191" ht="15" customHeight="1" s="235"/>
    <row r="192" ht="15" customHeight="1" s="235"/>
    <row r="193" ht="15" customHeight="1" s="235"/>
    <row r="194" ht="15" customHeight="1" s="235"/>
    <row r="195" ht="15" customHeight="1" s="235"/>
    <row r="196" ht="15" customHeight="1" s="235"/>
    <row r="197" ht="15" customHeight="1" s="235"/>
    <row r="198" ht="15" customHeight="1" s="235"/>
    <row r="199" ht="15" customHeight="1" s="235"/>
    <row r="200" ht="15" customHeight="1" s="235"/>
    <row r="201" ht="15" customHeight="1" s="235"/>
  </sheetData>
  <mergeCells count="4">
    <mergeCell ref="B39:B45"/>
    <mergeCell ref="B65:B70"/>
    <mergeCell ref="C19:S19"/>
    <mergeCell ref="B46:B64"/>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0" summaryRight="0"/>
    <pageSetUpPr/>
  </sheetPr>
  <dimension ref="A2:U48"/>
  <sheetViews>
    <sheetView workbookViewId="0">
      <selection activeCell="H24" sqref="H24"/>
    </sheetView>
  </sheetViews>
  <sheetFormatPr baseColWidth="8" defaultColWidth="14" defaultRowHeight="13"/>
  <cols>
    <col width="4.69921875" customWidth="1" style="235" min="1" max="1"/>
    <col width="27" customWidth="1" style="235" min="2" max="2"/>
    <col width="12" customWidth="1" style="235" min="3" max="3"/>
    <col width="7" customWidth="1" style="235" min="4" max="4"/>
    <col width="41" customWidth="1" style="235" min="5" max="5"/>
    <col width="12" customWidth="1" style="235" min="6" max="6"/>
    <col width="7" customWidth="1" style="235" min="7" max="7"/>
    <col width="59" customWidth="1" style="235" min="8" max="8"/>
    <col width="12" customWidth="1" style="235" min="9" max="9"/>
    <col width="7" customWidth="1" style="235" min="10" max="10"/>
    <col width="27" customWidth="1" style="235" min="11" max="11"/>
    <col width="12" customWidth="1" style="235" min="12" max="12"/>
    <col width="7" customWidth="1" style="235" min="13" max="13"/>
    <col width="27" customWidth="1" style="235" min="14" max="14"/>
    <col width="12" customWidth="1" style="235" min="15" max="15"/>
    <col width="7" customWidth="1" style="235" min="16" max="16"/>
    <col width="27" customWidth="1" style="235" min="17" max="17"/>
    <col width="12" customWidth="1" style="235" min="18" max="18"/>
    <col width="7" customWidth="1" style="235" min="19" max="19"/>
    <col width="36" customWidth="1" style="235" min="20" max="20"/>
    <col width="13" customWidth="1" style="235" min="21" max="21"/>
  </cols>
  <sheetData>
    <row r="1" ht="10" customHeight="1" s="235"/>
    <row r="2" ht="20.15" customHeight="1" s="235">
      <c r="B2" s="55" t="inlineStr">
        <is>
          <t>Descriptive Statistics</t>
        </is>
      </c>
      <c r="H2" s="55" t="n"/>
      <c r="K2" s="55" t="n"/>
      <c r="N2" s="55" t="n"/>
      <c r="Q2" s="55" t="n"/>
    </row>
    <row r="3" ht="10" customHeight="1" s="235"/>
    <row r="4" ht="19" customHeight="1" s="235">
      <c r="B4" s="237" t="inlineStr">
        <is>
          <t>Number of Targets by Sector/Topic</t>
        </is>
      </c>
      <c r="C4" s="238" t="n"/>
      <c r="D4" s="56" t="n"/>
      <c r="E4" s="237" t="inlineStr">
        <is>
          <t>Number of "Energy/Power" Targets by Subtopic</t>
        </is>
      </c>
      <c r="F4" s="238" t="n"/>
      <c r="H4" s="237" t="inlineStr">
        <is>
          <t>Number of Targets by Count</t>
        </is>
      </c>
      <c r="I4" s="238" t="n"/>
      <c r="K4" s="237" t="inlineStr">
        <is>
          <t>Number of Targets by Announcement Year</t>
        </is>
      </c>
      <c r="L4" s="238" t="n"/>
      <c r="N4" s="237" t="inlineStr">
        <is>
          <t>Number of Targets by Target Year</t>
        </is>
      </c>
      <c r="O4" s="238" t="n"/>
      <c r="Q4" s="237" t="inlineStr">
        <is>
          <t>Number of Targets by Category</t>
        </is>
      </c>
      <c r="R4" s="238" t="n"/>
      <c r="T4" s="237" t="inlineStr">
        <is>
          <t>Targets by Accountability</t>
        </is>
      </c>
      <c r="U4" s="238" t="n"/>
    </row>
    <row r="5" ht="10" customHeight="1" s="235"/>
    <row r="6" ht="19" customHeight="1" s="235">
      <c r="A6" s="39" t="n"/>
      <c r="B6" s="57" t="inlineStr">
        <is>
          <t>GHG Emissions</t>
        </is>
      </c>
      <c r="C6" s="58">
        <f>COUNTIFS('GHG Emissions'!G:G, "n") + COUNTIFS('GHG Emissions'!G:G, "s/l-UNC") + COUNTIFS('GHG Emissions'!G:G, "s/l-POS") + COUNTIFS('GHG Emissions'!G:G, "s/l-NEG")</f>
        <v/>
      </c>
      <c r="D6" s="59" t="n"/>
      <c r="E6" s="60" t="inlineStr">
        <is>
          <t>Energy consumption</t>
        </is>
      </c>
      <c r="F6" s="61">
        <f>COUNTIFS('Energy|Power'!M:M, "Energy consumption")</f>
        <v/>
      </c>
      <c r="G6" s="39" t="n"/>
      <c r="H6" s="62" t="inlineStr">
        <is>
          <t>New target</t>
        </is>
      </c>
      <c r="I6" s="63">
        <f>COUNTIF('GHG Emissions'!G:G,"n")
+COUNTIF(Pollution!G:G,"n")
+COUNTIF('Energy|Power'!G:G,"n")
+COUNTIF(Industry!G:G,"n")
+COUNTIF(Buildings!G:G,"n")
+COUNTIF(Transport!G:G,"n")
+COUNTIF(LULUCF!G:G,"n")
+COUNTIF('Circular Economy'!G:G,"n")
+COUNTIF(Finance!G:G,"n")</f>
        <v/>
      </c>
      <c r="J6" s="39" t="n"/>
      <c r="K6" s="64" t="n">
        <v>2004</v>
      </c>
      <c r="L6" s="58">
        <f>COUNTIFS('GHG Emissions'!A:A, 2004, 'GHG Emissions'!G:G, "n") +
COUNTIFS('GHG Emissions'!A:A, 2004, 'GHG Emissions'!G:G, "s/l-UNC") +
COUNTIFS('GHG Emissions'!A:A, 2004, 'GHG Emissions'!G:G, "s/l-POS") +
COUNTIFS('GHG Emissions'!A:A, 2004, 'GHG Emissions'!G:G, "s/l-NEG") +
COUNTIFS(Pollution!A:A, 2004, Pollution!G:G, "n") +
COUNTIFS(Pollution!A:A, 2004, Pollution!G:G, "s/l-UNC") +
COUNTIFS(Pollution!A:A, 2004, Pollution!G:G, "s/l-POS") +
COUNTIFS(Pollution!A:A, 2004, Pollution!G:G, "s/l-NEG") +
COUNTIFS('Energy|Power'!A:A, 2004, 'Energy|Power'!G:G, "n") +
COUNTIFS('Energy|Power'!A:A, 2004, 'Energy|Power'!G:G, "s/l-UNC") +
COUNTIFS('Energy|Power'!A:A, 2004, 'Energy|Power'!G:G, "s/l-POS") +
COUNTIFS('Energy|Power'!A:A, 2004, 'Energy|Power'!G:G, "s/l-NEG") +
COUNTIFS(Industry!A:A, 2004, Industry!G:G, "n") +
COUNTIFS(Industry!A:A, 2004, Industry!G:G, "s/l-UNC") +
COUNTIFS(Industry!A:A, 2004, Industry!G:G, "s/l-POS") +
COUNTIFS(Industry!A:A, 2004, Industry!G:G, "s/l-NEG") +
COUNTIFS(Buildings!A:A, 2004, Buildings!G:G, "n") +
COUNTIFS(Buildings!A:A, 2004, Buildings!G:G, "s/l-UNC") +
COUNTIFS(Buildings!A:A, 2004, Buildings!G:G, "s/l-POS") +
COUNTIFS(Buildings!A:A, 2004, Buildings!G:G, "s/l-NEG") +
COUNTIFS(Transport!A:A, 2004, Transport!G:G, "n") +
COUNTIFS(Transport!A:A, 2004, Transport!G:G, "s/l-UNC") +
COUNTIFS(Transport!A:A, 2004, Transport!G:G, "s/l-POS") +
COUNTIFS(Transport!A:A, 2004, Transport!G:G, "s/l-NEG") +
COUNTIFS(LULUCF!A:A, 2004, LULUCF!G:G, "n") +
COUNTIFS(LULUCF!A:A, 2004, LULUCF!G:G, "s/l-UNC") +
COUNTIFS(LULUCF!A:A, 2004, LULUCF!G:G, "s/l-POS") +
COUNTIFS(LULUCF!A:A, 2004, LULUCF!G:G, "s/l-NEG") +
COUNTIFS('Circular Economy'!A:A, 2004, 'Circular Economy'!G:G, "n") +
COUNTIFS('Circular Economy'!A:A, 2004, 'Circular Economy'!G:G, "s/l-UNC") +
COUNTIFS('Circular Economy'!A:A, 2004, 'Circular Economy'!G:G, "s/l-POS") +
COUNTIFS('Circular Economy'!A:A, 2004, 'Circular Economy'!G:G, "s/l-NEG") +
COUNTIFS(Finance!A:A, 2004, Finance!G:G, "n") +
COUNTIFS(Finance!A:A, 2004, Finance!G:G, "s/l-UNC") +
COUNTIFS(Finance!A:A, 2004, Finance!G:G, "s/l-POS") +
COUNTIFS(Finance!A:A, 2004, Finance!G:G, "s/l-NEG")</f>
        <v/>
      </c>
      <c r="M6" s="39" t="n"/>
      <c r="N6" s="64" t="n">
        <v>2007</v>
      </c>
      <c r="O6" s="65">
        <f>COUNTIFS('GHG Emissions'!F:F, 2007, 'GHG Emissions'!G:G, "n") +
COUNTIFS('GHG Emissions'!F:F, 2007, 'GHG Emissions'!G:G, "s/l-UNC") +
COUNTIFS('GHG Emissions'!F:F, 2007, 'GHG Emissions'!G:G, "s/l-POS") +
COUNTIFS('GHG Emissions'!F:F, 2007, 'GHG Emissions'!G:G, "s/l-NEG") +
COUNTIFS(Pollution!F:F, 2007, Pollution!G:G, "n") +
COUNTIFS(Pollution!F:F, 2007, Pollution!G:G, "s/l-UNC") +
COUNTIFS(Pollution!F:F, 2007, Pollution!G:G, "s/l-POS") +
COUNTIFS(Pollution!F:F, 2007, Pollution!G:G, "s/l-NEG") +
COUNTIFS('Energy|Power'!F:F, 2007, 'Energy|Power'!G:G, "n") +
COUNTIFS('Energy|Power'!F:F, 2007, 'Energy|Power'!G:G, "s/l-UNC") +
COUNTIFS('Energy|Power'!F:F, 2007, 'Energy|Power'!G:G, "s/l-POS") +
COUNTIFS('Energy|Power'!F:F, 2007, 'Energy|Power'!G:G, "s/l-NEG") +
COUNTIFS(Industry!F:F, 2007, Industry!G:G, "n") +
COUNTIFS(Industry!F:F, 2007, Industry!G:G, "s/l-UNC") +
COUNTIFS(Industry!F:F, 2007, Industry!G:G, "s/l-POS") +
COUNTIFS(Industry!F:F, 2007, Industry!G:G, "s/l-NEG") +
COUNTIFS(Buildings!F:F, 2007, Buildings!G:G, "n") +
COUNTIFS(Buildings!F:F, 2007, Buildings!G:G, "s/l-UNC") +
COUNTIFS(Buildings!F:F, 2007, Buildings!G:G, "s/l-POS") +
COUNTIFS(Buildings!F:F, 2007, Buildings!G:G, "s/l-NEG") +
COUNTIFS(Transport!F:F, 2007, Transport!G:G, "n") +
COUNTIFS(Transport!F:F, 2007, Transport!G:G, "s/l-UNC") +
COUNTIFS(Transport!F:F, 2007, Transport!G:G, "s/l-POS") +
COUNTIFS(Transport!F:F, 2007, Transport!G:G, "s/l-NEG") +
COUNTIFS(LULUCF!F:F, 2007, LULUCF!G:G, "n") +
COUNTIFS(LULUCF!F:F, 2007, LULUCF!G:G, "s/l-UNC") +
COUNTIFS(LULUCF!F:F, 2007, LULUCF!G:G, "s/l-POS") +
COUNTIFS(LULUCF!F:F, 2007, LULUCF!G:G, "s/l-NEG") +
COUNTIFS('Circular Economy'!F:F, 2007, 'Circular Economy'!G:G, "n") +
COUNTIFS('Circular Economy'!F:F, 2007, 'Circular Economy'!G:G, "s/l-UNC") +
COUNTIFS('Circular Economy'!F:F, 2007, 'Circular Economy'!G:G, "s/l-POS") +
COUNTIFS('Circular Economy'!F:F, 2007, 'Circular Economy'!G:G, "s/l-NEG") +
COUNTIFS(Finance!F:F, 2007, Finance!G:G, "n") +
COUNTIFS(Finance!F:F, 2007, Finance!G:G, "s/l-UNC") +
COUNTIFS(Finance!F:F, 2007, Finance!G:G, "s/l-POS") +
COUNTIFS(Finance!F:F, 2007, Finance!G:G, "s/l-NEG")</f>
        <v/>
      </c>
      <c r="P6" s="39" t="n"/>
      <c r="Q6" s="66" t="inlineStr">
        <is>
          <t>Carbon reduction</t>
        </is>
      </c>
      <c r="R6" s="65">
        <f>COUNTIFS('GHG Emissions'!H:H, "Carbon reduction", 'GHG Emissions'!G:G, "n") +
COUNTIFS('GHG Emissions'!H:H, "Carbon reduction", 'GHG Emissions'!G:G, "s/l-UNC") +
COUNTIFS('GHG Emissions'!H:H, "Carbon reduction", 'GHG Emissions'!G:G, "s/l-POS") +
COUNTIFS('GHG Emissions'!H:H, "Carbon reduction", 'GHG Emissions'!G:G, "s/l-NEG") +
COUNTIFS(Pollution!H:H, "Carbon reduction", Pollution!G:G, "n") +
COUNTIFS(Pollution!H:H, "Carbon reduction", Pollution!G:G, "s/l-UNC") +
COUNTIFS(Pollution!H:H, "Carbon reduction", Pollution!G:G, "s/l-POS") +
COUNTIFS(Pollution!H:H, "Carbon reduction", Pollution!G:G, "s/l-NEG") +
COUNTIFS('Energy|Power'!H:H, "Carbon reduction", 'Energy|Power'!G:G, "n") +
COUNTIFS('Energy|Power'!H:H, "Carbon reduction", 'Energy|Power'!G:G, "s/l-UNC") +
COUNTIFS('Energy|Power'!H:H, "Carbon reduction", 'Energy|Power'!G:G, "s/l-POS") +
COUNTIFS('Energy|Power'!H:H, "Carbon reduction", 'Energy|Power'!G:G, "s/l-NEG") +
COUNTIFS(Industry!H:H, "Carbon reduction", Industry!G:G, "n") +
COUNTIFS(Industry!H:H, "Carbon reduction", Industry!G:G, "s/l-UNC") +
COUNTIFS(Industry!H:H, "Carbon reduction", Industry!G:G, "s/l-POS") +
COUNTIFS(Industry!H:H, "Carbon reduction", Industry!G:G, "s/l-NEG") +
COUNTIFS(Buildings!H:H, "Carbon reduction", Buildings!G:G, "n") +
COUNTIFS(Buildings!H:H, "Carbon reduction", Buildings!G:G, "s/l-UNC") +
COUNTIFS(Buildings!H:H, "Carbon reduction", Buildings!G:G, "s/l-POS") +
COUNTIFS(Buildings!H:H, "Carbon reduction", Buildings!G:G, "s/l-NEG") +
COUNTIFS(Transport!H:H, "Carbon reduction", Transport!G:G, "n") +
COUNTIFS(Transport!H:H, "Carbon reduction", Transport!G:G, "s/l-UNC") +
COUNTIFS(Transport!H:H, "Carbon reduction", Transport!G:G, "s/l-POS") +
COUNTIFS(Transport!H:H, "Carbon reduction", Transport!G:G, "s/l-NEG") +
COUNTIFS(LULUCF!H:H, "Carbon reduction", LULUCF!G:G, "n") +
COUNTIFS(LULUCF!H:H, "Carbon reduction", LULUCF!G:G, "s/l-UNC") +
COUNTIFS(LULUCF!H:H, "Carbon reduction", LULUCF!G:G, "s/l-POS") +
COUNTIFS(LULUCF!H:H, "Carbon reduction", LULUCF!G:G, "s/l-NEG") +
COUNTIFS('Circular Economy'!H:H, "Carbon reduction", 'Circular Economy'!G:G, "n") +
COUNTIFS('Circular Economy'!H:H, "Carbon reduction", 'Circular Economy'!G:G, "s/l-UNC") +
COUNTIFS('Circular Economy'!H:H, "Carbon reduction", 'Circular Economy'!G:G, "s/l-POS") +
COUNTIFS('Circular Economy'!H:H, "Carbon reduction", 'Circular Economy'!G:G, "s/l-NEG") +
COUNTIFS(Finance!H:H, "Carbon reduction", Finance!G:G, "n") +
COUNTIFS(Finance!H:H, "Carbon reduction", Finance!G:G, "s/l-UNC") +
COUNTIFS(Finance!H:H, "Carbon reduction", Finance!G:G, "s/l-POS") +
COUNTIFS(Finance!H:H, "Carbon reduction", Finance!G:G, "s/l-NEG")</f>
        <v/>
      </c>
      <c r="S6" s="39" t="n"/>
      <c r="T6" s="66" t="inlineStr">
        <is>
          <t>Enterprises &amp; institutions</t>
        </is>
      </c>
      <c r="U6" s="61">
        <f>COUNTIFS('GHG Emissions'!I:I,"enterprises",'GHG Emissions'!G:G,"n")
+COUNTIFS('GHG Emissions'!I:I,"enterprises",'GHG Emissions'!G:G,"s/l-UNC")
+COUNTIFS('GHG Emissions'!I:I,"enterprises",'GHG Emissions'!G:G,"s/l-POS")
+COUNTIFS('GHG Emissions'!I:I,"enterprises",'GHG Emissions'!G:G,"s/l-NEG")
+COUNTIFS(Pollution!I:I,"enterprises",Pollution!G:G,"n")
+COUNTIFS(Pollution!I:I,"enterprises",Pollution!G:G,"s/l-UNC")
+COUNTIFS(Pollution!I:I,"enterprises",Pollution!G:G,"s/l-POS")
+COUNTIFS(Pollution!I:I,"enterprises",Pollution!G:G,"s/l-NEG")
+COUNTIFS('Energy|Power'!I:I,"enterprises",'Energy|Power'!G:G,"n")
+COUNTIFS('Energy|Power'!I:I,"enterprises",'Energy|Power'!G:G,"s/l-UNC")
+COUNTIFS('Energy|Power'!I:I,"enterprises",'Energy|Power'!G:G,"s/l-POS")
+COUNTIFS('Energy|Power'!I:I,"enterprises",'Energy|Power'!G:G,"s/l-NEG")
+COUNTIFS(Industry!I:I,"enterprises",Industry!G:G,"n")
+COUNTIFS(Industry!I:I,"enterprises",Industry!G:G,"s/l-UNC")
+COUNTIFS(Industry!I:I,"enterprises",Industry!G:G,"s/l-POS")
+COUNTIFS(Industry!I:I,"enterprises",Industry!G:G,"s/l-NEG")
+COUNTIFS(Buildings!I:I,"enterprises",Buildings!G:G,"n")
+COUNTIFS(Buildings!I:I,"enterprises",Buildings!G:G,"s/l-UNC")
+COUNTIFS(Buildings!I:I,"enterprises",Buildings!G:G,"s/l-POS")
+COUNTIFS(Buildings!I:I,"enterprises",Buildings!G:G,"s/l-NEG")
+COUNTIFS(Transport!I:I,"enterprises",Transport!G:G,"n")
+COUNTIFS(Transport!I:I,"enterprises",Transport!G:G,"s/l-UNC")
+COUNTIFS(Transport!I:I,"enterprises",Transport!G:G,"s/l-POS")
+COUNTIFS(Transport!I:I,"enterprises",Transport!G:G,"s/l-NEG")
+COUNTIFS(LULUCF!I:I,"enterprises",LULUCF!G:G,"n")
+COUNTIFS(LULUCF!I:I,"enterprises",LULUCF!G:G,"s/l-UNC")
+COUNTIFS(LULUCF!I:I,"enterprises",LULUCF!G:G,"s/l-POS")
+COUNTIFS(LULUCF!I:I,"enterprises",LULUCF!G:G,"s/l-NEG")
+COUNTIFS('Circular Economy'!I:I,"enterprises",'Circular Economy'!G:G,"n")
+COUNTIFS('Circular Economy'!I:I,"enterprises",'Circular Economy'!G:G,"s/l-UNC")
+COUNTIFS('Circular Economy'!I:I,"enterprises",'Circular Economy'!G:G,"s/l-POS")
+COUNTIFS('Circular Economy'!I:I,"enterprises",'Circular Economy'!G:G,"s/l-NEG")
+COUNTIFS(Finance!I:I,"enterprises",Finance!G:G,"n")
+COUNTIFS(Finance!I:I,"enterprises",Finance!G:G,"s/l-UNC")
+COUNTIFS(Finance!I:I,"enterprises",Finance!G:G,"s/l-POS")
+COUNTIFS(Finance!I:I,"enterprises",Finance!G:G,"s/l-NEG")</f>
        <v/>
      </c>
    </row>
    <row r="7" ht="19" customHeight="1" s="235">
      <c r="A7" s="39" t="n"/>
      <c r="B7" s="67" t="inlineStr">
        <is>
          <t>Pollution</t>
        </is>
      </c>
      <c r="C7" s="68">
        <f>COUNTIFS(Pollution!G:G, "n") + COUNTIFS(Pollution!G:G, "s/l-UNC") + COUNTIFS(Pollution!G:G, "s/l-POS") + COUNTIFS(Pollution!G:G, "s/l-NEG")</f>
        <v/>
      </c>
      <c r="D7" s="59" t="n"/>
      <c r="E7" s="69" t="inlineStr">
        <is>
          <t>Power supply</t>
        </is>
      </c>
      <c r="F7" s="70">
        <f>COUNTIFS('Energy|Power'!M:M, "Power supply")</f>
        <v/>
      </c>
      <c r="G7" s="39" t="n"/>
      <c r="H7" s="71" t="inlineStr">
        <is>
          <t>Strengthened or loosened target with unclear climate impact</t>
        </is>
      </c>
      <c r="I7" s="72">
        <f>COUNTIF('GHG Emissions'!G:G,"s/l-UNC")
+COUNTIF(Pollution!G:G,"s/l-UNC")
+COUNTIF('Energy|Power'!G:G,"s/l-UNC")
+COUNTIF(Industry!G:G,"s/l-UNC")
+COUNTIF(Buildings!G:G,"s/l-UNC")
+COUNTIF(Transport!G:G,"s/l-UNC")
+COUNTIF(LULUCF!G:G,"s/l-UNC")
+COUNTIF('Circular Economy'!G:G,"s/l-UNC")
+COUNTIF(Finance!G:G,"s/l-UNC")</f>
        <v/>
      </c>
      <c r="J7" s="39" t="n"/>
      <c r="K7" s="73" t="n">
        <v>2005</v>
      </c>
      <c r="L7" s="68">
        <f>COUNTIFS('GHG Emissions'!A:A, 2005, 'GHG Emissions'!G:G, "n") +
COUNTIFS('GHG Emissions'!A:A, 2005, 'GHG Emissions'!G:G, "s/l-UNC") +
COUNTIFS('GHG Emissions'!A:A, 2005, 'GHG Emissions'!G:G, "s/l-POS") +
COUNTIFS('GHG Emissions'!A:A, 2005, 'GHG Emissions'!G:G, "s/l-NEG") +
COUNTIFS(Pollution!A:A, 2005, Pollution!G:G, "n") +
COUNTIFS(Pollution!A:A, 2005, Pollution!G:G, "s/l-UNC") +
COUNTIFS(Pollution!A:A, 2005, Pollution!G:G, "s/l-POS") +
COUNTIFS(Pollution!A:A, 2005, Pollution!G:G, "s/l-NEG") +
COUNTIFS('Energy|Power'!A:A, 2005, 'Energy|Power'!G:G, "n") +
COUNTIFS('Energy|Power'!A:A, 2005, 'Energy|Power'!G:G, "s/l-UNC") +
COUNTIFS('Energy|Power'!A:A, 2005, 'Energy|Power'!G:G, "s/l-POS") +
COUNTIFS('Energy|Power'!A:A, 2005, 'Energy|Power'!G:G, "s/l-NEG") +
COUNTIFS(Industry!A:A, 2005, Industry!G:G, "n") +
COUNTIFS(Industry!A:A, 2005, Industry!G:G, "s/l-UNC") +
COUNTIFS(Industry!A:A, 2005, Industry!G:G, "s/l-POS") +
COUNTIFS(Industry!A:A, 2005, Industry!G:G, "s/l-NEG") +
COUNTIFS(Buildings!A:A, 2005, Buildings!G:G, "n") +
COUNTIFS(Buildings!A:A, 2005, Buildings!G:G, "s/l-UNC") +
COUNTIFS(Buildings!A:A, 2005, Buildings!G:G, "s/l-POS") +
COUNTIFS(Buildings!A:A, 2005, Buildings!G:G, "s/l-NEG") +
COUNTIFS(Transport!A:A, 2005, Transport!G:G, "n") +
COUNTIFS(Transport!A:A, 2005, Transport!G:G, "s/l-UNC") +
COUNTIFS(Transport!A:A, 2005, Transport!G:G, "s/l-POS") +
COUNTIFS(Transport!A:A, 2005, Transport!G:G, "s/l-NEG") +
COUNTIFS(LULUCF!A:A, 2005, LULUCF!G:G, "n") +
COUNTIFS(LULUCF!A:A, 2005, LULUCF!G:G, "s/l-UNC") +
COUNTIFS(LULUCF!A:A, 2005, LULUCF!G:G, "s/l-POS") +
COUNTIFS(LULUCF!A:A, 2005, LULUCF!G:G, "s/l-NEG") +
COUNTIFS('Circular Economy'!A:A, 2005, 'Circular Economy'!G:G, "n") +
COUNTIFS('Circular Economy'!A:A, 2005, 'Circular Economy'!G:G, "s/l-UNC") +
COUNTIFS('Circular Economy'!A:A, 2005, 'Circular Economy'!G:G, "s/l-POS") +
COUNTIFS('Circular Economy'!A:A, 2005, 'Circular Economy'!G:G, "s/l-NEG") +
COUNTIFS(Finance!A:A, 2005, Finance!G:G, "n") +
COUNTIFS(Finance!A:A, 2005, Finance!G:G, "s/l-UNC") +
COUNTIFS(Finance!A:A, 2005, Finance!G:G, "s/l-POS") +
COUNTIFS(Finance!A:A, 2005, Finance!G:G, "s/l-NEG")</f>
        <v/>
      </c>
      <c r="M7" s="39" t="n"/>
      <c r="N7" s="73" t="n">
        <v>2008</v>
      </c>
      <c r="O7" s="74">
        <f>COUNTIFS('GHG Emissions'!F:F, 2008, 'GHG Emissions'!G:G, "n") +
COUNTIFS('GHG Emissions'!F:F, 2008, 'GHG Emissions'!G:G, "s/l-UNC") +
COUNTIFS('GHG Emissions'!F:F, 2008, 'GHG Emissions'!G:G, "s/l-POS") +
COUNTIFS('GHG Emissions'!F:F, 2008, 'GHG Emissions'!G:G, "s/l-NEG") +
COUNTIFS(Pollution!F:F, 2008, Pollution!G:G, "n") +
COUNTIFS(Pollution!F:F, 2008, Pollution!G:G, "s/l-UNC") +
COUNTIFS(Pollution!F:F, 2008, Pollution!G:G, "s/l-POS") +
COUNTIFS(Pollution!F:F, 2008, Pollution!G:G, "s/l-NEG") +
COUNTIFS('Energy|Power'!F:F, 2008, 'Energy|Power'!G:G, "n") +
COUNTIFS('Energy|Power'!F:F, 2008, 'Energy|Power'!G:G, "s/l-UNC") +
COUNTIFS('Energy|Power'!F:F, 2008, 'Energy|Power'!G:G, "s/l-POS") +
COUNTIFS('Energy|Power'!F:F, 2008, 'Energy|Power'!G:G, "s/l-NEG") +
COUNTIFS(Industry!F:F, 2008, Industry!G:G, "n") +
COUNTIFS(Industry!F:F, 2008, Industry!G:G, "s/l-UNC") +
COUNTIFS(Industry!F:F, 2008, Industry!G:G, "s/l-POS") +
COUNTIFS(Industry!F:F, 2008, Industry!G:G, "s/l-NEG") +
COUNTIFS(Buildings!F:F, 2008, Buildings!G:G, "n") +
COUNTIFS(Buildings!F:F, 2008, Buildings!G:G, "s/l-UNC") +
COUNTIFS(Buildings!F:F, 2008, Buildings!G:G, "s/l-POS") +
COUNTIFS(Buildings!F:F, 2008, Buildings!G:G, "s/l-NEG") +
COUNTIFS(Transport!F:F, 2008, Transport!G:G, "n") +
COUNTIFS(Transport!F:F, 2008, Transport!G:G, "s/l-UNC") +
COUNTIFS(Transport!F:F, 2008, Transport!G:G, "s/l-POS") +
COUNTIFS(Transport!F:F, 2008, Transport!G:G, "s/l-NEG") +
COUNTIFS(LULUCF!F:F, 2008, LULUCF!G:G, "n") +
COUNTIFS(LULUCF!F:F, 2008, LULUCF!G:G, "s/l-UNC") +
COUNTIFS(LULUCF!F:F, 2008, LULUCF!G:G, "s/l-POS") +
COUNTIFS(LULUCF!F:F, 2008, LULUCF!G:G, "s/l-NEG") +
COUNTIFS('Circular Economy'!F:F, 2008, 'Circular Economy'!G:G, "n") +
COUNTIFS('Circular Economy'!F:F, 2008, 'Circular Economy'!G:G, "s/l-UNC") +
COUNTIFS('Circular Economy'!F:F, 2008, 'Circular Economy'!G:G, "s/l-POS") +
COUNTIFS('Circular Economy'!F:F, 2008, 'Circular Economy'!G:G, "s/l-NEG") +
COUNTIFS(Finance!F:F, 2008, Finance!G:G, "n") +
COUNTIFS(Finance!F:F, 2008, Finance!G:G, "s/l-UNC") +
COUNTIFS(Finance!F:F, 2008, Finance!G:G, "s/l-POS") +
COUNTIFS(Finance!F:F, 2008, Finance!G:G, "s/l-NEG")</f>
        <v/>
      </c>
      <c r="P7" s="39" t="n"/>
      <c r="Q7" s="75" t="inlineStr">
        <is>
          <t>Carbon intensity</t>
        </is>
      </c>
      <c r="R7" s="74">
        <f>COUNTIFS('GHG Emissions'!H:H, "Carbon intensity", 'GHG Emissions'!G:G, "n") +
COUNTIFS('GHG Emissions'!H:H, "Carbon intensity", 'GHG Emissions'!G:G, "s/l-UNC") +
COUNTIFS('GHG Emissions'!H:H, "Carbon intensity", 'GHG Emissions'!G:G, "s/l-POS") +
COUNTIFS('GHG Emissions'!H:H, "Carbon intensity", 'GHG Emissions'!G:G, "s/l-NEG") +
COUNTIFS(Pollution!H:H, "Carbon intensity", Pollution!G:G, "n") +
COUNTIFS(Pollution!H:H, "Carbon intensity", Pollution!G:G, "s/l-UNC") +
COUNTIFS(Pollution!H:H, "Carbon intensity", Pollution!G:G, "s/l-POS") +
COUNTIFS(Pollution!H:H, "Carbon intensity", Pollution!G:G, "s/l-NEG") +
COUNTIFS('Energy|Power'!H:H, "Carbon intensity", 'Energy|Power'!G:G, "n") +
COUNTIFS('Energy|Power'!H:H, "Carbon intensity", 'Energy|Power'!G:G, "s/l-UNC") +
COUNTIFS('Energy|Power'!H:H, "Carbon intensity", 'Energy|Power'!G:G, "s/l-POS") +
COUNTIFS('Energy|Power'!H:H, "Carbon intensity", 'Energy|Power'!G:G, "s/l-NEG") +
COUNTIFS(Industry!H:H, "Carbon intensity", Industry!G:G, "n") +
COUNTIFS(Industry!H:H, "Carbon intensity", Industry!G:G, "s/l-UNC") +
COUNTIFS(Industry!H:H, "Carbon intensity", Industry!G:G, "s/l-POS") +
COUNTIFS(Industry!H:H, "Carbon intensity", Industry!G:G, "s/l-NEG") +
COUNTIFS(Buildings!H:H, "Carbon intensity", Buildings!G:G, "n") +
COUNTIFS(Buildings!H:H, "Carbon intensity", Buildings!G:G, "s/l-UNC") +
COUNTIFS(Buildings!H:H, "Carbon intensity", Buildings!G:G, "s/l-POS") +
COUNTIFS(Buildings!H:H, "Carbon intensity", Buildings!G:G, "s/l-NEG") +
COUNTIFS(Transport!H:H, "Carbon intensity", Transport!G:G, "n") +
COUNTIFS(Transport!H:H, "Carbon intensity", Transport!G:G, "s/l-UNC") +
COUNTIFS(Transport!H:H, "Carbon intensity", Transport!G:G, "s/l-POS") +
COUNTIFS(Transport!H:H, "Carbon intensity", Transport!G:G, "s/l-NEG") +
COUNTIFS(LULUCF!H:H, "Carbon intensity", LULUCF!G:G, "n") +
COUNTIFS(LULUCF!H:H, "Carbon intensity", LULUCF!G:G, "s/l-UNC") +
COUNTIFS(LULUCF!H:H, "Carbon intensity", LULUCF!G:G, "s/l-POS") +
COUNTIFS(LULUCF!H:H, "Carbon intensity", LULUCF!G:G, "s/l-NEG") +
COUNTIFS('Circular Economy'!H:H, "Carbon intensity", 'Circular Economy'!G:G, "n") +
COUNTIFS('Circular Economy'!H:H, "Carbon intensity", 'Circular Economy'!G:G, "s/l-UNC") +
COUNTIFS('Circular Economy'!H:H, "Carbon intensity", 'Circular Economy'!G:G, "s/l-POS") +
COUNTIFS('Circular Economy'!H:H, "Carbon intensity", 'Circular Economy'!G:G, "s/l-NEG") +
COUNTIFS(Finance!H:H, "Carbon intensity", Finance!G:G, "n") +
COUNTIFS(Finance!H:H, "Carbon intensity", Finance!G:G, "s/l-UNC") +
COUNTIFS(Finance!H:H, "Carbon intensity", Finance!G:G, "s/l-POS") +
COUNTIFS(Finance!H:H, "Carbon intensity", Finance!G:G, "s/l-NEG")</f>
        <v/>
      </c>
      <c r="S7" s="39" t="n"/>
      <c r="T7" s="75" t="inlineStr">
        <is>
          <t>Cities &amp; areas</t>
        </is>
      </c>
      <c r="U7" s="70">
        <f>COUNTIFS('GHG Emissions'!I:I,"areas",'GHG Emissions'!G:G,"n")
+COUNTIFS('GHG Emissions'!I:I,"areas",'GHG Emissions'!G:G,"s/l-UNC")
+COUNTIFS('GHG Emissions'!I:I,"areas",'GHG Emissions'!G:G,"s/l-POS")
+COUNTIFS('GHG Emissions'!I:I,"areas",'GHG Emissions'!G:G,"s/l-NEG")
+COUNTIFS(Pollution!I:I,"areas",Pollution!G:G,"n")
+COUNTIFS(Pollution!I:I,"areas",Pollution!G:G,"s/l-UNC")
+COUNTIFS(Pollution!I:I,"areas",Pollution!G:G,"s/l-POS")
+COUNTIFS(Pollution!I:I,"areas",Pollution!G:G,"s/l-NEG")
+COUNTIFS('Energy|Power'!I:I,"areas",'Energy|Power'!G:G,"n")
+COUNTIFS('Energy|Power'!I:I,"areas",'Energy|Power'!G:G,"s/l-UNC")
+COUNTIFS('Energy|Power'!I:I,"areas",'Energy|Power'!G:G,"s/l-POS")
+COUNTIFS('Energy|Power'!I:I,"areas",'Energy|Power'!G:G,"s/l-NEG")
+COUNTIFS(Industry!I:I,"areas",Industry!G:G,"n")
+COUNTIFS(Industry!I:I,"areas",Industry!G:G,"s/l-UNC")
+COUNTIFS(Industry!I:I,"areas",Industry!G:G,"s/l-POS")
+COUNTIFS(Industry!I:I,"areas",Industry!G:G,"s/l-NEG")
+COUNTIFS(Buildings!I:I,"areas",Buildings!G:G,"n")
+COUNTIFS(Buildings!I:I,"areas",Buildings!G:G,"s/l-UNC")
+COUNTIFS(Buildings!I:I,"areas",Buildings!G:G,"s/l-POS")
+COUNTIFS(Buildings!I:I,"areas",Buildings!G:G,"s/l-NEG")
+COUNTIFS(Transport!I:I,"areas",Transport!G:G,"n")
+COUNTIFS(Transport!I:I,"areas",Transport!G:G,"s/l-UNC")
+COUNTIFS(Transport!I:I,"areas",Transport!G:G,"s/l-POS")
+COUNTIFS(Transport!I:I,"areas",Transport!G:G,"s/l-NEG")
+COUNTIFS(LULUCF!I:I,"areas",LULUCF!G:G,"n")
+COUNTIFS(LULUCF!I:I,"areas",LULUCF!G:G,"s/l-UNC")
+COUNTIFS(LULUCF!I:I,"areas",LULUCF!G:G,"s/l-POS")
+COUNTIFS(LULUCF!I:I,"areas",LULUCF!G:G,"s/l-NEG")
+COUNTIFS('Circular Economy'!I:I,"areas",'Circular Economy'!G:G,"n")
+COUNTIFS('Circular Economy'!I:I,"areas",'Circular Economy'!G:G,"s/l-UNC")
+COUNTIFS('Circular Economy'!I:I,"areas",'Circular Economy'!G:G,"s/l-POS")
+COUNTIFS('Circular Economy'!I:I,"areas",'Circular Economy'!G:G,"s/l-NEG")
+COUNTIFS(Finance!I:I,"areas",Finance!G:G,"n")
+COUNTIFS(Finance!I:I,"areas",Finance!G:G,"s/l-UNC")
+COUNTIFS(Finance!I:I,"areas",Finance!G:G,"s/l-POS")
+COUNTIFS(Finance!I:I,"areas",Finance!G:G,"s/l-NEG")</f>
        <v/>
      </c>
    </row>
    <row r="8" ht="19" customHeight="1" s="235">
      <c r="A8" s="39" t="n"/>
      <c r="B8" s="67" t="inlineStr">
        <is>
          <t>Energy/Power</t>
        </is>
      </c>
      <c r="C8" s="68">
        <f>COUNTIFS('Energy|Power'!G:G, "n") + COUNTIFS('Energy|Power'!G:G, "s/l-UNC") + COUNTIFS('Energy|Power'!G:G, "s/l-POS") + COUNTIFS('Energy|Power'!G:G, "s/l-NEG")</f>
        <v/>
      </c>
      <c r="D8" s="59" t="n"/>
      <c r="E8" s="69" t="inlineStr">
        <is>
          <t>Power transmission/Energy transportation</t>
        </is>
      </c>
      <c r="F8" s="70">
        <f>COUNTIFS('Energy|Power'!M:M, "Power transmission/Energy transportation")</f>
        <v/>
      </c>
      <c r="G8" s="39" t="n"/>
      <c r="H8" s="67" t="inlineStr">
        <is>
          <t>Strengthened or loosened target with positive climate impact</t>
        </is>
      </c>
      <c r="I8" s="68">
        <f>COUNTIF('GHG Emissions'!G:G,"s/l-POS")
+COUNTIF(Pollution!G:G,"s/l-POS")
+COUNTIF('Energy|Power'!G:G,"s/l-POS")
+COUNTIF(Industry!G:G,"s/l-POS")
+COUNTIF(Buildings!G:G,"s/l-POS")
+COUNTIF(Transport!G:G,"s/l-POS")
+COUNTIF(LULUCF!G:G,"s/l-POS")
+COUNTIF('Circular Economy'!G:G,"s/l-POS")
+COUNTIF(Finance!G:G,"s/l-POS")</f>
        <v/>
      </c>
      <c r="J8" s="39" t="n"/>
      <c r="K8" s="73" t="n">
        <v>2006</v>
      </c>
      <c r="L8" s="68">
        <f>COUNTIFS('GHG Emissions'!A:A, 2006, 'GHG Emissions'!G:G, "n") +
COUNTIFS('GHG Emissions'!A:A, 2006, 'GHG Emissions'!G:G, "s/l-UNC") +
COUNTIFS('GHG Emissions'!A:A, 2006, 'GHG Emissions'!G:G, "s/l-POS") +
COUNTIFS('GHG Emissions'!A:A, 2006, 'GHG Emissions'!G:G, "s/l-NEG") +
COUNTIFS(Pollution!A:A, 2006, Pollution!G:G, "n") +
COUNTIFS(Pollution!A:A, 2006, Pollution!G:G, "s/l-UNC") +
COUNTIFS(Pollution!A:A, 2006, Pollution!G:G, "s/l-POS") +
COUNTIFS(Pollution!A:A, 2006, Pollution!G:G, "s/l-NEG") +
COUNTIFS('Energy|Power'!A:A, 2006, 'Energy|Power'!G:G, "n") +
COUNTIFS('Energy|Power'!A:A, 2006, 'Energy|Power'!G:G, "s/l-UNC") +
COUNTIFS('Energy|Power'!A:A, 2006, 'Energy|Power'!G:G, "s/l-POS") +
COUNTIFS('Energy|Power'!A:A, 2006, 'Energy|Power'!G:G, "s/l-NEG") +
COUNTIFS(Industry!A:A, 2006, Industry!G:G, "n") +
COUNTIFS(Industry!A:A, 2006, Industry!G:G, "s/l-UNC") +
COUNTIFS(Industry!A:A, 2006, Industry!G:G, "s/l-POS") +
COUNTIFS(Industry!A:A, 2006, Industry!G:G, "s/l-NEG") +
COUNTIFS(Buildings!A:A, 2006, Buildings!G:G, "n") +
COUNTIFS(Buildings!A:A, 2006, Buildings!G:G, "s/l-UNC") +
COUNTIFS(Buildings!A:A, 2006, Buildings!G:G, "s/l-POS") +
COUNTIFS(Buildings!A:A, 2006, Buildings!G:G, "s/l-NEG") +
COUNTIFS(Transport!A:A, 2006, Transport!G:G, "n") +
COUNTIFS(Transport!A:A, 2006, Transport!G:G, "s/l-UNC") +
COUNTIFS(Transport!A:A, 2006, Transport!G:G, "s/l-POS") +
COUNTIFS(Transport!A:A, 2006, Transport!G:G, "s/l-NEG") +
COUNTIFS(LULUCF!A:A, 2006, LULUCF!G:G, "n") +
COUNTIFS(LULUCF!A:A, 2006, LULUCF!G:G, "s/l-UNC") +
COUNTIFS(LULUCF!A:A, 2006, LULUCF!G:G, "s/l-POS") +
COUNTIFS(LULUCF!A:A, 2006, LULUCF!G:G, "s/l-NEG") +
COUNTIFS('Circular Economy'!A:A, 2006, 'Circular Economy'!G:G, "n") +
COUNTIFS('Circular Economy'!A:A, 2006, 'Circular Economy'!G:G, "s/l-UNC") +
COUNTIFS('Circular Economy'!A:A, 2006, 'Circular Economy'!G:G, "s/l-POS") +
COUNTIFS('Circular Economy'!A:A, 2006, 'Circular Economy'!G:G, "s/l-NEG") +
COUNTIFS(Finance!A:A, 2006, Finance!G:G, "n") +
COUNTIFS(Finance!A:A, 2006, Finance!G:G, "s/l-UNC") +
COUNTIFS(Finance!A:A, 2006, Finance!G:G, "s/l-POS") +
COUNTIFS(Finance!A:A, 2006, Finance!G:G, "s/l-NEG")</f>
        <v/>
      </c>
      <c r="M8" s="39" t="n"/>
      <c r="N8" s="73" t="n">
        <v>2010</v>
      </c>
      <c r="O8" s="74">
        <f>COUNTIFS('GHG Emissions'!F:F, 2010, 'GHG Emissions'!G:G, "n") +
COUNTIFS('GHG Emissions'!F:F, 2010, 'GHG Emissions'!G:G, "s/l-UNC") +
COUNTIFS('GHG Emissions'!F:F, 2010, 'GHG Emissions'!G:G, "s/l-POS") +
COUNTIFS('GHG Emissions'!F:F, 2010, 'GHG Emissions'!G:G, "s/l-NEG") +
COUNTIFS(Pollution!F:F, 2010, Pollution!G:G, "n") +
COUNTIFS(Pollution!F:F, 2010, Pollution!G:G, "s/l-UNC") +
COUNTIFS(Pollution!F:F, 2010, Pollution!G:G, "s/l-POS") +
COUNTIFS(Pollution!F:F, 2010, Pollution!G:G, "s/l-NEG") +
COUNTIFS('Energy|Power'!F:F, 2010, 'Energy|Power'!G:G, "n") +
COUNTIFS('Energy|Power'!F:F, 2010, 'Energy|Power'!G:G, "s/l-UNC") +
COUNTIFS('Energy|Power'!F:F, 2010, 'Energy|Power'!G:G, "s/l-POS") +
COUNTIFS('Energy|Power'!F:F, 2010, 'Energy|Power'!G:G, "s/l-NEG") +
COUNTIFS(Industry!F:F, 2010, Industry!G:G, "n") +
COUNTIFS(Industry!F:F, 2010, Industry!G:G, "s/l-UNC") +
COUNTIFS(Industry!F:F, 2010, Industry!G:G, "s/l-POS") +
COUNTIFS(Industry!F:F, 2010, Industry!G:G, "s/l-NEG") +
COUNTIFS(Buildings!F:F, 2010, Buildings!G:G, "n") +
COUNTIFS(Buildings!F:F, 2010, Buildings!G:G, "s/l-UNC") +
COUNTIFS(Buildings!F:F, 2010, Buildings!G:G, "s/l-POS") +
COUNTIFS(Buildings!F:F, 2010, Buildings!G:G, "s/l-NEG") +
COUNTIFS(Transport!F:F, 2010, Transport!G:G, "n") +
COUNTIFS(Transport!F:F, 2010, Transport!G:G, "s/l-UNC") +
COUNTIFS(Transport!F:F, 2010, Transport!G:G, "s/l-POS") +
COUNTIFS(Transport!F:F, 2010, Transport!G:G, "s/l-NEG") +
COUNTIFS(LULUCF!F:F, 2010, LULUCF!G:G, "n") +
COUNTIFS(LULUCF!F:F, 2010, LULUCF!G:G, "s/l-UNC") +
COUNTIFS(LULUCF!F:F, 2010, LULUCF!G:G, "s/l-POS") +
COUNTIFS(LULUCF!F:F, 2010, LULUCF!G:G, "s/l-NEG") +
COUNTIFS('Circular Economy'!F:F, 2010, 'Circular Economy'!G:G, "n") +
COUNTIFS('Circular Economy'!F:F, 2010, 'Circular Economy'!G:G, "s/l-UNC") +
COUNTIFS('Circular Economy'!F:F, 2010, 'Circular Economy'!G:G, "s/l-POS") +
COUNTIFS('Circular Economy'!F:F, 2010, 'Circular Economy'!G:G, "s/l-NEG") +
COUNTIFS(Finance!F:F, 2010, Finance!G:G, "n") +
COUNTIFS(Finance!F:F, 2010, Finance!G:G, "s/l-UNC") +
COUNTIFS(Finance!F:F, 2010, Finance!G:G, "s/l-POS") +
COUNTIFS(Finance!F:F, 2010, Finance!G:G, "s/l-NEG")</f>
        <v/>
      </c>
      <c r="P8" s="39" t="n"/>
      <c r="Q8" s="75" t="inlineStr">
        <is>
          <t>Carbon sink</t>
        </is>
      </c>
      <c r="R8" s="74">
        <f>COUNTIFS('GHG Emissions'!H:H, "Carbon sink", 'GHG Emissions'!G:G, "n") +
COUNTIFS('GHG Emissions'!H:H, "Carbon sink", 'GHG Emissions'!G:G, "s/l-UNC") +
COUNTIFS('GHG Emissions'!H:H, "Carbon sink", 'GHG Emissions'!G:G, "s/l-POS") +
COUNTIFS('GHG Emissions'!H:H, "Carbon sink", 'GHG Emissions'!G:G, "s/l-NEG") +
COUNTIFS(Pollution!H:H, "Carbon sink", Pollution!G:G, "n") +
COUNTIFS(Pollution!H:H, "Carbon sink", Pollution!G:G, "s/l-UNC") +
COUNTIFS(Pollution!H:H, "Carbon sink", Pollution!G:G, "s/l-POS") +
COUNTIFS(Pollution!H:H, "Carbon sink", Pollution!G:G, "s/l-NEG") +
COUNTIFS('Energy|Power'!H:H, "Carbon sink", 'Energy|Power'!G:G, "n") +
COUNTIFS('Energy|Power'!H:H, "Carbon sink", 'Energy|Power'!G:G, "s/l-UNC") +
COUNTIFS('Energy|Power'!H:H, "Carbon sink", 'Energy|Power'!G:G, "s/l-POS") +
COUNTIFS('Energy|Power'!H:H, "Carbon sink", 'Energy|Power'!G:G, "s/l-NEG") +
COUNTIFS(Industry!H:H, "Carbon sink", Industry!G:G, "n") +
COUNTIFS(Industry!H:H, "Carbon sink", Industry!G:G, "s/l-UNC") +
COUNTIFS(Industry!H:H, "Carbon sink", Industry!G:G, "s/l-POS") +
COUNTIFS(Industry!H:H, "Carbon sink", Industry!G:G, "s/l-NEG") +
COUNTIFS(Buildings!H:H, "Carbon sink", Buildings!G:G, "n") +
COUNTIFS(Buildings!H:H, "Carbon sink", Buildings!G:G, "s/l-UNC") +
COUNTIFS(Buildings!H:H, "Carbon sink", Buildings!G:G, "s/l-POS") +
COUNTIFS(Buildings!H:H, "Carbon sink", Buildings!G:G, "s/l-NEG") +
COUNTIFS(Transport!H:H, "Carbon sink", Transport!G:G, "n") +
COUNTIFS(Transport!H:H, "Carbon sink", Transport!G:G, "s/l-UNC") +
COUNTIFS(Transport!H:H, "Carbon sink", Transport!G:G, "s/l-POS") +
COUNTIFS(Transport!H:H, "Carbon sink", Transport!G:G, "s/l-NEG") +
COUNTIFS(LULUCF!H:H, "Carbon sink", LULUCF!G:G, "n") +
COUNTIFS(LULUCF!H:H, "Carbon sink", LULUCF!G:G, "s/l-UNC") +
COUNTIFS(LULUCF!H:H, "Carbon sink", LULUCF!G:G, "s/l-POS") +
COUNTIFS(LULUCF!H:H, "Carbon sink", LULUCF!G:G, "s/l-NEG") +
COUNTIFS('Circular Economy'!H:H, "Carbon sink", 'Circular Economy'!G:G, "n") +
COUNTIFS('Circular Economy'!H:H, "Carbon sink", 'Circular Economy'!G:G, "s/l-UNC") +
COUNTIFS('Circular Economy'!H:H, "Carbon sink", 'Circular Economy'!G:G, "s/l-POS") +
COUNTIFS('Circular Economy'!H:H, "Carbon sink", 'Circular Economy'!G:G, "s/l-NEG") +
COUNTIFS(Finance!H:H, "Carbon sink", Finance!G:G, "n") +
COUNTIFS(Finance!H:H, "Carbon sink", Finance!G:G, "s/l-UNC") +
COUNTIFS(Finance!H:H, "Carbon sink", Finance!G:G, "s/l-POS") +
COUNTIFS(Finance!H:H, "Carbon sink", Finance!G:G, "s/l-NEG")</f>
        <v/>
      </c>
      <c r="S8" s="39" t="n"/>
      <c r="T8" s="75" t="inlineStr">
        <is>
          <t>Sectors</t>
        </is>
      </c>
      <c r="U8" s="70">
        <f>COUNTIFS('GHG Emissions'!I:I,"sectors",'GHG Emissions'!G:G,"n")
+COUNTIFS('GHG Emissions'!I:I,"sectors",'GHG Emissions'!G:G,"s/l-UNC")
+COUNTIFS('GHG Emissions'!I:I,"sectors",'GHG Emissions'!G:G,"s/l-POS")
+COUNTIFS('GHG Emissions'!I:I,"sectors",'GHG Emissions'!G:G,"s/l-NEG")
+COUNTIFS(Pollution!I:I,"sectors",Pollution!G:G,"n")
+COUNTIFS(Pollution!I:I,"sectors",Pollution!G:G,"s/l-UNC")
+COUNTIFS(Pollution!I:I,"sectors",Pollution!G:G,"s/l-POS")
+COUNTIFS(Pollution!I:I,"sectors",Pollution!G:G,"s/l-NEG")
+COUNTIFS('Energy|Power'!I:I,"sectors",'Energy|Power'!G:G,"n")
+COUNTIFS('Energy|Power'!I:I,"sectors",'Energy|Power'!G:G,"s/l-UNC")
+COUNTIFS('Energy|Power'!I:I,"sectors",'Energy|Power'!G:G,"s/l-POS")
+COUNTIFS('Energy|Power'!I:I,"sectors",'Energy|Power'!G:G,"s/l-NEG")
+COUNTIFS(Industry!I:I,"sectors",Industry!G:G,"n")
+COUNTIFS(Industry!I:I,"sectors",Industry!G:G,"s/l-UNC")
+COUNTIFS(Industry!I:I,"sectors",Industry!G:G,"s/l-POS")
+COUNTIFS(Industry!I:I,"sectors",Industry!G:G,"s/l-NEG")
+COUNTIFS(Buildings!I:I,"sectors",Buildings!G:G,"n")
+COUNTIFS(Buildings!I:I,"sectors",Buildings!G:G,"s/l-UNC")
+COUNTIFS(Buildings!I:I,"sectors",Buildings!G:G,"s/l-POS")
+COUNTIFS(Buildings!I:I,"sectors",Buildings!G:G,"s/l-NEG")
+COUNTIFS(Transport!I:I,"sectors",Transport!G:G,"n")
+COUNTIFS(Transport!I:I,"sectors",Transport!G:G,"s/l-UNC")
+COUNTIFS(Transport!I:I,"sectors",Transport!G:G,"s/l-POS")
+COUNTIFS(Transport!I:I,"sectors",Transport!G:G,"s/l-NEG")
+COUNTIFS(LULUCF!I:I,"sectors",LULUCF!G:G,"n")
+COUNTIFS(LULUCF!I:I,"sectors",LULUCF!G:G,"s/l-UNC")
+COUNTIFS(LULUCF!I:I,"sectors",LULUCF!G:G,"s/l-POS")
+COUNTIFS(LULUCF!I:I,"sectors",LULUCF!G:G,"s/l-NEG")
+COUNTIFS('Circular Economy'!I:I,"sectors",'Circular Economy'!G:G,"n")
+COUNTIFS('Circular Economy'!I:I,"sectors",'Circular Economy'!G:G,"s/l-UNC")
+COUNTIFS('Circular Economy'!I:I,"sectors",'Circular Economy'!G:G,"s/l-POS")
+COUNTIFS('Circular Economy'!I:I,"sectors",'Circular Economy'!G:G,"s/l-NEG")
+COUNTIFS(Finance!I:I,"sectors",Finance!G:G,"n")
+COUNTIFS(Finance!I:I,"sectors",Finance!G:G,"s/l-UNC")
+COUNTIFS(Finance!I:I,"sectors",Finance!G:G,"s/l-POS")
+COUNTIFS(Finance!I:I,"sectors",Finance!G:G,"s/l-NEG")</f>
        <v/>
      </c>
    </row>
    <row r="9" ht="19" customHeight="1" s="235">
      <c r="A9" s="39" t="n"/>
      <c r="B9" s="67" t="inlineStr">
        <is>
          <t>Industry</t>
        </is>
      </c>
      <c r="C9" s="68">
        <f>COUNTIFS(Industry!G:G, "n") + COUNTIFS(Industry!G:G, "s/l-UNC") + COUNTIFS(Industry!G:G, "s/l-POS") + COUNTIFS(Industry!G:G, "s/l-NEG")</f>
        <v/>
      </c>
      <c r="D9" s="59" t="n"/>
      <c r="E9" s="69" t="inlineStr">
        <is>
          <t xml:space="preserve">Coal power </t>
        </is>
      </c>
      <c r="F9" s="70">
        <f>COUNTIFS('Energy|Power'!M:M, "Coal power")</f>
        <v/>
      </c>
      <c r="G9" s="39" t="n"/>
      <c r="H9" s="76" t="inlineStr">
        <is>
          <t>Strengthened or loosened target with negative climate impact</t>
        </is>
      </c>
      <c r="I9" s="77">
        <f>COUNTIF('GHG Emissions'!G:G,"s/l-NEG")
+COUNTIF(Pollution!G:G,"s/l-NEG")
+COUNTIF('Energy|Power'!G:G,"s/l-NEG")
+COUNTIF(Industry!G:G,"s/l-NEG")
+COUNTIF(Buildings!G:G,"s/l-NEG")
+COUNTIF(Transport!G:G,"s/l-NEG")
+COUNTIF(LULUCF!G:G,"s/l-NEG")
+COUNTIF('Circular Economy'!G:G,"s/l-NEG")
+COUNTIF(Finance!G:G,"s/l-NEG")</f>
        <v/>
      </c>
      <c r="J9" s="39" t="n"/>
      <c r="K9" s="73" t="n">
        <v>2007</v>
      </c>
      <c r="L9" s="68">
        <f>COUNTIFS('GHG Emissions'!A:A, 2007, 'GHG Emissions'!G:G, "n") +
COUNTIFS('GHG Emissions'!A:A, 2007, 'GHG Emissions'!G:G, "s/l-UNC") +
COUNTIFS('GHG Emissions'!A:A, 2007, 'GHG Emissions'!G:G, "s/l-POS") +
COUNTIFS('GHG Emissions'!A:A, 2007, 'GHG Emissions'!G:G, "s/l-NEG") +
COUNTIFS(Pollution!A:A, 2007, Pollution!G:G, "n") +
COUNTIFS(Pollution!A:A, 2007, Pollution!G:G, "s/l-UNC") +
COUNTIFS(Pollution!A:A, 2007, Pollution!G:G, "s/l-POS") +
COUNTIFS(Pollution!A:A, 2007, Pollution!G:G, "s/l-NEG") +
COUNTIFS('Energy|Power'!A:A, 2007, 'Energy|Power'!G:G, "n") +
COUNTIFS('Energy|Power'!A:A, 2007, 'Energy|Power'!G:G, "s/l-UNC") +
COUNTIFS('Energy|Power'!A:A, 2007, 'Energy|Power'!G:G, "s/l-POS") +
COUNTIFS('Energy|Power'!A:A, 2007, 'Energy|Power'!G:G, "s/l-NEG") +
COUNTIFS(Industry!A:A, 2007, Industry!G:G, "n") +
COUNTIFS(Industry!A:A, 2007, Industry!G:G, "s/l-UNC") +
COUNTIFS(Industry!A:A, 2007, Industry!G:G, "s/l-POS") +
COUNTIFS(Industry!A:A, 2007, Industry!G:G, "s/l-NEG") +
COUNTIFS(Buildings!A:A, 2007, Buildings!G:G, "n") +
COUNTIFS(Buildings!A:A, 2007, Buildings!G:G, "s/l-UNC") +
COUNTIFS(Buildings!A:A, 2007, Buildings!G:G, "s/l-POS") +
COUNTIFS(Buildings!A:A, 2007, Buildings!G:G, "s/l-NEG") +
COUNTIFS(Transport!A:A, 2007, Transport!G:G, "n") +
COUNTIFS(Transport!A:A, 2007, Transport!G:G, "s/l-UNC") +
COUNTIFS(Transport!A:A, 2007, Transport!G:G, "s/l-POS") +
COUNTIFS(Transport!A:A, 2007, Transport!G:G, "s/l-NEG") +
COUNTIFS(LULUCF!A:A, 2007, LULUCF!G:G, "n") +
COUNTIFS(LULUCF!A:A, 2007, LULUCF!G:G, "s/l-UNC") +
COUNTIFS(LULUCF!A:A, 2007, LULUCF!G:G, "s/l-POS") +
COUNTIFS(LULUCF!A:A, 2007, LULUCF!G:G, "s/l-NEG") +
COUNTIFS('Circular Economy'!A:A, 2007, 'Circular Economy'!G:G, "n") +
COUNTIFS('Circular Economy'!A:A, 2007, 'Circular Economy'!G:G, "s/l-UNC") +
COUNTIFS('Circular Economy'!A:A, 2007, 'Circular Economy'!G:G, "s/l-POS") +
COUNTIFS('Circular Economy'!A:A, 2007, 'Circular Economy'!G:G, "s/l-NEG") +
COUNTIFS(Finance!A:A, 2007, Finance!G:G, "n") +
COUNTIFS(Finance!A:A, 2007, Finance!G:G, "s/l-UNC") +
COUNTIFS(Finance!A:A, 2007, Finance!G:G, "s/l-POS") +
COUNTIFS(Finance!A:A, 2007, Finance!G:G, "s/l-NEG")</f>
        <v/>
      </c>
      <c r="M9" s="39" t="n"/>
      <c r="N9" s="73" t="inlineStr">
        <is>
          <t>11th FYP</t>
        </is>
      </c>
      <c r="O9" s="74">
        <f>COUNTIFS('GHG Emissions'!F:F, "11th FYP", 'GHG Emissions'!G:G, "n") +
COUNTIFS('GHG Emissions'!F:F, "11th FYP", 'GHG Emissions'!G:G, "s/l-UNC") +
COUNTIFS('GHG Emissions'!F:F, "11th FYP", 'GHG Emissions'!G:G, "s/l-POS") +
COUNTIFS('GHG Emissions'!F:F, "11th FYP", 'GHG Emissions'!G:G, "s/l-NEG") +
COUNTIFS(Pollution!F:F, "11th FYP", Pollution!G:G, "n") +
COUNTIFS(Pollution!F:F, "11th FYP", Pollution!G:G, "s/l-UNC") +
COUNTIFS(Pollution!F:F, "11th FYP", Pollution!G:G, "s/l-POS") +
COUNTIFS(Pollution!F:F, "11th FYP", Pollution!G:G, "s/l-NEG") +
COUNTIFS('Energy|Power'!F:F, "11th FYP", 'Energy|Power'!G:G, "n") +
COUNTIFS('Energy|Power'!F:F, "11th FYP", 'Energy|Power'!G:G, "s/l-UNC") +
COUNTIFS('Energy|Power'!F:F, "11th FYP", 'Energy|Power'!G:G, "s/l-POS") +
COUNTIFS('Energy|Power'!F:F, "11th FYP", 'Energy|Power'!G:G, "s/l-NEG") +
COUNTIFS(Industry!F:F, "11th FYP", Industry!G:G, "n") +
COUNTIFS(Industry!F:F, "11th FYP", Industry!G:G, "s/l-UNC") +
COUNTIFS(Industry!F:F, "11th FYP", Industry!G:G, "s/l-POS") +
COUNTIFS(Industry!F:F, "11th FYP", Industry!G:G, "s/l-NEG") +
COUNTIFS(Buildings!F:F, "11th FYP", Buildings!G:G, "n") +
COUNTIFS(Buildings!F:F, "11th FYP", Buildings!G:G, "s/l-UNC") +
COUNTIFS(Buildings!F:F, "11th FYP", Buildings!G:G, "s/l-POS") +
COUNTIFS(Buildings!F:F, "11th FYP", Buildings!G:G, "s/l-NEG") +
COUNTIFS(Transport!F:F, "11th FYP", Transport!G:G, "n") +
COUNTIFS(Transport!F:F, "11th FYP", Transport!G:G, "s/l-UNC") +
COUNTIFS(Transport!F:F, "11th FYP", Transport!G:G, "s/l-POS") +
COUNTIFS(Transport!F:F, "11th FYP", Transport!G:G, "s/l-NEG") +
COUNTIFS(LULUCF!F:F, "11th FYP", LULUCF!G:G, "n") +
COUNTIFS(LULUCF!F:F, "11th FYP", LULUCF!G:G, "s/l-UNC") +
COUNTIFS(LULUCF!F:F, "11th FYP", LULUCF!G:G, "s/l-POS") +
COUNTIFS(LULUCF!F:F, "11th FYP", LULUCF!G:G, "s/l-NEG") +
COUNTIFS('Circular Economy'!F:F, "11th FYP", 'Circular Economy'!G:G, "n") +
COUNTIFS('Circular Economy'!F:F, "11th FYP", 'Circular Economy'!G:G, "s/l-UNC") +
COUNTIFS('Circular Economy'!F:F, "11th FYP", 'Circular Economy'!G:G, "s/l-POS") +
COUNTIFS('Circular Economy'!F:F, "11th FYP", 'Circular Economy'!G:G, "s/l-NEG") +
COUNTIFS(Finance!F:F, "11th FYP", Finance!G:G, "n") +
COUNTIFS(Finance!F:F, "11th FYP", Finance!G:G, "s/l-UNC") +
COUNTIFS(Finance!F:F, "11th FYP", Finance!G:G, "s/l-POS") +
COUNTIFS(Finance!F:F, "11th FYP", Finance!G:G, "s/l-NEG")</f>
        <v/>
      </c>
      <c r="P9" s="39" t="n"/>
      <c r="Q9" s="75" t="inlineStr">
        <is>
          <t>Pollution control</t>
        </is>
      </c>
      <c r="R9" s="74">
        <f>COUNTIFS('GHG Emissions'!H:H, "Pollution control", 'GHG Emissions'!G:G, "n") +
COUNTIFS('GHG Emissions'!H:H, "Pollution control", 'GHG Emissions'!G:G, "s/l-UNC") +
COUNTIFS('GHG Emissions'!H:H, "Pollution control", 'GHG Emissions'!G:G, "s/l-POS") +
COUNTIFS('GHG Emissions'!H:H, "Pollution control", 'GHG Emissions'!G:G, "s/l-NEG") +
COUNTIFS(Pollution!H:H, "Pollution control", Pollution!G:G, "n") +
COUNTIFS(Pollution!H:H, "Pollution control", Pollution!G:G, "s/l-UNC") +
COUNTIFS(Pollution!H:H, "Pollution control", Pollution!G:G, "s/l-POS") +
COUNTIFS(Pollution!H:H, "Pollution control", Pollution!G:G, "s/l-NEG") +
COUNTIFS('Energy|Power'!H:H, "Pollution control", 'Energy|Power'!G:G, "n") +
COUNTIFS('Energy|Power'!H:H, "Pollution control", 'Energy|Power'!G:G, "s/l-UNC") +
COUNTIFS('Energy|Power'!H:H, "Pollution control", 'Energy|Power'!G:G, "s/l-POS") +
COUNTIFS('Energy|Power'!H:H, "Pollution control", 'Energy|Power'!G:G, "s/l-NEG") +
COUNTIFS(Industry!H:H, "Pollution control", Industry!G:G, "n") +
COUNTIFS(Industry!H:H, "Pollution control", Industry!G:G, "s/l-UNC") +
COUNTIFS(Industry!H:H, "Pollution control", Industry!G:G, "s/l-POS") +
COUNTIFS(Industry!H:H, "Pollution control", Industry!G:G, "s/l-NEG") +
COUNTIFS(Buildings!H:H, "Pollution control", Buildings!G:G, "n") +
COUNTIFS(Buildings!H:H, "Pollution control", Buildings!G:G, "s/l-UNC") +
COUNTIFS(Buildings!H:H, "Pollution control", Buildings!G:G, "s/l-POS") +
COUNTIFS(Buildings!H:H, "Pollution control", Buildings!G:G, "s/l-NEG") +
COUNTIFS(Transport!H:H, "Pollution control", Transport!G:G, "n") +
COUNTIFS(Transport!H:H, "Pollution control", Transport!G:G, "s/l-UNC") +
COUNTIFS(Transport!H:H, "Pollution control", Transport!G:G, "s/l-POS") +
COUNTIFS(Transport!H:H, "Pollution control", Transport!G:G, "s/l-NEG") +
COUNTIFS(LULUCF!H:H, "Pollution control", LULUCF!G:G, "n") +
COUNTIFS(LULUCF!H:H, "Pollution control", LULUCF!G:G, "s/l-UNC") +
COUNTIFS(LULUCF!H:H, "Pollution control", LULUCF!G:G, "s/l-POS") +
COUNTIFS(LULUCF!H:H, "Pollution control", LULUCF!G:G, "s/l-NEG") +
COUNTIFS('Circular Economy'!H:H, "Pollution control", 'Circular Economy'!G:G, "n") +
COUNTIFS('Circular Economy'!H:H, "Pollution control", 'Circular Economy'!G:G, "s/l-UNC") +
COUNTIFS('Circular Economy'!H:H, "Pollution control", 'Circular Economy'!G:G, "s/l-POS") +
COUNTIFS('Circular Economy'!H:H, "Pollution control", 'Circular Economy'!G:G, "s/l-NEG") +
COUNTIFS(Finance!H:H, "Pollution control", Finance!G:G, "n") +
COUNTIFS(Finance!H:H, "Pollution control", Finance!G:G, "s/l-UNC") +
COUNTIFS(Finance!H:H, "Pollution control", Finance!G:G, "s/l-POS") +
COUNTIFS(Finance!H:H, "Pollution control", Finance!G:G, "s/l-NEG")</f>
        <v/>
      </c>
      <c r="S9" s="39" t="n"/>
      <c r="T9" s="75" t="inlineStr">
        <is>
          <t>Whole economy</t>
        </is>
      </c>
      <c r="U9" s="70">
        <f>COUNTIFS('GHG Emissions'!I:I,"whole economy",'GHG Emissions'!G:G,"n")
+COUNTIFS('GHG Emissions'!I:I,"whole economy",'GHG Emissions'!G:G,"s/l-UNC")
+COUNTIFS('GHG Emissions'!I:I,"whole economy",'GHG Emissions'!G:G,"s/l-POS")
+COUNTIFS('GHG Emissions'!I:I,"whole economy",'GHG Emissions'!G:G,"s/l-NEG")
+COUNTIFS(Pollution!I:I,"whole economy",Pollution!G:G,"n")
+COUNTIFS(Pollution!I:I,"whole economy",Pollution!G:G,"s/l-UNC")
+COUNTIFS(Pollution!I:I,"whole economy",Pollution!G:G,"s/l-POS")
+COUNTIFS(Pollution!I:I,"whole economy",Pollution!G:G,"s/l-NEG")
+COUNTIFS('Energy|Power'!I:I,"whole economy",'Energy|Power'!G:G,"n")
+COUNTIFS('Energy|Power'!I:I,"whole economy",'Energy|Power'!G:G,"s/l-UNC")
+COUNTIFS('Energy|Power'!I:I,"whole economy",'Energy|Power'!G:G,"s/l-POS")
+COUNTIFS('Energy|Power'!I:I,"whole economy",'Energy|Power'!G:G,"s/l-NEG")
+COUNTIFS(Industry!I:I,"whole economy",Industry!G:G,"n")
+COUNTIFS(Industry!I:I,"whole economy",Industry!G:G,"s/l-UNC")
+COUNTIFS(Industry!I:I,"whole economy",Industry!G:G,"s/l-POS")
+COUNTIFS(Industry!I:I,"whole economy",Industry!G:G,"s/l-NEG")
+COUNTIFS(Buildings!I:I,"whole economy",Buildings!G:G,"n")
+COUNTIFS(Buildings!I:I,"whole economy",Buildings!G:G,"s/l-UNC")
+COUNTIFS(Buildings!I:I,"whole economy",Buildings!G:G,"s/l-POS")
+COUNTIFS(Buildings!I:I,"whole economy",Buildings!G:G,"s/l-NEG")
+COUNTIFS(Transport!I:I,"whole economy",Transport!G:G,"n")
+COUNTIFS(Transport!I:I,"whole economy",Transport!G:G,"s/l-UNC")
+COUNTIFS(Transport!I:I,"whole economy",Transport!G:G,"s/l-POS")
+COUNTIFS(Transport!I:I,"whole economy",Transport!G:G,"s/l-NEG")
+COUNTIFS(LULUCF!I:I,"whole economy",LULUCF!G:G,"n")
+COUNTIFS(LULUCF!I:I,"whole economy",LULUCF!G:G,"s/l-UNC")
+COUNTIFS(LULUCF!I:I,"whole economy",LULUCF!G:G,"s/l-POS")
+COUNTIFS(LULUCF!I:I,"whole economy",LULUCF!G:G,"s/l-NEG")
+COUNTIFS('Circular Economy'!I:I,"whole economy",'Circular Economy'!G:G,"n")
+COUNTIFS('Circular Economy'!I:I,"whole economy",'Circular Economy'!G:G,"s/l-UNC")
+COUNTIFS('Circular Economy'!I:I,"whole economy",'Circular Economy'!G:G,"s/l-POS")
+COUNTIFS('Circular Economy'!I:I,"whole economy",'Circular Economy'!G:G,"s/l-NEG")
+COUNTIFS(Finance!I:I,"whole economy",Finance!G:G,"n")
+COUNTIFS(Finance!I:I,"whole economy",Finance!G:G,"s/l-UNC")
+COUNTIFS(Finance!I:I,"whole economy",Finance!G:G,"s/l-POS")
+COUNTIFS(Finance!I:I,"whole economy",Finance!G:G,"s/l-NEG")</f>
        <v/>
      </c>
    </row>
    <row r="10" ht="19" customHeight="1" s="235">
      <c r="A10" s="39" t="n"/>
      <c r="B10" s="67" t="inlineStr">
        <is>
          <t>Buildings</t>
        </is>
      </c>
      <c r="C10" s="68">
        <f>COUNTIFS(Buildings!G:G, "n") + COUNTIFS(Buildings!G:G, "s/l-UNC") + COUNTIFS(Buildings!G:G, "s/l-POS") + COUNTIFS(Buildings!G:G, "s/l-NEG")</f>
        <v/>
      </c>
      <c r="D10" s="59" t="n"/>
      <c r="E10" s="69" t="inlineStr">
        <is>
          <t>Fossil fuel reserves</t>
        </is>
      </c>
      <c r="F10" s="70">
        <f>COUNTIFS('Energy|Power'!M:M, "Reserves")</f>
        <v/>
      </c>
      <c r="G10" s="39" t="n"/>
      <c r="H10" s="7" t="n"/>
      <c r="I10" s="78" t="n"/>
      <c r="J10" s="39" t="n"/>
      <c r="K10" s="73" t="n">
        <v>2008</v>
      </c>
      <c r="L10" s="68">
        <f>COUNTIFS('GHG Emissions'!A:A, 2008, 'GHG Emissions'!G:G, "n") +
COUNTIFS('GHG Emissions'!A:A, 2008, 'GHG Emissions'!G:G, "s/l-UNC") +
COUNTIFS('GHG Emissions'!A:A, 2008, 'GHG Emissions'!G:G, "s/l-POS") +
COUNTIFS('GHG Emissions'!A:A, 2008, 'GHG Emissions'!G:G, "s/l-NEG") +
COUNTIFS(Pollution!A:A, 2008, Pollution!G:G, "n") +
COUNTIFS(Pollution!A:A, 2008, Pollution!G:G, "s/l-UNC") +
COUNTIFS(Pollution!A:A, 2008, Pollution!G:G, "s/l-POS") +
COUNTIFS(Pollution!A:A, 2008, Pollution!G:G, "s/l-NEG") +
COUNTIFS('Energy|Power'!A:A, 2008, 'Energy|Power'!G:G, "n") +
COUNTIFS('Energy|Power'!A:A, 2008, 'Energy|Power'!G:G, "s/l-UNC") +
COUNTIFS('Energy|Power'!A:A, 2008, 'Energy|Power'!G:G, "s/l-POS") +
COUNTIFS('Energy|Power'!A:A, 2008, 'Energy|Power'!G:G, "s/l-NEG") +
COUNTIFS(Industry!A:A, 2008, Industry!G:G, "n") +
COUNTIFS(Industry!A:A, 2008, Industry!G:G, "s/l-UNC") +
COUNTIFS(Industry!A:A, 2008, Industry!G:G, "s/l-POS") +
COUNTIFS(Industry!A:A, 2008, Industry!G:G, "s/l-NEG") +
COUNTIFS(Buildings!A:A, 2008, Buildings!G:G, "n") +
COUNTIFS(Buildings!A:A, 2008, Buildings!G:G, "s/l-UNC") +
COUNTIFS(Buildings!A:A, 2008, Buildings!G:G, "s/l-POS") +
COUNTIFS(Buildings!A:A, 2008, Buildings!G:G, "s/l-NEG") +
COUNTIFS(Transport!A:A, 2008, Transport!G:G, "n") +
COUNTIFS(Transport!A:A, 2008, Transport!G:G, "s/l-UNC") +
COUNTIFS(Transport!A:A, 2008, Transport!G:G, "s/l-POS") +
COUNTIFS(Transport!A:A, 2008, Transport!G:G, "s/l-NEG") +
COUNTIFS(LULUCF!A:A, 2008, LULUCF!G:G, "n") +
COUNTIFS(LULUCF!A:A, 2008, LULUCF!G:G, "s/l-UNC") +
COUNTIFS(LULUCF!A:A, 2008, LULUCF!G:G, "s/l-POS") +
COUNTIFS(LULUCF!A:A, 2008, LULUCF!G:G, "s/l-NEG") +
COUNTIFS('Circular Economy'!A:A, 2008, 'Circular Economy'!G:G, "n") +
COUNTIFS('Circular Economy'!A:A, 2008, 'Circular Economy'!G:G, "s/l-UNC") +
COUNTIFS('Circular Economy'!A:A, 2008, 'Circular Economy'!G:G, "s/l-POS") +
COUNTIFS('Circular Economy'!A:A, 2008, 'Circular Economy'!G:G, "s/l-NEG") +
COUNTIFS(Finance!A:A, 2008, Finance!G:G, "n") +
COUNTIFS(Finance!A:A, 2008, Finance!G:G, "s/l-UNC") +
COUNTIFS(Finance!A:A, 2008, Finance!G:G, "s/l-POS") +
COUNTIFS(Finance!A:A, 2008, Finance!G:G, "s/l-NEG")</f>
        <v/>
      </c>
      <c r="M10" s="39" t="n"/>
      <c r="N10" s="73" t="n">
        <v>2011</v>
      </c>
      <c r="O10" s="74">
        <f>COUNTIFS('GHG Emissions'!F:F, 2011, 'GHG Emissions'!G:G, "n") +
COUNTIFS('GHG Emissions'!F:F, 2011, 'GHG Emissions'!G:G, "s/l-UNC") +
COUNTIFS('GHG Emissions'!F:F, 2011, 'GHG Emissions'!G:G, "s/l-POS") +
COUNTIFS('GHG Emissions'!F:F, 2011, 'GHG Emissions'!G:G, "s/l-NEG") +
COUNTIFS(Pollution!F:F, 2011, Pollution!G:G, "n") +
COUNTIFS(Pollution!F:F, 2011, Pollution!G:G, "s/l-UNC") +
COUNTIFS(Pollution!F:F, 2011, Pollution!G:G, "s/l-POS") +
COUNTIFS(Pollution!F:F, 2011, Pollution!G:G, "s/l-NEG") +
COUNTIFS('Energy|Power'!F:F, 2011, 'Energy|Power'!G:G, "n") +
COUNTIFS('Energy|Power'!F:F, 2011, 'Energy|Power'!G:G, "s/l-UNC") +
COUNTIFS('Energy|Power'!F:F, 2011, 'Energy|Power'!G:G, "s/l-POS") +
COUNTIFS('Energy|Power'!F:F, 2011, 'Energy|Power'!G:G, "s/l-NEG") +
COUNTIFS(Industry!F:F, 2011, Industry!G:G, "n") +
COUNTIFS(Industry!F:F, 2011, Industry!G:G, "s/l-UNC") +
COUNTIFS(Industry!F:F, 2011, Industry!G:G, "s/l-POS") +
COUNTIFS(Industry!F:F, 2011, Industry!G:G, "s/l-NEG") +
COUNTIFS(Buildings!F:F, 2011, Buildings!G:G, "n") +
COUNTIFS(Buildings!F:F, 2011, Buildings!G:G, "s/l-UNC") +
COUNTIFS(Buildings!F:F, 2011, Buildings!G:G, "s/l-POS") +
COUNTIFS(Buildings!F:F, 2011, Buildings!G:G, "s/l-NEG") +
COUNTIFS(Transport!F:F, 2011, Transport!G:G, "n") +
COUNTIFS(Transport!F:F, 2011, Transport!G:G, "s/l-UNC") +
COUNTIFS(Transport!F:F, 2011, Transport!G:G, "s/l-POS") +
COUNTIFS(Transport!F:F, 2011, Transport!G:G, "s/l-NEG") +
COUNTIFS(LULUCF!F:F, 2011, LULUCF!G:G, "n") +
COUNTIFS(LULUCF!F:F, 2011, LULUCF!G:G, "s/l-UNC") +
COUNTIFS(LULUCF!F:F, 2011, LULUCF!G:G, "s/l-POS") +
COUNTIFS(LULUCF!F:F, 2011, LULUCF!G:G, "s/l-NEG") +
COUNTIFS('Circular Economy'!F:F, 2011, 'Circular Economy'!G:G, "n") +
COUNTIFS('Circular Economy'!F:F, 2011, 'Circular Economy'!G:G, "s/l-UNC") +
COUNTIFS('Circular Economy'!F:F, 2011, 'Circular Economy'!G:G, "s/l-POS") +
COUNTIFS('Circular Economy'!F:F, 2011, 'Circular Economy'!G:G, "s/l-NEG") +
COUNTIFS(Finance!F:F, 2011, Finance!G:G, "n") +
COUNTIFS(Finance!F:F, 2011, Finance!G:G, "s/l-UNC") +
COUNTIFS(Finance!F:F, 2011, Finance!G:G, "s/l-POS") +
COUNTIFS(Finance!F:F, 2011, Finance!G:G, "s/l-NEG")</f>
        <v/>
      </c>
      <c r="P10" s="39" t="n"/>
      <c r="Q10" s="75" t="inlineStr">
        <is>
          <t>Energy saving</t>
        </is>
      </c>
      <c r="R10" s="74">
        <f>COUNTIFS('GHG Emissions'!H:H, "Energy saving", 'GHG Emissions'!G:G, "n") +
COUNTIFS('GHG Emissions'!H:H, "Energy saving", 'GHG Emissions'!G:G, "s/l-UNC") +
COUNTIFS('GHG Emissions'!H:H, "Energy saving", 'GHG Emissions'!G:G, "s/l-POS") +
COUNTIFS('GHG Emissions'!H:H, "Energy saving", 'GHG Emissions'!G:G, "s/l-NEG") +
COUNTIFS(Pollution!H:H, "Energy saving", Pollution!G:G, "n") +
COUNTIFS(Pollution!H:H, "Energy saving", Pollution!G:G, "s/l-UNC") +
COUNTIFS(Pollution!H:H, "Energy saving", Pollution!G:G, "s/l-POS") +
COUNTIFS(Pollution!H:H, "Energy saving", Pollution!G:G, "s/l-NEG") +
COUNTIFS('Energy|Power'!H:H, "Energy saving", 'Energy|Power'!G:G, "n") +
COUNTIFS('Energy|Power'!H:H, "Energy saving", 'Energy|Power'!G:G, "s/l-UNC") +
COUNTIFS('Energy|Power'!H:H, "Energy saving", 'Energy|Power'!G:G, "s/l-POS") +
COUNTIFS('Energy|Power'!H:H, "Energy saving", 'Energy|Power'!G:G, "s/l-NEG") +
COUNTIFS(Industry!H:H, "Energy saving", Industry!G:G, "n") +
COUNTIFS(Industry!H:H, "Energy saving", Industry!G:G, "s/l-UNC") +
COUNTIFS(Industry!H:H, "Energy saving", Industry!G:G, "s/l-POS") +
COUNTIFS(Industry!H:H, "Energy saving", Industry!G:G, "s/l-NEG") +
COUNTIFS(Buildings!H:H, "Energy saving", Buildings!G:G, "n") +
COUNTIFS(Buildings!H:H, "Energy saving", Buildings!G:G, "s/l-UNC") +
COUNTIFS(Buildings!H:H, "Energy saving", Buildings!G:G, "s/l-POS") +
COUNTIFS(Buildings!H:H, "Energy saving", Buildings!G:G, "s/l-NEG") +
COUNTIFS(Transport!H:H, "Energy saving", Transport!G:G, "n") +
COUNTIFS(Transport!H:H, "Energy saving", Transport!G:G, "s/l-UNC") +
COUNTIFS(Transport!H:H, "Energy saving", Transport!G:G, "s/l-POS") +
COUNTIFS(Transport!H:H, "Energy saving", Transport!G:G, "s/l-NEG") +
COUNTIFS(LULUCF!H:H, "Energy saving", LULUCF!G:G, "n") +
COUNTIFS(LULUCF!H:H, "Energy saving", LULUCF!G:G, "s/l-UNC") +
COUNTIFS(LULUCF!H:H, "Energy saving", LULUCF!G:G, "s/l-POS") +
COUNTIFS(LULUCF!H:H, "Energy saving", LULUCF!G:G, "s/l-NEG") +
COUNTIFS('Circular Economy'!H:H, "Energy saving", 'Circular Economy'!G:G, "n") +
COUNTIFS('Circular Economy'!H:H, "Energy saving", 'Circular Economy'!G:G, "s/l-UNC") +
COUNTIFS('Circular Economy'!H:H, "Energy saving", 'Circular Economy'!G:G, "s/l-POS") +
COUNTIFS('Circular Economy'!H:H, "Energy saving", 'Circular Economy'!G:G, "s/l-NEG") +
COUNTIFS(Finance!H:H, "Energy saving", Finance!G:G, "n") +
COUNTIFS(Finance!H:H, "Energy saving", Finance!G:G, "s/l-UNC") +
COUNTIFS(Finance!H:H, "Energy saving", Finance!G:G, "s/l-POS") +
COUNTIFS(Finance!H:H, "Energy saving", Finance!G:G, "s/l-NEG")</f>
        <v/>
      </c>
      <c r="S10" s="39" t="n"/>
      <c r="T10" s="79" t="inlineStr">
        <is>
          <t>Unclear</t>
        </is>
      </c>
      <c r="U10" s="80">
        <f>COUNTIFS('GHG Emissions'!I:I,"unclear",'GHG Emissions'!G:G,"n")
+COUNTIFS('GHG Emissions'!I:I,"unclear",'GHG Emissions'!G:G,"s/l-UNC")
+COUNTIFS('GHG Emissions'!I:I,"unclear",'GHG Emissions'!G:G,"s/l-POS")
+COUNTIFS('GHG Emissions'!I:I,"unclear",'GHG Emissions'!G:G,"s/l-NEG")
+COUNTIFS(Pollution!I:I,"unclear",Pollution!G:G,"n")
+COUNTIFS(Pollution!I:I,"unclear",Pollution!G:G,"s/l-UNC")
+COUNTIFS(Pollution!I:I,"unclear",Pollution!G:G,"s/l-POS")
+COUNTIFS(Pollution!I:I,"unclear",Pollution!G:G,"s/l-NEG")
+COUNTIFS('Energy|Power'!I:I,"unclear",'Energy|Power'!G:G,"n")
+COUNTIFS('Energy|Power'!I:I,"unclear",'Energy|Power'!G:G,"s/l-UNC")
+COUNTIFS('Energy|Power'!I:I,"unclear",'Energy|Power'!G:G,"s/l-POS")
+COUNTIFS('Energy|Power'!I:I,"unclear",'Energy|Power'!G:G,"s/l-NEG")
+COUNTIFS(Industry!I:I,"unclear",Industry!G:G,"n")
+COUNTIFS(Industry!I:I,"unclear",Industry!G:G,"s/l-UNC")
+COUNTIFS(Industry!I:I,"unclear",Industry!G:G,"s/l-POS")
+COUNTIFS(Industry!I:I,"unclear",Industry!G:G,"s/l-NEG")
+COUNTIFS(Buildings!I:I,"unclear",Buildings!G:G,"n")
+COUNTIFS(Buildings!I:I,"unclear",Buildings!G:G,"s/l-UNC")
+COUNTIFS(Buildings!I:I,"unclear",Buildings!G:G,"s/l-POS")
+COUNTIFS(Buildings!I:I,"unclear",Buildings!G:G,"s/l-NEG")
+COUNTIFS(Transport!I:I,"unclear",Transport!G:G,"n")
+COUNTIFS(Transport!I:I,"unclear",Transport!G:G,"s/l-UNC")
+COUNTIFS(Transport!I:I,"unclear",Transport!G:G,"s/l-POS")
+COUNTIFS(Transport!I:I,"unclear",Transport!G:G,"s/l-NEG")
+COUNTIFS(LULUCF!I:I,"unclear",LULUCF!G:G,"n")
+COUNTIFS(LULUCF!I:I,"unclear",LULUCF!G:G,"s/l-UNC")
+COUNTIFS(LULUCF!I:I,"unclear",LULUCF!G:G,"s/l-POS")
+COUNTIFS(LULUCF!I:I,"unclear",LULUCF!G:G,"s/l-NEG")
+COUNTIFS('Circular Economy'!I:I,"unclear",'Circular Economy'!G:G,"n")
+COUNTIFS('Circular Economy'!I:I,"unclear",'Circular Economy'!G:G,"s/l-UNC")
+COUNTIFS('Circular Economy'!I:I,"unclear",'Circular Economy'!G:G,"s/l-POS")
+COUNTIFS('Circular Economy'!I:I,"unclear",'Circular Economy'!G:G,"s/l-NEG")
+COUNTIFS(Finance!I:I,"unclear",Finance!G:G,"n")
+COUNTIFS(Finance!I:I,"unclear",Finance!G:G,"s/l-UNC")
+COUNTIFS(Finance!I:I,"unclear",Finance!G:G,"s/l-POS")
+COUNTIFS(Finance!I:I,"unclear",Finance!G:G,"s/l-NEG")</f>
        <v/>
      </c>
    </row>
    <row r="11" ht="19" customHeight="1" s="235">
      <c r="A11" s="39" t="n"/>
      <c r="B11" s="67" t="inlineStr">
        <is>
          <t>Transport</t>
        </is>
      </c>
      <c r="C11" s="68">
        <f>COUNTIFS(Transport!G:G, "n") + COUNTIFS(Transport!G:G, "s/l-UNC") + COUNTIFS(Transport!G:G, "s/l-POS") + COUNTIFS(Transport!G:G, "s/l-NEG")</f>
        <v/>
      </c>
      <c r="D11" s="59" t="n"/>
      <c r="E11" s="81" t="inlineStr">
        <is>
          <t>Other</t>
        </is>
      </c>
      <c r="F11" s="80">
        <f>COUNTIFS('Energy|Power'!M:M, "Other")</f>
        <v/>
      </c>
      <c r="G11" s="39" t="n"/>
      <c r="H11" s="7" t="n"/>
      <c r="I11" s="78" t="n"/>
      <c r="J11" s="39" t="n"/>
      <c r="K11" s="73" t="n">
        <v>2009</v>
      </c>
      <c r="L11" s="68">
        <f>COUNTIFS('GHG Emissions'!A:A, 2009, 'GHG Emissions'!G:G, "n") +
COUNTIFS('GHG Emissions'!A:A, 2009, 'GHG Emissions'!G:G, "s/l-UNC") +
COUNTIFS('GHG Emissions'!A:A, 2009, 'GHG Emissions'!G:G, "s/l-POS") +
COUNTIFS('GHG Emissions'!A:A, 2009, 'GHG Emissions'!G:G, "s/l-NEG") +
COUNTIFS(Pollution!A:A, 2009, Pollution!G:G, "n") +
COUNTIFS(Pollution!A:A, 2009, Pollution!G:G, "s/l-UNC") +
COUNTIFS(Pollution!A:A, 2009, Pollution!G:G, "s/l-POS") +
COUNTIFS(Pollution!A:A, 2009, Pollution!G:G, "s/l-NEG") +
COUNTIFS('Energy|Power'!A:A, 2009, 'Energy|Power'!G:G, "n") +
COUNTIFS('Energy|Power'!A:A, 2009, 'Energy|Power'!G:G, "s/l-UNC") +
COUNTIFS('Energy|Power'!A:A, 2009, 'Energy|Power'!G:G, "s/l-POS") +
COUNTIFS('Energy|Power'!A:A, 2009, 'Energy|Power'!G:G, "s/l-NEG") +
COUNTIFS(Industry!A:A, 2009, Industry!G:G, "n") +
COUNTIFS(Industry!A:A, 2009, Industry!G:G, "s/l-UNC") +
COUNTIFS(Industry!A:A, 2009, Industry!G:G, "s/l-POS") +
COUNTIFS(Industry!A:A, 2009, Industry!G:G, "s/l-NEG") +
COUNTIFS(Buildings!A:A, 2009, Buildings!G:G, "n") +
COUNTIFS(Buildings!A:A, 2009, Buildings!G:G, "s/l-UNC") +
COUNTIFS(Buildings!A:A, 2009, Buildings!G:G, "s/l-POS") +
COUNTIFS(Buildings!A:A, 2009, Buildings!G:G, "s/l-NEG") +
COUNTIFS(Transport!A:A, 2009, Transport!G:G, "n") +
COUNTIFS(Transport!A:A, 2009, Transport!G:G, "s/l-UNC") +
COUNTIFS(Transport!A:A, 2009, Transport!G:G, "s/l-POS") +
COUNTIFS(Transport!A:A, 2009, Transport!G:G, "s/l-NEG") +
COUNTIFS(LULUCF!A:A, 2009, LULUCF!G:G, "n") +
COUNTIFS(LULUCF!A:A, 2009, LULUCF!G:G, "s/l-UNC") +
COUNTIFS(LULUCF!A:A, 2009, LULUCF!G:G, "s/l-POS") +
COUNTIFS(LULUCF!A:A, 2009, LULUCF!G:G, "s/l-NEG") +
COUNTIFS('Circular Economy'!A:A, 2009, 'Circular Economy'!G:G, "n") +
COUNTIFS('Circular Economy'!A:A, 2009, 'Circular Economy'!G:G, "s/l-UNC") +
COUNTIFS('Circular Economy'!A:A, 2009, 'Circular Economy'!G:G, "s/l-POS") +
COUNTIFS('Circular Economy'!A:A, 2009, 'Circular Economy'!G:G, "s/l-NEG") +
COUNTIFS(Finance!A:A, 2009, Finance!G:G, "n") +
COUNTIFS(Finance!A:A, 2009, Finance!G:G, "s/l-UNC") +
COUNTIFS(Finance!A:A, 2009, Finance!G:G, "s/l-POS") +
COUNTIFS(Finance!A:A, 2009, Finance!G:G, "s/l-NEG")</f>
        <v/>
      </c>
      <c r="M11" s="39" t="n"/>
      <c r="N11" s="73" t="n">
        <v>2014</v>
      </c>
      <c r="O11" s="74">
        <f>COUNTIFS('GHG Emissions'!F:F, 2014, 'GHG Emissions'!G:G, "n") +
COUNTIFS('GHG Emissions'!F:F, 2014, 'GHG Emissions'!G:G, "s/l-UNC") +
COUNTIFS('GHG Emissions'!F:F, 2014, 'GHG Emissions'!G:G, "s/l-POS") +
COUNTIFS('GHG Emissions'!F:F, 2014, 'GHG Emissions'!G:G, "s/l-NEG") +
COUNTIFS(Pollution!F:F, 2014, Pollution!G:G, "n") +
COUNTIFS(Pollution!F:F, 2014, Pollution!G:G, "s/l-UNC") +
COUNTIFS(Pollution!F:F, 2014, Pollution!G:G, "s/l-POS") +
COUNTIFS(Pollution!F:F, 2014, Pollution!G:G, "s/l-NEG") +
COUNTIFS('Energy|Power'!F:F, 2014, 'Energy|Power'!G:G, "n") +
COUNTIFS('Energy|Power'!F:F, 2014, 'Energy|Power'!G:G, "s/l-UNC") +
COUNTIFS('Energy|Power'!F:F, 2014, 'Energy|Power'!G:G, "s/l-POS") +
COUNTIFS('Energy|Power'!F:F, 2014, 'Energy|Power'!G:G, "s/l-NEG") +
COUNTIFS(Industry!F:F, 2014, Industry!G:G, "n") +
COUNTIFS(Industry!F:F, 2014, Industry!G:G, "s/l-UNC") +
COUNTIFS(Industry!F:F, 2014, Industry!G:G, "s/l-POS") +
COUNTIFS(Industry!F:F, 2014, Industry!G:G, "s/l-NEG") +
COUNTIFS(Buildings!F:F, 2014, Buildings!G:G, "n") +
COUNTIFS(Buildings!F:F, 2014, Buildings!G:G, "s/l-UNC") +
COUNTIFS(Buildings!F:F, 2014, Buildings!G:G, "s/l-POS") +
COUNTIFS(Buildings!F:F, 2014, Buildings!G:G, "s/l-NEG") +
COUNTIFS(Transport!F:F, 2014, Transport!G:G, "n") +
COUNTIFS(Transport!F:F, 2014, Transport!G:G, "s/l-UNC") +
COUNTIFS(Transport!F:F, 2014, Transport!G:G, "s/l-POS") +
COUNTIFS(Transport!F:F, 2014, Transport!G:G, "s/l-NEG") +
COUNTIFS(LULUCF!F:F, 2014, LULUCF!G:G, "n") +
COUNTIFS(LULUCF!F:F, 2014, LULUCF!G:G, "s/l-UNC") +
COUNTIFS(LULUCF!F:F, 2014, LULUCF!G:G, "s/l-POS") +
COUNTIFS(LULUCF!F:F, 2014, LULUCF!G:G, "s/l-NEG") +
COUNTIFS('Circular Economy'!F:F, 2014, 'Circular Economy'!G:G, "n") +
COUNTIFS('Circular Economy'!F:F, 2014, 'Circular Economy'!G:G, "s/l-UNC") +
COUNTIFS('Circular Economy'!F:F, 2014, 'Circular Economy'!G:G, "s/l-POS") +
COUNTIFS('Circular Economy'!F:F, 2014, 'Circular Economy'!G:G, "s/l-NEG") +
COUNTIFS(Finance!F:F, 2014, Finance!G:G, "n") +
COUNTIFS(Finance!F:F, 2014, Finance!G:G, "s/l-UNC") +
COUNTIFS(Finance!F:F, 2014, Finance!G:G, "s/l-POS") +
COUNTIFS(Finance!F:F, 2014, Finance!G:G, "s/l-NEG")</f>
        <v/>
      </c>
      <c r="P11" s="39" t="n"/>
      <c r="Q11" s="75" t="inlineStr">
        <is>
          <t>Energy efficiency</t>
        </is>
      </c>
      <c r="R11" s="74">
        <f>COUNTIFS('GHG Emissions'!H:H, "Energy efficiency", 'GHG Emissions'!G:G, "n") +
COUNTIFS('GHG Emissions'!H:H, "Energy efficiency", 'GHG Emissions'!G:G, "s/l-UNC") +
COUNTIFS('GHG Emissions'!H:H, "Energy efficiency", 'GHG Emissions'!G:G, "s/l-POS") +
COUNTIFS('GHG Emissions'!H:H, "Energy efficiency", 'GHG Emissions'!G:G, "s/l-NEG") +
COUNTIFS(Pollution!H:H, "Energy efficiency", Pollution!G:G, "n") +
COUNTIFS(Pollution!H:H, "Energy efficiency", Pollution!G:G, "s/l-UNC") +
COUNTIFS(Pollution!H:H, "Energy efficiency", Pollution!G:G, "s/l-POS") +
COUNTIFS(Pollution!H:H, "Energy efficiency", Pollution!G:G, "s/l-NEG") +
COUNTIFS('Energy|Power'!H:H, "Energy efficiency", 'Energy|Power'!G:G, "n") +
COUNTIFS('Energy|Power'!H:H, "Energy efficiency", 'Energy|Power'!G:G, "s/l-UNC") +
COUNTIFS('Energy|Power'!H:H, "Energy efficiency", 'Energy|Power'!G:G, "s/l-POS") +
COUNTIFS('Energy|Power'!H:H, "Energy efficiency", 'Energy|Power'!G:G, "s/l-NEG") +
COUNTIFS(Industry!H:H, "Energy efficiency", Industry!G:G, "n") +
COUNTIFS(Industry!H:H, "Energy efficiency", Industry!G:G, "s/l-UNC") +
COUNTIFS(Industry!H:H, "Energy efficiency", Industry!G:G, "s/l-POS") +
COUNTIFS(Industry!H:H, "Energy efficiency", Industry!G:G, "s/l-NEG") +
COUNTIFS(Buildings!H:H, "Energy efficiency", Buildings!G:G, "n") +
COUNTIFS(Buildings!H:H, "Energy efficiency", Buildings!G:G, "s/l-UNC") +
COUNTIFS(Buildings!H:H, "Energy efficiency", Buildings!G:G, "s/l-POS") +
COUNTIFS(Buildings!H:H, "Energy efficiency", Buildings!G:G, "s/l-NEG") +
COUNTIFS(Transport!H:H, "Energy efficiency", Transport!G:G, "n") +
COUNTIFS(Transport!H:H, "Energy efficiency", Transport!G:G, "s/l-UNC") +
COUNTIFS(Transport!H:H, "Energy efficiency", Transport!G:G, "s/l-POS") +
COUNTIFS(Transport!H:H, "Energy efficiency", Transport!G:G, "s/l-NEG") +
COUNTIFS(LULUCF!H:H, "Energy efficiency", LULUCF!G:G, "n") +
COUNTIFS(LULUCF!H:H, "Energy efficiency", LULUCF!G:G, "s/l-UNC") +
COUNTIFS(LULUCF!H:H, "Energy efficiency", LULUCF!G:G, "s/l-POS") +
COUNTIFS(LULUCF!H:H, "Energy efficiency", LULUCF!G:G, "s/l-NEG") +
COUNTIFS('Circular Economy'!H:H, "Energy efficiency", 'Circular Economy'!G:G, "n") +
COUNTIFS('Circular Economy'!H:H, "Energy efficiency", 'Circular Economy'!G:G, "s/l-UNC") +
COUNTIFS('Circular Economy'!H:H, "Energy efficiency", 'Circular Economy'!G:G, "s/l-POS") +
COUNTIFS('Circular Economy'!H:H, "Energy efficiency", 'Circular Economy'!G:G, "s/l-NEG") +
COUNTIFS(Finance!H:H, "Energy efficiency", Finance!G:G, "n") +
COUNTIFS(Finance!H:H, "Energy efficiency", Finance!G:G, "s/l-UNC") +
COUNTIFS(Finance!H:H, "Energy efficiency", Finance!G:G, "s/l-POS") +
COUNTIFS(Finance!H:H, "Energy efficiency", Finance!G:G, "s/l-NEG")</f>
        <v/>
      </c>
    </row>
    <row r="12" ht="19" customHeight="1" s="235">
      <c r="A12" s="39" t="n"/>
      <c r="B12" s="67" t="inlineStr">
        <is>
          <t>LULUCF</t>
        </is>
      </c>
      <c r="C12" s="68">
        <f>COUNTIFS(LULUCF!G:G, "n") + COUNTIFS(LULUCF!G:G, "s/l-UNC") + COUNTIFS(LULUCF!G:G, "s/l-POS") + COUNTIFS(LULUCF!G:G, "s/l-NEG")</f>
        <v/>
      </c>
      <c r="D12" s="59" t="n"/>
      <c r="E12" s="59" t="n"/>
      <c r="F12" s="59" t="n"/>
      <c r="G12" s="39" t="n"/>
      <c r="H12" s="7" t="n"/>
      <c r="I12" s="78" t="n"/>
      <c r="J12" s="39" t="n"/>
      <c r="K12" s="73" t="n">
        <v>2010</v>
      </c>
      <c r="L12" s="74">
        <f>COUNTIFS('GHG Emissions'!A:A, 2010, 'GHG Emissions'!G:G, "n") +
COUNTIFS('GHG Emissions'!A:A, 2010, 'GHG Emissions'!G:G, "s/l-UNC") +
COUNTIFS('GHG Emissions'!A:A, 2010, 'GHG Emissions'!G:G, "s/l-POS") +
COUNTIFS('GHG Emissions'!A:A, 2010, 'GHG Emissions'!G:G, "s/l-NEG") +
COUNTIFS(Pollution!A:A, 2010, Pollution!G:G, "n") +
COUNTIFS(Pollution!A:A, 2010, Pollution!G:G, "s/l-UNC") +
COUNTIFS(Pollution!A:A, 2010, Pollution!G:G, "s/l-POS") +
COUNTIFS(Pollution!A:A, 2010, Pollution!G:G, "s/l-NEG") +
COUNTIFS('Energy|Power'!A:A, 2010, 'Energy|Power'!G:G, "n") +
COUNTIFS('Energy|Power'!A:A, 2010, 'Energy|Power'!G:G, "s/l-UNC") +
COUNTIFS('Energy|Power'!A:A, 2010, 'Energy|Power'!G:G, "s/l-POS") +
COUNTIFS('Energy|Power'!A:A, 2010, 'Energy|Power'!G:G, "s/l-NEG") +
COUNTIFS(Industry!A:A, 2010, Industry!G:G, "n") +
COUNTIFS(Industry!A:A, 2010, Industry!G:G, "s/l-UNC") +
COUNTIFS(Industry!A:A, 2010, Industry!G:G, "s/l-POS") +
COUNTIFS(Industry!A:A, 2010, Industry!G:G, "s/l-NEG") +
COUNTIFS(Buildings!A:A, 2010, Buildings!G:G, "n") +
COUNTIFS(Buildings!A:A, 2010, Buildings!G:G, "s/l-UNC") +
COUNTIFS(Buildings!A:A, 2010, Buildings!G:G, "s/l-POS") +
COUNTIFS(Buildings!A:A, 2010, Buildings!G:G, "s/l-NEG") +
COUNTIFS(Transport!A:A, 2010, Transport!G:G, "n") +
COUNTIFS(Transport!A:A, 2010, Transport!G:G, "s/l-UNC") +
COUNTIFS(Transport!A:A, 2010, Transport!G:G, "s/l-POS") +
COUNTIFS(Transport!A:A, 2010, Transport!G:G, "s/l-NEG") +
COUNTIFS(LULUCF!A:A, 2010, LULUCF!G:G, "n") +
COUNTIFS(LULUCF!A:A, 2010, LULUCF!G:G, "s/l-UNC") +
COUNTIFS(LULUCF!A:A, 2010, LULUCF!G:G, "s/l-POS") +
COUNTIFS(LULUCF!A:A, 2010, LULUCF!G:G, "s/l-NEG") +
COUNTIFS('Circular Economy'!A:A, 2010, 'Circular Economy'!G:G, "n") +
COUNTIFS('Circular Economy'!A:A, 2010, 'Circular Economy'!G:G, "s/l-UNC") +
COUNTIFS('Circular Economy'!A:A, 2010, 'Circular Economy'!G:G, "s/l-POS") +
COUNTIFS('Circular Economy'!A:A, 2010, 'Circular Economy'!G:G, "s/l-NEG") +
COUNTIFS(Finance!A:A, 2010, Finance!G:G, "n") +
COUNTIFS(Finance!A:A, 2010, Finance!G:G, "s/l-UNC") +
COUNTIFS(Finance!A:A, 2010, Finance!G:G, "s/l-POS") +
COUNTIFS(Finance!A:A, 2010, Finance!G:G, "s/l-NEG")</f>
        <v/>
      </c>
      <c r="M12" s="39" t="n"/>
      <c r="N12" s="73" t="n">
        <v>2015</v>
      </c>
      <c r="O12" s="74">
        <f>COUNTIFS('GHG Emissions'!F:F, 2015, 'GHG Emissions'!G:G, "n") +
COUNTIFS('GHG Emissions'!F:F, 2015, 'GHG Emissions'!G:G, "s/l-UNC") +
COUNTIFS('GHG Emissions'!F:F, 2015, 'GHG Emissions'!G:G, "s/l-POS") +
COUNTIFS('GHG Emissions'!F:F, 2015, 'GHG Emissions'!G:G, "s/l-NEG") +
COUNTIFS(Pollution!F:F, 2015, Pollution!G:G, "n") +
COUNTIFS(Pollution!F:F, 2015, Pollution!G:G, "s/l-UNC") +
COUNTIFS(Pollution!F:F, 2015, Pollution!G:G, "s/l-POS") +
COUNTIFS(Pollution!F:F, 2015, Pollution!G:G, "s/l-NEG") +
COUNTIFS('Energy|Power'!F:F, 2015, 'Energy|Power'!G:G, "n") +
COUNTIFS('Energy|Power'!F:F, 2015, 'Energy|Power'!G:G, "s/l-UNC") +
COUNTIFS('Energy|Power'!F:F, 2015, 'Energy|Power'!G:G, "s/l-POS") +
COUNTIFS('Energy|Power'!F:F, 2015, 'Energy|Power'!G:G, "s/l-NEG") +
COUNTIFS(Industry!F:F, 2015, Industry!G:G, "n") +
COUNTIFS(Industry!F:F, 2015, Industry!G:G, "s/l-UNC") +
COUNTIFS(Industry!F:F, 2015, Industry!G:G, "s/l-POS") +
COUNTIFS(Industry!F:F, 2015, Industry!G:G, "s/l-NEG") +
COUNTIFS(Buildings!F:F, 2015, Buildings!G:G, "n") +
COUNTIFS(Buildings!F:F, 2015, Buildings!G:G, "s/l-UNC") +
COUNTIFS(Buildings!F:F, 2015, Buildings!G:G, "s/l-POS") +
COUNTIFS(Buildings!F:F, 2015, Buildings!G:G, "s/l-NEG") +
COUNTIFS(Transport!F:F, 2015, Transport!G:G, "n") +
COUNTIFS(Transport!F:F, 2015, Transport!G:G, "s/l-UNC") +
COUNTIFS(Transport!F:F, 2015, Transport!G:G, "s/l-POS") +
COUNTIFS(Transport!F:F, 2015, Transport!G:G, "s/l-NEG") +
COUNTIFS(LULUCF!F:F, 2015, LULUCF!G:G, "n") +
COUNTIFS(LULUCF!F:F, 2015, LULUCF!G:G, "s/l-UNC") +
COUNTIFS(LULUCF!F:F, 2015, LULUCF!G:G, "s/l-POS") +
COUNTIFS(LULUCF!F:F, 2015, LULUCF!G:G, "s/l-NEG") +
COUNTIFS('Circular Economy'!F:F, 2015, 'Circular Economy'!G:G, "n") +
COUNTIFS('Circular Economy'!F:F, 2015, 'Circular Economy'!G:G, "s/l-UNC") +
COUNTIFS('Circular Economy'!F:F, 2015, 'Circular Economy'!G:G, "s/l-POS") +
COUNTIFS('Circular Economy'!F:F, 2015, 'Circular Economy'!G:G, "s/l-NEG") +
COUNTIFS(Finance!F:F, 2015, Finance!G:G, "n") +
COUNTIFS(Finance!F:F, 2015, Finance!G:G, "s/l-UNC") +
COUNTIFS(Finance!F:F, 2015, Finance!G:G, "s/l-POS") +
COUNTIFS(Finance!F:F, 2015, Finance!G:G, "s/l-NEG")</f>
        <v/>
      </c>
      <c r="P12" s="39" t="n"/>
      <c r="Q12" s="75" t="inlineStr">
        <is>
          <t>Resource efficiency</t>
        </is>
      </c>
      <c r="R12" s="74">
        <f>COUNTIFS('GHG Emissions'!H:H, "Resource efficiency", 'GHG Emissions'!G:G, "n") +
COUNTIFS('GHG Emissions'!H:H, "Resource efficiency", 'GHG Emissions'!G:G, "s/l-UNC") +
COUNTIFS('GHG Emissions'!H:H, "Resource efficiency", 'GHG Emissions'!G:G, "s/l-POS") +
COUNTIFS('GHG Emissions'!H:H, "Resource efficiency", 'GHG Emissions'!G:G, "s/l-NEG") +
COUNTIFS(Pollution!H:H, "Resource efficiency", Pollution!G:G, "n") +
COUNTIFS(Pollution!H:H, "Resource efficiency", Pollution!G:G, "s/l-UNC") +
COUNTIFS(Pollution!H:H, "Resource efficiency", Pollution!G:G, "s/l-POS") +
COUNTIFS(Pollution!H:H, "Resource efficiency", Pollution!G:G, "s/l-NEG") +
COUNTIFS('Energy|Power'!H:H, "Resource efficiency", 'Energy|Power'!G:G, "n") +
COUNTIFS('Energy|Power'!H:H, "Resource efficiency", 'Energy|Power'!G:G, "s/l-UNC") +
COUNTIFS('Energy|Power'!H:H, "Resource efficiency", 'Energy|Power'!G:G, "s/l-POS") +
COUNTIFS('Energy|Power'!H:H, "Resource efficiency", 'Energy|Power'!G:G, "s/l-NEG") +
COUNTIFS(Industry!H:H, "Resource efficiency", Industry!G:G, "n") +
COUNTIFS(Industry!H:H, "Resource efficiency", Industry!G:G, "s/l-UNC") +
COUNTIFS(Industry!H:H, "Resource efficiency", Industry!G:G, "s/l-POS") +
COUNTIFS(Industry!H:H, "Resource efficiency", Industry!G:G, "s/l-NEG") +
COUNTIFS(Buildings!H:H, "Resource efficiency", Buildings!G:G, "n") +
COUNTIFS(Buildings!H:H, "Resource efficiency", Buildings!G:G, "s/l-UNC") +
COUNTIFS(Buildings!H:H, "Resource efficiency", Buildings!G:G, "s/l-POS") +
COUNTIFS(Buildings!H:H, "Resource efficiency", Buildings!G:G, "s/l-NEG") +
COUNTIFS(Transport!H:H, "Resource efficiency", Transport!G:G, "n") +
COUNTIFS(Transport!H:H, "Resource efficiency", Transport!G:G, "s/l-UNC") +
COUNTIFS(Transport!H:H, "Resource efficiency", Transport!G:G, "s/l-POS") +
COUNTIFS(Transport!H:H, "Resource efficiency", Transport!G:G, "s/l-NEG") +
COUNTIFS(LULUCF!H:H, "Resource efficiency", LULUCF!G:G, "n") +
COUNTIFS(LULUCF!H:H, "Resource efficiency", LULUCF!G:G, "s/l-UNC") +
COUNTIFS(LULUCF!H:H, "Resource efficiency", LULUCF!G:G, "s/l-POS") +
COUNTIFS(LULUCF!H:H, "Resource efficiency", LULUCF!G:G, "s/l-NEG") +
COUNTIFS('Circular Economy'!H:H, "Resource efficiency", 'Circular Economy'!G:G, "n") +
COUNTIFS('Circular Economy'!H:H, "Resource efficiency", 'Circular Economy'!G:G, "s/l-UNC") +
COUNTIFS('Circular Economy'!H:H, "Resource efficiency", 'Circular Economy'!G:G, "s/l-POS") +
COUNTIFS('Circular Economy'!H:H, "Resource efficiency", 'Circular Economy'!G:G, "s/l-NEG") +
COUNTIFS(Finance!H:H, "Resource efficiency", Finance!G:G, "n") +
COUNTIFS(Finance!H:H, "Resource efficiency", Finance!G:G, "s/l-UNC") +
COUNTIFS(Finance!H:H, "Resource efficiency", Finance!G:G, "s/l-POS") +
COUNTIFS(Finance!H:H, "Resource efficiency", Finance!G:G, "s/l-NEG")</f>
        <v/>
      </c>
    </row>
    <row r="13" ht="19" customHeight="1" s="235">
      <c r="A13" s="39" t="n"/>
      <c r="B13" s="67" t="inlineStr">
        <is>
          <t>Circular Economy</t>
        </is>
      </c>
      <c r="C13" s="68">
        <f>COUNTIFS('Circular Economy'!G:G, "n") + COUNTIFS('Circular Economy'!G:G, "s/l-UNC") + COUNTIFS('Circular Economy'!G:G, "s/l-POS") + COUNTIFS('Circular Economy'!G:G, "s/l-NEG")</f>
        <v/>
      </c>
      <c r="D13" s="59" t="n"/>
      <c r="E13" s="59" t="n"/>
      <c r="F13" s="59" t="n"/>
      <c r="G13" s="39" t="n"/>
      <c r="H13" s="7" t="n"/>
      <c r="I13" s="78" t="n"/>
      <c r="J13" s="39" t="n"/>
      <c r="K13" s="73" t="n">
        <v>2011</v>
      </c>
      <c r="L13" s="68">
        <f>COUNTIFS('GHG Emissions'!A:A, 2011, 'GHG Emissions'!G:G, "n") +
COUNTIFS('GHG Emissions'!A:A, 2011, 'GHG Emissions'!G:G, "s/l-UNC") +
COUNTIFS('GHG Emissions'!A:A, 2011, 'GHG Emissions'!G:G, "s/l-POS") +
COUNTIFS('GHG Emissions'!A:A, 2011, 'GHG Emissions'!G:G, "s/l-NEG") +
COUNTIFS(Pollution!A:A, 2011, Pollution!G:G, "n") +
COUNTIFS(Pollution!A:A, 2011, Pollution!G:G, "s/l-UNC") +
COUNTIFS(Pollution!A:A, 2011, Pollution!G:G, "s/l-POS") +
COUNTIFS(Pollution!A:A, 2011, Pollution!G:G, "s/l-NEG") +
COUNTIFS('Energy|Power'!A:A, 2011, 'Energy|Power'!G:G, "n") +
COUNTIFS('Energy|Power'!A:A, 2011, 'Energy|Power'!G:G, "s/l-UNC") +
COUNTIFS('Energy|Power'!A:A, 2011, 'Energy|Power'!G:G, "s/l-POS") +
COUNTIFS('Energy|Power'!A:A, 2011, 'Energy|Power'!G:G, "s/l-NEG") +
COUNTIFS(Industry!A:A, 2011, Industry!G:G, "n") +
COUNTIFS(Industry!A:A, 2011, Industry!G:G, "s/l-UNC") +
COUNTIFS(Industry!A:A, 2011, Industry!G:G, "s/l-POS") +
COUNTIFS(Industry!A:A, 2011, Industry!G:G, "s/l-NEG") +
COUNTIFS(Buildings!A:A, 2011, Buildings!G:G, "n") +
COUNTIFS(Buildings!A:A, 2011, Buildings!G:G, "s/l-UNC") +
COUNTIFS(Buildings!A:A, 2011, Buildings!G:G, "s/l-POS") +
COUNTIFS(Buildings!A:A, 2011, Buildings!G:G, "s/l-NEG") +
COUNTIFS(Transport!A:A, 2011, Transport!G:G, "n") +
COUNTIFS(Transport!A:A, 2011, Transport!G:G, "s/l-UNC") +
COUNTIFS(Transport!A:A, 2011, Transport!G:G, "s/l-POS") +
COUNTIFS(Transport!A:A, 2011, Transport!G:G, "s/l-NEG") +
COUNTIFS(LULUCF!A:A, 2011, LULUCF!G:G, "n") +
COUNTIFS(LULUCF!A:A, 2011, LULUCF!G:G, "s/l-UNC") +
COUNTIFS(LULUCF!A:A, 2011, LULUCF!G:G, "s/l-POS") +
COUNTIFS(LULUCF!A:A, 2011, LULUCF!G:G, "s/l-NEG") +
COUNTIFS('Circular Economy'!A:A, 2011, 'Circular Economy'!G:G, "n") +
COUNTIFS('Circular Economy'!A:A, 2011, 'Circular Economy'!G:G, "s/l-UNC") +
COUNTIFS('Circular Economy'!A:A, 2011, 'Circular Economy'!G:G, "s/l-POS") +
COUNTIFS('Circular Economy'!A:A, 2011, 'Circular Economy'!G:G, "s/l-NEG") +
COUNTIFS(Finance!A:A, 2011, Finance!G:G, "n") +
COUNTIFS(Finance!A:A, 2011, Finance!G:G, "s/l-UNC") +
COUNTIFS(Finance!A:A, 2011, Finance!G:G, "s/l-POS") +
COUNTIFS(Finance!A:A, 2011, Finance!G:G, "s/l-NEG")</f>
        <v/>
      </c>
      <c r="M13" s="39" t="n"/>
      <c r="N13" s="73" t="inlineStr">
        <is>
          <t>12th FYP</t>
        </is>
      </c>
      <c r="O13" s="74">
        <f>COUNTIFS('GHG Emissions'!F:F, "12th FYP", 'GHG Emissions'!G:G, "n") +
COUNTIFS('GHG Emissions'!F:F, "12th FYP", 'GHG Emissions'!G:G, "s/l-UNC") +
COUNTIFS('GHG Emissions'!F:F, "12th FYP", 'GHG Emissions'!G:G, "s/l-POS") +
COUNTIFS('GHG Emissions'!F:F, "12th FYP", 'GHG Emissions'!G:G, "s/l-NEG") +
COUNTIFS(Pollution!F:F, "12th FYP", Pollution!G:G, "n") +
COUNTIFS(Pollution!F:F, "12th FYP", Pollution!G:G, "s/l-UNC") +
COUNTIFS(Pollution!F:F, "12th FYP", Pollution!G:G, "s/l-POS") +
COUNTIFS(Pollution!F:F, "12th FYP", Pollution!G:G, "s/l-NEG") +
COUNTIFS('Energy|Power'!F:F, "12th FYP", 'Energy|Power'!G:G, "n") +
COUNTIFS('Energy|Power'!F:F, "12th FYP", 'Energy|Power'!G:G, "s/l-UNC") +
COUNTIFS('Energy|Power'!F:F, "12th FYP", 'Energy|Power'!G:G, "s/l-POS") +
COUNTIFS('Energy|Power'!F:F, "12th FYP", 'Energy|Power'!G:G, "s/l-NEG") +
COUNTIFS(Industry!F:F, "12th FYP", Industry!G:G, "n") +
COUNTIFS(Industry!F:F, "12th FYP", Industry!G:G, "s/l-UNC") +
COUNTIFS(Industry!F:F, "12th FYP", Industry!G:G, "s/l-POS") +
COUNTIFS(Industry!F:F, "12th FYP", Industry!G:G, "s/l-NEG") +
COUNTIFS(Buildings!F:F, "12th FYP", Buildings!G:G, "n") +
COUNTIFS(Buildings!F:F, "12th FYP", Buildings!G:G, "s/l-UNC") +
COUNTIFS(Buildings!F:F, "12th FYP", Buildings!G:G, "s/l-POS") +
COUNTIFS(Buildings!F:F, "12th FYP", Buildings!G:G, "s/l-NEG") +
COUNTIFS(Transport!F:F, "12th FYP", Transport!G:G, "n") +
COUNTIFS(Transport!F:F, "12th FYP", Transport!G:G, "s/l-UNC") +
COUNTIFS(Transport!F:F, "12th FYP", Transport!G:G, "s/l-POS") +
COUNTIFS(Transport!F:F, "12th FYP", Transport!G:G, "s/l-NEG") +
COUNTIFS(LULUCF!F:F, "12th FYP", LULUCF!G:G, "n") +
COUNTIFS(LULUCF!F:F, "12th FYP", LULUCF!G:G, "s/l-UNC") +
COUNTIFS(LULUCF!F:F, "12th FYP", LULUCF!G:G, "s/l-POS") +
COUNTIFS(LULUCF!F:F, "12th FYP", LULUCF!G:G, "s/l-NEG") +
COUNTIFS('Circular Economy'!F:F, "12th FYP", 'Circular Economy'!G:G, "n") +
COUNTIFS('Circular Economy'!F:F, "12th FYP", 'Circular Economy'!G:G, "s/l-UNC") +
COUNTIFS('Circular Economy'!F:F, "12th FYP", 'Circular Economy'!G:G, "s/l-POS") +
COUNTIFS('Circular Economy'!F:F, "12th FYP", 'Circular Economy'!G:G, "s/l-NEG") +
COUNTIFS(Finance!F:F, "12th FYP", Finance!G:G, "n") +
COUNTIFS(Finance!F:F, "12th FYP", Finance!G:G, "s/l-UNC") +
COUNTIFS(Finance!F:F, "12th FYP", Finance!G:G, "s/l-POS") +
COUNTIFS(Finance!F:F, "12th FYP", Finance!G:G, "s/l-NEG")</f>
        <v/>
      </c>
      <c r="P13" s="39" t="n"/>
      <c r="Q13" s="75" t="inlineStr">
        <is>
          <t>Renewable energy</t>
        </is>
      </c>
      <c r="R13" s="74">
        <f>COUNTIFS('GHG Emissions'!H:H, "Renewable energy", 'GHG Emissions'!G:G, "n") +
COUNTIFS('GHG Emissions'!H:H, "Renewable energy", 'GHG Emissions'!G:G, "s/l-UNC") +
COUNTIFS('GHG Emissions'!H:H, "Renewable energy", 'GHG Emissions'!G:G, "s/l-POS") +
COUNTIFS('GHG Emissions'!H:H, "Renewable energy", 'GHG Emissions'!G:G, "s/l-NEG") +
COUNTIFS(Pollution!H:H, "Renewable energy", Pollution!G:G, "n") +
COUNTIFS(Pollution!H:H, "Renewable energy", Pollution!G:G, "s/l-UNC") +
COUNTIFS(Pollution!H:H, "Renewable energy", Pollution!G:G, "s/l-POS") +
COUNTIFS(Pollution!H:H, "Renewable energy", Pollution!G:G, "s/l-NEG") +
COUNTIFS('Energy|Power'!H:H, "Renewable energy", 'Energy|Power'!G:G, "n") +
COUNTIFS('Energy|Power'!H:H, "Renewable energy", 'Energy|Power'!G:G, "s/l-UNC") +
COUNTIFS('Energy|Power'!H:H, "Renewable energy", 'Energy|Power'!G:G, "s/l-POS") +
COUNTIFS('Energy|Power'!H:H, "Renewable energy", 'Energy|Power'!G:G, "s/l-NEG") +
COUNTIFS(Industry!H:H, "Renewable energy", Industry!G:G, "n") +
COUNTIFS(Industry!H:H, "Renewable energy", Industry!G:G, "s/l-UNC") +
COUNTIFS(Industry!H:H, "Renewable energy", Industry!G:G, "s/l-POS") +
COUNTIFS(Industry!H:H, "Renewable energy", Industry!G:G, "s/l-NEG") +
COUNTIFS(Buildings!H:H, "Renewable energy", Buildings!G:G, "n") +
COUNTIFS(Buildings!H:H, "Renewable energy", Buildings!G:G, "s/l-UNC") +
COUNTIFS(Buildings!H:H, "Renewable energy", Buildings!G:G, "s/l-POS") +
COUNTIFS(Buildings!H:H, "Renewable energy", Buildings!G:G, "s/l-NEG") +
COUNTIFS(Transport!H:H, "Renewable energy", Transport!G:G, "n") +
COUNTIFS(Transport!H:H, "Renewable energy", Transport!G:G, "s/l-UNC") +
COUNTIFS(Transport!H:H, "Renewable energy", Transport!G:G, "s/l-POS") +
COUNTIFS(Transport!H:H, "Renewable energy", Transport!G:G, "s/l-NEG") +
COUNTIFS(LULUCF!H:H, "Renewable energy", LULUCF!G:G, "n") +
COUNTIFS(LULUCF!H:H, "Renewable energy", LULUCF!G:G, "s/l-UNC") +
COUNTIFS(LULUCF!H:H, "Renewable energy", LULUCF!G:G, "s/l-POS") +
COUNTIFS(LULUCF!H:H, "Renewable energy", LULUCF!G:G, "s/l-NEG") +
COUNTIFS('Circular Economy'!H:H, "Renewable energy", 'Circular Economy'!G:G, "n") +
COUNTIFS('Circular Economy'!H:H, "Renewable energy", 'Circular Economy'!G:G, "s/l-UNC") +
COUNTIFS('Circular Economy'!H:H, "Renewable energy", 'Circular Economy'!G:G, "s/l-POS") +
COUNTIFS('Circular Economy'!H:H, "Renewable energy", 'Circular Economy'!G:G, "s/l-NEG") +
COUNTIFS(Finance!H:H, "Renewable energy", Finance!G:G, "n") +
COUNTIFS(Finance!H:H, "Renewable energy", Finance!G:G, "s/l-UNC") +
COUNTIFS(Finance!H:H, "Renewable energy", Finance!G:G, "s/l-POS") +
COUNTIFS(Finance!H:H, "Renewable energy", Finance!G:G, "s/l-NEG")</f>
        <v/>
      </c>
    </row>
    <row r="14" ht="19" customHeight="1" s="235">
      <c r="A14" s="39" t="n"/>
      <c r="B14" s="76" t="inlineStr">
        <is>
          <t>Finance</t>
        </is>
      </c>
      <c r="C14" s="68">
        <f>COUNTIFS(Finance!G:G, "n") + COUNTIFS(Finance!G:G, "s/l-UNC") + COUNTIFS(Finance!G:G, "s/l-POS") + COUNTIFS(Finance!G:G, "s/l-NEG")</f>
        <v/>
      </c>
      <c r="D14" s="59" t="n"/>
      <c r="E14" s="59" t="n"/>
      <c r="F14" s="59" t="n"/>
      <c r="G14" s="39" t="n"/>
      <c r="H14" s="7" t="n"/>
      <c r="I14" s="78" t="n"/>
      <c r="J14" s="39" t="n"/>
      <c r="K14" s="73" t="n">
        <v>2012</v>
      </c>
      <c r="L14" s="68">
        <f>COUNTIFS('GHG Emissions'!A:A, 2012, 'GHG Emissions'!G:G, "n") +
COUNTIFS('GHG Emissions'!A:A, 2012, 'GHG Emissions'!G:G, "s/l-UNC") +
COUNTIFS('GHG Emissions'!A:A, 2012, 'GHG Emissions'!G:G, "s/l-POS") +
COUNTIFS('GHG Emissions'!A:A, 2012, 'GHG Emissions'!G:G, "s/l-NEG") +
COUNTIFS(Pollution!A:A, 2012, Pollution!G:G, "n") +
COUNTIFS(Pollution!A:A, 2012, Pollution!G:G, "s/l-UNC") +
COUNTIFS(Pollution!A:A, 2012, Pollution!G:G, "s/l-POS") +
COUNTIFS(Pollution!A:A, 2012, Pollution!G:G, "s/l-NEG") +
COUNTIFS('Energy|Power'!A:A, 2012, 'Energy|Power'!G:G, "n") +
COUNTIFS('Energy|Power'!A:A, 2012, 'Energy|Power'!G:G, "s/l-UNC") +
COUNTIFS('Energy|Power'!A:A, 2012, 'Energy|Power'!G:G, "s/l-POS") +
COUNTIFS('Energy|Power'!A:A, 2012, 'Energy|Power'!G:G, "s/l-NEG") +
COUNTIFS(Industry!A:A, 2012, Industry!G:G, "n") +
COUNTIFS(Industry!A:A, 2012, Industry!G:G, "s/l-UNC") +
COUNTIFS(Industry!A:A, 2012, Industry!G:G, "s/l-POS") +
COUNTIFS(Industry!A:A, 2012, Industry!G:G, "s/l-NEG") +
COUNTIFS(Buildings!A:A, 2012, Buildings!G:G, "n") +
COUNTIFS(Buildings!A:A, 2012, Buildings!G:G, "s/l-UNC") +
COUNTIFS(Buildings!A:A, 2012, Buildings!G:G, "s/l-POS") +
COUNTIFS(Buildings!A:A, 2012, Buildings!G:G, "s/l-NEG") +
COUNTIFS(Transport!A:A, 2012, Transport!G:G, "n") +
COUNTIFS(Transport!A:A, 2012, Transport!G:G, "s/l-UNC") +
COUNTIFS(Transport!A:A, 2012, Transport!G:G, "s/l-POS") +
COUNTIFS(Transport!A:A, 2012, Transport!G:G, "s/l-NEG") +
COUNTIFS(LULUCF!A:A, 2012, LULUCF!G:G, "n") +
COUNTIFS(LULUCF!A:A, 2012, LULUCF!G:G, "s/l-UNC") +
COUNTIFS(LULUCF!A:A, 2012, LULUCF!G:G, "s/l-POS") +
COUNTIFS(LULUCF!A:A, 2012, LULUCF!G:G, "s/l-NEG") +
COUNTIFS('Circular Economy'!A:A, 2012, 'Circular Economy'!G:G, "n") +
COUNTIFS('Circular Economy'!A:A, 2012, 'Circular Economy'!G:G, "s/l-UNC") +
COUNTIFS('Circular Economy'!A:A, 2012, 'Circular Economy'!G:G, "s/l-POS") +
COUNTIFS('Circular Economy'!A:A, 2012, 'Circular Economy'!G:G, "s/l-NEG") +
COUNTIFS(Finance!A:A, 2012, Finance!G:G, "n") +
COUNTIFS(Finance!A:A, 2012, Finance!G:G, "s/l-UNC") +
COUNTIFS(Finance!A:A, 2012, Finance!G:G, "s/l-POS") +
COUNTIFS(Finance!A:A, 2012, Finance!G:G, "s/l-NEG")</f>
        <v/>
      </c>
      <c r="M14" s="39" t="n"/>
      <c r="N14" s="73" t="n">
        <v>2016</v>
      </c>
      <c r="O14" s="74">
        <f>COUNTIFS('GHG Emissions'!F:F, 2016, 'GHG Emissions'!G:G, "n") +
COUNTIFS('GHG Emissions'!F:F, 2016, 'GHG Emissions'!G:G, "s/l-UNC") +
COUNTIFS('GHG Emissions'!F:F, 2016, 'GHG Emissions'!G:G, "s/l-POS") +
COUNTIFS('GHG Emissions'!F:F, 2016, 'GHG Emissions'!G:G, "s/l-NEG") +
COUNTIFS(Pollution!F:F, 2016, Pollution!G:G, "n") +
COUNTIFS(Pollution!F:F, 2016, Pollution!G:G, "s/l-UNC") +
COUNTIFS(Pollution!F:F, 2016, Pollution!G:G, "s/l-POS") +
COUNTIFS(Pollution!F:F, 2016, Pollution!G:G, "s/l-NEG") +
COUNTIFS('Energy|Power'!F:F, 2016, 'Energy|Power'!G:G, "n") +
COUNTIFS('Energy|Power'!F:F, 2016, 'Energy|Power'!G:G, "s/l-UNC") +
COUNTIFS('Energy|Power'!F:F, 2016, 'Energy|Power'!G:G, "s/l-POS") +
COUNTIFS('Energy|Power'!F:F, 2016, 'Energy|Power'!G:G, "s/l-NEG") +
COUNTIFS(Industry!F:F, 2016, Industry!G:G, "n") +
COUNTIFS(Industry!F:F, 2016, Industry!G:G, "s/l-UNC") +
COUNTIFS(Industry!F:F, 2016, Industry!G:G, "s/l-POS") +
COUNTIFS(Industry!F:F, 2016, Industry!G:G, "s/l-NEG") +
COUNTIFS(Buildings!F:F, 2016, Buildings!G:G, "n") +
COUNTIFS(Buildings!F:F, 2016, Buildings!G:G, "s/l-UNC") +
COUNTIFS(Buildings!F:F, 2016, Buildings!G:G, "s/l-POS") +
COUNTIFS(Buildings!F:F, 2016, Buildings!G:G, "s/l-NEG") +
COUNTIFS(Transport!F:F, 2016, Transport!G:G, "n") +
COUNTIFS(Transport!F:F, 2016, Transport!G:G, "s/l-UNC") +
COUNTIFS(Transport!F:F, 2016, Transport!G:G, "s/l-POS") +
COUNTIFS(Transport!F:F, 2016, Transport!G:G, "s/l-NEG") +
COUNTIFS(LULUCF!F:F, 2016, LULUCF!G:G, "n") +
COUNTIFS(LULUCF!F:F, 2016, LULUCF!G:G, "s/l-UNC") +
COUNTIFS(LULUCF!F:F, 2016, LULUCF!G:G, "s/l-POS") +
COUNTIFS(LULUCF!F:F, 2016, LULUCF!G:G, "s/l-NEG") +
COUNTIFS('Circular Economy'!F:F, 2016, 'Circular Economy'!G:G, "n") +
COUNTIFS('Circular Economy'!F:F, 2016, 'Circular Economy'!G:G, "s/l-UNC") +
COUNTIFS('Circular Economy'!F:F, 2016, 'Circular Economy'!G:G, "s/l-POS") +
COUNTIFS('Circular Economy'!F:F, 2016, 'Circular Economy'!G:G, "s/l-NEG") +
COUNTIFS(Finance!F:F, 2016, Finance!G:G, "n") +
COUNTIFS(Finance!F:F, 2016, Finance!G:G, "s/l-UNC") +
COUNTIFS(Finance!F:F, 2016, Finance!G:G, "s/l-POS") +
COUNTIFS(Finance!F:F, 2016, Finance!G:G, "s/l-NEG")</f>
        <v/>
      </c>
      <c r="P14" s="39" t="n"/>
      <c r="Q14" s="75" t="inlineStr">
        <is>
          <t>Transitional energy</t>
        </is>
      </c>
      <c r="R14" s="74">
        <f>COUNTIFS('GHG Emissions'!H:H, "Transitional energy", 'GHG Emissions'!G:G, "n") +
COUNTIFS('GHG Emissions'!H:H, "Transitional energy", 'GHG Emissions'!G:G, "s/l-UNC") +
COUNTIFS('GHG Emissions'!H:H, "Transitional energy", 'GHG Emissions'!G:G, "s/l-POS") +
COUNTIFS('GHG Emissions'!H:H, "Transitional energy", 'GHG Emissions'!G:G, "s/l-NEG") +
COUNTIFS(Pollution!H:H, "Transitional energy", Pollution!G:G, "n") +
COUNTIFS(Pollution!H:H, "Transitional energy", Pollution!G:G, "s/l-UNC") +
COUNTIFS(Pollution!H:H, "Transitional energy", Pollution!G:G, "s/l-POS") +
COUNTIFS(Pollution!H:H, "Transitional energy", Pollution!G:G, "s/l-NEG") +
COUNTIFS('Energy|Power'!H:H, "Transitional energy", 'Energy|Power'!G:G, "n") +
COUNTIFS('Energy|Power'!H:H, "Transitional energy", 'Energy|Power'!G:G, "s/l-UNC") +
COUNTIFS('Energy|Power'!H:H, "Transitional energy", 'Energy|Power'!G:G, "s/l-POS") +
COUNTIFS('Energy|Power'!H:H, "Transitional energy", 'Energy|Power'!G:G, "s/l-NEG") +
COUNTIFS(Industry!H:H, "Transitional energy", Industry!G:G, "n") +
COUNTIFS(Industry!H:H, "Transitional energy", Industry!G:G, "s/l-UNC") +
COUNTIFS(Industry!H:H, "Transitional energy", Industry!G:G, "s/l-POS") +
COUNTIFS(Industry!H:H, "Transitional energy", Industry!G:G, "s/l-NEG") +
COUNTIFS(Buildings!H:H, "Transitional energy", Buildings!G:G, "n") +
COUNTIFS(Buildings!H:H, "Transitional energy", Buildings!G:G, "s/l-UNC") +
COUNTIFS(Buildings!H:H, "Transitional energy", Buildings!G:G, "s/l-POS") +
COUNTIFS(Buildings!H:H, "Transitional energy", Buildings!G:G, "s/l-NEG") +
COUNTIFS(Transport!H:H, "Transitional energy", Transport!G:G, "n") +
COUNTIFS(Transport!H:H, "Transitional energy", Transport!G:G, "s/l-UNC") +
COUNTIFS(Transport!H:H, "Transitional energy", Transport!G:G, "s/l-POS") +
COUNTIFS(Transport!H:H, "Transitional energy", Transport!G:G, "s/l-NEG") +
COUNTIFS(LULUCF!H:H, "Transitional energy", LULUCF!G:G, "n") +
COUNTIFS(LULUCF!H:H, "Transitional energy", LULUCF!G:G, "s/l-UNC") +
COUNTIFS(LULUCF!H:H, "Transitional energy", LULUCF!G:G, "s/l-POS") +
COUNTIFS(LULUCF!H:H, "Transitional energy", LULUCF!G:G, "s/l-NEG") +
COUNTIFS('Circular Economy'!H:H, "Transitional energy", 'Circular Economy'!G:G, "n") +
COUNTIFS('Circular Economy'!H:H, "Transitional energy", 'Circular Economy'!G:G, "s/l-UNC") +
COUNTIFS('Circular Economy'!H:H, "Transitional energy", 'Circular Economy'!G:G, "s/l-POS") +
COUNTIFS('Circular Economy'!H:H, "Transitional energy", 'Circular Economy'!G:G, "s/l-NEG") +
COUNTIFS(Finance!H:H, "Transitional energy", Finance!G:G, "n") +
COUNTIFS(Finance!H:H, "Transitional energy", Finance!G:G, "s/l-UNC") +
COUNTIFS(Finance!H:H, "Transitional energy", Finance!G:G, "s/l-POS") +
COUNTIFS(Finance!H:H, "Transitional energy", Finance!G:G, "s/l-NEG")</f>
        <v/>
      </c>
    </row>
    <row r="15" ht="19" customHeight="1" s="235">
      <c r="A15" s="39" t="n"/>
      <c r="B15" s="82" t="inlineStr">
        <is>
          <t>Total</t>
        </is>
      </c>
      <c r="C15" s="83">
        <f>SUM(C6:C14)</f>
        <v/>
      </c>
      <c r="D15" s="84" t="n"/>
      <c r="E15" s="85" t="n"/>
      <c r="F15" s="84" t="n"/>
      <c r="G15" s="39" t="n"/>
      <c r="H15" s="7" t="n"/>
      <c r="I15" s="78" t="n"/>
      <c r="J15" s="39" t="n"/>
      <c r="K15" s="73" t="n">
        <v>2013</v>
      </c>
      <c r="L15" s="68">
        <f>COUNTIFS('GHG Emissions'!A:A, 2013, 'GHG Emissions'!G:G, "n") +
COUNTIFS('GHG Emissions'!A:A, 2013, 'GHG Emissions'!G:G, "s/l-UNC") +
COUNTIFS('GHG Emissions'!A:A, 2013, 'GHG Emissions'!G:G, "s/l-POS") +
COUNTIFS('GHG Emissions'!A:A, 2013, 'GHG Emissions'!G:G, "s/l-NEG") +
COUNTIFS(Pollution!A:A, 2013, Pollution!G:G, "n") +
COUNTIFS(Pollution!A:A, 2013, Pollution!G:G, "s/l-UNC") +
COUNTIFS(Pollution!A:A, 2013, Pollution!G:G, "s/l-POS") +
COUNTIFS(Pollution!A:A, 2013, Pollution!G:G, "s/l-NEG") +
COUNTIFS('Energy|Power'!A:A, 2013, 'Energy|Power'!G:G, "n") +
COUNTIFS('Energy|Power'!A:A, 2013, 'Energy|Power'!G:G, "s/l-UNC") +
COUNTIFS('Energy|Power'!A:A, 2013, 'Energy|Power'!G:G, "s/l-POS") +
COUNTIFS('Energy|Power'!A:A, 2013, 'Energy|Power'!G:G, "s/l-NEG") +
COUNTIFS(Industry!A:A, 2013, Industry!G:G, "n") +
COUNTIFS(Industry!A:A, 2013, Industry!G:G, "s/l-UNC") +
COUNTIFS(Industry!A:A, 2013, Industry!G:G, "s/l-POS") +
COUNTIFS(Industry!A:A, 2013, Industry!G:G, "s/l-NEG") +
COUNTIFS(Buildings!A:A, 2013, Buildings!G:G, "n") +
COUNTIFS(Buildings!A:A, 2013, Buildings!G:G, "s/l-UNC") +
COUNTIFS(Buildings!A:A, 2013, Buildings!G:G, "s/l-POS") +
COUNTIFS(Buildings!A:A, 2013, Buildings!G:G, "s/l-NEG") +
COUNTIFS(Transport!A:A, 2013, Transport!G:G, "n") +
COUNTIFS(Transport!A:A, 2013, Transport!G:G, "s/l-UNC") +
COUNTIFS(Transport!A:A, 2013, Transport!G:G, "s/l-POS") +
COUNTIFS(Transport!A:A, 2013, Transport!G:G, "s/l-NEG") +
COUNTIFS(LULUCF!A:A, 2013, LULUCF!G:G, "n") +
COUNTIFS(LULUCF!A:A, 2013, LULUCF!G:G, "s/l-UNC") +
COUNTIFS(LULUCF!A:A, 2013, LULUCF!G:G, "s/l-POS") +
COUNTIFS(LULUCF!A:A, 2013, LULUCF!G:G, "s/l-NEG") +
COUNTIFS('Circular Economy'!A:A, 2013, 'Circular Economy'!G:G, "n") +
COUNTIFS('Circular Economy'!A:A, 2013, 'Circular Economy'!G:G, "s/l-UNC") +
COUNTIFS('Circular Economy'!A:A, 2013, 'Circular Economy'!G:G, "s/l-POS") +
COUNTIFS('Circular Economy'!A:A, 2013, 'Circular Economy'!G:G, "s/l-NEG") +
COUNTIFS(Finance!A:A, 2013, Finance!G:G, "n") +
COUNTIFS(Finance!A:A, 2013, Finance!G:G, "s/l-UNC") +
COUNTIFS(Finance!A:A, 2013, Finance!G:G, "s/l-POS") +
COUNTIFS(Finance!A:A, 2013, Finance!G:G, "s/l-NEG")</f>
        <v/>
      </c>
      <c r="M15" s="39" t="n"/>
      <c r="N15" s="73" t="n">
        <v>2017</v>
      </c>
      <c r="O15" s="74">
        <f>COUNTIFS('GHG Emissions'!F:F, 2017, 'GHG Emissions'!G:G, "n") +
COUNTIFS('GHG Emissions'!F:F, 2017, 'GHG Emissions'!G:G, "s/l-UNC") +
COUNTIFS('GHG Emissions'!F:F, 2017, 'GHG Emissions'!G:G, "s/l-POS") +
COUNTIFS('GHG Emissions'!F:F, 2017, 'GHG Emissions'!G:G, "s/l-NEG") +
COUNTIFS(Pollution!F:F, 2017, Pollution!G:G, "n") +
COUNTIFS(Pollution!F:F, 2017, Pollution!G:G, "s/l-UNC") +
COUNTIFS(Pollution!F:F, 2017, Pollution!G:G, "s/l-POS") +
COUNTIFS(Pollution!F:F, 2017, Pollution!G:G, "s/l-NEG") +
COUNTIFS('Energy|Power'!F:F, 2017, 'Energy|Power'!G:G, "n") +
COUNTIFS('Energy|Power'!F:F, 2017, 'Energy|Power'!G:G, "s/l-UNC") +
COUNTIFS('Energy|Power'!F:F, 2017, 'Energy|Power'!G:G, "s/l-POS") +
COUNTIFS('Energy|Power'!F:F, 2017, 'Energy|Power'!G:G, "s/l-NEG") +
COUNTIFS(Industry!F:F, 2017, Industry!G:G, "n") +
COUNTIFS(Industry!F:F, 2017, Industry!G:G, "s/l-UNC") +
COUNTIFS(Industry!F:F, 2017, Industry!G:G, "s/l-POS") +
COUNTIFS(Industry!F:F, 2017, Industry!G:G, "s/l-NEG") +
COUNTIFS(Buildings!F:F, 2017, Buildings!G:G, "n") +
COUNTIFS(Buildings!F:F, 2017, Buildings!G:G, "s/l-UNC") +
COUNTIFS(Buildings!F:F, 2017, Buildings!G:G, "s/l-POS") +
COUNTIFS(Buildings!F:F, 2017, Buildings!G:G, "s/l-NEG") +
COUNTIFS(Transport!F:F, 2017, Transport!G:G, "n") +
COUNTIFS(Transport!F:F, 2017, Transport!G:G, "s/l-UNC") +
COUNTIFS(Transport!F:F, 2017, Transport!G:G, "s/l-POS") +
COUNTIFS(Transport!F:F, 2017, Transport!G:G, "s/l-NEG") +
COUNTIFS(LULUCF!F:F, 2017, LULUCF!G:G, "n") +
COUNTIFS(LULUCF!F:F, 2017, LULUCF!G:G, "s/l-UNC") +
COUNTIFS(LULUCF!F:F, 2017, LULUCF!G:G, "s/l-POS") +
COUNTIFS(LULUCF!F:F, 2017, LULUCF!G:G, "s/l-NEG") +
COUNTIFS('Circular Economy'!F:F, 2017, 'Circular Economy'!G:G, "n") +
COUNTIFS('Circular Economy'!F:F, 2017, 'Circular Economy'!G:G, "s/l-UNC") +
COUNTIFS('Circular Economy'!F:F, 2017, 'Circular Economy'!G:G, "s/l-POS") +
COUNTIFS('Circular Economy'!F:F, 2017, 'Circular Economy'!G:G, "s/l-NEG") +
COUNTIFS(Finance!F:F, 2017, Finance!G:G, "n") +
COUNTIFS(Finance!F:F, 2017, Finance!G:G, "s/l-UNC") +
COUNTIFS(Finance!F:F, 2017, Finance!G:G, "s/l-POS") +
COUNTIFS(Finance!F:F, 2017, Finance!G:G, "s/l-NEG")</f>
        <v/>
      </c>
      <c r="P15" s="39" t="n"/>
      <c r="Q15" s="75" t="inlineStr">
        <is>
          <t>Electrification</t>
        </is>
      </c>
      <c r="R15" s="74">
        <f>COUNTIFS('GHG Emissions'!H:H, "Electrification", 'GHG Emissions'!G:G, "n") +
COUNTIFS('GHG Emissions'!H:H, "Electrification", 'GHG Emissions'!G:G, "s/l-UNC") +
COUNTIFS('GHG Emissions'!H:H, "Electrification", 'GHG Emissions'!G:G, "s/l-POS") +
COUNTIFS('GHG Emissions'!H:H, "Electrification", 'GHG Emissions'!G:G, "s/l-NEG") +
COUNTIFS(Pollution!H:H, "Electrification", Pollution!G:G, "n") +
COUNTIFS(Pollution!H:H, "Electrification", Pollution!G:G, "s/l-UNC") +
COUNTIFS(Pollution!H:H, "Electrification", Pollution!G:G, "s/l-POS") +
COUNTIFS(Pollution!H:H, "Electrification", Pollution!G:G, "s/l-NEG") +
COUNTIFS('Energy|Power'!H:H, "Electrification", 'Energy|Power'!G:G, "n") +
COUNTIFS('Energy|Power'!H:H, "Electrification", 'Energy|Power'!G:G, "s/l-UNC") +
COUNTIFS('Energy|Power'!H:H, "Electrification", 'Energy|Power'!G:G, "s/l-POS") +
COUNTIFS('Energy|Power'!H:H, "Electrification", 'Energy|Power'!G:G, "s/l-NEG") +
COUNTIFS(Industry!H:H, "Electrification", Industry!G:G, "n") +
COUNTIFS(Industry!H:H, "Electrification", Industry!G:G, "s/l-UNC") +
COUNTIFS(Industry!H:H, "Electrification", Industry!G:G, "s/l-POS") +
COUNTIFS(Industry!H:H, "Electrification", Industry!G:G, "s/l-NEG") +
COUNTIFS(Buildings!H:H, "Electrification", Buildings!G:G, "n") +
COUNTIFS(Buildings!H:H, "Electrification", Buildings!G:G, "s/l-UNC") +
COUNTIFS(Buildings!H:H, "Electrification", Buildings!G:G, "s/l-POS") +
COUNTIFS(Buildings!H:H, "Electrification", Buildings!G:G, "s/l-NEG") +
COUNTIFS(Transport!H:H, "Electrification", Transport!G:G, "n") +
COUNTIFS(Transport!H:H, "Electrification", Transport!G:G, "s/l-UNC") +
COUNTIFS(Transport!H:H, "Electrification", Transport!G:G, "s/l-POS") +
COUNTIFS(Transport!H:H, "Electrification", Transport!G:G, "s/l-NEG") +
COUNTIFS(LULUCF!H:H, "Electrification", LULUCF!G:G, "n") +
COUNTIFS(LULUCF!H:H, "Electrification", LULUCF!G:G, "s/l-UNC") +
COUNTIFS(LULUCF!H:H, "Electrification", LULUCF!G:G, "s/l-POS") +
COUNTIFS(LULUCF!H:H, "Electrification", LULUCF!G:G, "s/l-NEG") +
COUNTIFS('Circular Economy'!H:H, "Electrification", 'Circular Economy'!G:G, "n") +
COUNTIFS('Circular Economy'!H:H, "Electrification", 'Circular Economy'!G:G, "s/l-UNC") +
COUNTIFS('Circular Economy'!H:H, "Electrification", 'Circular Economy'!G:G, "s/l-POS") +
COUNTIFS('Circular Economy'!H:H, "Electrification", 'Circular Economy'!G:G, "s/l-NEG") +
COUNTIFS(Finance!H:H, "Electrification", Finance!G:G, "n") +
COUNTIFS(Finance!H:H, "Electrification", Finance!G:G, "s/l-UNC") +
COUNTIFS(Finance!H:H, "Electrification", Finance!G:G, "s/l-POS") +
COUNTIFS(Finance!H:H, "Electrification", Finance!G:G, "s/l-NEG")</f>
        <v/>
      </c>
    </row>
    <row r="16" ht="19" customHeight="1" s="235">
      <c r="A16" s="39" t="n"/>
      <c r="B16" s="39" t="n"/>
      <c r="C16" s="86" t="n"/>
      <c r="D16" s="86" t="n"/>
      <c r="E16" s="86" t="n"/>
      <c r="F16" s="86" t="n"/>
      <c r="G16" s="39" t="n"/>
      <c r="H16" s="7" t="n"/>
      <c r="I16" s="78" t="n"/>
      <c r="J16" s="39" t="n"/>
      <c r="K16" s="73" t="n">
        <v>2014</v>
      </c>
      <c r="L16" s="68">
        <f>COUNTIFS('GHG Emissions'!A:A, 2014, 'GHG Emissions'!G:G, "n") +
COUNTIFS('GHG Emissions'!A:A, 2014, 'GHG Emissions'!G:G, "s/l-UNC") +
COUNTIFS('GHG Emissions'!A:A, 2014, 'GHG Emissions'!G:G, "s/l-POS") +
COUNTIFS('GHG Emissions'!A:A, 2014, 'GHG Emissions'!G:G, "s/l-NEG") +
COUNTIFS(Pollution!A:A, 2014, Pollution!G:G, "n") +
COUNTIFS(Pollution!A:A, 2014, Pollution!G:G, "s/l-UNC") +
COUNTIFS(Pollution!A:A, 2014, Pollution!G:G, "s/l-POS") +
COUNTIFS(Pollution!A:A, 2014, Pollution!G:G, "s/l-NEG") +
COUNTIFS('Energy|Power'!A:A, 2014, 'Energy|Power'!G:G, "n") +
COUNTIFS('Energy|Power'!A:A, 2014, 'Energy|Power'!G:G, "s/l-UNC") +
COUNTIFS('Energy|Power'!A:A, 2014, 'Energy|Power'!G:G, "s/l-POS") +
COUNTIFS('Energy|Power'!A:A, 2014, 'Energy|Power'!G:G, "s/l-NEG") +
COUNTIFS(Industry!A:A, 2014, Industry!G:G, "n") +
COUNTIFS(Industry!A:A, 2014, Industry!G:G, "s/l-UNC") +
COUNTIFS(Industry!A:A, 2014, Industry!G:G, "s/l-POS") +
COUNTIFS(Industry!A:A, 2014, Industry!G:G, "s/l-NEG") +
COUNTIFS(Buildings!A:A, 2014, Buildings!G:G, "n") +
COUNTIFS(Buildings!A:A, 2014, Buildings!G:G, "s/l-UNC") +
COUNTIFS(Buildings!A:A, 2014, Buildings!G:G, "s/l-POS") +
COUNTIFS(Buildings!A:A, 2014, Buildings!G:G, "s/l-NEG") +
COUNTIFS(Transport!A:A, 2014, Transport!G:G, "n") +
COUNTIFS(Transport!A:A, 2014, Transport!G:G, "s/l-UNC") +
COUNTIFS(Transport!A:A, 2014, Transport!G:G, "s/l-POS") +
COUNTIFS(Transport!A:A, 2014, Transport!G:G, "s/l-NEG") +
COUNTIFS(LULUCF!A:A, 2014, LULUCF!G:G, "n") +
COUNTIFS(LULUCF!A:A, 2014, LULUCF!G:G, "s/l-UNC") +
COUNTIFS(LULUCF!A:A, 2014, LULUCF!G:G, "s/l-POS") +
COUNTIFS(LULUCF!A:A, 2014, LULUCF!G:G, "s/l-NEG") +
COUNTIFS('Circular Economy'!A:A, 2014, 'Circular Economy'!G:G, "n") +
COUNTIFS('Circular Economy'!A:A, 2014, 'Circular Economy'!G:G, "s/l-UNC") +
COUNTIFS('Circular Economy'!A:A, 2014, 'Circular Economy'!G:G, "s/l-POS") +
COUNTIFS('Circular Economy'!A:A, 2014, 'Circular Economy'!G:G, "s/l-NEG") +
COUNTIFS(Finance!A:A, 2014, Finance!G:G, "n") +
COUNTIFS(Finance!A:A, 2014, Finance!G:G, "s/l-UNC") +
COUNTIFS(Finance!A:A, 2014, Finance!G:G, "s/l-POS") +
COUNTIFS(Finance!A:A, 2014, Finance!G:G, "s/l-NEG")</f>
        <v/>
      </c>
      <c r="M16" s="39" t="n"/>
      <c r="N16" s="73" t="n">
        <v>2018</v>
      </c>
      <c r="O16" s="74">
        <f>COUNTIFS('GHG Emissions'!F:F, 2018, 'GHG Emissions'!G:G, "n") +
COUNTIFS('GHG Emissions'!F:F, 2018, 'GHG Emissions'!G:G, "s/l-UNC") +
COUNTIFS('GHG Emissions'!F:F, 2018, 'GHG Emissions'!G:G, "s/l-POS") +
COUNTIFS('GHG Emissions'!F:F, 2018, 'GHG Emissions'!G:G, "s/l-NEG") +
COUNTIFS(Pollution!F:F, 2018, Pollution!G:G, "n") +
COUNTIFS(Pollution!F:F, 2018, Pollution!G:G, "s/l-UNC") +
COUNTIFS(Pollution!F:F, 2018, Pollution!G:G, "s/l-POS") +
COUNTIFS(Pollution!F:F, 2018, Pollution!G:G, "s/l-NEG") +
COUNTIFS('Energy|Power'!F:F, 2018, 'Energy|Power'!G:G, "n") +
COUNTIFS('Energy|Power'!F:F, 2018, 'Energy|Power'!G:G, "s/l-UNC") +
COUNTIFS('Energy|Power'!F:F, 2018, 'Energy|Power'!G:G, "s/l-POS") +
COUNTIFS('Energy|Power'!F:F, 2018, 'Energy|Power'!G:G, "s/l-NEG") +
COUNTIFS(Industry!F:F, 2018, Industry!G:G, "n") +
COUNTIFS(Industry!F:F, 2018, Industry!G:G, "s/l-UNC") +
COUNTIFS(Industry!F:F, 2018, Industry!G:G, "s/l-POS") +
COUNTIFS(Industry!F:F, 2018, Industry!G:G, "s/l-NEG") +
COUNTIFS(Buildings!F:F, 2018, Buildings!G:G, "n") +
COUNTIFS(Buildings!F:F, 2018, Buildings!G:G, "s/l-UNC") +
COUNTIFS(Buildings!F:F, 2018, Buildings!G:G, "s/l-POS") +
COUNTIFS(Buildings!F:F, 2018, Buildings!G:G, "s/l-NEG") +
COUNTIFS(Transport!F:F, 2018, Transport!G:G, "n") +
COUNTIFS(Transport!F:F, 2018, Transport!G:G, "s/l-UNC") +
COUNTIFS(Transport!F:F, 2018, Transport!G:G, "s/l-POS") +
COUNTIFS(Transport!F:F, 2018, Transport!G:G, "s/l-NEG") +
COUNTIFS(LULUCF!F:F, 2018, LULUCF!G:G, "n") +
COUNTIFS(LULUCF!F:F, 2018, LULUCF!G:G, "s/l-UNC") +
COUNTIFS(LULUCF!F:F, 2018, LULUCF!G:G, "s/l-POS") +
COUNTIFS(LULUCF!F:F, 2018, LULUCF!G:G, "s/l-NEG") +
COUNTIFS('Circular Economy'!F:F, 2018, 'Circular Economy'!G:G, "n") +
COUNTIFS('Circular Economy'!F:F, 2018, 'Circular Economy'!G:G, "s/l-UNC") +
COUNTIFS('Circular Economy'!F:F, 2018, 'Circular Economy'!G:G, "s/l-POS") +
COUNTIFS('Circular Economy'!F:F, 2018, 'Circular Economy'!G:G, "s/l-NEG") +
COUNTIFS(Finance!F:F, 2018, Finance!G:G, "n") +
COUNTIFS(Finance!F:F, 2018, Finance!G:G, "s/l-UNC") +
COUNTIFS(Finance!F:F, 2018, Finance!G:G, "s/l-POS") +
COUNTIFS(Finance!F:F, 2018, Finance!G:G, "s/l-NEG")</f>
        <v/>
      </c>
      <c r="P16" s="39" t="n"/>
      <c r="Q16" s="75" t="inlineStr">
        <is>
          <t>Coal-related</t>
        </is>
      </c>
      <c r="R16" s="74">
        <f>COUNTIFS('GHG Emissions'!H:H, "Coal-related", 'GHG Emissions'!G:G, "n") +
COUNTIFS('GHG Emissions'!H:H, "Coal-related", 'GHG Emissions'!G:G, "s/l-UNC") +
COUNTIFS('GHG Emissions'!H:H, "Coal-related", 'GHG Emissions'!G:G, "s/l-POS") +
COUNTIFS('GHG Emissions'!H:H, "Coal-related", 'GHG Emissions'!G:G, "s/l-NEG") +
COUNTIFS(Pollution!H:H, "Coal-related", Pollution!G:G, "n") +
COUNTIFS(Pollution!H:H, "Coal-related", Pollution!G:G, "s/l-UNC") +
COUNTIFS(Pollution!H:H, "Coal-related", Pollution!G:G, "s/l-POS") +
COUNTIFS(Pollution!H:H, "Coal-related", Pollution!G:G, "s/l-NEG") +
COUNTIFS('Energy|Power'!H:H, "Coal-related", 'Energy|Power'!G:G, "n") +
COUNTIFS('Energy|Power'!H:H, "Coal-related", 'Energy|Power'!G:G, "s/l-UNC") +
COUNTIFS('Energy|Power'!H:H, "Coal-related", 'Energy|Power'!G:G, "s/l-POS") +
COUNTIFS('Energy|Power'!H:H, "Coal-related", 'Energy|Power'!G:G, "s/l-NEG") +
COUNTIFS(Industry!H:H, "Coal-related", Industry!G:G, "n") +
COUNTIFS(Industry!H:H, "Coal-related", Industry!G:G, "s/l-UNC") +
COUNTIFS(Industry!H:H, "Coal-related", Industry!G:G, "s/l-POS") +
COUNTIFS(Industry!H:H, "Coal-related", Industry!G:G, "s/l-NEG") +
COUNTIFS(Buildings!H:H, "Coal-related", Buildings!G:G, "n") +
COUNTIFS(Buildings!H:H, "Coal-related", Buildings!G:G, "s/l-UNC") +
COUNTIFS(Buildings!H:H, "Coal-related", Buildings!G:G, "s/l-POS") +
COUNTIFS(Buildings!H:H, "Coal-related", Buildings!G:G, "s/l-NEG") +
COUNTIFS(Transport!H:H, "Coal-related", Transport!G:G, "n") +
COUNTIFS(Transport!H:H, "Coal-related", Transport!G:G, "s/l-UNC") +
COUNTIFS(Transport!H:H, "Coal-related", Transport!G:G, "s/l-POS") +
COUNTIFS(Transport!H:H, "Coal-related", Transport!G:G, "s/l-NEG") +
COUNTIFS(LULUCF!H:H, "Coal-related", LULUCF!G:G, "n") +
COUNTIFS(LULUCF!H:H, "Coal-related", LULUCF!G:G, "s/l-UNC") +
COUNTIFS(LULUCF!H:H, "Coal-related", LULUCF!G:G, "s/l-POS") +
COUNTIFS(LULUCF!H:H, "Coal-related", LULUCF!G:G, "s/l-NEG") +
COUNTIFS('Circular Economy'!H:H, "Coal-related", 'Circular Economy'!G:G, "n") +
COUNTIFS('Circular Economy'!H:H, "Coal-related", 'Circular Economy'!G:G, "s/l-UNC") +
COUNTIFS('Circular Economy'!H:H, "Coal-related", 'Circular Economy'!G:G, "s/l-POS") +
COUNTIFS('Circular Economy'!H:H, "Coal-related", 'Circular Economy'!G:G, "s/l-NEG") +
COUNTIFS(Finance!H:H, "Coal-related", Finance!G:G, "n") +
COUNTIFS(Finance!H:H, "Coal-related", Finance!G:G, "s/l-UNC") +
COUNTIFS(Finance!H:H, "Coal-related", Finance!G:G, "s/l-POS") +
COUNTIFS(Finance!H:H, "Coal-related", Finance!G:G, "s/l-NEG")</f>
        <v/>
      </c>
    </row>
    <row r="17" ht="19" customHeight="1" s="235">
      <c r="B17" s="39" t="n"/>
      <c r="C17" s="39" t="n"/>
      <c r="D17" s="39" t="n"/>
      <c r="E17" s="39" t="n"/>
      <c r="F17" s="39" t="n"/>
      <c r="K17" s="73" t="n">
        <v>2015</v>
      </c>
      <c r="L17" s="68">
        <f>COUNTIFS('GHG Emissions'!A:A, 2015, 'GHG Emissions'!G:G, "n") +
COUNTIFS('GHG Emissions'!A:A, 2015, 'GHG Emissions'!G:G, "s/l-UNC") +
COUNTIFS('GHG Emissions'!A:A, 2015, 'GHG Emissions'!G:G, "s/l-POS") +
COUNTIFS('GHG Emissions'!A:A, 2015, 'GHG Emissions'!G:G, "s/l-NEG") +
COUNTIFS(Pollution!A:A, 2015, Pollution!G:G, "n") +
COUNTIFS(Pollution!A:A, 2015, Pollution!G:G, "s/l-UNC") +
COUNTIFS(Pollution!A:A, 2015, Pollution!G:G, "s/l-POS") +
COUNTIFS(Pollution!A:A, 2015, Pollution!G:G, "s/l-NEG") +
COUNTIFS('Energy|Power'!A:A, 2015, 'Energy|Power'!G:G, "n") +
COUNTIFS('Energy|Power'!A:A, 2015, 'Energy|Power'!G:G, "s/l-UNC") +
COUNTIFS('Energy|Power'!A:A, 2015, 'Energy|Power'!G:G, "s/l-POS") +
COUNTIFS('Energy|Power'!A:A, 2015, 'Energy|Power'!G:G, "s/l-NEG") +
COUNTIFS(Industry!A:A, 2015, Industry!G:G, "n") +
COUNTIFS(Industry!A:A, 2015, Industry!G:G, "s/l-UNC") +
COUNTIFS(Industry!A:A, 2015, Industry!G:G, "s/l-POS") +
COUNTIFS(Industry!A:A, 2015, Industry!G:G, "s/l-NEG") +
COUNTIFS(Buildings!A:A, 2015, Buildings!G:G, "n") +
COUNTIFS(Buildings!A:A, 2015, Buildings!G:G, "s/l-UNC") +
COUNTIFS(Buildings!A:A, 2015, Buildings!G:G, "s/l-POS") +
COUNTIFS(Buildings!A:A, 2015, Buildings!G:G, "s/l-NEG") +
COUNTIFS(Transport!A:A, 2015, Transport!G:G, "n") +
COUNTIFS(Transport!A:A, 2015, Transport!G:G, "s/l-UNC") +
COUNTIFS(Transport!A:A, 2015, Transport!G:G, "s/l-POS") +
COUNTIFS(Transport!A:A, 2015, Transport!G:G, "s/l-NEG") +
COUNTIFS(LULUCF!A:A, 2015, LULUCF!G:G, "n") +
COUNTIFS(LULUCF!A:A, 2015, LULUCF!G:G, "s/l-UNC") +
COUNTIFS(LULUCF!A:A, 2015, LULUCF!G:G, "s/l-POS") +
COUNTIFS(LULUCF!A:A, 2015, LULUCF!G:G, "s/l-NEG") +
COUNTIFS('Circular Economy'!A:A, 2015, 'Circular Economy'!G:G, "n") +
COUNTIFS('Circular Economy'!A:A, 2015, 'Circular Economy'!G:G, "s/l-UNC") +
COUNTIFS('Circular Economy'!A:A, 2015, 'Circular Economy'!G:G, "s/l-POS") +
COUNTIFS('Circular Economy'!A:A, 2015, 'Circular Economy'!G:G, "s/l-NEG") +
COUNTIFS(Finance!A:A, 2015, Finance!G:G, "n") +
COUNTIFS(Finance!A:A, 2015, Finance!G:G, "s/l-UNC") +
COUNTIFS(Finance!A:A, 2015, Finance!G:G, "s/l-POS") +
COUNTIFS(Finance!A:A, 2015, Finance!G:G, "s/l-NEG")</f>
        <v/>
      </c>
      <c r="N17" s="73" t="n">
        <v>2019</v>
      </c>
      <c r="O17" s="74">
        <f>COUNTIFS('GHG Emissions'!F:F, 2019, 'GHG Emissions'!G:G, "n") +
COUNTIFS('GHG Emissions'!F:F, 2019, 'GHG Emissions'!G:G, "s/l-UNC") +
COUNTIFS('GHG Emissions'!F:F, 2019, 'GHG Emissions'!G:G, "s/l-POS") +
COUNTIFS('GHG Emissions'!F:F, 2019, 'GHG Emissions'!G:G, "s/l-NEG") +
COUNTIFS(Pollution!F:F, 2019, Pollution!G:G, "n") +
COUNTIFS(Pollution!F:F, 2019, Pollution!G:G, "s/l-UNC") +
COUNTIFS(Pollution!F:F, 2019, Pollution!G:G, "s/l-POS") +
COUNTIFS(Pollution!F:F, 2019, Pollution!G:G, "s/l-NEG") +
COUNTIFS('Energy|Power'!F:F, 2019, 'Energy|Power'!G:G, "n") +
COUNTIFS('Energy|Power'!F:F, 2019, 'Energy|Power'!G:G, "s/l-UNC") +
COUNTIFS('Energy|Power'!F:F, 2019, 'Energy|Power'!G:G, "s/l-POS") +
COUNTIFS('Energy|Power'!F:F, 2019, 'Energy|Power'!G:G, "s/l-NEG") +
COUNTIFS(Industry!F:F, 2019, Industry!G:G, "n") +
COUNTIFS(Industry!F:F, 2019, Industry!G:G, "s/l-UNC") +
COUNTIFS(Industry!F:F, 2019, Industry!G:G, "s/l-POS") +
COUNTIFS(Industry!F:F, 2019, Industry!G:G, "s/l-NEG") +
COUNTIFS(Buildings!F:F, 2019, Buildings!G:G, "n") +
COUNTIFS(Buildings!F:F, 2019, Buildings!G:G, "s/l-UNC") +
COUNTIFS(Buildings!F:F, 2019, Buildings!G:G, "s/l-POS") +
COUNTIFS(Buildings!F:F, 2019, Buildings!G:G, "s/l-NEG") +
COUNTIFS(Transport!F:F, 2019, Transport!G:G, "n") +
COUNTIFS(Transport!F:F, 2019, Transport!G:G, "s/l-UNC") +
COUNTIFS(Transport!F:F, 2019, Transport!G:G, "s/l-POS") +
COUNTIFS(Transport!F:F, 2019, Transport!G:G, "s/l-NEG") +
COUNTIFS(LULUCF!F:F, 2019, LULUCF!G:G, "n") +
COUNTIFS(LULUCF!F:F, 2019, LULUCF!G:G, "s/l-UNC") +
COUNTIFS(LULUCF!F:F, 2019, LULUCF!G:G, "s/l-POS") +
COUNTIFS(LULUCF!F:F, 2019, LULUCF!G:G, "s/l-NEG") +
COUNTIFS('Circular Economy'!F:F, 2019, 'Circular Economy'!G:G, "n") +
COUNTIFS('Circular Economy'!F:F, 2019, 'Circular Economy'!G:G, "s/l-UNC") +
COUNTIFS('Circular Economy'!F:F, 2019, 'Circular Economy'!G:G, "s/l-POS") +
COUNTIFS('Circular Economy'!F:F, 2019, 'Circular Economy'!G:G, "s/l-NEG") +
COUNTIFS(Finance!F:F, 2019, Finance!G:G, "n") +
COUNTIFS(Finance!F:F, 2019, Finance!G:G, "s/l-UNC") +
COUNTIFS(Finance!F:F, 2019, Finance!G:G, "s/l-POS") +
COUNTIFS(Finance!F:F, 2019, Finance!G:G, "s/l-NEG")</f>
        <v/>
      </c>
      <c r="Q17" s="75" t="inlineStr">
        <is>
          <t>Production-oriented</t>
        </is>
      </c>
      <c r="R17" s="74">
        <f>COUNTIFS('GHG Emissions'!H:H, "Production-oriented", 'GHG Emissions'!G:G, "n") +
COUNTIFS('GHG Emissions'!H:H, "Production-oriented", 'GHG Emissions'!G:G, "s/l-UNC") +
COUNTIFS('GHG Emissions'!H:H, "Production-oriented", 'GHG Emissions'!G:G, "s/l-POS") +
COUNTIFS('GHG Emissions'!H:H, "Production-oriented", 'GHG Emissions'!G:G, "s/l-NEG") +
COUNTIFS(Pollution!H:H, "Production-oriented", Pollution!G:G, "n") +
COUNTIFS(Pollution!H:H, "Production-oriented", Pollution!G:G, "s/l-UNC") +
COUNTIFS(Pollution!H:H, "Production-oriented", Pollution!G:G, "s/l-POS") +
COUNTIFS(Pollution!H:H, "Production-oriented", Pollution!G:G, "s/l-NEG") +
COUNTIFS('Energy|Power'!H:H, "Production-oriented", 'Energy|Power'!G:G, "n") +
COUNTIFS('Energy|Power'!H:H, "Production-oriented", 'Energy|Power'!G:G, "s/l-UNC") +
COUNTIFS('Energy|Power'!H:H, "Production-oriented", 'Energy|Power'!G:G, "s/l-POS") +
COUNTIFS('Energy|Power'!H:H, "Production-oriented", 'Energy|Power'!G:G, "s/l-NEG") +
COUNTIFS(Industry!H:H, "Production-oriented", Industry!G:G, "n") +
COUNTIFS(Industry!H:H, "Production-oriented", Industry!G:G, "s/l-UNC") +
COUNTIFS(Industry!H:H, "Production-oriented", Industry!G:G, "s/l-POS") +
COUNTIFS(Industry!H:H, "Production-oriented", Industry!G:G, "s/l-NEG") +
COUNTIFS(Buildings!H:H, "Production-oriented", Buildings!G:G, "n") +
COUNTIFS(Buildings!H:H, "Production-oriented", Buildings!G:G, "s/l-UNC") +
COUNTIFS(Buildings!H:H, "Production-oriented", Buildings!G:G, "s/l-POS") +
COUNTIFS(Buildings!H:H, "Production-oriented", Buildings!G:G, "s/l-NEG") +
COUNTIFS(Transport!H:H, "Production-oriented", Transport!G:G, "n") +
COUNTIFS(Transport!H:H, "Production-oriented", Transport!G:G, "s/l-UNC") +
COUNTIFS(Transport!H:H, "Production-oriented", Transport!G:G, "s/l-POS") +
COUNTIFS(Transport!H:H, "Production-oriented", Transport!G:G, "s/l-NEG") +
COUNTIFS(LULUCF!H:H, "Production-oriented", LULUCF!G:G, "n") +
COUNTIFS(LULUCF!H:H, "Production-oriented", LULUCF!G:G, "s/l-UNC") +
COUNTIFS(LULUCF!H:H, "Production-oriented", LULUCF!G:G, "s/l-POS") +
COUNTIFS(LULUCF!H:H, "Production-oriented", LULUCF!G:G, "s/l-NEG") +
COUNTIFS('Circular Economy'!H:H, "Production-oriented", 'Circular Economy'!G:G, "n") +
COUNTIFS('Circular Economy'!H:H, "Production-oriented", 'Circular Economy'!G:G, "s/l-UNC") +
COUNTIFS('Circular Economy'!H:H, "Production-oriented", 'Circular Economy'!G:G, "s/l-POS") +
COUNTIFS('Circular Economy'!H:H, "Production-oriented", 'Circular Economy'!G:G, "s/l-NEG") +
COUNTIFS(Finance!H:H, "Production-oriented", Finance!G:G, "n") +
COUNTIFS(Finance!H:H, "Production-oriented", Finance!G:G, "s/l-UNC") +
COUNTIFS(Finance!H:H, "Production-oriented", Finance!G:G, "s/l-POS") +
COUNTIFS(Finance!H:H, "Production-oriented", Finance!G:G, "s/l-NEG")</f>
        <v/>
      </c>
    </row>
    <row r="18" ht="19" customHeight="1" s="235">
      <c r="B18" s="39" t="n"/>
      <c r="C18" s="39" t="n"/>
      <c r="D18" s="39" t="n"/>
      <c r="E18" s="39" t="n"/>
      <c r="F18" s="39" t="n"/>
      <c r="K18" s="73" t="n">
        <v>2016</v>
      </c>
      <c r="L18" s="68">
        <f>COUNTIFS('GHG Emissions'!A:A, 2016, 'GHG Emissions'!G:G, "n") +
COUNTIFS('GHG Emissions'!A:A, 2016, 'GHG Emissions'!G:G, "s/l-UNC") +
COUNTIFS('GHG Emissions'!A:A, 2016, 'GHG Emissions'!G:G, "s/l-POS") +
COUNTIFS('GHG Emissions'!A:A, 2016, 'GHG Emissions'!G:G, "s/l-NEG") +
COUNTIFS(Pollution!A:A, 2016, Pollution!G:G, "n") +
COUNTIFS(Pollution!A:A, 2016, Pollution!G:G, "s/l-UNC") +
COUNTIFS(Pollution!A:A, 2016, Pollution!G:G, "s/l-POS") +
COUNTIFS(Pollution!A:A, 2016, Pollution!G:G, "s/l-NEG") +
COUNTIFS('Energy|Power'!A:A, 2016, 'Energy|Power'!G:G, "n") +
COUNTIFS('Energy|Power'!A:A, 2016, 'Energy|Power'!G:G, "s/l-UNC") +
COUNTIFS('Energy|Power'!A:A, 2016, 'Energy|Power'!G:G, "s/l-POS") +
COUNTIFS('Energy|Power'!A:A, 2016, 'Energy|Power'!G:G, "s/l-NEG") +
COUNTIFS(Industry!A:A, 2016, Industry!G:G, "n") +
COUNTIFS(Industry!A:A, 2016, Industry!G:G, "s/l-UNC") +
COUNTIFS(Industry!A:A, 2016, Industry!G:G, "s/l-POS") +
COUNTIFS(Industry!A:A, 2016, Industry!G:G, "s/l-NEG") +
COUNTIFS(Buildings!A:A, 2016, Buildings!G:G, "n") +
COUNTIFS(Buildings!A:A, 2016, Buildings!G:G, "s/l-UNC") +
COUNTIFS(Buildings!A:A, 2016, Buildings!G:G, "s/l-POS") +
COUNTIFS(Buildings!A:A, 2016, Buildings!G:G, "s/l-NEG") +
COUNTIFS(Transport!A:A, 2016, Transport!G:G, "n") +
COUNTIFS(Transport!A:A, 2016, Transport!G:G, "s/l-UNC") +
COUNTIFS(Transport!A:A, 2016, Transport!G:G, "s/l-POS") +
COUNTIFS(Transport!A:A, 2016, Transport!G:G, "s/l-NEG") +
COUNTIFS(LULUCF!A:A, 2016, LULUCF!G:G, "n") +
COUNTIFS(LULUCF!A:A, 2016, LULUCF!G:G, "s/l-UNC") +
COUNTIFS(LULUCF!A:A, 2016, LULUCF!G:G, "s/l-POS") +
COUNTIFS(LULUCF!A:A, 2016, LULUCF!G:G, "s/l-NEG") +
COUNTIFS('Circular Economy'!A:A, 2016, 'Circular Economy'!G:G, "n") +
COUNTIFS('Circular Economy'!A:A, 2016, 'Circular Economy'!G:G, "s/l-UNC") +
COUNTIFS('Circular Economy'!A:A, 2016, 'Circular Economy'!G:G, "s/l-POS") +
COUNTIFS('Circular Economy'!A:A, 2016, 'Circular Economy'!G:G, "s/l-NEG") +
COUNTIFS(Finance!A:A, 2016, Finance!G:G, "n") +
COUNTIFS(Finance!A:A, 2016, Finance!G:G, "s/l-UNC") +
COUNTIFS(Finance!A:A, 2016, Finance!G:G, "s/l-POS") +
COUNTIFS(Finance!A:A, 2016, Finance!G:G, "s/l-NEG")</f>
        <v/>
      </c>
      <c r="N18" s="73" t="n">
        <v>2020</v>
      </c>
      <c r="O18" s="74">
        <f>COUNTIFS('GHG Emissions'!F:F, 2020, 'GHG Emissions'!G:G, "n") +
COUNTIFS('GHG Emissions'!F:F, 2020, 'GHG Emissions'!G:G, "s/l-UNC") +
COUNTIFS('GHG Emissions'!F:F, 2020, 'GHG Emissions'!G:G, "s/l-POS") +
COUNTIFS('GHG Emissions'!F:F, 2020, 'GHG Emissions'!G:G, "s/l-NEG") +
COUNTIFS(Pollution!F:F, 2020, Pollution!G:G, "n") +
COUNTIFS(Pollution!F:F, 2020, Pollution!G:G, "s/l-UNC") +
COUNTIFS(Pollution!F:F, 2020, Pollution!G:G, "s/l-POS") +
COUNTIFS(Pollution!F:F, 2020, Pollution!G:G, "s/l-NEG") +
COUNTIFS('Energy|Power'!F:F, 2020, 'Energy|Power'!G:G, "n") +
COUNTIFS('Energy|Power'!F:F, 2020, 'Energy|Power'!G:G, "s/l-UNC") +
COUNTIFS('Energy|Power'!F:F, 2020, 'Energy|Power'!G:G, "s/l-POS") +
COUNTIFS('Energy|Power'!F:F, 2020, 'Energy|Power'!G:G, "s/l-NEG") +
COUNTIFS(Industry!F:F, 2020, Industry!G:G, "n") +
COUNTIFS(Industry!F:F, 2020, Industry!G:G, "s/l-UNC") +
COUNTIFS(Industry!F:F, 2020, Industry!G:G, "s/l-POS") +
COUNTIFS(Industry!F:F, 2020, Industry!G:G, "s/l-NEG") +
COUNTIFS(Buildings!F:F, 2020, Buildings!G:G, "n") +
COUNTIFS(Buildings!F:F, 2020, Buildings!G:G, "s/l-UNC") +
COUNTIFS(Buildings!F:F, 2020, Buildings!G:G, "s/l-POS") +
COUNTIFS(Buildings!F:F, 2020, Buildings!G:G, "s/l-NEG") +
COUNTIFS(Transport!F:F, 2020, Transport!G:G, "n") +
COUNTIFS(Transport!F:F, 2020, Transport!G:G, "s/l-UNC") +
COUNTIFS(Transport!F:F, 2020, Transport!G:G, "s/l-POS") +
COUNTIFS(Transport!F:F, 2020, Transport!G:G, "s/l-NEG") +
COUNTIFS(LULUCF!F:F, 2020, LULUCF!G:G, "n") +
COUNTIFS(LULUCF!F:F, 2020, LULUCF!G:G, "s/l-UNC") +
COUNTIFS(LULUCF!F:F, 2020, LULUCF!G:G, "s/l-POS") +
COUNTIFS(LULUCF!F:F, 2020, LULUCF!G:G, "s/l-NEG") +
COUNTIFS('Circular Economy'!F:F, 2020, 'Circular Economy'!G:G, "n") +
COUNTIFS('Circular Economy'!F:F, 2020, 'Circular Economy'!G:G, "s/l-UNC") +
COUNTIFS('Circular Economy'!F:F, 2020, 'Circular Economy'!G:G, "s/l-POS") +
COUNTIFS('Circular Economy'!F:F, 2020, 'Circular Economy'!G:G, "s/l-NEG") +
COUNTIFS(Finance!F:F, 2020, Finance!G:G, "n") +
COUNTIFS(Finance!F:F, 2020, Finance!G:G, "s/l-UNC") +
COUNTIFS(Finance!F:F, 2020, Finance!G:G, "s/l-POS") +
COUNTIFS(Finance!F:F, 2020, Finance!G:G, "s/l-NEG")</f>
        <v/>
      </c>
      <c r="Q18" s="75" t="inlineStr">
        <is>
          <t>Industrial transformation</t>
        </is>
      </c>
      <c r="R18" s="74">
        <f>COUNTIFS('GHG Emissions'!H:H, "Industrial transformation", 'GHG Emissions'!G:G, "n") +
COUNTIFS('GHG Emissions'!H:H, "Industrial transformation", 'GHG Emissions'!G:G, "s/l-UNC") +
COUNTIFS('GHG Emissions'!H:H, "Industrial transformation", 'GHG Emissions'!G:G, "s/l-POS") +
COUNTIFS('GHG Emissions'!H:H, "Industrial transformation", 'GHG Emissions'!G:G, "s/l-NEG") +
COUNTIFS(Pollution!H:H, "Industrial transformation", Pollution!G:G, "n") +
COUNTIFS(Pollution!H:H, "Industrial transformation", Pollution!G:G, "s/l-UNC") +
COUNTIFS(Pollution!H:H, "Industrial transformation", Pollution!G:G, "s/l-POS") +
COUNTIFS(Pollution!H:H, "Industrial transformation", Pollution!G:G, "s/l-NEG") +
COUNTIFS('Energy|Power'!H:H, "Industrial transformation", 'Energy|Power'!G:G, "n") +
COUNTIFS('Energy|Power'!H:H, "Industrial transformation", 'Energy|Power'!G:G, "s/l-UNC") +
COUNTIFS('Energy|Power'!H:H, "Industrial transformation", 'Energy|Power'!G:G, "s/l-POS") +
COUNTIFS('Energy|Power'!H:H, "Industrial transformation", 'Energy|Power'!G:G, "s/l-NEG") +
COUNTIFS(Industry!H:H, "Industrial transformation", Industry!G:G, "n") +
COUNTIFS(Industry!H:H, "Industrial transformation", Industry!G:G, "s/l-UNC") +
COUNTIFS(Industry!H:H, "Industrial transformation", Industry!G:G, "s/l-POS") +
COUNTIFS(Industry!H:H, "Industrial transformation", Industry!G:G, "s/l-NEG") +
COUNTIFS(Buildings!H:H, "Industrial transformation", Buildings!G:G, "n") +
COUNTIFS(Buildings!H:H, "Industrial transformation", Buildings!G:G, "s/l-UNC") +
COUNTIFS(Buildings!H:H, "Industrial transformation", Buildings!G:G, "s/l-POS") +
COUNTIFS(Buildings!H:H, "Industrial transformation", Buildings!G:G, "s/l-NEG") +
COUNTIFS(Transport!H:H, "Industrial transformation", Transport!G:G, "n") +
COUNTIFS(Transport!H:H, "Industrial transformation", Transport!G:G, "s/l-UNC") +
COUNTIFS(Transport!H:H, "Industrial transformation", Transport!G:G, "s/l-POS") +
COUNTIFS(Transport!H:H, "Industrial transformation", Transport!G:G, "s/l-NEG") +
COUNTIFS(LULUCF!H:H, "Industrial transformation", LULUCF!G:G, "n") +
COUNTIFS(LULUCF!H:H, "Industrial transformation", LULUCF!G:G, "s/l-UNC") +
COUNTIFS(LULUCF!H:H, "Industrial transformation", LULUCF!G:G, "s/l-POS") +
COUNTIFS(LULUCF!H:H, "Industrial transformation", LULUCF!G:G, "s/l-NEG") +
COUNTIFS('Circular Economy'!H:H, "Industrial transformation", 'Circular Economy'!G:G, "n") +
COUNTIFS('Circular Economy'!H:H, "Industrial transformation", 'Circular Economy'!G:G, "s/l-UNC") +
COUNTIFS('Circular Economy'!H:H, "Industrial transformation", 'Circular Economy'!G:G, "s/l-POS") +
COUNTIFS('Circular Economy'!H:H, "Industrial transformation", 'Circular Economy'!G:G, "s/l-NEG") +
COUNTIFS(Finance!H:H, "Industrial transformation", Finance!G:G, "n") +
COUNTIFS(Finance!H:H, "Industrial transformation", Finance!G:G, "s/l-UNC") +
COUNTIFS(Finance!H:H, "Industrial transformation", Finance!G:G, "s/l-POS") +
COUNTIFS(Finance!H:H, "Industrial transformation", Finance!G:G, "s/l-NEG")</f>
        <v/>
      </c>
    </row>
    <row r="19" ht="19" customHeight="1" s="235">
      <c r="B19" s="39" t="n"/>
      <c r="C19" s="39" t="n"/>
      <c r="D19" s="39" t="n"/>
      <c r="E19" s="39" t="n"/>
      <c r="F19" s="39" t="n"/>
      <c r="K19" s="73" t="n">
        <v>2017</v>
      </c>
      <c r="L19" s="68">
        <f>COUNTIFS('GHG Emissions'!A:A, 2017, 'GHG Emissions'!G:G, "n") +
COUNTIFS('GHG Emissions'!A:A, 2017, 'GHG Emissions'!G:G, "s/l-UNC") +
COUNTIFS('GHG Emissions'!A:A, 2017, 'GHG Emissions'!G:G, "s/l-POS") +
COUNTIFS('GHG Emissions'!A:A, 2017, 'GHG Emissions'!G:G, "s/l-NEG") +
COUNTIFS(Pollution!A:A, 2017, Pollution!G:G, "n") +
COUNTIFS(Pollution!A:A, 2017, Pollution!G:G, "s/l-UNC") +
COUNTIFS(Pollution!A:A, 2017, Pollution!G:G, "s/l-POS") +
COUNTIFS(Pollution!A:A, 2017, Pollution!G:G, "s/l-NEG") +
COUNTIFS('Energy|Power'!A:A, 2017, 'Energy|Power'!G:G, "n") +
COUNTIFS('Energy|Power'!A:A, 2017, 'Energy|Power'!G:G, "s/l-UNC") +
COUNTIFS('Energy|Power'!A:A, 2017, 'Energy|Power'!G:G, "s/l-POS") +
COUNTIFS('Energy|Power'!A:A, 2017, 'Energy|Power'!G:G, "s/l-NEG") +
COUNTIFS(Industry!A:A, 2017, Industry!G:G, "n") +
COUNTIFS(Industry!A:A, 2017, Industry!G:G, "s/l-UNC") +
COUNTIFS(Industry!A:A, 2017, Industry!G:G, "s/l-POS") +
COUNTIFS(Industry!A:A, 2017, Industry!G:G, "s/l-NEG") +
COUNTIFS(Buildings!A:A, 2017, Buildings!G:G, "n") +
COUNTIFS(Buildings!A:A, 2017, Buildings!G:G, "s/l-UNC") +
COUNTIFS(Buildings!A:A, 2017, Buildings!G:G, "s/l-POS") +
COUNTIFS(Buildings!A:A, 2017, Buildings!G:G, "s/l-NEG") +
COUNTIFS(Transport!A:A, 2017, Transport!G:G, "n") +
COUNTIFS(Transport!A:A, 2017, Transport!G:G, "s/l-UNC") +
COUNTIFS(Transport!A:A, 2017, Transport!G:G, "s/l-POS") +
COUNTIFS(Transport!A:A, 2017, Transport!G:G, "s/l-NEG") +
COUNTIFS(LULUCF!A:A, 2017, LULUCF!G:G, "n") +
COUNTIFS(LULUCF!A:A, 2017, LULUCF!G:G, "s/l-UNC") +
COUNTIFS(LULUCF!A:A, 2017, LULUCF!G:G, "s/l-POS") +
COUNTIFS(LULUCF!A:A, 2017, LULUCF!G:G, "s/l-NEG") +
COUNTIFS('Circular Economy'!A:A, 2017, 'Circular Economy'!G:G, "n") +
COUNTIFS('Circular Economy'!A:A, 2017, 'Circular Economy'!G:G, "s/l-UNC") +
COUNTIFS('Circular Economy'!A:A, 2017, 'Circular Economy'!G:G, "s/l-POS") +
COUNTIFS('Circular Economy'!A:A, 2017, 'Circular Economy'!G:G, "s/l-NEG") +
COUNTIFS(Finance!A:A, 2017, Finance!G:G, "n") +
COUNTIFS(Finance!A:A, 2017, Finance!G:G, "s/l-UNC") +
COUNTIFS(Finance!A:A, 2017, Finance!G:G, "s/l-POS") +
COUNTIFS(Finance!A:A, 2017, Finance!G:G, "s/l-NEG")</f>
        <v/>
      </c>
      <c r="N19" s="73" t="inlineStr">
        <is>
          <t>13th FYP</t>
        </is>
      </c>
      <c r="O19" s="74">
        <f>COUNTIFS('GHG Emissions'!F:F, "13th FYP", 'GHG Emissions'!G:G, "n") +
COUNTIFS('GHG Emissions'!F:F, "13th FYP", 'GHG Emissions'!G:G, "s/l-UNC") +
COUNTIFS('GHG Emissions'!F:F, "13th FYP", 'GHG Emissions'!G:G, "s/l-POS") +
COUNTIFS('GHG Emissions'!F:F, "13th FYP", 'GHG Emissions'!G:G, "s/l-NEG") +
COUNTIFS(Pollution!F:F, "13th FYP", Pollution!G:G, "n") +
COUNTIFS(Pollution!F:F, "13th FYP", Pollution!G:G, "s/l-UNC") +
COUNTIFS(Pollution!F:F, "13th FYP", Pollution!G:G, "s/l-POS") +
COUNTIFS(Pollution!F:F, "13th FYP", Pollution!G:G, "s/l-NEG") +
COUNTIFS('Energy|Power'!F:F, "13th FYP", 'Energy|Power'!G:G, "n") +
COUNTIFS('Energy|Power'!F:F, "13th FYP", 'Energy|Power'!G:G, "s/l-UNC") +
COUNTIFS('Energy|Power'!F:F, "13th FYP", 'Energy|Power'!G:G, "s/l-POS") +
COUNTIFS('Energy|Power'!F:F, "13th FYP", 'Energy|Power'!G:G, "s/l-NEG") +
COUNTIFS(Industry!F:F, "13th FYP", Industry!G:G, "n") +
COUNTIFS(Industry!F:F, "13th FYP", Industry!G:G, "s/l-UNC") +
COUNTIFS(Industry!F:F, "13th FYP", Industry!G:G, "s/l-POS") +
COUNTIFS(Industry!F:F, "13th FYP", Industry!G:G, "s/l-NEG") +
COUNTIFS(Buildings!F:F, "13th FYP", Buildings!G:G, "n") +
COUNTIFS(Buildings!F:F, "13th FYP", Buildings!G:G, "s/l-UNC") +
COUNTIFS(Buildings!F:F, "13th FYP", Buildings!G:G, "s/l-POS") +
COUNTIFS(Buildings!F:F, "13th FYP", Buildings!G:G, "s/l-NEG") +
COUNTIFS(Transport!F:F, "13th FYP", Transport!G:G, "n") +
COUNTIFS(Transport!F:F, "13th FYP", Transport!G:G, "s/l-UNC") +
COUNTIFS(Transport!F:F, "13th FYP", Transport!G:G, "s/l-POS") +
COUNTIFS(Transport!F:F, "13th FYP", Transport!G:G, "s/l-NEG") +
COUNTIFS(LULUCF!F:F, "13th FYP", LULUCF!G:G, "n") +
COUNTIFS(LULUCF!F:F, "13th FYP", LULUCF!G:G, "s/l-UNC") +
COUNTIFS(LULUCF!F:F, "13th FYP", LULUCF!G:G, "s/l-POS") +
COUNTIFS(LULUCF!F:F, "13th FYP", LULUCF!G:G, "s/l-NEG") +
COUNTIFS('Circular Economy'!F:F, "13th FYP", 'Circular Economy'!G:G, "n") +
COUNTIFS('Circular Economy'!F:F, "13th FYP", 'Circular Economy'!G:G, "s/l-UNC") +
COUNTIFS('Circular Economy'!F:F, "13th FYP", 'Circular Economy'!G:G, "s/l-POS") +
COUNTIFS('Circular Economy'!F:F, "13th FYP", 'Circular Economy'!G:G, "s/l-NEG") +
COUNTIFS(Finance!F:F, "13th FYP", Finance!G:G, "n") +
COUNTIFS(Finance!F:F, "13th FYP", Finance!G:G, "s/l-UNC") +
COUNTIFS(Finance!F:F, "13th FYP", Finance!G:G, "s/l-POS") +
COUNTIFS(Finance!F:F, "13th FYP", Finance!G:G, "s/l-NEG")</f>
        <v/>
      </c>
      <c r="Q19" s="75" t="inlineStr">
        <is>
          <t>Technology innovation</t>
        </is>
      </c>
      <c r="R19" s="74">
        <f>COUNTIFS('GHG Emissions'!H:H, "Technology innovation", 'GHG Emissions'!G:G, "n") +
COUNTIFS('GHG Emissions'!H:H, "Technology innovation", 'GHG Emissions'!G:G, "s/l-UNC") +
COUNTIFS('GHG Emissions'!H:H, "Technology innovation", 'GHG Emissions'!G:G, "s/l-POS") +
COUNTIFS('GHG Emissions'!H:H, "Technology innovation", 'GHG Emissions'!G:G, "s/l-NEG") +
COUNTIFS(Pollution!H:H, "Technology innovation", Pollution!G:G, "n") +
COUNTIFS(Pollution!H:H, "Technology innovation", Pollution!G:G, "s/l-UNC") +
COUNTIFS(Pollution!H:H, "Technology innovation", Pollution!G:G, "s/l-POS") +
COUNTIFS(Pollution!H:H, "Technology innovation", Pollution!G:G, "s/l-NEG") +
COUNTIFS('Energy|Power'!H:H, "Technology innovation", 'Energy|Power'!G:G, "n") +
COUNTIFS('Energy|Power'!H:H, "Technology innovation", 'Energy|Power'!G:G, "s/l-UNC") +
COUNTIFS('Energy|Power'!H:H, "Technology innovation", 'Energy|Power'!G:G, "s/l-POS") +
COUNTIFS('Energy|Power'!H:H, "Technology innovation", 'Energy|Power'!G:G, "s/l-NEG") +
COUNTIFS(Industry!H:H, "Technology innovation", Industry!G:G, "n") +
COUNTIFS(Industry!H:H, "Technology innovation", Industry!G:G, "s/l-UNC") +
COUNTIFS(Industry!H:H, "Technology innovation", Industry!G:G, "s/l-POS") +
COUNTIFS(Industry!H:H, "Technology innovation", Industry!G:G, "s/l-NEG") +
COUNTIFS(Buildings!H:H, "Technology innovation", Buildings!G:G, "n") +
COUNTIFS(Buildings!H:H, "Technology innovation", Buildings!G:G, "s/l-UNC") +
COUNTIFS(Buildings!H:H, "Technology innovation", Buildings!G:G, "s/l-POS") +
COUNTIFS(Buildings!H:H, "Technology innovation", Buildings!G:G, "s/l-NEG") +
COUNTIFS(Transport!H:H, "Technology innovation", Transport!G:G, "n") +
COUNTIFS(Transport!H:H, "Technology innovation", Transport!G:G, "s/l-UNC") +
COUNTIFS(Transport!H:H, "Technology innovation", Transport!G:G, "s/l-POS") +
COUNTIFS(Transport!H:H, "Technology innovation", Transport!G:G, "s/l-NEG") +
COUNTIFS(LULUCF!H:H, "Technology innovation", LULUCF!G:G, "n") +
COUNTIFS(LULUCF!H:H, "Technology innovation", LULUCF!G:G, "s/l-UNC") +
COUNTIFS(LULUCF!H:H, "Technology innovation", LULUCF!G:G, "s/l-POS") +
COUNTIFS(LULUCF!H:H, "Technology innovation", LULUCF!G:G, "s/l-NEG") +
COUNTIFS('Circular Economy'!H:H, "Technology innovation", 'Circular Economy'!G:G, "n") +
COUNTIFS('Circular Economy'!H:H, "Technology innovation", 'Circular Economy'!G:G, "s/l-UNC") +
COUNTIFS('Circular Economy'!H:H, "Technology innovation", 'Circular Economy'!G:G, "s/l-POS") +
COUNTIFS('Circular Economy'!H:H, "Technology innovation", 'Circular Economy'!G:G, "s/l-NEG") +
COUNTIFS(Finance!H:H, "Technology innovation", Finance!G:G, "n") +
COUNTIFS(Finance!H:H, "Technology innovation", Finance!G:G, "s/l-UNC") +
COUNTIFS(Finance!H:H, "Technology innovation", Finance!G:G, "s/l-POS") +
COUNTIFS(Finance!H:H, "Technology innovation", Finance!G:G, "s/l-NEG")</f>
        <v/>
      </c>
    </row>
    <row r="20" ht="19" customHeight="1" s="235">
      <c r="B20" s="39" t="n"/>
      <c r="C20" s="39" t="n"/>
      <c r="D20" s="39" t="n"/>
      <c r="E20" s="39" t="n"/>
      <c r="F20" s="39" t="n"/>
      <c r="K20" s="73" t="n">
        <v>2018</v>
      </c>
      <c r="L20" s="68">
        <f>COUNTIFS('GHG Emissions'!A:A, 2018, 'GHG Emissions'!G:G, "n") +
COUNTIFS('GHG Emissions'!A:A, 2018, 'GHG Emissions'!G:G, "s/l-UNC") +
COUNTIFS('GHG Emissions'!A:A, 2018, 'GHG Emissions'!G:G, "s/l-POS") +
COUNTIFS('GHG Emissions'!A:A, 2018, 'GHG Emissions'!G:G, "s/l-NEG") +
COUNTIFS(Pollution!A:A, 2018, Pollution!G:G, "n") +
COUNTIFS(Pollution!A:A, 2018, Pollution!G:G, "s/l-UNC") +
COUNTIFS(Pollution!A:A, 2018, Pollution!G:G, "s/l-POS") +
COUNTIFS(Pollution!A:A, 2018, Pollution!G:G, "s/l-NEG") +
COUNTIFS('Energy|Power'!A:A, 2018, 'Energy|Power'!G:G, "n") +
COUNTIFS('Energy|Power'!A:A, 2018, 'Energy|Power'!G:G, "s/l-UNC") +
COUNTIFS('Energy|Power'!A:A, 2018, 'Energy|Power'!G:G, "s/l-POS") +
COUNTIFS('Energy|Power'!A:A, 2018, 'Energy|Power'!G:G, "s/l-NEG") +
COUNTIFS(Industry!A:A, 2018, Industry!G:G, "n") +
COUNTIFS(Industry!A:A, 2018, Industry!G:G, "s/l-UNC") +
COUNTIFS(Industry!A:A, 2018, Industry!G:G, "s/l-POS") +
COUNTIFS(Industry!A:A, 2018, Industry!G:G, "s/l-NEG") +
COUNTIFS(Buildings!A:A, 2018, Buildings!G:G, "n") +
COUNTIFS(Buildings!A:A, 2018, Buildings!G:G, "s/l-UNC") +
COUNTIFS(Buildings!A:A, 2018, Buildings!G:G, "s/l-POS") +
COUNTIFS(Buildings!A:A, 2018, Buildings!G:G, "s/l-NEG") +
COUNTIFS(Transport!A:A, 2018, Transport!G:G, "n") +
COUNTIFS(Transport!A:A, 2018, Transport!G:G, "s/l-UNC") +
COUNTIFS(Transport!A:A, 2018, Transport!G:G, "s/l-POS") +
COUNTIFS(Transport!A:A, 2018, Transport!G:G, "s/l-NEG") +
COUNTIFS(LULUCF!A:A, 2018, LULUCF!G:G, "n") +
COUNTIFS(LULUCF!A:A, 2018, LULUCF!G:G, "s/l-UNC") +
COUNTIFS(LULUCF!A:A, 2018, LULUCF!G:G, "s/l-POS") +
COUNTIFS(LULUCF!A:A, 2018, LULUCF!G:G, "s/l-NEG") +
COUNTIFS('Circular Economy'!A:A, 2018, 'Circular Economy'!G:G, "n") +
COUNTIFS('Circular Economy'!A:A, 2018, 'Circular Economy'!G:G, "s/l-UNC") +
COUNTIFS('Circular Economy'!A:A, 2018, 'Circular Economy'!G:G, "s/l-POS") +
COUNTIFS('Circular Economy'!A:A, 2018, 'Circular Economy'!G:G, "s/l-NEG") +
COUNTIFS(Finance!A:A, 2018, Finance!G:G, "n") +
COUNTIFS(Finance!A:A, 2018, Finance!G:G, "s/l-UNC") +
COUNTIFS(Finance!A:A, 2018, Finance!G:G, "s/l-POS") +
COUNTIFS(Finance!A:A, 2018, Finance!G:G, "s/l-NEG")</f>
        <v/>
      </c>
      <c r="N20" s="73" t="n">
        <v>2021</v>
      </c>
      <c r="O20" s="74">
        <f>COUNTIFS('GHG Emissions'!F:F, 2021, 'GHG Emissions'!G:G, "n") +
COUNTIFS('GHG Emissions'!F:F, 2021, 'GHG Emissions'!G:G, "s/l-UNC") +
COUNTIFS('GHG Emissions'!F:F, 2021, 'GHG Emissions'!G:G, "s/l-POS") +
COUNTIFS('GHG Emissions'!F:F, 2021, 'GHG Emissions'!G:G, "s/l-NEG") +
COUNTIFS(Pollution!F:F, 2021, Pollution!G:G, "n") +
COUNTIFS(Pollution!F:F, 2021, Pollution!G:G, "s/l-UNC") +
COUNTIFS(Pollution!F:F, 2021, Pollution!G:G, "s/l-POS") +
COUNTIFS(Pollution!F:F, 2021, Pollution!G:G, "s/l-NEG") +
COUNTIFS('Energy|Power'!F:F, 2021, 'Energy|Power'!G:G, "n") +
COUNTIFS('Energy|Power'!F:F, 2021, 'Energy|Power'!G:G, "s/l-UNC") +
COUNTIFS('Energy|Power'!F:F, 2021, 'Energy|Power'!G:G, "s/l-POS") +
COUNTIFS('Energy|Power'!F:F, 2021, 'Energy|Power'!G:G, "s/l-NEG") +
COUNTIFS(Industry!F:F, 2021, Industry!G:G, "n") +
COUNTIFS(Industry!F:F, 2021, Industry!G:G, "s/l-UNC") +
COUNTIFS(Industry!F:F, 2021, Industry!G:G, "s/l-POS") +
COUNTIFS(Industry!F:F, 2021, Industry!G:G, "s/l-NEG") +
COUNTIFS(Buildings!F:F, 2021, Buildings!G:G, "n") +
COUNTIFS(Buildings!F:F, 2021, Buildings!G:G, "s/l-UNC") +
COUNTIFS(Buildings!F:F, 2021, Buildings!G:G, "s/l-POS") +
COUNTIFS(Buildings!F:F, 2021, Buildings!G:G, "s/l-NEG") +
COUNTIFS(Transport!F:F, 2021, Transport!G:G, "n") +
COUNTIFS(Transport!F:F, 2021, Transport!G:G, "s/l-UNC") +
COUNTIFS(Transport!F:F, 2021, Transport!G:G, "s/l-POS") +
COUNTIFS(Transport!F:F, 2021, Transport!G:G, "s/l-NEG") +
COUNTIFS(LULUCF!F:F, 2021, LULUCF!G:G, "n") +
COUNTIFS(LULUCF!F:F, 2021, LULUCF!G:G, "s/l-UNC") +
COUNTIFS(LULUCF!F:F, 2021, LULUCF!G:G, "s/l-POS") +
COUNTIFS(LULUCF!F:F, 2021, LULUCF!G:G, "s/l-NEG") +
COUNTIFS('Circular Economy'!F:F, 2021, 'Circular Economy'!G:G, "n") +
COUNTIFS('Circular Economy'!F:F, 2021, 'Circular Economy'!G:G, "s/l-UNC") +
COUNTIFS('Circular Economy'!F:F, 2021, 'Circular Economy'!G:G, "s/l-POS") +
COUNTIFS('Circular Economy'!F:F, 2021, 'Circular Economy'!G:G, "s/l-NEG") +
COUNTIFS(Finance!F:F, 2021, Finance!G:G, "n") +
COUNTIFS(Finance!F:F, 2021, Finance!G:G, "s/l-UNC") +
COUNTIFS(Finance!F:F, 2021, Finance!G:G, "s/l-POS") +
COUNTIFS(Finance!F:F, 2021, Finance!G:G, "s/l-NEG")</f>
        <v/>
      </c>
      <c r="Q20" s="75" t="inlineStr">
        <is>
          <t>Green transportation</t>
        </is>
      </c>
      <c r="R20" s="74">
        <f>COUNTIFS('GHG Emissions'!H:H, "Green transportation", 'GHG Emissions'!G:G, "n") +
COUNTIFS('GHG Emissions'!H:H, "Green transportation", 'GHG Emissions'!G:G, "s/l-UNC") +
COUNTIFS('GHG Emissions'!H:H, "Green transportation", 'GHG Emissions'!G:G, "s/l-POS") +
COUNTIFS('GHG Emissions'!H:H, "Green transportation", 'GHG Emissions'!G:G, "s/l-NEG") +
COUNTIFS(Pollution!H:H, "Green transportation", Pollution!G:G, "n") +
COUNTIFS(Pollution!H:H, "Green transportation", Pollution!G:G, "s/l-UNC") +
COUNTIFS(Pollution!H:H, "Green transportation", Pollution!G:G, "s/l-POS") +
COUNTIFS(Pollution!H:H, "Green transportation", Pollution!G:G, "s/l-NEG") +
COUNTIFS('Energy|Power'!H:H, "Green transportation", 'Energy|Power'!G:G, "n") +
COUNTIFS('Energy|Power'!H:H, "Green transportation", 'Energy|Power'!G:G, "s/l-UNC") +
COUNTIFS('Energy|Power'!H:H, "Green transportation", 'Energy|Power'!G:G, "s/l-POS") +
COUNTIFS('Energy|Power'!H:H, "Green transportation", 'Energy|Power'!G:G, "s/l-NEG") +
COUNTIFS(Industry!H:H, "Green transportation", Industry!G:G, "n") +
COUNTIFS(Industry!H:H, "Green transportation", Industry!G:G, "s/l-UNC") +
COUNTIFS(Industry!H:H, "Green transportation", Industry!G:G, "s/l-POS") +
COUNTIFS(Industry!H:H, "Green transportation", Industry!G:G, "s/l-NEG") +
COUNTIFS(Buildings!H:H, "Green transportation", Buildings!G:G, "n") +
COUNTIFS(Buildings!H:H, "Green transportation", Buildings!G:G, "s/l-UNC") +
COUNTIFS(Buildings!H:H, "Green transportation", Buildings!G:G, "s/l-POS") +
COUNTIFS(Buildings!H:H, "Green transportation", Buildings!G:G, "s/l-NEG") +
COUNTIFS(Transport!H:H, "Green transportation", Transport!G:G, "n") +
COUNTIFS(Transport!H:H, "Green transportation", Transport!G:G, "s/l-UNC") +
COUNTIFS(Transport!H:H, "Green transportation", Transport!G:G, "s/l-POS") +
COUNTIFS(Transport!H:H, "Green transportation", Transport!G:G, "s/l-NEG") +
COUNTIFS(LULUCF!H:H, "Green transportation", LULUCF!G:G, "n") +
COUNTIFS(LULUCF!H:H, "Green transportation", LULUCF!G:G, "s/l-UNC") +
COUNTIFS(LULUCF!H:H, "Green transportation", LULUCF!G:G, "s/l-POS") +
COUNTIFS(LULUCF!H:H, "Green transportation", LULUCF!G:G, "s/l-NEG") +
COUNTIFS('Circular Economy'!H:H, "Green transportation", 'Circular Economy'!G:G, "n") +
COUNTIFS('Circular Economy'!H:H, "Green transportation", 'Circular Economy'!G:G, "s/l-UNC") +
COUNTIFS('Circular Economy'!H:H, "Green transportation", 'Circular Economy'!G:G, "s/l-POS") +
COUNTIFS('Circular Economy'!H:H, "Green transportation", 'Circular Economy'!G:G, "s/l-NEG") +
COUNTIFS(Finance!H:H, "Green transportation", Finance!G:G, "n") +
COUNTIFS(Finance!H:H, "Green transportation", Finance!G:G, "s/l-UNC") +
COUNTIFS(Finance!H:H, "Green transportation", Finance!G:G, "s/l-POS") +
COUNTIFS(Finance!H:H, "Green transportation", Finance!G:G, "s/l-NEG")</f>
        <v/>
      </c>
    </row>
    <row r="21" ht="19" customHeight="1" s="235">
      <c r="B21" s="39" t="n"/>
      <c r="C21" s="39" t="n"/>
      <c r="D21" s="39" t="n"/>
      <c r="E21" s="39" t="n"/>
      <c r="F21" s="39" t="n"/>
      <c r="K21" s="73" t="n">
        <v>2019</v>
      </c>
      <c r="L21" s="68">
        <f>COUNTIFS('GHG Emissions'!A:A, 2019, 'GHG Emissions'!G:G, "n") +
COUNTIFS('GHG Emissions'!A:A, 2019, 'GHG Emissions'!G:G, "s/l-UNC") +
COUNTIFS('GHG Emissions'!A:A, 2019, 'GHG Emissions'!G:G, "s/l-POS") +
COUNTIFS('GHG Emissions'!A:A, 2019, 'GHG Emissions'!G:G, "s/l-NEG") +
COUNTIFS(Pollution!A:A, 2019, Pollution!G:G, "n") +
COUNTIFS(Pollution!A:A, 2019, Pollution!G:G, "s/l-UNC") +
COUNTIFS(Pollution!A:A, 2019, Pollution!G:G, "s/l-POS") +
COUNTIFS(Pollution!A:A, 2019, Pollution!G:G, "s/l-NEG") +
COUNTIFS('Energy|Power'!A:A, 2019, 'Energy|Power'!G:G, "n") +
COUNTIFS('Energy|Power'!A:A, 2019, 'Energy|Power'!G:G, "s/l-UNC") +
COUNTIFS('Energy|Power'!A:A, 2019, 'Energy|Power'!G:G, "s/l-POS") +
COUNTIFS('Energy|Power'!A:A, 2019, 'Energy|Power'!G:G, "s/l-NEG") +
COUNTIFS(Industry!A:A, 2019, Industry!G:G, "n") +
COUNTIFS(Industry!A:A, 2019, Industry!G:G, "s/l-UNC") +
COUNTIFS(Industry!A:A, 2019, Industry!G:G, "s/l-POS") +
COUNTIFS(Industry!A:A, 2019, Industry!G:G, "s/l-NEG") +
COUNTIFS(Buildings!A:A, 2019, Buildings!G:G, "n") +
COUNTIFS(Buildings!A:A, 2019, Buildings!G:G, "s/l-UNC") +
COUNTIFS(Buildings!A:A, 2019, Buildings!G:G, "s/l-POS") +
COUNTIFS(Buildings!A:A, 2019, Buildings!G:G, "s/l-NEG") +
COUNTIFS(Transport!A:A, 2019, Transport!G:G, "n") +
COUNTIFS(Transport!A:A, 2019, Transport!G:G, "s/l-UNC") +
COUNTIFS(Transport!A:A, 2019, Transport!G:G, "s/l-POS") +
COUNTIFS(Transport!A:A, 2019, Transport!G:G, "s/l-NEG") +
COUNTIFS(LULUCF!A:A, 2019, LULUCF!G:G, "n") +
COUNTIFS(LULUCF!A:A, 2019, LULUCF!G:G, "s/l-UNC") +
COUNTIFS(LULUCF!A:A, 2019, LULUCF!G:G, "s/l-POS") +
COUNTIFS(LULUCF!A:A, 2019, LULUCF!G:G, "s/l-NEG") +
COUNTIFS('Circular Economy'!A:A, 2019, 'Circular Economy'!G:G, "n") +
COUNTIFS('Circular Economy'!A:A, 2019, 'Circular Economy'!G:G, "s/l-UNC") +
COUNTIFS('Circular Economy'!A:A, 2019, 'Circular Economy'!G:G, "s/l-POS") +
COUNTIFS('Circular Economy'!A:A, 2019, 'Circular Economy'!G:G, "s/l-NEG") +
COUNTIFS(Finance!A:A, 2019, Finance!G:G, "n") +
COUNTIFS(Finance!A:A, 2019, Finance!G:G, "s/l-UNC") +
COUNTIFS(Finance!A:A, 2019, Finance!G:G, "s/l-POS") +
COUNTIFS(Finance!A:A, 2019, Finance!G:G, "s/l-NEG")</f>
        <v/>
      </c>
      <c r="N21" s="73" t="n">
        <v>2022</v>
      </c>
      <c r="O21" s="74">
        <f>COUNTIFS('GHG Emissions'!F:F, 2022, 'GHG Emissions'!G:G, "n") +
COUNTIFS('GHG Emissions'!F:F, 2022, 'GHG Emissions'!G:G, "s/l-UNC") +
COUNTIFS('GHG Emissions'!F:F, 2022, 'GHG Emissions'!G:G, "s/l-POS") +
COUNTIFS('GHG Emissions'!F:F, 2022, 'GHG Emissions'!G:G, "s/l-NEG") +
COUNTIFS(Pollution!F:F, 2022, Pollution!G:G, "n") +
COUNTIFS(Pollution!F:F, 2022, Pollution!G:G, "s/l-UNC") +
COUNTIFS(Pollution!F:F, 2022, Pollution!G:G, "s/l-POS") +
COUNTIFS(Pollution!F:F, 2022, Pollution!G:G, "s/l-NEG") +
COUNTIFS('Energy|Power'!F:F, 2022, 'Energy|Power'!G:G, "n") +
COUNTIFS('Energy|Power'!F:F, 2022, 'Energy|Power'!G:G, "s/l-UNC") +
COUNTIFS('Energy|Power'!F:F, 2022, 'Energy|Power'!G:G, "s/l-POS") +
COUNTIFS('Energy|Power'!F:F, 2022, 'Energy|Power'!G:G, "s/l-NEG") +
COUNTIFS(Industry!F:F, 2022, Industry!G:G, "n") +
COUNTIFS(Industry!F:F, 2022, Industry!G:G, "s/l-UNC") +
COUNTIFS(Industry!F:F, 2022, Industry!G:G, "s/l-POS") +
COUNTIFS(Industry!F:F, 2022, Industry!G:G, "s/l-NEG") +
COUNTIFS(Buildings!F:F, 2022, Buildings!G:G, "n") +
COUNTIFS(Buildings!F:F, 2022, Buildings!G:G, "s/l-UNC") +
COUNTIFS(Buildings!F:F, 2022, Buildings!G:G, "s/l-POS") +
COUNTIFS(Buildings!F:F, 2022, Buildings!G:G, "s/l-NEG") +
COUNTIFS(Transport!F:F, 2022, Transport!G:G, "n") +
COUNTIFS(Transport!F:F, 2022, Transport!G:G, "s/l-UNC") +
COUNTIFS(Transport!F:F, 2022, Transport!G:G, "s/l-POS") +
COUNTIFS(Transport!F:F, 2022, Transport!G:G, "s/l-NEG") +
COUNTIFS(LULUCF!F:F, 2022, LULUCF!G:G, "n") +
COUNTIFS(LULUCF!F:F, 2022, LULUCF!G:G, "s/l-UNC") +
COUNTIFS(LULUCF!F:F, 2022, LULUCF!G:G, "s/l-POS") +
COUNTIFS(LULUCF!F:F, 2022, LULUCF!G:G, "s/l-NEG") +
COUNTIFS('Circular Economy'!F:F, 2022, 'Circular Economy'!G:G, "n") +
COUNTIFS('Circular Economy'!F:F, 2022, 'Circular Economy'!G:G, "s/l-UNC") +
COUNTIFS('Circular Economy'!F:F, 2022, 'Circular Economy'!G:G, "s/l-POS") +
COUNTIFS('Circular Economy'!F:F, 2022, 'Circular Economy'!G:G, "s/l-NEG") +
COUNTIFS(Finance!F:F, 2022, Finance!G:G, "n") +
COUNTIFS(Finance!F:F, 2022, Finance!G:G, "s/l-UNC") +
COUNTIFS(Finance!F:F, 2022, Finance!G:G, "s/l-POS") +
COUNTIFS(Finance!F:F, 2022, Finance!G:G, "s/l-NEG")</f>
        <v/>
      </c>
      <c r="Q21" s="75" t="inlineStr">
        <is>
          <t>Environmental quality</t>
        </is>
      </c>
      <c r="R21" s="74">
        <f>COUNTIFS('GHG Emissions'!H:H, "Environmental quality", 'GHG Emissions'!G:G, "n") +
COUNTIFS('GHG Emissions'!H:H, "Environmental quality", 'GHG Emissions'!G:G, "s/l-UNC") +
COUNTIFS('GHG Emissions'!H:H, "Environmental quality", 'GHG Emissions'!G:G, "s/l-POS") +
COUNTIFS('GHG Emissions'!H:H, "Environmental quality", 'GHG Emissions'!G:G, "s/l-NEG") +
COUNTIFS(Pollution!H:H, "Environmental quality", Pollution!G:G, "n") +
COUNTIFS(Pollution!H:H, "Environmental quality", Pollution!G:G, "s/l-UNC") +
COUNTIFS(Pollution!H:H, "Environmental quality", Pollution!G:G, "s/l-POS") +
COUNTIFS(Pollution!H:H, "Environmental quality", Pollution!G:G, "s/l-NEG") +
COUNTIFS('Energy|Power'!H:H, "Environmental quality", 'Energy|Power'!G:G, "n") +
COUNTIFS('Energy|Power'!H:H, "Environmental quality", 'Energy|Power'!G:G, "s/l-UNC") +
COUNTIFS('Energy|Power'!H:H, "Environmental quality", 'Energy|Power'!G:G, "s/l-POS") +
COUNTIFS('Energy|Power'!H:H, "Environmental quality", 'Energy|Power'!G:G, "s/l-NEG") +
COUNTIFS(Industry!H:H, "Environmental quality", Industry!G:G, "n") +
COUNTIFS(Industry!H:H, "Environmental quality", Industry!G:G, "s/l-UNC") +
COUNTIFS(Industry!H:H, "Environmental quality", Industry!G:G, "s/l-POS") +
COUNTIFS(Industry!H:H, "Environmental quality", Industry!G:G, "s/l-NEG") +
COUNTIFS(Buildings!H:H, "Environmental quality", Buildings!G:G, "n") +
COUNTIFS(Buildings!H:H, "Environmental quality", Buildings!G:G, "s/l-UNC") +
COUNTIFS(Buildings!H:H, "Environmental quality", Buildings!G:G, "s/l-POS") +
COUNTIFS(Buildings!H:H, "Environmental quality", Buildings!G:G, "s/l-NEG") +
COUNTIFS(Transport!H:H, "Environmental quality", Transport!G:G, "n") +
COUNTIFS(Transport!H:H, "Environmental quality", Transport!G:G, "s/l-UNC") +
COUNTIFS(Transport!H:H, "Environmental quality", Transport!G:G, "s/l-POS") +
COUNTIFS(Transport!H:H, "Environmental quality", Transport!G:G, "s/l-NEG") +
COUNTIFS(LULUCF!H:H, "Environmental quality", LULUCF!G:G, "n") +
COUNTIFS(LULUCF!H:H, "Environmental quality", LULUCF!G:G, "s/l-UNC") +
COUNTIFS(LULUCF!H:H, "Environmental quality", LULUCF!G:G, "s/l-POS") +
COUNTIFS(LULUCF!H:H, "Environmental quality", LULUCF!G:G, "s/l-NEG") +
COUNTIFS('Circular Economy'!H:H, "Environmental quality", 'Circular Economy'!G:G, "n") +
COUNTIFS('Circular Economy'!H:H, "Environmental quality", 'Circular Economy'!G:G, "s/l-UNC") +
COUNTIFS('Circular Economy'!H:H, "Environmental quality", 'Circular Economy'!G:G, "s/l-POS") +
COUNTIFS('Circular Economy'!H:H, "Environmental quality", 'Circular Economy'!G:G, "s/l-NEG") +
COUNTIFS(Finance!H:H, "Environmental quality", Finance!G:G, "n") +
COUNTIFS(Finance!H:H, "Environmental quality", Finance!G:G, "s/l-UNC") +
COUNTIFS(Finance!H:H, "Environmental quality", Finance!G:G, "s/l-POS") +
COUNTIFS(Finance!H:H, "Environmental quality", Finance!G:G, "s/l-NEG")</f>
        <v/>
      </c>
    </row>
    <row r="22" ht="19" customHeight="1" s="235">
      <c r="B22" s="39" t="n"/>
      <c r="C22" s="39" t="n"/>
      <c r="D22" s="39" t="n"/>
      <c r="E22" s="39" t="n"/>
      <c r="F22" s="39" t="n"/>
      <c r="K22" s="73" t="n">
        <v>2020</v>
      </c>
      <c r="L22" s="68">
        <f>COUNTIFS('GHG Emissions'!A:A, 2020, 'GHG Emissions'!G:G, "n") +
COUNTIFS('GHG Emissions'!A:A, 2020, 'GHG Emissions'!G:G, "s/l-UNC") +
COUNTIFS('GHG Emissions'!A:A, 2020, 'GHG Emissions'!G:G, "s/l-POS") +
COUNTIFS('GHG Emissions'!A:A, 2020, 'GHG Emissions'!G:G, "s/l-NEG") +
COUNTIFS(Pollution!A:A, 2020, Pollution!G:G, "n") +
COUNTIFS(Pollution!A:A, 2020, Pollution!G:G, "s/l-UNC") +
COUNTIFS(Pollution!A:A, 2020, Pollution!G:G, "s/l-POS") +
COUNTIFS(Pollution!A:A, 2020, Pollution!G:G, "s/l-NEG") +
COUNTIFS('Energy|Power'!A:A, 2020, 'Energy|Power'!G:G, "n") +
COUNTIFS('Energy|Power'!A:A, 2020, 'Energy|Power'!G:G, "s/l-UNC") +
COUNTIFS('Energy|Power'!A:A, 2020, 'Energy|Power'!G:G, "s/l-POS") +
COUNTIFS('Energy|Power'!A:A, 2020, 'Energy|Power'!G:G, "s/l-NEG") +
COUNTIFS(Industry!A:A, 2020, Industry!G:G, "n") +
COUNTIFS(Industry!A:A, 2020, Industry!G:G, "s/l-UNC") +
COUNTIFS(Industry!A:A, 2020, Industry!G:G, "s/l-POS") +
COUNTIFS(Industry!A:A, 2020, Industry!G:G, "s/l-NEG") +
COUNTIFS(Buildings!A:A, 2020, Buildings!G:G, "n") +
COUNTIFS(Buildings!A:A, 2020, Buildings!G:G, "s/l-UNC") +
COUNTIFS(Buildings!A:A, 2020, Buildings!G:G, "s/l-POS") +
COUNTIFS(Buildings!A:A, 2020, Buildings!G:G, "s/l-NEG") +
COUNTIFS(Transport!A:A, 2020, Transport!G:G, "n") +
COUNTIFS(Transport!A:A, 2020, Transport!G:G, "s/l-UNC") +
COUNTIFS(Transport!A:A, 2020, Transport!G:G, "s/l-POS") +
COUNTIFS(Transport!A:A, 2020, Transport!G:G, "s/l-NEG") +
COUNTIFS(LULUCF!A:A, 2020, LULUCF!G:G, "n") +
COUNTIFS(LULUCF!A:A, 2020, LULUCF!G:G, "s/l-UNC") +
COUNTIFS(LULUCF!A:A, 2020, LULUCF!G:G, "s/l-POS") +
COUNTIFS(LULUCF!A:A, 2020, LULUCF!G:G, "s/l-NEG") +
COUNTIFS('Circular Economy'!A:A, 2020, 'Circular Economy'!G:G, "n") +
COUNTIFS('Circular Economy'!A:A, 2020, 'Circular Economy'!G:G, "s/l-UNC") +
COUNTIFS('Circular Economy'!A:A, 2020, 'Circular Economy'!G:G, "s/l-POS") +
COUNTIFS('Circular Economy'!A:A, 2020, 'Circular Economy'!G:G, "s/l-NEG") +
COUNTIFS(Finance!A:A, 2020, Finance!G:G, "n") +
COUNTIFS(Finance!A:A, 2020, Finance!G:G, "s/l-UNC") +
COUNTIFS(Finance!A:A, 2020, Finance!G:G, "s/l-POS") +
COUNTIFS(Finance!A:A, 2020, Finance!G:G, "s/l-NEG")</f>
        <v/>
      </c>
      <c r="N22" s="73" t="n">
        <v>2023</v>
      </c>
      <c r="O22" s="74">
        <f>COUNTIFS('GHG Emissions'!F:F, 2023, 'GHG Emissions'!G:G, "n") +
COUNTIFS('GHG Emissions'!F:F, 2023, 'GHG Emissions'!G:G, "s/l-UNC") +
COUNTIFS('GHG Emissions'!F:F, 2023, 'GHG Emissions'!G:G, "s/l-POS") +
COUNTIFS('GHG Emissions'!F:F, 2023, 'GHG Emissions'!G:G, "s/l-NEG") +
COUNTIFS(Pollution!F:F, 2023, Pollution!G:G, "n") +
COUNTIFS(Pollution!F:F, 2023, Pollution!G:G, "s/l-UNC") +
COUNTIFS(Pollution!F:F, 2023, Pollution!G:G, "s/l-POS") +
COUNTIFS(Pollution!F:F, 2023, Pollution!G:G, "s/l-NEG") +
COUNTIFS('Energy|Power'!F:F, 2023, 'Energy|Power'!G:G, "n") +
COUNTIFS('Energy|Power'!F:F, 2023, 'Energy|Power'!G:G, "s/l-UNC") +
COUNTIFS('Energy|Power'!F:F, 2023, 'Energy|Power'!G:G, "s/l-POS") +
COUNTIFS('Energy|Power'!F:F, 2023, 'Energy|Power'!G:G, "s/l-NEG") +
COUNTIFS(Industry!F:F, 2023, Industry!G:G, "n") +
COUNTIFS(Industry!F:F, 2023, Industry!G:G, "s/l-UNC") +
COUNTIFS(Industry!F:F, 2023, Industry!G:G, "s/l-POS") +
COUNTIFS(Industry!F:F, 2023, Industry!G:G, "s/l-NEG") +
COUNTIFS(Buildings!F:F, 2023, Buildings!G:G, "n") +
COUNTIFS(Buildings!F:F, 2023, Buildings!G:G, "s/l-UNC") +
COUNTIFS(Buildings!F:F, 2023, Buildings!G:G, "s/l-POS") +
COUNTIFS(Buildings!F:F, 2023, Buildings!G:G, "s/l-NEG") +
COUNTIFS(Transport!F:F, 2023, Transport!G:G, "n") +
COUNTIFS(Transport!F:F, 2023, Transport!G:G, "s/l-UNC") +
COUNTIFS(Transport!F:F, 2023, Transport!G:G, "s/l-POS") +
COUNTIFS(Transport!F:F, 2023, Transport!G:G, "s/l-NEG") +
COUNTIFS(LULUCF!F:F, 2023, LULUCF!G:G, "n") +
COUNTIFS(LULUCF!F:F, 2023, LULUCF!G:G, "s/l-UNC") +
COUNTIFS(LULUCF!F:F, 2023, LULUCF!G:G, "s/l-POS") +
COUNTIFS(LULUCF!F:F, 2023, LULUCF!G:G, "s/l-NEG") +
COUNTIFS('Circular Economy'!F:F, 2023, 'Circular Economy'!G:G, "n") +
COUNTIFS('Circular Economy'!F:F, 2023, 'Circular Economy'!G:G, "s/l-UNC") +
COUNTIFS('Circular Economy'!F:F, 2023, 'Circular Economy'!G:G, "s/l-POS") +
COUNTIFS('Circular Economy'!F:F, 2023, 'Circular Economy'!G:G, "s/l-NEG") +
COUNTIFS(Finance!F:F, 2023, Finance!G:G, "n") +
COUNTIFS(Finance!F:F, 2023, Finance!G:G, "s/l-UNC") +
COUNTIFS(Finance!F:F, 2023, Finance!G:G, "s/l-POS") +
COUNTIFS(Finance!F:F, 2023, Finance!G:G, "s/l-NEG")</f>
        <v/>
      </c>
      <c r="Q22" s="75" t="inlineStr">
        <is>
          <t>Recycling</t>
        </is>
      </c>
      <c r="R22" s="74">
        <f>COUNTIFS('GHG Emissions'!H:H, "Recycling", 'GHG Emissions'!G:G, "n") +
COUNTIFS('GHG Emissions'!H:H, "Recycling", 'GHG Emissions'!G:G, "s/l-UNC") +
COUNTIFS('GHG Emissions'!H:H, "Recycling", 'GHG Emissions'!G:G, "s/l-POS") +
COUNTIFS('GHG Emissions'!H:H, "Recycling", 'GHG Emissions'!G:G, "s/l-NEG") +
COUNTIFS(Pollution!H:H, "Recycling", Pollution!G:G, "n") +
COUNTIFS(Pollution!H:H, "Recycling", Pollution!G:G, "s/l-UNC") +
COUNTIFS(Pollution!H:H, "Recycling", Pollution!G:G, "s/l-POS") +
COUNTIFS(Pollution!H:H, "Recycling", Pollution!G:G, "s/l-NEG") +
COUNTIFS('Energy|Power'!H:H, "Recycling", 'Energy|Power'!G:G, "n") +
COUNTIFS('Energy|Power'!H:H, "Recycling", 'Energy|Power'!G:G, "s/l-UNC") +
COUNTIFS('Energy|Power'!H:H, "Recycling", 'Energy|Power'!G:G, "s/l-POS") +
COUNTIFS('Energy|Power'!H:H, "Recycling", 'Energy|Power'!G:G, "s/l-NEG") +
COUNTIFS(Industry!H:H, "Recycling", Industry!G:G, "n") +
COUNTIFS(Industry!H:H, "Recycling", Industry!G:G, "s/l-UNC") +
COUNTIFS(Industry!H:H, "Recycling", Industry!G:G, "s/l-POS") +
COUNTIFS(Industry!H:H, "Recycling", Industry!G:G, "s/l-NEG") +
COUNTIFS(Buildings!H:H, "Recycling", Buildings!G:G, "n") +
COUNTIFS(Buildings!H:H, "Recycling", Buildings!G:G, "s/l-UNC") +
COUNTIFS(Buildings!H:H, "Recycling", Buildings!G:G, "s/l-POS") +
COUNTIFS(Buildings!H:H, "Recycling", Buildings!G:G, "s/l-NEG") +
COUNTIFS(Transport!H:H, "Recycling", Transport!G:G, "n") +
COUNTIFS(Transport!H:H, "Recycling", Transport!G:G, "s/l-UNC") +
COUNTIFS(Transport!H:H, "Recycling", Transport!G:G, "s/l-POS") +
COUNTIFS(Transport!H:H, "Recycling", Transport!G:G, "s/l-NEG") +
COUNTIFS(LULUCF!H:H, "Recycling", LULUCF!G:G, "n") +
COUNTIFS(LULUCF!H:H, "Recycling", LULUCF!G:G, "s/l-UNC") +
COUNTIFS(LULUCF!H:H, "Recycling", LULUCF!G:G, "s/l-POS") +
COUNTIFS(LULUCF!H:H, "Recycling", LULUCF!G:G, "s/l-NEG") +
COUNTIFS('Circular Economy'!H:H, "Recycling", 'Circular Economy'!G:G, "n") +
COUNTIFS('Circular Economy'!H:H, "Recycling", 'Circular Economy'!G:G, "s/l-UNC") +
COUNTIFS('Circular Economy'!H:H, "Recycling", 'Circular Economy'!G:G, "s/l-POS") +
COUNTIFS('Circular Economy'!H:H, "Recycling", 'Circular Economy'!G:G, "s/l-NEG") +
COUNTIFS(Finance!H:H, "Recycling", Finance!G:G, "n") +
COUNTIFS(Finance!H:H, "Recycling", Finance!G:G, "s/l-UNC") +
COUNTIFS(Finance!H:H, "Recycling", Finance!G:G, "s/l-POS") +
COUNTIFS(Finance!H:H, "Recycling", Finance!G:G, "s/l-NEG")</f>
        <v/>
      </c>
    </row>
    <row r="23" ht="19" customHeight="1" s="235">
      <c r="B23" s="39" t="n"/>
      <c r="C23" s="39" t="n"/>
      <c r="D23" s="39" t="n"/>
      <c r="E23" s="39" t="n"/>
      <c r="F23" s="39" t="n"/>
      <c r="K23" s="73" t="n">
        <v>2021</v>
      </c>
      <c r="L23" s="68">
        <f>COUNTIFS('GHG Emissions'!A:A, 2021, 'GHG Emissions'!G:G, "n") +
COUNTIFS('GHG Emissions'!A:A, 2021, 'GHG Emissions'!G:G, "s/l-UNC") +
COUNTIFS('GHG Emissions'!A:A, 2021, 'GHG Emissions'!G:G, "s/l-POS") +
COUNTIFS('GHG Emissions'!A:A, 2021, 'GHG Emissions'!G:G, "s/l-NEG") +
COUNTIFS(Pollution!A:A, 2021, Pollution!G:G, "n") +
COUNTIFS(Pollution!A:A, 2021, Pollution!G:G, "s/l-UNC") +
COUNTIFS(Pollution!A:A, 2021, Pollution!G:G, "s/l-POS") +
COUNTIFS(Pollution!A:A, 2021, Pollution!G:G, "s/l-NEG") +
COUNTIFS('Energy|Power'!A:A, 2021, 'Energy|Power'!G:G, "n") +
COUNTIFS('Energy|Power'!A:A, 2021, 'Energy|Power'!G:G, "s/l-UNC") +
COUNTIFS('Energy|Power'!A:A, 2021, 'Energy|Power'!G:G, "s/l-POS") +
COUNTIFS('Energy|Power'!A:A, 2021, 'Energy|Power'!G:G, "s/l-NEG") +
COUNTIFS(Industry!A:A, 2021, Industry!G:G, "n") +
COUNTIFS(Industry!A:A, 2021, Industry!G:G, "s/l-UNC") +
COUNTIFS(Industry!A:A, 2021, Industry!G:G, "s/l-POS") +
COUNTIFS(Industry!A:A, 2021, Industry!G:G, "s/l-NEG") +
COUNTIFS(Buildings!A:A, 2021, Buildings!G:G, "n") +
COUNTIFS(Buildings!A:A, 2021, Buildings!G:G, "s/l-UNC") +
COUNTIFS(Buildings!A:A, 2021, Buildings!G:G, "s/l-POS") +
COUNTIFS(Buildings!A:A, 2021, Buildings!G:G, "s/l-NEG") +
COUNTIFS(Transport!A:A, 2021, Transport!G:G, "n") +
COUNTIFS(Transport!A:A, 2021, Transport!G:G, "s/l-UNC") +
COUNTIFS(Transport!A:A, 2021, Transport!G:G, "s/l-POS") +
COUNTIFS(Transport!A:A, 2021, Transport!G:G, "s/l-NEG") +
COUNTIFS(LULUCF!A:A, 2021, LULUCF!G:G, "n") +
COUNTIFS(LULUCF!A:A, 2021, LULUCF!G:G, "s/l-UNC") +
COUNTIFS(LULUCF!A:A, 2021, LULUCF!G:G, "s/l-POS") +
COUNTIFS(LULUCF!A:A, 2021, LULUCF!G:G, "s/l-NEG") +
COUNTIFS('Circular Economy'!A:A, 2021, 'Circular Economy'!G:G, "n") +
COUNTIFS('Circular Economy'!A:A, 2021, 'Circular Economy'!G:G, "s/l-UNC") +
COUNTIFS('Circular Economy'!A:A, 2021, 'Circular Economy'!G:G, "s/l-POS") +
COUNTIFS('Circular Economy'!A:A, 2021, 'Circular Economy'!G:G, "s/l-NEG") +
COUNTIFS(Finance!A:A, 2021, Finance!G:G, "n") +
COUNTIFS(Finance!A:A, 2021, Finance!G:G, "s/l-UNC") +
COUNTIFS(Finance!A:A, 2021, Finance!G:G, "s/l-POS") +
COUNTIFS(Finance!A:A, 2021, Finance!G:G, "s/l-NEG")</f>
        <v/>
      </c>
      <c r="N23" s="73" t="n">
        <v>2024</v>
      </c>
      <c r="O23" s="74">
        <f>COUNTIFS('GHG Emissions'!F:F, 2024, 'GHG Emissions'!G:G, "n") +
COUNTIFS('GHG Emissions'!F:F, 2024, 'GHG Emissions'!G:G, "s/l-UNC") +
COUNTIFS('GHG Emissions'!F:F, 2024, 'GHG Emissions'!G:G, "s/l-POS") +
COUNTIFS('GHG Emissions'!F:F, 2024, 'GHG Emissions'!G:G, "s/l-NEG") +
COUNTIFS(Pollution!F:F, 2024, Pollution!G:G, "n") +
COUNTIFS(Pollution!F:F, 2024, Pollution!G:G, "s/l-UNC") +
COUNTIFS(Pollution!F:F, 2024, Pollution!G:G, "s/l-POS") +
COUNTIFS(Pollution!F:F, 2024, Pollution!G:G, "s/l-NEG") +
COUNTIFS('Energy|Power'!F:F, 2024, 'Energy|Power'!G:G, "n") +
COUNTIFS('Energy|Power'!F:F, 2024, 'Energy|Power'!G:G, "s/l-UNC") +
COUNTIFS('Energy|Power'!F:F, 2024, 'Energy|Power'!G:G, "s/l-POS") +
COUNTIFS('Energy|Power'!F:F, 2024, 'Energy|Power'!G:G, "s/l-NEG") +
COUNTIFS(Industry!F:F, 2024, Industry!G:G, "n") +
COUNTIFS(Industry!F:F, 2024, Industry!G:G, "s/l-UNC") +
COUNTIFS(Industry!F:F, 2024, Industry!G:G, "s/l-POS") +
COUNTIFS(Industry!F:F, 2024, Industry!G:G, "s/l-NEG") +
COUNTIFS(Buildings!F:F, 2024, Buildings!G:G, "n") +
COUNTIFS(Buildings!F:F, 2024, Buildings!G:G, "s/l-UNC") +
COUNTIFS(Buildings!F:F, 2024, Buildings!G:G, "s/l-POS") +
COUNTIFS(Buildings!F:F, 2024, Buildings!G:G, "s/l-NEG") +
COUNTIFS(Transport!F:F, 2024, Transport!G:G, "n") +
COUNTIFS(Transport!F:F, 2024, Transport!G:G, "s/l-UNC") +
COUNTIFS(Transport!F:F, 2024, Transport!G:G, "s/l-POS") +
COUNTIFS(Transport!F:F, 2024, Transport!G:G, "s/l-NEG") +
COUNTIFS(LULUCF!F:F, 2024, LULUCF!G:G, "n") +
COUNTIFS(LULUCF!F:F, 2024, LULUCF!G:G, "s/l-UNC") +
COUNTIFS(LULUCF!F:F, 2024, LULUCF!G:G, "s/l-POS") +
COUNTIFS(LULUCF!F:F, 2024, LULUCF!G:G, "s/l-NEG") +
COUNTIFS('Circular Economy'!F:F, 2024, 'Circular Economy'!G:G, "n") +
COUNTIFS('Circular Economy'!F:F, 2024, 'Circular Economy'!G:G, "s/l-UNC") +
COUNTIFS('Circular Economy'!F:F, 2024, 'Circular Economy'!G:G, "s/l-POS") +
COUNTIFS('Circular Economy'!F:F, 2024, 'Circular Economy'!G:G, "s/l-NEG") +
COUNTIFS(Finance!F:F, 2024, Finance!G:G, "n") +
COUNTIFS(Finance!F:F, 2024, Finance!G:G, "s/l-UNC") +
COUNTIFS(Finance!F:F, 2024, Finance!G:G, "s/l-POS") +
COUNTIFS(Finance!F:F, 2024, Finance!G:G, "s/l-NEG")</f>
        <v/>
      </c>
      <c r="Q23" s="79" t="inlineStr">
        <is>
          <t>Climate finance</t>
        </is>
      </c>
      <c r="R23" s="87">
        <f>COUNTIFS('GHG Emissions'!H:H, "Climate finance", 'GHG Emissions'!G:G, "n") +
COUNTIFS('GHG Emissions'!H:H, "Climate finance", 'GHG Emissions'!G:G, "s/l-UNC") +
COUNTIFS('GHG Emissions'!H:H, "Climate finance", 'GHG Emissions'!G:G, "s/l-POS") +
COUNTIFS('GHG Emissions'!H:H, "Climate finance", 'GHG Emissions'!G:G, "s/l-NEG") +
COUNTIFS(Pollution!H:H, "Climate finance", Pollution!G:G, "n") +
COUNTIFS(Pollution!H:H, "Climate finance", Pollution!G:G, "s/l-UNC") +
COUNTIFS(Pollution!H:H, "Climate finance", Pollution!G:G, "s/l-POS") +
COUNTIFS(Pollution!H:H, "Climate finance", Pollution!G:G, "s/l-NEG") +
COUNTIFS('Energy|Power'!H:H, "Climate finance", 'Energy|Power'!G:G, "n") +
COUNTIFS('Energy|Power'!H:H, "Climate finance", 'Energy|Power'!G:G, "s/l-UNC") +
COUNTIFS('Energy|Power'!H:H, "Climate finance", 'Energy|Power'!G:G, "s/l-POS") +
COUNTIFS('Energy|Power'!H:H, "Climate finance", 'Energy|Power'!G:G, "s/l-NEG") +
COUNTIFS(Industry!H:H, "Climate finance", Industry!G:G, "n") +
COUNTIFS(Industry!H:H, "Climate finance", Industry!G:G, "s/l-UNC") +
COUNTIFS(Industry!H:H, "Climate finance", Industry!G:G, "s/l-POS") +
COUNTIFS(Industry!H:H, "Climate finance", Industry!G:G, "s/l-NEG") +
COUNTIFS(Buildings!H:H, "Climate finance", Buildings!G:G, "n") +
COUNTIFS(Buildings!H:H, "Climate finance", Buildings!G:G, "s/l-UNC") +
COUNTIFS(Buildings!H:H, "Climate finance", Buildings!G:G, "s/l-POS") +
COUNTIFS(Buildings!H:H, "Climate finance", Buildings!G:G, "s/l-NEG") +
COUNTIFS(Transport!H:H, "Climate finance", Transport!G:G, "n") +
COUNTIFS(Transport!H:H, "Climate finance", Transport!G:G, "s/l-UNC") +
COUNTIFS(Transport!H:H, "Climate finance", Transport!G:G, "s/l-POS") +
COUNTIFS(Transport!H:H, "Climate finance", Transport!G:G, "s/l-NEG") +
COUNTIFS(LULUCF!H:H, "Climate finance", LULUCF!G:G, "n") +
COUNTIFS(LULUCF!H:H, "Climate finance", LULUCF!G:G, "s/l-UNC") +
COUNTIFS(LULUCF!H:H, "Climate finance", LULUCF!G:G, "s/l-POS") +
COUNTIFS(LULUCF!H:H, "Climate finance", LULUCF!G:G, "s/l-NEG") +
COUNTIFS('Circular Economy'!H:H, "Climate finance", 'Circular Economy'!G:G, "n") +
COUNTIFS('Circular Economy'!H:H, "Climate finance", 'Circular Economy'!G:G, "s/l-UNC") +
COUNTIFS('Circular Economy'!H:H, "Climate finance", 'Circular Economy'!G:G, "s/l-POS") +
COUNTIFS('Circular Economy'!H:H, "Climate finance", 'Circular Economy'!G:G, "s/l-NEG") +
COUNTIFS(Finance!H:H, "Climate finance", Finance!G:G, "n") +
COUNTIFS(Finance!H:H, "Climate finance", Finance!G:G, "s/l-UNC") +
COUNTIFS(Finance!H:H, "Climate finance", Finance!G:G, "s/l-POS") +
COUNTIFS(Finance!H:H, "Climate finance", Finance!G:G, "s/l-NEG")</f>
        <v/>
      </c>
    </row>
    <row r="24" ht="19" customHeight="1" s="235">
      <c r="K24" s="73" t="n">
        <v>2022</v>
      </c>
      <c r="L24" s="68">
        <f>COUNTIFS('GHG Emissions'!A:A, 2022, 'GHG Emissions'!G:G, "n") +
COUNTIFS('GHG Emissions'!A:A, 2022, 'GHG Emissions'!G:G, "s/l-UNC") +
COUNTIFS('GHG Emissions'!A:A, 2022, 'GHG Emissions'!G:G, "s/l-POS") +
COUNTIFS('GHG Emissions'!A:A, 2022, 'GHG Emissions'!G:G, "s/l-NEG") +
COUNTIFS(Pollution!A:A, 2022, Pollution!G:G, "n") +
COUNTIFS(Pollution!A:A, 2022, Pollution!G:G, "s/l-UNC") +
COUNTIFS(Pollution!A:A, 2022, Pollution!G:G, "s/l-POS") +
COUNTIFS(Pollution!A:A, 2022, Pollution!G:G, "s/l-NEG") +
COUNTIFS('Energy|Power'!A:A, 2022, 'Energy|Power'!G:G, "n") +
COUNTIFS('Energy|Power'!A:A, 2022, 'Energy|Power'!G:G, "s/l-UNC") +
COUNTIFS('Energy|Power'!A:A, 2022, 'Energy|Power'!G:G, "s/l-POS") +
COUNTIFS('Energy|Power'!A:A, 2022, 'Energy|Power'!G:G, "s/l-NEG") +
COUNTIFS(Industry!A:A, 2022, Industry!G:G, "n") +
COUNTIFS(Industry!A:A, 2022, Industry!G:G, "s/l-UNC") +
COUNTIFS(Industry!A:A, 2022, Industry!G:G, "s/l-POS") +
COUNTIFS(Industry!A:A, 2022, Industry!G:G, "s/l-NEG") +
COUNTIFS(Buildings!A:A, 2022, Buildings!G:G, "n") +
COUNTIFS(Buildings!A:A, 2022, Buildings!G:G, "s/l-UNC") +
COUNTIFS(Buildings!A:A, 2022, Buildings!G:G, "s/l-POS") +
COUNTIFS(Buildings!A:A, 2022, Buildings!G:G, "s/l-NEG") +
COUNTIFS(Transport!A:A, 2022, Transport!G:G, "n") +
COUNTIFS(Transport!A:A, 2022, Transport!G:G, "s/l-UNC") +
COUNTIFS(Transport!A:A, 2022, Transport!G:G, "s/l-POS") +
COUNTIFS(Transport!A:A, 2022, Transport!G:G, "s/l-NEG") +
COUNTIFS(LULUCF!A:A, 2022, LULUCF!G:G, "n") +
COUNTIFS(LULUCF!A:A, 2022, LULUCF!G:G, "s/l-UNC") +
COUNTIFS(LULUCF!A:A, 2022, LULUCF!G:G, "s/l-POS") +
COUNTIFS(LULUCF!A:A, 2022, LULUCF!G:G, "s/l-NEG") +
COUNTIFS('Circular Economy'!A:A, 2022, 'Circular Economy'!G:G, "n") +
COUNTIFS('Circular Economy'!A:A, 2022, 'Circular Economy'!G:G, "s/l-UNC") +
COUNTIFS('Circular Economy'!A:A, 2022, 'Circular Economy'!G:G, "s/l-POS") +
COUNTIFS('Circular Economy'!A:A, 2022, 'Circular Economy'!G:G, "s/l-NEG") +
COUNTIFS(Finance!A:A, 2022, Finance!G:G, "n") +
COUNTIFS(Finance!A:A, 2022, Finance!G:G, "s/l-UNC") +
COUNTIFS(Finance!A:A, 2022, Finance!G:G, "s/l-POS") +
COUNTIFS(Finance!A:A, 2022, Finance!G:G, "s/l-NEG")</f>
        <v/>
      </c>
      <c r="N24" s="73" t="n">
        <v>2025</v>
      </c>
      <c r="O24" s="74">
        <f>COUNTIFS('GHG Emissions'!F:F, 2025, 'GHG Emissions'!G:G, "n") +
COUNTIFS('GHG Emissions'!F:F, 2025, 'GHG Emissions'!G:G, "s/l-UNC") +
COUNTIFS('GHG Emissions'!F:F, 2025, 'GHG Emissions'!G:G, "s/l-POS") +
COUNTIFS('GHG Emissions'!F:F, 2025, 'GHG Emissions'!G:G, "s/l-NEG") +
COUNTIFS(Pollution!F:F, 2025, Pollution!G:G, "n") +
COUNTIFS(Pollution!F:F, 2025, Pollution!G:G, "s/l-UNC") +
COUNTIFS(Pollution!F:F, 2025, Pollution!G:G, "s/l-POS") +
COUNTIFS(Pollution!F:F, 2025, Pollution!G:G, "s/l-NEG") +
COUNTIFS('Energy|Power'!F:F, 2025, 'Energy|Power'!G:G, "n") +
COUNTIFS('Energy|Power'!F:F, 2025, 'Energy|Power'!G:G, "s/l-UNC") +
COUNTIFS('Energy|Power'!F:F, 2025, 'Energy|Power'!G:G, "s/l-POS") +
COUNTIFS('Energy|Power'!F:F, 2025, 'Energy|Power'!G:G, "s/l-NEG") +
COUNTIFS(Industry!F:F, 2025, Industry!G:G, "n") +
COUNTIFS(Industry!F:F, 2025, Industry!G:G, "s/l-UNC") +
COUNTIFS(Industry!F:F, 2025, Industry!G:G, "s/l-POS") +
COUNTIFS(Industry!F:F, 2025, Industry!G:G, "s/l-NEG") +
COUNTIFS(Buildings!F:F, 2025, Buildings!G:G, "n") +
COUNTIFS(Buildings!F:F, 2025, Buildings!G:G, "s/l-UNC") +
COUNTIFS(Buildings!F:F, 2025, Buildings!G:G, "s/l-POS") +
COUNTIFS(Buildings!F:F, 2025, Buildings!G:G, "s/l-NEG") +
COUNTIFS(Transport!F:F, 2025, Transport!G:G, "n") +
COUNTIFS(Transport!F:F, 2025, Transport!G:G, "s/l-UNC") +
COUNTIFS(Transport!F:F, 2025, Transport!G:G, "s/l-POS") +
COUNTIFS(Transport!F:F, 2025, Transport!G:G, "s/l-NEG") +
COUNTIFS(LULUCF!F:F, 2025, LULUCF!G:G, "n") +
COUNTIFS(LULUCF!F:F, 2025, LULUCF!G:G, "s/l-UNC") +
COUNTIFS(LULUCF!F:F, 2025, LULUCF!G:G, "s/l-POS") +
COUNTIFS(LULUCF!F:F, 2025, LULUCF!G:G, "s/l-NEG") +
COUNTIFS('Circular Economy'!F:F, 2025, 'Circular Economy'!G:G, "n") +
COUNTIFS('Circular Economy'!F:F, 2025, 'Circular Economy'!G:G, "s/l-UNC") +
COUNTIFS('Circular Economy'!F:F, 2025, 'Circular Economy'!G:G, "s/l-POS") +
COUNTIFS('Circular Economy'!F:F, 2025, 'Circular Economy'!G:G, "s/l-NEG") +
COUNTIFS(Finance!F:F, 2025, Finance!G:G, "n") +
COUNTIFS(Finance!F:F, 2025, Finance!G:G, "s/l-UNC") +
COUNTIFS(Finance!F:F, 2025, Finance!G:G, "s/l-POS") +
COUNTIFS(Finance!F:F, 2025, Finance!G:G, "s/l-NEG")</f>
        <v/>
      </c>
    </row>
    <row r="25" ht="19" customHeight="1" s="235">
      <c r="K25" s="73" t="n">
        <v>2023</v>
      </c>
      <c r="L25" s="68">
        <f>COUNTIFS('GHG Emissions'!A:A, 2023, 'GHG Emissions'!G:G, "n") +
COUNTIFS('GHG Emissions'!A:A, 2023, 'GHG Emissions'!G:G, "s/l-UNC") +
COUNTIFS('GHG Emissions'!A:A, 2023, 'GHG Emissions'!G:G, "s/l-POS") +
COUNTIFS('GHG Emissions'!A:A, 2023, 'GHG Emissions'!G:G, "s/l-NEG") +
COUNTIFS(Pollution!A:A, 2023, Pollution!G:G, "n") +
COUNTIFS(Pollution!A:A, 2023, Pollution!G:G, "s/l-UNC") +
COUNTIFS(Pollution!A:A, 2023, Pollution!G:G, "s/l-POS") +
COUNTIFS(Pollution!A:A, 2023, Pollution!G:G, "s/l-NEG") +
COUNTIFS('Energy|Power'!A:A, 2023, 'Energy|Power'!G:G, "n") +
COUNTIFS('Energy|Power'!A:A, 2023, 'Energy|Power'!G:G, "s/l-UNC") +
COUNTIFS('Energy|Power'!A:A, 2023, 'Energy|Power'!G:G, "s/l-POS") +
COUNTIFS('Energy|Power'!A:A, 2023, 'Energy|Power'!G:G, "s/l-NEG") +
COUNTIFS(Industry!A:A, 2023, Industry!G:G, "n") +
COUNTIFS(Industry!A:A, 2023, Industry!G:G, "s/l-UNC") +
COUNTIFS(Industry!A:A, 2023, Industry!G:G, "s/l-POS") +
COUNTIFS(Industry!A:A, 2023, Industry!G:G, "s/l-NEG") +
COUNTIFS(Buildings!A:A, 2023, Buildings!G:G, "n") +
COUNTIFS(Buildings!A:A, 2023, Buildings!G:G, "s/l-UNC") +
COUNTIFS(Buildings!A:A, 2023, Buildings!G:G, "s/l-POS") +
COUNTIFS(Buildings!A:A, 2023, Buildings!G:G, "s/l-NEG") +
COUNTIFS(Transport!A:A, 2023, Transport!G:G, "n") +
COUNTIFS(Transport!A:A, 2023, Transport!G:G, "s/l-UNC") +
COUNTIFS(Transport!A:A, 2023, Transport!G:G, "s/l-POS") +
COUNTIFS(Transport!A:A, 2023, Transport!G:G, "s/l-NEG") +
COUNTIFS(LULUCF!A:A, 2023, LULUCF!G:G, "n") +
COUNTIFS(LULUCF!A:A, 2023, LULUCF!G:G, "s/l-UNC") +
COUNTIFS(LULUCF!A:A, 2023, LULUCF!G:G, "s/l-POS") +
COUNTIFS(LULUCF!A:A, 2023, LULUCF!G:G, "s/l-NEG") +
COUNTIFS('Circular Economy'!A:A, 2023, 'Circular Economy'!G:G, "n") +
COUNTIFS('Circular Economy'!A:A, 2023, 'Circular Economy'!G:G, "s/l-UNC") +
COUNTIFS('Circular Economy'!A:A, 2023, 'Circular Economy'!G:G, "s/l-POS") +
COUNTIFS('Circular Economy'!A:A, 2023, 'Circular Economy'!G:G, "s/l-NEG") +
COUNTIFS(Finance!A:A, 2023, Finance!G:G, "n") +
COUNTIFS(Finance!A:A, 2023, Finance!G:G, "s/l-UNC") +
COUNTIFS(Finance!A:A, 2023, Finance!G:G, "s/l-POS") +
COUNTIFS(Finance!A:A, 2023, Finance!G:G, "s/l-NEG")</f>
        <v/>
      </c>
      <c r="N25" s="73" t="inlineStr">
        <is>
          <t>14th FYP</t>
        </is>
      </c>
      <c r="O25" s="74">
        <f>COUNTIFS('GHG Emissions'!F:F, "14th FYP", 'GHG Emissions'!G:G, "n") +
COUNTIFS('GHG Emissions'!F:F, "14th FYP", 'GHG Emissions'!G:G, "s/l-UNC") +
COUNTIFS('GHG Emissions'!F:F, "14th FYP", 'GHG Emissions'!G:G, "s/l-POS") +
COUNTIFS('GHG Emissions'!F:F, "14th FYP", 'GHG Emissions'!G:G, "s/l-NEG") +
COUNTIFS(Pollution!F:F, "14th FYP", Pollution!G:G, "n") +
COUNTIFS(Pollution!F:F, "14th FYP", Pollution!G:G, "s/l-UNC") +
COUNTIFS(Pollution!F:F, "14th FYP", Pollution!G:G, "s/l-POS") +
COUNTIFS(Pollution!F:F, "14th FYP", Pollution!G:G, "s/l-NEG") +
COUNTIFS('Energy|Power'!F:F, "14th FYP", 'Energy|Power'!G:G, "n") +
COUNTIFS('Energy|Power'!F:F, "14th FYP", 'Energy|Power'!G:G, "s/l-UNC") +
COUNTIFS('Energy|Power'!F:F, "14th FYP", 'Energy|Power'!G:G, "s/l-POS") +
COUNTIFS('Energy|Power'!F:F, "14th FYP", 'Energy|Power'!G:G, "s/l-NEG") +
COUNTIFS(Industry!F:F, "14th FYP", Industry!G:G, "n") +
COUNTIFS(Industry!F:F, "14th FYP", Industry!G:G, "s/l-UNC") +
COUNTIFS(Industry!F:F, "14th FYP", Industry!G:G, "s/l-POS") +
COUNTIFS(Industry!F:F, "14th FYP", Industry!G:G, "s/l-NEG") +
COUNTIFS(Buildings!F:F, "14th FYP", Buildings!G:G, "n") +
COUNTIFS(Buildings!F:F, "14th FYP", Buildings!G:G, "s/l-UNC") +
COUNTIFS(Buildings!F:F, "14th FYP", Buildings!G:G, "s/l-POS") +
COUNTIFS(Buildings!F:F, "14th FYP", Buildings!G:G, "s/l-NEG") +
COUNTIFS(Transport!F:F, "14th FYP", Transport!G:G, "n") +
COUNTIFS(Transport!F:F, "14th FYP", Transport!G:G, "s/l-UNC") +
COUNTIFS(Transport!F:F, "14th FYP", Transport!G:G, "s/l-POS") +
COUNTIFS(Transport!F:F, "14th FYP", Transport!G:G, "s/l-NEG") +
COUNTIFS(LULUCF!F:F, "14th FYP", LULUCF!G:G, "n") +
COUNTIFS(LULUCF!F:F, "14th FYP", LULUCF!G:G, "s/l-UNC") +
COUNTIFS(LULUCF!F:F, "14th FYP", LULUCF!G:G, "s/l-POS") +
COUNTIFS(LULUCF!F:F, "14th FYP", LULUCF!G:G, "s/l-NEG") +
COUNTIFS('Circular Economy'!F:F, "14th FYP", 'Circular Economy'!G:G, "n") +
COUNTIFS('Circular Economy'!F:F, "14th FYP", 'Circular Economy'!G:G, "s/l-UNC") +
COUNTIFS('Circular Economy'!F:F, "14th FYP", 'Circular Economy'!G:G, "s/l-POS") +
COUNTIFS('Circular Economy'!F:F, "14th FYP", 'Circular Economy'!G:G, "s/l-NEG") +
COUNTIFS(Finance!F:F, "14th FYP", Finance!G:G, "n") +
COUNTIFS(Finance!F:F, "14th FYP", Finance!G:G, "s/l-UNC") +
COUNTIFS(Finance!F:F, "14th FYP", Finance!G:G, "s/l-POS") +
COUNTIFS(Finance!F:F, "14th FYP", Finance!G:G, "s/l-NEG")</f>
        <v/>
      </c>
    </row>
    <row r="26" ht="19" customHeight="1" s="235">
      <c r="K26" s="73" t="n">
        <v>2024</v>
      </c>
      <c r="L26" s="68">
        <f>COUNTIFS('GHG Emissions'!A:A, 2024, 'GHG Emissions'!G:G, "n") +
COUNTIFS('GHG Emissions'!A:A, 2024, 'GHG Emissions'!G:G, "s/l-UNC") +
COUNTIFS('GHG Emissions'!A:A, 2024, 'GHG Emissions'!G:G, "s/l-POS") +
COUNTIFS('GHG Emissions'!A:A, 2024, 'GHG Emissions'!G:G, "s/l-NEG") +
COUNTIFS(Pollution!A:A, 2024, Pollution!G:G, "n") +
COUNTIFS(Pollution!A:A, 2024, Pollution!G:G, "s/l-UNC") +
COUNTIFS(Pollution!A:A, 2024, Pollution!G:G, "s/l-POS") +
COUNTIFS(Pollution!A:A, 2024, Pollution!G:G, "s/l-NEG") +
COUNTIFS('Energy|Power'!A:A, 2024, 'Energy|Power'!G:G, "n") +
COUNTIFS('Energy|Power'!A:A, 2024, 'Energy|Power'!G:G, "s/l-UNC") +
COUNTIFS('Energy|Power'!A:A, 2024, 'Energy|Power'!G:G, "s/l-POS") +
COUNTIFS('Energy|Power'!A:A, 2024, 'Energy|Power'!G:G, "s/l-NEG") +
COUNTIFS(Industry!A:A, 2024, Industry!G:G, "n") +
COUNTIFS(Industry!A:A, 2024, Industry!G:G, "s/l-UNC") +
COUNTIFS(Industry!A:A, 2024, Industry!G:G, "s/l-POS") +
COUNTIFS(Industry!A:A, 2024, Industry!G:G, "s/l-NEG") +
COUNTIFS(Buildings!A:A, 2024, Buildings!G:G, "n") +
COUNTIFS(Buildings!A:A, 2024, Buildings!G:G, "s/l-UNC") +
COUNTIFS(Buildings!A:A, 2024, Buildings!G:G, "s/l-POS") +
COUNTIFS(Buildings!A:A, 2024, Buildings!G:G, "s/l-NEG") +
COUNTIFS(Transport!A:A, 2024, Transport!G:G, "n") +
COUNTIFS(Transport!A:A, 2024, Transport!G:G, "s/l-UNC") +
COUNTIFS(Transport!A:A, 2024, Transport!G:G, "s/l-POS") +
COUNTIFS(Transport!A:A, 2024, Transport!G:G, "s/l-NEG") +
COUNTIFS(LULUCF!A:A, 2024, LULUCF!G:G, "n") +
COUNTIFS(LULUCF!A:A, 2024, LULUCF!G:G, "s/l-UNC") +
COUNTIFS(LULUCF!A:A, 2024, LULUCF!G:G, "s/l-POS") +
COUNTIFS(LULUCF!A:A, 2024, LULUCF!G:G, "s/l-NEG") +
COUNTIFS('Circular Economy'!A:A, 2024, 'Circular Economy'!G:G, "n") +
COUNTIFS('Circular Economy'!A:A, 2024, 'Circular Economy'!G:G, "s/l-UNC") +
COUNTIFS('Circular Economy'!A:A, 2024, 'Circular Economy'!G:G, "s/l-POS") +
COUNTIFS('Circular Economy'!A:A, 2024, 'Circular Economy'!G:G, "s/l-NEG") +
COUNTIFS(Finance!A:A, 2024, Finance!G:G, "n") +
COUNTIFS(Finance!A:A, 2024, Finance!G:G, "s/l-UNC") +
COUNTIFS(Finance!A:A, 2024, Finance!G:G, "s/l-POS") +
COUNTIFS(Finance!A:A, 2024, Finance!G:G, "s/l-NEG")</f>
        <v/>
      </c>
      <c r="N26" s="73" t="n">
        <v>2027</v>
      </c>
      <c r="O26" s="74">
        <f>COUNTIFS('GHG Emissions'!F:F, 2027, 'GHG Emissions'!G:G, "n") +
COUNTIFS('GHG Emissions'!F:F, 2027, 'GHG Emissions'!G:G, "s/l-UNC") +
COUNTIFS('GHG Emissions'!F:F, 2027, 'GHG Emissions'!G:G, "s/l-POS") +
COUNTIFS('GHG Emissions'!F:F, 2027, 'GHG Emissions'!G:G, "s/l-NEG") +
COUNTIFS(Pollution!F:F, 2027, Pollution!G:G, "n") +
COUNTIFS(Pollution!F:F, 2027, Pollution!G:G, "s/l-UNC") +
COUNTIFS(Pollution!F:F, 2027, Pollution!G:G, "s/l-POS") +
COUNTIFS(Pollution!F:F, 2027, Pollution!G:G, "s/l-NEG") +
COUNTIFS('Energy|Power'!F:F, 2027, 'Energy|Power'!G:G, "n") +
COUNTIFS('Energy|Power'!F:F, 2027, 'Energy|Power'!G:G, "s/l-UNC") +
COUNTIFS('Energy|Power'!F:F, 2027, 'Energy|Power'!G:G, "s/l-POS") +
COUNTIFS('Energy|Power'!F:F, 2027, 'Energy|Power'!G:G, "s/l-NEG") +
COUNTIFS(Industry!F:F, 2027, Industry!G:G, "n") +
COUNTIFS(Industry!F:F, 2027, Industry!G:G, "s/l-UNC") +
COUNTIFS(Industry!F:F, 2027, Industry!G:G, "s/l-POS") +
COUNTIFS(Industry!F:F, 2027, Industry!G:G, "s/l-NEG") +
COUNTIFS(Buildings!F:F, 2027, Buildings!G:G, "n") +
COUNTIFS(Buildings!F:F, 2027, Buildings!G:G, "s/l-UNC") +
COUNTIFS(Buildings!F:F, 2027, Buildings!G:G, "s/l-POS") +
COUNTIFS(Buildings!F:F, 2027, Buildings!G:G, "s/l-NEG") +
COUNTIFS(Transport!F:F, 2027, Transport!G:G, "n") +
COUNTIFS(Transport!F:F, 2027, Transport!G:G, "s/l-UNC") +
COUNTIFS(Transport!F:F, 2027, Transport!G:G, "s/l-POS") +
COUNTIFS(Transport!F:F, 2027, Transport!G:G, "s/l-NEG") +
COUNTIFS(LULUCF!F:F, 2027, LULUCF!G:G, "n") +
COUNTIFS(LULUCF!F:F, 2027, LULUCF!G:G, "s/l-UNC") +
COUNTIFS(LULUCF!F:F, 2027, LULUCF!G:G, "s/l-POS") +
COUNTIFS(LULUCF!F:F, 2027, LULUCF!G:G, "s/l-NEG") +
COUNTIFS('Circular Economy'!F:F, 2027, 'Circular Economy'!G:G, "n") +
COUNTIFS('Circular Economy'!F:F, 2027, 'Circular Economy'!G:G, "s/l-UNC") +
COUNTIFS('Circular Economy'!F:F, 2027, 'Circular Economy'!G:G, "s/l-POS") +
COUNTIFS('Circular Economy'!F:F, 2027, 'Circular Economy'!G:G, "s/l-NEG") +
COUNTIFS(Finance!F:F, 2027, Finance!G:G, "n") +
COUNTIFS(Finance!F:F, 2027, Finance!G:G, "s/l-UNC") +
COUNTIFS(Finance!F:F, 2027, Finance!G:G, "s/l-POS") +
COUNTIFS(Finance!F:F, 2027, Finance!G:G, "s/l-NEG")</f>
        <v/>
      </c>
    </row>
    <row r="27" ht="19" customHeight="1" s="235">
      <c r="K27" s="73" t="n">
        <v>2025</v>
      </c>
      <c r="L27" s="68">
        <f>COUNTIFS('GHG Emissions'!B:B, 2025, 'GHG Emissions'!G:G, "n") +
COUNTIFS('GHG Emissions'!B:B, 2025, 'GHG Emissions'!G:G, "s/l-UNC") +
COUNTIFS('GHG Emissions'!B:B, 2025, 'GHG Emissions'!G:G, "s/l-POS") +
COUNTIFS('GHG Emissions'!B:B, 2025, 'GHG Emissions'!G:G, "s/l-NEG") +
COUNTIFS(Pollution!A:A, 2025, Pollution!G:G, "n") +
COUNTIFS(Pollution!A:A, 2025, Pollution!G:G, "s/l-UNC") +
COUNTIFS(Pollution!A:A, 2025, Pollution!G:G, "s/l-POS") +
COUNTIFS(Pollution!A:A, 2025, Pollution!G:G, "s/l-NEG") +
COUNTIFS('Energy|Power'!A:A, 2025, 'Energy|Power'!G:G, "n") +
COUNTIFS('Energy|Power'!A:A, 2025, 'Energy|Power'!G:G, "s/l-UNC") +
COUNTIFS('Energy|Power'!A:A, 2025, 'Energy|Power'!G:G, "s/l-POS") +
COUNTIFS('Energy|Power'!A:A, 2025, 'Energy|Power'!G:G, "s/l-NEG") +
COUNTIFS(Industry!A:A, 2025, Industry!G:G, "n") +
COUNTIFS(Industry!A:A, 2025, Industry!G:G, "s/l-UNC") +
COUNTIFS(Industry!A:A, 2025, Industry!G:G, "s/l-POS") +
COUNTIFS(Industry!A:A, 2025, Industry!G:G, "s/l-NEG") +
COUNTIFS(Buildings!B:B, 2025, Buildings!G:G, "n") +
COUNTIFS(Buildings!B:B, 2025, Buildings!G:G, "s/l-UNC") +
COUNTIFS(Buildings!B:B, 2025, Buildings!G:G, "s/l-POS") +
COUNTIFS(Buildings!B:B, 2025, Buildings!G:G, "s/l-NEG") +
COUNTIFS(Transport!A:A, 2025, Transport!G:G, "n") +
COUNTIFS(Transport!A:A, 2025, Transport!G:G, "s/l-UNC") +
COUNTIFS(Transport!A:A, 2025, Transport!G:G, "s/l-POS") +
COUNTIFS(Transport!A:A, 2025, Transport!G:G, "s/l-NEG") +
COUNTIFS(LULUCF!A:A, 2025, LULUCF!G:G, "n") +
COUNTIFS(LULUCF!A:A, 2025, LULUCF!G:G, "s/l-UNC") +
COUNTIFS(LULUCF!A:A, 2025, LULUCF!G:G, "s/l-POS") +
COUNTIFS(LULUCF!A:A, 2025, LULUCF!G:G, "s/l-NEG") +
COUNTIFS('Circular Economy'!A:A, 2025, 'Circular Economy'!G:G, "n") +
COUNTIFS('Circular Economy'!A:A, 2025, 'Circular Economy'!G:G, "s/l-UNC") +
COUNTIFS('Circular Economy'!A:A, 2025, 'Circular Economy'!G:G, "s/l-POS") +
COUNTIFS('Circular Economy'!A:A, 2025, 'Circular Economy'!G:G, "s/l-NEG") +
COUNTIFS(Finance!A:A, 2025, Finance!G:G, "n") +
COUNTIFS(Finance!A:A, 2025, Finance!G:G, "s/l-UNC") +
COUNTIFS(Finance!A:A, 2025, Finance!G:G, "s/l-POS") +
COUNTIFS(Finance!A:A, 2025, Finance!G:G, "s/l-NEG")</f>
        <v/>
      </c>
      <c r="N27" s="73" t="n">
        <v>2030</v>
      </c>
      <c r="O27" s="74">
        <f>COUNTIFS('GHG Emissions'!F:F, 2030, 'GHG Emissions'!G:G, "n") +
COUNTIFS('GHG Emissions'!F:F, 2030, 'GHG Emissions'!G:G, "s/l-UNC") +
COUNTIFS('GHG Emissions'!F:F, 2030, 'GHG Emissions'!G:G, "s/l-POS") +
COUNTIFS('GHG Emissions'!F:F, 2030, 'GHG Emissions'!G:G, "s/l-NEG") +
COUNTIFS(Pollution!F:F, 2030, Pollution!G:G, "n") +
COUNTIFS(Pollution!F:F, 2030, Pollution!G:G, "s/l-UNC") +
COUNTIFS(Pollution!F:F, 2030, Pollution!G:G, "s/l-POS") +
COUNTIFS(Pollution!F:F, 2030, Pollution!G:G, "s/l-NEG") +
COUNTIFS('Energy|Power'!F:F, 2030, 'Energy|Power'!G:G, "n") +
COUNTIFS('Energy|Power'!F:F, 2030, 'Energy|Power'!G:G, "s/l-UNC") +
COUNTIFS('Energy|Power'!F:F, 2030, 'Energy|Power'!G:G, "s/l-POS") +
COUNTIFS('Energy|Power'!F:F, 2030, 'Energy|Power'!G:G, "s/l-NEG") +
COUNTIFS(Industry!F:F, 2030, Industry!G:G, "n") +
COUNTIFS(Industry!F:F, 2030, Industry!G:G, "s/l-UNC") +
COUNTIFS(Industry!F:F, 2030, Industry!G:G, "s/l-POS") +
COUNTIFS(Industry!F:F, 2030, Industry!G:G, "s/l-NEG") +
COUNTIFS(Buildings!F:F, 2030, Buildings!G:G, "n") +
COUNTIFS(Buildings!F:F, 2030, Buildings!G:G, "s/l-UNC") +
COUNTIFS(Buildings!F:F, 2030, Buildings!G:G, "s/l-POS") +
COUNTIFS(Buildings!F:F, 2030, Buildings!G:G, "s/l-NEG") +
COUNTIFS(Transport!F:F, 2030, Transport!G:G, "n") +
COUNTIFS(Transport!F:F, 2030, Transport!G:G, "s/l-UNC") +
COUNTIFS(Transport!F:F, 2030, Transport!G:G, "s/l-POS") +
COUNTIFS(Transport!F:F, 2030, Transport!G:G, "s/l-NEG") +
COUNTIFS(LULUCF!F:F, 2030, LULUCF!G:G, "n") +
COUNTIFS(LULUCF!F:F, 2030, LULUCF!G:G, "s/l-UNC") +
COUNTIFS(LULUCF!F:F, 2030, LULUCF!G:G, "s/l-POS") +
COUNTIFS(LULUCF!F:F, 2030, LULUCF!G:G, "s/l-NEG") +
COUNTIFS('Circular Economy'!F:F, 2030, 'Circular Economy'!G:G, "n") +
COUNTIFS('Circular Economy'!F:F, 2030, 'Circular Economy'!G:G, "s/l-UNC") +
COUNTIFS('Circular Economy'!F:F, 2030, 'Circular Economy'!G:G, "s/l-POS") +
COUNTIFS('Circular Economy'!F:F, 2030, 'Circular Economy'!G:G, "s/l-NEG") +
COUNTIFS(Finance!F:F, 2030, Finance!G:G, "n") +
COUNTIFS(Finance!F:F, 2030, Finance!G:G, "s/l-UNC") +
COUNTIFS(Finance!F:F, 2030, Finance!G:G, "s/l-POS") +
COUNTIFS(Finance!F:F, 2030, Finance!G:G, "s/l-NEG")</f>
        <v/>
      </c>
    </row>
    <row r="28" ht="19" customHeight="1" s="235">
      <c r="K28" s="88" t="n">
        <v>2026</v>
      </c>
      <c r="L28" s="77">
        <f>COUNTIFS('GHG Emissions'!B:B, 2026, 'GHG Emissions'!G:G, "n") +
COUNTIFS('GHG Emissions'!B:B, 2026, 'GHG Emissions'!G:G, "s/l-UNC") +
COUNTIFS('GHG Emissions'!B:B, 2026, 'GHG Emissions'!G:G, "s/l-POS") +
COUNTIFS('GHG Emissions'!B:B, 2026, 'GHG Emissions'!G:G, "s/l-NEG") +
COUNTIFS(Pollution!A:A, 2026, Pollution!G:G, "n") +
COUNTIFS(Pollution!A:A, 2026, Pollution!G:G, "s/l-UNC") +
COUNTIFS(Pollution!A:A, 2026, Pollution!G:G, "s/l-POS") +
COUNTIFS(Pollution!A:A, 2026, Pollution!G:G, "s/l-NEG") +
COUNTIFS('Energy|Power'!A:A, 2026, 'Energy|Power'!G:G, "n") +
COUNTIFS('Energy|Power'!A:A, 2026, 'Energy|Power'!G:G, "s/l-UNC") +
COUNTIFS('Energy|Power'!A:A, 2026, 'Energy|Power'!G:G, "s/l-POS") +
COUNTIFS('Energy|Power'!A:A, 2026, 'Energy|Power'!G:G, "s/l-NEG") +
COUNTIFS(Industry!A:A, 2026, Industry!G:G, "n") +
COUNTIFS(Industry!A:A, 2026, Industry!G:G, "s/l-UNC") +
COUNTIFS(Industry!A:A, 2026, Industry!G:G, "s/l-POS") +
COUNTIFS(Industry!A:A, 2026, Industry!G:G, "s/l-NEG") +
COUNTIFS(Buildings!B:B, 2026, Buildings!G:G, "n") +
COUNTIFS(Buildings!B:B, 2026, Buildings!G:G, "s/l-UNC") +
COUNTIFS(Buildings!B:B, 2026, Buildings!G:G, "s/l-POS") +
COUNTIFS(Buildings!B:B, 2026, Buildings!G:G, "s/l-NEG") +
COUNTIFS(Transport!A:A, 2026, Transport!G:G, "n") +
COUNTIFS(Transport!A:A, 2026, Transport!G:G, "s/l-UNC") +
COUNTIFS(Transport!A:A, 2026, Transport!G:G, "s/l-POS") +
COUNTIFS(Transport!A:A, 2026, Transport!G:G, "s/l-NEG") +
COUNTIFS(LULUCF!A:A, 2026, LULUCF!G:G, "n") +
COUNTIFS(LULUCF!A:A, 2026, LULUCF!G:G, "s/l-UNC") +
COUNTIFS(LULUCF!A:A, 2026, LULUCF!G:G, "s/l-POS") +
COUNTIFS(LULUCF!A:A, 2026, LULUCF!G:G, "s/l-NEG") +
COUNTIFS('Circular Economy'!A:A, 2026, 'Circular Economy'!G:G, "n") +
COUNTIFS('Circular Economy'!A:A, 2026, 'Circular Economy'!G:G, "s/l-UNC") +
COUNTIFS('Circular Economy'!A:A, 2026, 'Circular Economy'!G:G, "s/l-POS") +
COUNTIFS('Circular Economy'!A:A, 2026, 'Circular Economy'!G:G, "s/l-NEG") +
COUNTIFS(Finance!A:A, 2026, Finance!G:G, "n") +
COUNTIFS(Finance!A:A, 2026, Finance!G:G, "s/l-UNC") +
COUNTIFS(Finance!A:A, 2026, Finance!G:G, "s/l-POS") +
COUNTIFS(Finance!A:A, 2026, Finance!G:G, "s/l-NEG")</f>
        <v/>
      </c>
      <c r="N28" s="73" t="inlineStr">
        <is>
          <t>before 2030</t>
        </is>
      </c>
      <c r="O28" s="74">
        <f>COUNTIFS('GHG Emissions'!F:F, "before 2030", 'GHG Emissions'!G:G, "n") +
COUNTIFS('GHG Emissions'!F:F, "before 2030", 'GHG Emissions'!G:G, "s/l-UNC") +
COUNTIFS('GHG Emissions'!F:F, "before 2030", 'GHG Emissions'!G:G, "s/l-POS") +
COUNTIFS('GHG Emissions'!F:F, "before 2030", 'GHG Emissions'!G:G, "s/l-NEG") +
COUNTIFS(Pollution!F:F, "before 2030", Pollution!G:G, "n") +
COUNTIFS(Pollution!F:F, "before 2030", Pollution!G:G, "s/l-UNC") +
COUNTIFS(Pollution!F:F, "before 2030", Pollution!G:G, "s/l-POS") +
COUNTIFS(Pollution!F:F, "before 2030", Pollution!G:G, "s/l-NEG") +
COUNTIFS('Energy|Power'!F:F, "before 2030", 'Energy|Power'!G:G, "n") +
COUNTIFS('Energy|Power'!F:F, "before 2030", 'Energy|Power'!G:G, "s/l-UNC") +
COUNTIFS('Energy|Power'!F:F, "before 2030", 'Energy|Power'!G:G, "s/l-POS") +
COUNTIFS('Energy|Power'!F:F, "before 2030", 'Energy|Power'!G:G, "s/l-NEG") +
COUNTIFS(Industry!F:F, "before 2030", Industry!G:G, "n") +
COUNTIFS(Industry!F:F, "before 2030", Industry!G:G, "s/l-UNC") +
COUNTIFS(Industry!F:F, "before 2030", Industry!G:G, "s/l-POS") +
COUNTIFS(Industry!F:F, "before 2030", Industry!G:G, "s/l-NEG") +
COUNTIFS(Buildings!F:F, "before 2030", Buildings!G:G, "n") +
COUNTIFS(Buildings!F:F, "before 2030", Buildings!G:G, "s/l-UNC") +
COUNTIFS(Buildings!F:F, "before 2030", Buildings!G:G, "s/l-POS") +
COUNTIFS(Buildings!F:F, "before 2030", Buildings!G:G, "s/l-NEG") +
COUNTIFS(Transport!F:F, "before 2030", Transport!G:G, "n") +
COUNTIFS(Transport!F:F, "before 2030", Transport!G:G, "s/l-UNC") +
COUNTIFS(Transport!F:F, "before 2030", Transport!G:G, "s/l-POS") +
COUNTIFS(Transport!F:F, "before 2030", Transport!G:G, "s/l-NEG") +
COUNTIFS(LULUCF!F:F, "before 2030", LULUCF!G:G, "n") +
COUNTIFS(LULUCF!F:F, "before 2030", LULUCF!G:G, "s/l-UNC") +
COUNTIFS(LULUCF!F:F, "before 2030", LULUCF!G:G, "s/l-POS") +
COUNTIFS(LULUCF!F:F, "before 2030", LULUCF!G:G, "s/l-NEG") +
COUNTIFS('Circular Economy'!F:F, "before 2030", 'Circular Economy'!G:G, "n") +
COUNTIFS('Circular Economy'!F:F, "before 2030", 'Circular Economy'!G:G, "s/l-UNC") +
COUNTIFS('Circular Economy'!F:F, "before 2030", 'Circular Economy'!G:G, "s/l-POS") +
COUNTIFS('Circular Economy'!F:F, "before 2030", 'Circular Economy'!G:G, "s/l-NEG") +
COUNTIFS(Finance!F:F, "before 2030", Finance!G:G, "n") +
COUNTIFS(Finance!F:F, "before 2030", Finance!G:G, "s/l-UNC") +
COUNTIFS(Finance!F:F, "before 2030", Finance!G:G, "s/l-POS") +
COUNTIFS(Finance!F:F, "before 2030", Finance!G:G, "s/l-NEG")</f>
        <v/>
      </c>
    </row>
    <row r="29" ht="19" customHeight="1" s="235">
      <c r="K29" s="59" t="n"/>
      <c r="L29" s="59" t="n"/>
      <c r="N29" s="73" t="inlineStr">
        <is>
          <t>around 2030</t>
        </is>
      </c>
      <c r="O29" s="74">
        <f>COUNTIFS('GHG Emissions'!F:F, "around 2030", 'GHG Emissions'!G:G, "n") +
COUNTIFS('GHG Emissions'!F:F, "around 2030", 'GHG Emissions'!G:G, "s/l-UNC") +
COUNTIFS('GHG Emissions'!F:F, "around 2030", 'GHG Emissions'!G:G, "s/l-POS") +
COUNTIFS('GHG Emissions'!F:F, "around 2030", 'GHG Emissions'!G:G, "s/l-NEG") +
COUNTIFS(Pollution!F:F, "around 2030", Pollution!G:G, "n") +
COUNTIFS(Pollution!F:F, "around 2030", Pollution!G:G, "s/l-UNC") +
COUNTIFS(Pollution!F:F, "around 2030", Pollution!G:G, "s/l-POS") +
COUNTIFS(Pollution!F:F, "around 2030", Pollution!G:G, "s/l-NEG") +
COUNTIFS('Energy|Power'!F:F, "around 2030", 'Energy|Power'!G:G, "n") +
COUNTIFS('Energy|Power'!F:F, "around 2030", 'Energy|Power'!G:G, "s/l-UNC") +
COUNTIFS('Energy|Power'!F:F, "around 2030", 'Energy|Power'!G:G, "s/l-POS") +
COUNTIFS('Energy|Power'!F:F, "around 2030", 'Energy|Power'!G:G, "s/l-NEG") +
COUNTIFS(Industry!F:F, "around 2030", Industry!G:G, "n") +
COUNTIFS(Industry!F:F, "around 2030", Industry!G:G, "s/l-UNC") +
COUNTIFS(Industry!F:F, "around 2030", Industry!G:G, "s/l-POS") +
COUNTIFS(Industry!F:F, "around 2030", Industry!G:G, "s/l-NEG") +
COUNTIFS(Buildings!F:F, "around 2030", Buildings!G:G, "n") +
COUNTIFS(Buildings!F:F, "around 2030", Buildings!G:G, "s/l-UNC") +
COUNTIFS(Buildings!F:F, "around 2030", Buildings!G:G, "s/l-POS") +
COUNTIFS(Buildings!F:F, "around 2030", Buildings!G:G, "s/l-NEG") +
COUNTIFS(Transport!F:F, "around 2030", Transport!G:G, "n") +
COUNTIFS(Transport!F:F, "around 2030", Transport!G:G, "s/l-UNC") +
COUNTIFS(Transport!F:F, "around 2030", Transport!G:G, "s/l-POS") +
COUNTIFS(Transport!F:F, "around 2030", Transport!G:G, "s/l-NEG") +
COUNTIFS(LULUCF!F:F, "around 2030", LULUCF!G:G, "n") +
COUNTIFS(LULUCF!F:F, "around 2030", LULUCF!G:G, "s/l-UNC") +
COUNTIFS(LULUCF!F:F, "around 2030", LULUCF!G:G, "s/l-POS") +
COUNTIFS(LULUCF!F:F, "around 2030", LULUCF!G:G, "s/l-NEG") +
COUNTIFS('Circular Economy'!F:F, "around 2030", 'Circular Economy'!G:G, "n") +
COUNTIFS('Circular Economy'!F:F, "around 2030", 'Circular Economy'!G:G, "s/l-UNC") +
COUNTIFS('Circular Economy'!F:F, "around 2030", 'Circular Economy'!G:G, "s/l-POS") +
COUNTIFS('Circular Economy'!F:F, "around 2030", 'Circular Economy'!G:G, "s/l-NEG") +
COUNTIFS(Finance!F:F, "around 2030", Finance!G:G, "n") +
COUNTIFS(Finance!F:F, "around 2030", Finance!G:G, "s/l-UNC") +
COUNTIFS(Finance!F:F, "around 2030", Finance!G:G, "s/l-POS") +
COUNTIFS(Finance!F:F, "around 2030", Finance!G:G, "s/l-NEG")</f>
        <v/>
      </c>
    </row>
    <row r="30" ht="19" customHeight="1" s="235">
      <c r="K30" s="59" t="n"/>
      <c r="L30" s="59" t="n"/>
      <c r="N30" s="73" t="inlineStr">
        <is>
          <t>(around/before) 2030</t>
        </is>
      </c>
      <c r="O30" s="74">
        <f>SUM(O27:O29)</f>
        <v/>
      </c>
    </row>
    <row r="31" ht="19" customHeight="1" s="235">
      <c r="N31" s="73" t="inlineStr">
        <is>
          <t>15th FYP</t>
        </is>
      </c>
      <c r="O31" s="74">
        <f>COUNTIFS('GHG Emissions'!F:F, "15th FYP", 'GHG Emissions'!G:G, "n") +
COUNTIFS('GHG Emissions'!F:F, "15th FYP", 'GHG Emissions'!G:G, "s/l-UNC") +
COUNTIFS('GHG Emissions'!F:F, "15th FYP", 'GHG Emissions'!G:G, "s/l-POS") +
COUNTIFS('GHG Emissions'!F:F, "15th FYP", 'GHG Emissions'!G:G, "s/l-NEG") +
COUNTIFS(Pollution!F:F, "15th FYP", Pollution!G:G, "n") +
COUNTIFS(Pollution!F:F, "15th FYP", Pollution!G:G, "s/l-UNC") +
COUNTIFS(Pollution!F:F, "15th FYP", Pollution!G:G, "s/l-POS") +
COUNTIFS(Pollution!F:F, "15th FYP", Pollution!G:G, "s/l-NEG") +
COUNTIFS('Energy|Power'!F:F, "15th FYP", 'Energy|Power'!G:G, "n") +
COUNTIFS('Energy|Power'!F:F, "15th FYP", 'Energy|Power'!G:G, "s/l-UNC") +
COUNTIFS('Energy|Power'!F:F, "15th FYP", 'Energy|Power'!G:G, "s/l-POS") +
COUNTIFS('Energy|Power'!F:F, "15th FYP", 'Energy|Power'!G:G, "s/l-NEG") +
COUNTIFS(Industry!F:F, "15th FYP", Industry!G:G, "n") +
COUNTIFS(Industry!F:F, "15th FYP", Industry!G:G, "s/l-UNC") +
COUNTIFS(Industry!F:F, "15th FYP", Industry!G:G, "s/l-POS") +
COUNTIFS(Industry!F:F, "15th FYP", Industry!G:G, "s/l-NEG") +
COUNTIFS(Buildings!F:F, "15th FYP", Buildings!G:G, "n") +
COUNTIFS(Buildings!F:F, "15th FYP", Buildings!G:G, "s/l-UNC") +
COUNTIFS(Buildings!F:F, "15th FYP", Buildings!G:G, "s/l-POS") +
COUNTIFS(Buildings!F:F, "15th FYP", Buildings!G:G, "s/l-NEG") +
COUNTIFS(Transport!F:F, "15th FYP", Transport!G:G, "n") +
COUNTIFS(Transport!F:F, "15th FYP", Transport!G:G, "s/l-UNC") +
COUNTIFS(Transport!F:F, "15th FYP", Transport!G:G, "s/l-POS") +
COUNTIFS(Transport!F:F, "15th FYP", Transport!G:G, "s/l-NEG") +
COUNTIFS(LULUCF!F:F, "15th FYP", LULUCF!G:G, "n") +
COUNTIFS(LULUCF!F:F, "15th FYP", LULUCF!G:G, "s/l-UNC") +
COUNTIFS(LULUCF!F:F, "15th FYP", LULUCF!G:G, "s/l-POS") +
COUNTIFS(LULUCF!F:F, "15th FYP", LULUCF!G:G, "s/l-NEG") +
COUNTIFS('Circular Economy'!F:F, "15th FYP", 'Circular Economy'!G:G, "n") +
COUNTIFS('Circular Economy'!F:F, "15th FYP", 'Circular Economy'!G:G, "s/l-UNC") +
COUNTIFS('Circular Economy'!F:F, "15th FYP", 'Circular Economy'!G:G, "s/l-POS") +
COUNTIFS('Circular Economy'!F:F, "15th FYP", 'Circular Economy'!G:G, "s/l-NEG") +
COUNTIFS(Finance!F:F, "15th FYP", Finance!G:G, "n") +
COUNTIFS(Finance!F:F, "15th FYP", Finance!G:G, "s/l-UNC") +
COUNTIFS(Finance!F:F, "15th FYP", Finance!G:G, "s/l-POS") +
COUNTIFS(Finance!F:F, "15th FYP", Finance!G:G, "s/l-NEG")</f>
        <v/>
      </c>
    </row>
    <row r="32" ht="19" customHeight="1" s="235">
      <c r="N32" s="73" t="n">
        <v>2035</v>
      </c>
      <c r="O32" s="74">
        <f>COUNTIFS('GHG Emissions'!F:F, 2035, 'GHG Emissions'!G:G, "n") +
COUNTIFS('GHG Emissions'!F:F, 2035, 'GHG Emissions'!G:G, "s/l-UNC") +
COUNTIFS('GHG Emissions'!F:F, 2035, 'GHG Emissions'!G:G, "s/l-POS") +
COUNTIFS('GHG Emissions'!F:F, 2035, 'GHG Emissions'!G:G, "s/l-NEG") +
COUNTIFS(Pollution!F:F, 2035, Pollution!G:G, "n") +
COUNTIFS(Pollution!F:F, 2035, Pollution!G:G, "s/l-UNC") +
COUNTIFS(Pollution!F:F, 2035, Pollution!G:G, "s/l-POS") +
COUNTIFS(Pollution!F:F, 2035, Pollution!G:G, "s/l-NEG") +
COUNTIFS('Energy|Power'!F:F, 2035, 'Energy|Power'!G:G, "n") +
COUNTIFS('Energy|Power'!F:F, 2035, 'Energy|Power'!G:G, "s/l-UNC") +
COUNTIFS('Energy|Power'!F:F, 2035, 'Energy|Power'!G:G, "s/l-POS") +
COUNTIFS('Energy|Power'!F:F, 2035, 'Energy|Power'!G:G, "s/l-NEG") +
COUNTIFS(Industry!F:F, 2035, Industry!G:G, "n") +
COUNTIFS(Industry!F:F, 2035, Industry!G:G, "s/l-UNC") +
COUNTIFS(Industry!F:F, 2035, Industry!G:G, "s/l-POS") +
COUNTIFS(Industry!F:F, 2035, Industry!G:G, "s/l-NEG") +
COUNTIFS(Buildings!F:F, 2035, Buildings!G:G, "n") +
COUNTIFS(Buildings!F:F, 2035, Buildings!G:G, "s/l-UNC") +
COUNTIFS(Buildings!F:F, 2035, Buildings!G:G, "s/l-POS") +
COUNTIFS(Buildings!F:F, 2035, Buildings!G:G, "s/l-NEG") +
COUNTIFS(Transport!F:F, 2035, Transport!G:G, "n") +
COUNTIFS(Transport!F:F, 2035, Transport!G:G, "s/l-UNC") +
COUNTIFS(Transport!F:F, 2035, Transport!G:G, "s/l-POS") +
COUNTIFS(Transport!F:F, 2035, Transport!G:G, "s/l-NEG") +
COUNTIFS(LULUCF!F:F, 2035, LULUCF!G:G, "n") +
COUNTIFS(LULUCF!F:F, 2035, LULUCF!G:G, "s/l-UNC") +
COUNTIFS(LULUCF!F:F, 2035, LULUCF!G:G, "s/l-POS") +
COUNTIFS(LULUCF!F:F, 2035, LULUCF!G:G, "s/l-NEG") +
COUNTIFS('Circular Economy'!F:F, 2035, 'Circular Economy'!G:G, "n") +
COUNTIFS('Circular Economy'!F:F, 2035, 'Circular Economy'!G:G, "s/l-UNC") +
COUNTIFS('Circular Economy'!F:F, 2035, 'Circular Economy'!G:G, "s/l-POS") +
COUNTIFS('Circular Economy'!F:F, 2035, 'Circular Economy'!G:G, "s/l-NEG") +
COUNTIFS(Finance!F:F, 2035, Finance!G:G, "n") +
COUNTIFS(Finance!F:F, 2035, Finance!G:G, "s/l-UNC") +
COUNTIFS(Finance!F:F, 2035, Finance!G:G, "s/l-POS") +
COUNTIFS(Finance!F:F, 2035, Finance!G:G, "s/l-NEG")</f>
        <v/>
      </c>
    </row>
    <row r="33" ht="19" customHeight="1" s="235">
      <c r="N33" s="73" t="inlineStr">
        <is>
          <t>before 2060</t>
        </is>
      </c>
      <c r="O33" s="74">
        <f>COUNTIFS('GHG Emissions'!F:F, "before 2060", 'GHG Emissions'!G:G, "n") +
COUNTIFS('GHG Emissions'!F:F, "before 2060", 'GHG Emissions'!G:G, "s/l-UNC") +
COUNTIFS('GHG Emissions'!F:F, "before 2060", 'GHG Emissions'!G:G, "s/l-POS") +
COUNTIFS('GHG Emissions'!F:F, "before 2060", 'GHG Emissions'!G:G, "s/l-NEG") +
COUNTIFS(Pollution!F:F, "before 2060", Pollution!G:G, "n") +
COUNTIFS(Pollution!F:F, "before 2060", Pollution!G:G, "s/l-UNC") +
COUNTIFS(Pollution!F:F, "before 2060", Pollution!G:G, "s/l-POS") +
COUNTIFS(Pollution!F:F, "before 2060", Pollution!G:G, "s/l-NEG") +
COUNTIFS('Energy|Power'!F:F, "before 2060", 'Energy|Power'!G:G, "n") +
COUNTIFS('Energy|Power'!F:F, "before 2060", 'Energy|Power'!G:G, "s/l-UNC") +
COUNTIFS('Energy|Power'!F:F, "before 2060", 'Energy|Power'!G:G, "s/l-POS") +
COUNTIFS('Energy|Power'!F:F, "before 2060", 'Energy|Power'!G:G, "s/l-NEG") +
COUNTIFS(Industry!F:F, "before 2060", Industry!G:G, "n") +
COUNTIFS(Industry!F:F, "before 2060", Industry!G:G, "s/l-UNC") +
COUNTIFS(Industry!F:F, "before 2060", Industry!G:G, "s/l-POS") +
COUNTIFS(Industry!F:F, "before 2060", Industry!G:G, "s/l-NEG") +
COUNTIFS(Buildings!F:F, "before 2060", Buildings!G:G, "n") +
COUNTIFS(Buildings!F:F, "before 2060", Buildings!G:G, "s/l-UNC") +
COUNTIFS(Buildings!F:F, "before 2060", Buildings!G:G, "s/l-POS") +
COUNTIFS(Buildings!F:F, "before 2060", Buildings!G:G, "s/l-NEG") +
COUNTIFS(Transport!F:F, "before 2060", Transport!G:G, "n") +
COUNTIFS(Transport!F:F, "before 2060", Transport!G:G, "s/l-UNC") +
COUNTIFS(Transport!F:F, "before 2060", Transport!G:G, "s/l-POS") +
COUNTIFS(Transport!F:F, "before 2060", Transport!G:G, "s/l-NEG") +
COUNTIFS(LULUCF!F:F, "before 2060", LULUCF!G:G, "n") +
COUNTIFS(LULUCF!F:F, "before 2060", LULUCF!G:G, "s/l-UNC") +
COUNTIFS(LULUCF!F:F, "before 2060", LULUCF!G:G, "s/l-POS") +
COUNTIFS(LULUCF!F:F, "before 2060", LULUCF!G:G, "s/l-NEG") +
COUNTIFS('Circular Economy'!F:F, "before 2060", 'Circular Economy'!G:G, "n") +
COUNTIFS('Circular Economy'!F:F, "before 2060", 'Circular Economy'!G:G, "s/l-UNC") +
COUNTIFS('Circular Economy'!F:F, "before 2060", 'Circular Economy'!G:G, "s/l-POS") +
COUNTIFS('Circular Economy'!F:F, "before 2060", 'Circular Economy'!G:G, "s/l-NEG") +
COUNTIFS(Finance!F:F, "before 2060", Finance!G:G, "n") +
COUNTIFS(Finance!F:F, "before 2060", Finance!G:G, "s/l-UNC") +
COUNTIFS(Finance!F:F, "before 2060", Finance!G:G, "s/l-POS") +
COUNTIFS(Finance!F:F, "before 2060", Finance!G:G, "s/l-NEG")</f>
        <v/>
      </c>
    </row>
    <row r="34" ht="19" customHeight="1" s="235">
      <c r="N34" s="73" t="inlineStr">
        <is>
          <t>2003-2020</t>
        </is>
      </c>
      <c r="O34" s="74">
        <f>COUNTIFS('GHG Emissions'!F:F, "2003-2020", 'GHG Emissions'!G:G, "n") +
COUNTIFS('GHG Emissions'!F:F, "2003-2020", 'GHG Emissions'!G:G, "s/l-UNC") +
COUNTIFS('GHG Emissions'!F:F, "2003-2020", 'GHG Emissions'!G:G, "s/l-POS") +
COUNTIFS('GHG Emissions'!F:F, "2003-2020", 'GHG Emissions'!G:G, "s/l-NEG") +
COUNTIFS(Pollution!F:F, "2003-2020", Pollution!G:G, "n") +
COUNTIFS(Pollution!F:F, "2003-2020", Pollution!G:G, "s/l-UNC") +
COUNTIFS(Pollution!F:F, "2003-2020", Pollution!G:G, "s/l-POS") +
COUNTIFS(Pollution!F:F, "2003-2020", Pollution!G:G, "s/l-NEG") +
COUNTIFS('Energy|Power'!F:F, "2003-2020", 'Energy|Power'!G:G, "n") +
COUNTIFS('Energy|Power'!F:F, "2003-2020", 'Energy|Power'!G:G, "s/l-UNC") +
COUNTIFS('Energy|Power'!F:F, "2003-2020", 'Energy|Power'!G:G, "s/l-POS") +
COUNTIFS('Energy|Power'!F:F, "2003-2020", 'Energy|Power'!G:G, "s/l-NEG") +
COUNTIFS(Industry!F:F, "2003-2020", Industry!G:G, "n") +
COUNTIFS(Industry!F:F, "2003-2020", Industry!G:G, "s/l-UNC") +
COUNTIFS(Industry!F:F, "2003-2020", Industry!G:G, "s/l-POS") +
COUNTIFS(Industry!F:F, "2003-2020", Industry!G:G, "s/l-NEG") +
COUNTIFS(Buildings!F:F, "2003-2020", Buildings!G:G, "n") +
COUNTIFS(Buildings!F:F, "2003-2020", Buildings!G:G, "s/l-UNC") +
COUNTIFS(Buildings!F:F, "2003-2020", Buildings!G:G, "s/l-POS") +
COUNTIFS(Buildings!F:F, "2003-2020", Buildings!G:G, "s/l-NEG") +
COUNTIFS(Transport!F:F, "2003-2020", Transport!G:G, "n") +
COUNTIFS(Transport!F:F, "2003-2020", Transport!G:G, "s/l-UNC") +
COUNTIFS(Transport!F:F, "2003-2020", Transport!G:G, "s/l-POS") +
COUNTIFS(Transport!F:F, "2003-2020", Transport!G:G, "s/l-NEG") +
COUNTIFS(LULUCF!F:F, "2003-2020", LULUCF!G:G, "n") +
COUNTIFS(LULUCF!F:F, "2003-2020", LULUCF!G:G, "s/l-UNC") +
COUNTIFS(LULUCF!F:F, "2003-2020", LULUCF!G:G, "s/l-POS") +
COUNTIFS(LULUCF!F:F, "2003-2020", LULUCF!G:G, "s/l-NEG") +
COUNTIFS('Circular Economy'!F:F, "2003-2020", 'Circular Economy'!G:G, "n") +
COUNTIFS('Circular Economy'!F:F, "2003-2020", 'Circular Economy'!G:G, "s/l-UNC") +
COUNTIFS('Circular Economy'!F:F, "2003-2020", 'Circular Economy'!G:G, "s/l-POS") +
COUNTIFS('Circular Economy'!F:F, "2003-2020", 'Circular Economy'!G:G, "s/l-NEG") +
COUNTIFS(Finance!F:F, "2003-2020", Finance!G:G, "n") +
COUNTIFS(Finance!F:F, "2003-2020", Finance!G:G, "s/l-UNC") +
COUNTIFS(Finance!F:F, "2003-2020", Finance!G:G, "s/l-POS") +
COUNTIFS(Finance!F:F, "2003-2020", Finance!G:G, "s/l-NEG")</f>
        <v/>
      </c>
    </row>
    <row r="35" ht="19" customHeight="1" s="235">
      <c r="N35" s="73" t="inlineStr">
        <is>
          <t>2007-2010</t>
        </is>
      </c>
      <c r="O35" s="74">
        <f>COUNTIFS('GHG Emissions'!F:F, "2007-2010", 'GHG Emissions'!G:G, "n") +
COUNTIFS('GHG Emissions'!F:F, "2007-2010", 'GHG Emissions'!G:G, "s/l-UNC") +
COUNTIFS('GHG Emissions'!F:F, "2007-2010", 'GHG Emissions'!G:G, "s/l-POS") +
COUNTIFS('GHG Emissions'!F:F, "2007-2010", 'GHG Emissions'!G:G, "s/l-NEG") +
COUNTIFS(Pollution!F:F, "2007-2010", Pollution!G:G, "n") +
COUNTIFS(Pollution!F:F, "2007-2010", Pollution!G:G, "s/l-UNC") +
COUNTIFS(Pollution!F:F, "2007-2010", Pollution!G:G, "s/l-POS") +
COUNTIFS(Pollution!F:F, "2007-2010", Pollution!G:G, "s/l-NEG") +
COUNTIFS('Energy|Power'!F:F, "2007-2010", 'Energy|Power'!G:G, "n") +
COUNTIFS('Energy|Power'!F:F, "2007-2010", 'Energy|Power'!G:G, "s/l-UNC") +
COUNTIFS('Energy|Power'!F:F, "2007-2010", 'Energy|Power'!G:G, "s/l-POS") +
COUNTIFS('Energy|Power'!F:F, "2007-2010", 'Energy|Power'!G:G, "s/l-NEG") +
COUNTIFS(Industry!F:F, "2007-2010", Industry!G:G, "n") +
COUNTIFS(Industry!F:F, "2007-2010", Industry!G:G, "s/l-UNC") +
COUNTIFS(Industry!F:F, "2007-2010", Industry!G:G, "s/l-POS") +
COUNTIFS(Industry!F:F, "2007-2010", Industry!G:G, "s/l-NEG") +
COUNTIFS(Buildings!F:F, "2007-2010", Buildings!G:G, "n") +
COUNTIFS(Buildings!F:F, "2007-2010", Buildings!G:G, "s/l-UNC") +
COUNTIFS(Buildings!F:F, "2007-2010", Buildings!G:G, "s/l-POS") +
COUNTIFS(Buildings!F:F, "2007-2010", Buildings!G:G, "s/l-NEG") +
COUNTIFS(Transport!F:F, "2007-2010", Transport!G:G, "n") +
COUNTIFS(Transport!F:F, "2007-2010", Transport!G:G, "s/l-UNC") +
COUNTIFS(Transport!F:F, "2007-2010", Transport!G:G, "s/l-POS") +
COUNTIFS(Transport!F:F, "2007-2010", Transport!G:G, "s/l-NEG") +
COUNTIFS(LULUCF!F:F, "2007-2010", LULUCF!G:G, "n") +
COUNTIFS(LULUCF!F:F, "2007-2010", LULUCF!G:G, "s/l-UNC") +
COUNTIFS(LULUCF!F:F, "2007-2010", LULUCF!G:G, "s/l-POS") +
COUNTIFS(LULUCF!F:F, "2007-2010", LULUCF!G:G, "s/l-NEG") +
COUNTIFS('Circular Economy'!F:F, "2007-2010", 'Circular Economy'!G:G, "n") +
COUNTIFS('Circular Economy'!F:F, "2007-2010", 'Circular Economy'!G:G, "s/l-UNC") +
COUNTIFS('Circular Economy'!F:F, "2007-2010", 'Circular Economy'!G:G, "s/l-POS") +
COUNTIFS('Circular Economy'!F:F, "2007-2010", 'Circular Economy'!G:G, "s/l-NEG") +
COUNTIFS(Finance!F:F, "2007-2010", Finance!G:G, "n") +
COUNTIFS(Finance!F:F, "2007-2010", Finance!G:G, "s/l-UNC") +
COUNTIFS(Finance!F:F, "2007-2010", Finance!G:G, "s/l-POS") +
COUNTIFS(Finance!F:F, "2007-2010", Finance!G:G, "s/l-NEG")</f>
        <v/>
      </c>
    </row>
    <row r="36" ht="19" customHeight="1" s="235">
      <c r="N36" s="73" t="inlineStr">
        <is>
          <t>2007-2020</t>
        </is>
      </c>
      <c r="O36" s="74">
        <f>COUNTIFS('GHG Emissions'!F:F, "2007-2020", 'GHG Emissions'!G:G, "n") +
COUNTIFS('GHG Emissions'!F:F, "2007-2020", 'GHG Emissions'!G:G, "s/l-UNC") +
COUNTIFS('GHG Emissions'!F:F, "2007-2020", 'GHG Emissions'!G:G, "s/l-POS") +
COUNTIFS('GHG Emissions'!F:F, "2007-2020", 'GHG Emissions'!G:G, "s/l-NEG") +
COUNTIFS(Pollution!F:F, "2007-2020", Pollution!G:G, "n") +
COUNTIFS(Pollution!F:F, "2007-2020", Pollution!G:G, "s/l-UNC") +
COUNTIFS(Pollution!F:F, "2007-2020", Pollution!G:G, "s/l-POS") +
COUNTIFS(Pollution!F:F, "2007-2020", Pollution!G:G, "s/l-NEG") +
COUNTIFS('Energy|Power'!F:F, "2007-2020", 'Energy|Power'!G:G, "n") +
COUNTIFS('Energy|Power'!F:F, "2007-2020", 'Energy|Power'!G:G, "s/l-UNC") +
COUNTIFS('Energy|Power'!F:F, "2007-2020", 'Energy|Power'!G:G, "s/l-POS") +
COUNTIFS('Energy|Power'!F:F, "2007-2020", 'Energy|Power'!G:G, "s/l-NEG") +
COUNTIFS(Industry!F:F, "2007-2020", Industry!G:G, "n") +
COUNTIFS(Industry!F:F, "2007-2020", Industry!G:G, "s/l-UNC") +
COUNTIFS(Industry!F:F, "2007-2020", Industry!G:G, "s/l-POS") +
COUNTIFS(Industry!F:F, "2007-2020", Industry!G:G, "s/l-NEG") +
COUNTIFS(Buildings!F:F, "2007-2020", Buildings!G:G, "n") +
COUNTIFS(Buildings!F:F, "2007-2020", Buildings!G:G, "s/l-UNC") +
COUNTIFS(Buildings!F:F, "2007-2020", Buildings!G:G, "s/l-POS") +
COUNTIFS(Buildings!F:F, "2007-2020", Buildings!G:G, "s/l-NEG") +
COUNTIFS(Transport!F:F, "2007-2020", Transport!G:G, "n") +
COUNTIFS(Transport!F:F, "2007-2020", Transport!G:G, "s/l-UNC") +
COUNTIFS(Transport!F:F, "2007-2020", Transport!G:G, "s/l-POS") +
COUNTIFS(Transport!F:F, "2007-2020", Transport!G:G, "s/l-NEG") +
COUNTIFS(LULUCF!F:F, "2007-2020", LULUCF!G:G, "n") +
COUNTIFS(LULUCF!F:F, "2007-2020", LULUCF!G:G, "s/l-UNC") +
COUNTIFS(LULUCF!F:F, "2007-2020", LULUCF!G:G, "s/l-POS") +
COUNTIFS(LULUCF!F:F, "2007-2020", LULUCF!G:G, "s/l-NEG") +
COUNTIFS('Circular Economy'!F:F, "2007-2020", 'Circular Economy'!G:G, "n") +
COUNTIFS('Circular Economy'!F:F, "2007-2020", 'Circular Economy'!G:G, "s/l-UNC") +
COUNTIFS('Circular Economy'!F:F, "2007-2020", 'Circular Economy'!G:G, "s/l-POS") +
COUNTIFS('Circular Economy'!F:F, "2007-2020", 'Circular Economy'!G:G, "s/l-NEG") +
COUNTIFS(Finance!F:F, "2007-2020", Finance!G:G, "n") +
COUNTIFS(Finance!F:F, "2007-2020", Finance!G:G, "s/l-UNC") +
COUNTIFS(Finance!F:F, "2007-2020", Finance!G:G, "s/l-POS") +
COUNTIFS(Finance!F:F, "2007-2020", Finance!G:G, "s/l-NEG")</f>
        <v/>
      </c>
    </row>
    <row r="37" ht="19" customHeight="1" s="235">
      <c r="N37" s="73" t="inlineStr">
        <is>
          <t>2014-2015</t>
        </is>
      </c>
      <c r="O37" s="74">
        <f>COUNTIFS('GHG Emissions'!F:F, "2014-2015", 'GHG Emissions'!G:G, "n") +
COUNTIFS('GHG Emissions'!F:F, "2014-2015", 'GHG Emissions'!G:G, "s/l-UNC") +
COUNTIFS('GHG Emissions'!F:F, "2014-2015", 'GHG Emissions'!G:G, "s/l-POS") +
COUNTIFS('GHG Emissions'!F:F, "2014-2015", 'GHG Emissions'!G:G, "s/l-NEG") +
COUNTIFS(Pollution!F:F, "2014-2015", Pollution!G:G, "n") +
COUNTIFS(Pollution!F:F, "2014-2015", Pollution!G:G, "s/l-UNC") +
COUNTIFS(Pollution!F:F, "2014-2015", Pollution!G:G, "s/l-POS") +
COUNTIFS(Pollution!F:F, "2014-2015", Pollution!G:G, "s/l-NEG") +
COUNTIFS('Energy|Power'!F:F, "2014-2015", 'Energy|Power'!G:G, "n") +
COUNTIFS('Energy|Power'!F:F, "2014-2015", 'Energy|Power'!G:G, "s/l-UNC") +
COUNTIFS('Energy|Power'!F:F, "2014-2015", 'Energy|Power'!G:G, "s/l-POS") +
COUNTIFS('Energy|Power'!F:F, "2014-2015", 'Energy|Power'!G:G, "s/l-NEG") +
COUNTIFS(Industry!F:F, "2014-2015", Industry!G:G, "n") +
COUNTIFS(Industry!F:F, "2014-2015", Industry!G:G, "s/l-UNC") +
COUNTIFS(Industry!F:F, "2014-2015", Industry!G:G, "s/l-POS") +
COUNTIFS(Industry!F:F, "2014-2015", Industry!G:G, "s/l-NEG") +
COUNTIFS(Buildings!F:F, "2014-2015", Buildings!G:G, "n") +
COUNTIFS(Buildings!F:F, "2014-2015", Buildings!G:G, "s/l-UNC") +
COUNTIFS(Buildings!F:F, "2014-2015", Buildings!G:G, "s/l-POS") +
COUNTIFS(Buildings!F:F, "2014-2015", Buildings!G:G, "s/l-NEG") +
COUNTIFS(Transport!F:F, "2014-2015", Transport!G:G, "n") +
COUNTIFS(Transport!F:F, "2014-2015", Transport!G:G, "s/l-UNC") +
COUNTIFS(Transport!F:F, "2014-2015", Transport!G:G, "s/l-POS") +
COUNTIFS(Transport!F:F, "2014-2015", Transport!G:G, "s/l-NEG") +
COUNTIFS(LULUCF!F:F, "2014-2015", LULUCF!G:G, "n") +
COUNTIFS(LULUCF!F:F, "2014-2015", LULUCF!G:G, "s/l-UNC") +
COUNTIFS(LULUCF!F:F, "2014-2015", LULUCF!G:G, "s/l-POS") +
COUNTIFS(LULUCF!F:F, "2014-2015", LULUCF!G:G, "s/l-NEG") +
COUNTIFS('Circular Economy'!F:F, "2014-2015", 'Circular Economy'!G:G, "n") +
COUNTIFS('Circular Economy'!F:F, "2014-2015", 'Circular Economy'!G:G, "s/l-UNC") +
COUNTIFS('Circular Economy'!F:F, "2014-2015", 'Circular Economy'!G:G, "s/l-POS") +
COUNTIFS('Circular Economy'!F:F, "2014-2015", 'Circular Economy'!G:G, "s/l-NEG") +
COUNTIFS(Finance!F:F, "2014-2015", Finance!G:G, "n") +
COUNTIFS(Finance!F:F, "2014-2015", Finance!G:G, "s/l-UNC") +
COUNTIFS(Finance!F:F, "2014-2015", Finance!G:G, "s/l-POS") +
COUNTIFS(Finance!F:F, "2014-2015", Finance!G:G, "s/l-NEG")</f>
        <v/>
      </c>
    </row>
    <row r="38" ht="19" customHeight="1" s="235">
      <c r="N38" s="73" t="inlineStr">
        <is>
          <t>2014-2016</t>
        </is>
      </c>
      <c r="O38" s="74">
        <f>COUNTIFS('GHG Emissions'!F:F, "2014-2016", 'GHG Emissions'!G:G, "n") +
COUNTIFS('GHG Emissions'!F:F, "2014-2016", 'GHG Emissions'!G:G, "s/l-UNC") +
COUNTIFS('GHG Emissions'!F:F, "2014-2016", 'GHG Emissions'!G:G, "s/l-POS") +
COUNTIFS('GHG Emissions'!F:F, "2014-2016", 'GHG Emissions'!G:G, "s/l-NEG") +
COUNTIFS(Pollution!F:F, "2014-2016", Pollution!G:G, "n") +
COUNTIFS(Pollution!F:F, "2014-2016", Pollution!G:G, "s/l-UNC") +
COUNTIFS(Pollution!F:F, "2014-2016", Pollution!G:G, "s/l-POS") +
COUNTIFS(Pollution!F:F, "2014-2016", Pollution!G:G, "s/l-NEG") +
COUNTIFS('Energy|Power'!F:F, "2014-2016", 'Energy|Power'!G:G, "n") +
COUNTIFS('Energy|Power'!F:F, "2014-2016", 'Energy|Power'!G:G, "s/l-UNC") +
COUNTIFS('Energy|Power'!F:F, "2014-2016", 'Energy|Power'!G:G, "s/l-POS") +
COUNTIFS('Energy|Power'!F:F, "2014-2016", 'Energy|Power'!G:G, "s/l-NEG") +
COUNTIFS(Industry!F:F, "2014-2016", Industry!G:G, "n") +
COUNTIFS(Industry!F:F, "2014-2016", Industry!G:G, "s/l-UNC") +
COUNTIFS(Industry!F:F, "2014-2016", Industry!G:G, "s/l-POS") +
COUNTIFS(Industry!F:F, "2014-2016", Industry!G:G, "s/l-NEG") +
COUNTIFS(Buildings!F:F, "2014-2016", Buildings!G:G, "n") +
COUNTIFS(Buildings!F:F, "2014-2016", Buildings!G:G, "s/l-UNC") +
COUNTIFS(Buildings!F:F, "2014-2016", Buildings!G:G, "s/l-POS") +
COUNTIFS(Buildings!F:F, "2014-2016", Buildings!G:G, "s/l-NEG") +
COUNTIFS(Transport!F:F, "2014-2016", Transport!G:G, "n") +
COUNTIFS(Transport!F:F, "2014-2016", Transport!G:G, "s/l-UNC") +
COUNTIFS(Transport!F:F, "2014-2016", Transport!G:G, "s/l-POS") +
COUNTIFS(Transport!F:F, "2014-2016", Transport!G:G, "s/l-NEG") +
COUNTIFS(LULUCF!F:F, "2014-2016", LULUCF!G:G, "n") +
COUNTIFS(LULUCF!F:F, "2014-2016", LULUCF!G:G, "s/l-UNC") +
COUNTIFS(LULUCF!F:F, "2014-2016", LULUCF!G:G, "s/l-POS") +
COUNTIFS(LULUCF!F:F, "2014-2016", LULUCF!G:G, "s/l-NEG") +
COUNTIFS('Circular Economy'!F:F, "2014-2016", 'Circular Economy'!G:G, "n") +
COUNTIFS('Circular Economy'!F:F, "2014-2016", 'Circular Economy'!G:G, "s/l-UNC") +
COUNTIFS('Circular Economy'!F:F, "2014-2016", 'Circular Economy'!G:G, "s/l-POS") +
COUNTIFS('Circular Economy'!F:F, "2014-2016", 'Circular Economy'!G:G, "s/l-NEG") +
COUNTIFS(Finance!F:F, "2014-2016", Finance!G:G, "n") +
COUNTIFS(Finance!F:F, "2014-2016", Finance!G:G, "s/l-UNC") +
COUNTIFS(Finance!F:F, "2014-2016", Finance!G:G, "s/l-POS") +
COUNTIFS(Finance!F:F, "2014-2016", Finance!G:G, "s/l-NEG")</f>
        <v/>
      </c>
    </row>
    <row r="39" ht="19" customHeight="1" s="235">
      <c r="N39" s="73" t="inlineStr">
        <is>
          <t>2016-2020</t>
        </is>
      </c>
      <c r="O39" s="74">
        <f>COUNTIFS('GHG Emissions'!F:F, "2016-2020", 'GHG Emissions'!G:G, "n") +
COUNTIFS('GHG Emissions'!F:F, "2016-2020", 'GHG Emissions'!G:G, "s/l-UNC") +
COUNTIFS('GHG Emissions'!F:F, "2016-2020", 'GHG Emissions'!G:G, "s/l-POS") +
COUNTIFS('GHG Emissions'!F:F, "2016-2020", 'GHG Emissions'!G:G, "s/l-NEG") +
COUNTIFS(Pollution!F:F, "2016-2020", Pollution!G:G, "n") +
COUNTIFS(Pollution!F:F, "2016-2020", Pollution!G:G, "s/l-UNC") +
COUNTIFS(Pollution!F:F, "2016-2020", Pollution!G:G, "s/l-POS") +
COUNTIFS(Pollution!F:F, "2016-2020", Pollution!G:G, "s/l-NEG") +
COUNTIFS('Energy|Power'!F:F, "2016-2020", 'Energy|Power'!G:G, "n") +
COUNTIFS('Energy|Power'!F:F, "2016-2020", 'Energy|Power'!G:G, "s/l-UNC") +
COUNTIFS('Energy|Power'!F:F, "2016-2020", 'Energy|Power'!G:G, "s/l-POS") +
COUNTIFS('Energy|Power'!F:F, "2016-2020", 'Energy|Power'!G:G, "s/l-NEG") +
COUNTIFS(Industry!F:F, "2016-2020", Industry!G:G, "n") +
COUNTIFS(Industry!F:F, "2016-2020", Industry!G:G, "s/l-UNC") +
COUNTIFS(Industry!F:F, "2016-2020", Industry!G:G, "s/l-POS") +
COUNTIFS(Industry!F:F, "2016-2020", Industry!G:G, "s/l-NEG") +
COUNTIFS(Buildings!F:F, "2016-2020", Buildings!G:G, "n") +
COUNTIFS(Buildings!F:F, "2016-2020", Buildings!G:G, "s/l-UNC") +
COUNTIFS(Buildings!F:F, "2016-2020", Buildings!G:G, "s/l-POS") +
COUNTIFS(Buildings!F:F, "2016-2020", Buildings!G:G, "s/l-NEG") +
COUNTIFS(Transport!F:F, "2016-2020", Transport!G:G, "n") +
COUNTIFS(Transport!F:F, "2016-2020", Transport!G:G, "s/l-UNC") +
COUNTIFS(Transport!F:F, "2016-2020", Transport!G:G, "s/l-POS") +
COUNTIFS(Transport!F:F, "2016-2020", Transport!G:G, "s/l-NEG") +
COUNTIFS(LULUCF!F:F, "2016-2020", LULUCF!G:G, "n") +
COUNTIFS(LULUCF!F:F, "2016-2020", LULUCF!G:G, "s/l-UNC") +
COUNTIFS(LULUCF!F:F, "2016-2020", LULUCF!G:G, "s/l-POS") +
COUNTIFS(LULUCF!F:F, "2016-2020", LULUCF!G:G, "s/l-NEG") +
COUNTIFS('Circular Economy'!F:F, "2016-2020", 'Circular Economy'!G:G, "n") +
COUNTIFS('Circular Economy'!F:F, "2016-2020", 'Circular Economy'!G:G, "s/l-UNC") +
COUNTIFS('Circular Economy'!F:F, "2016-2020", 'Circular Economy'!G:G, "s/l-POS") +
COUNTIFS('Circular Economy'!F:F, "2016-2020", 'Circular Economy'!G:G, "s/l-NEG") +
COUNTIFS(Finance!F:F, "2016-2020", Finance!G:G, "n") +
COUNTIFS(Finance!F:F, "2016-2020", Finance!G:G, "s/l-UNC") +
COUNTIFS(Finance!F:F, "2016-2020", Finance!G:G, "s/l-POS") +
COUNTIFS(Finance!F:F, "2016-2020", Finance!G:G, "s/l-NEG")</f>
        <v/>
      </c>
    </row>
    <row r="40" ht="19" customHeight="1" s="235">
      <c r="N40" s="73" t="inlineStr">
        <is>
          <t>2016-2030</t>
        </is>
      </c>
      <c r="O40" s="74">
        <f>COUNTIFS('GHG Emissions'!F:F, "2016-2030", 'GHG Emissions'!G:G, "n") +
COUNTIFS('GHG Emissions'!F:F, "2016-2030", 'GHG Emissions'!G:G, "s/l-UNC") +
COUNTIFS('GHG Emissions'!F:F, "2016-2030", 'GHG Emissions'!G:G, "s/l-POS") +
COUNTIFS('GHG Emissions'!F:F, "2016-2030", 'GHG Emissions'!G:G, "s/l-NEG") +
COUNTIFS(Pollution!F:F, "2016-2030", Pollution!G:G, "n") +
COUNTIFS(Pollution!F:F, "2016-2030", Pollution!G:G, "s/l-UNC") +
COUNTIFS(Pollution!F:F, "2016-2030", Pollution!G:G, "s/l-POS") +
COUNTIFS(Pollution!F:F, "2016-2030", Pollution!G:G, "s/l-NEG") +
COUNTIFS('Energy|Power'!F:F, "2016-2030", 'Energy|Power'!G:G, "n") +
COUNTIFS('Energy|Power'!F:F, "2016-2030", 'Energy|Power'!G:G, "s/l-UNC") +
COUNTIFS('Energy|Power'!F:F, "2016-2030", 'Energy|Power'!G:G, "s/l-POS") +
COUNTIFS('Energy|Power'!F:F, "2016-2030", 'Energy|Power'!G:G, "s/l-NEG") +
COUNTIFS(Industry!F:F, "2016-2030", Industry!G:G, "n") +
COUNTIFS(Industry!F:F, "2016-2030", Industry!G:G, "s/l-UNC") +
COUNTIFS(Industry!F:F, "2016-2030", Industry!G:G, "s/l-POS") +
COUNTIFS(Industry!F:F, "2016-2030", Industry!G:G, "s/l-NEG") +
COUNTIFS(Buildings!F:F, "2016-2030", Buildings!G:G, "n") +
COUNTIFS(Buildings!F:F, "2016-2030", Buildings!G:G, "s/l-UNC") +
COUNTIFS(Buildings!F:F, "2016-2030", Buildings!G:G, "s/l-POS") +
COUNTIFS(Buildings!F:F, "2016-2030", Buildings!G:G, "s/l-NEG") +
COUNTIFS(Transport!F:F, "2016-2030", Transport!G:G, "n") +
COUNTIFS(Transport!F:F, "2016-2030", Transport!G:G, "s/l-UNC") +
COUNTIFS(Transport!F:F, "2016-2030", Transport!G:G, "s/l-POS") +
COUNTIFS(Transport!F:F, "2016-2030", Transport!G:G, "s/l-NEG") +
COUNTIFS(LULUCF!F:F, "2016-2030", LULUCF!G:G, "n") +
COUNTIFS(LULUCF!F:F, "2016-2030", LULUCF!G:G, "s/l-UNC") +
COUNTIFS(LULUCF!F:F, "2016-2030", LULUCF!G:G, "s/l-POS") +
COUNTIFS(LULUCF!F:F, "2016-2030", LULUCF!G:G, "s/l-NEG") +
COUNTIFS('Circular Economy'!F:F, "2016-2030", 'Circular Economy'!G:G, "n") +
COUNTIFS('Circular Economy'!F:F, "2016-2030", 'Circular Economy'!G:G, "s/l-UNC") +
COUNTIFS('Circular Economy'!F:F, "2016-2030", 'Circular Economy'!G:G, "s/l-POS") +
COUNTIFS('Circular Economy'!F:F, "2016-2030", 'Circular Economy'!G:G, "s/l-NEG") +
COUNTIFS(Finance!F:F, "2016-2030", Finance!G:G, "n") +
COUNTIFS(Finance!F:F, "2016-2030", Finance!G:G, "s/l-UNC") +
COUNTIFS(Finance!F:F, "2016-2030", Finance!G:G, "s/l-POS") +
COUNTIFS(Finance!F:F, "2016-2030", Finance!G:G, "s/l-NEG")</f>
        <v/>
      </c>
    </row>
    <row r="41" ht="19" customHeight="1" s="235">
      <c r="N41" s="73" t="inlineStr">
        <is>
          <t>2021-2030</t>
        </is>
      </c>
      <c r="O41" s="74">
        <f>COUNTIFS('GHG Emissions'!F:F, "2021-2030", 'GHG Emissions'!G:G, "n") +
COUNTIFS('GHG Emissions'!F:F, "2021-2030", 'GHG Emissions'!G:G, "s/l-UNC") +
COUNTIFS('GHG Emissions'!F:F, "2021-2030", 'GHG Emissions'!G:G, "s/l-POS") +
COUNTIFS('GHG Emissions'!F:F, "2021-2030", 'GHG Emissions'!G:G, "s/l-NEG") +
COUNTIFS(Pollution!F:F, "2021-2030", Pollution!G:G, "n") +
COUNTIFS(Pollution!F:F, "2021-2030", Pollution!G:G, "s/l-UNC") +
COUNTIFS(Pollution!F:F, "2021-2030", Pollution!G:G, "s/l-POS") +
COUNTIFS(Pollution!F:F, "2021-2030", Pollution!G:G, "s/l-NEG") +
COUNTIFS('Energy|Power'!F:F, "2021-2030", 'Energy|Power'!G:G, "n") +
COUNTIFS('Energy|Power'!F:F, "2021-2030", 'Energy|Power'!G:G, "s/l-UNC") +
COUNTIFS('Energy|Power'!F:F, "2021-2030", 'Energy|Power'!G:G, "s/l-POS") +
COUNTIFS('Energy|Power'!F:F, "2021-2030", 'Energy|Power'!G:G, "s/l-NEG") +
COUNTIFS(Industry!F:F, "2021-2030", Industry!G:G, "n") +
COUNTIFS(Industry!F:F, "2021-2030", Industry!G:G, "s/l-UNC") +
COUNTIFS(Industry!F:F, "2021-2030", Industry!G:G, "s/l-POS") +
COUNTIFS(Industry!F:F, "2021-2030", Industry!G:G, "s/l-NEG") +
COUNTIFS(Buildings!F:F, "2021-2030", Buildings!G:G, "n") +
COUNTIFS(Buildings!F:F, "2021-2030", Buildings!G:G, "s/l-UNC") +
COUNTIFS(Buildings!F:F, "2021-2030", Buildings!G:G, "s/l-POS") +
COUNTIFS(Buildings!F:F, "2021-2030", Buildings!G:G, "s/l-NEG") +
COUNTIFS(Transport!F:F, "2021-2030", Transport!G:G, "n") +
COUNTIFS(Transport!F:F, "2021-2030", Transport!G:G, "s/l-UNC") +
COUNTIFS(Transport!F:F, "2021-2030", Transport!G:G, "s/l-POS") +
COUNTIFS(Transport!F:F, "2021-2030", Transport!G:G, "s/l-NEG") +
COUNTIFS(LULUCF!F:F, "2021-2030", LULUCF!G:G, "n") +
COUNTIFS(LULUCF!F:F, "2021-2030", LULUCF!G:G, "s/l-UNC") +
COUNTIFS(LULUCF!F:F, "2021-2030", LULUCF!G:G, "s/l-POS") +
COUNTIFS(LULUCF!F:F, "2021-2030", LULUCF!G:G, "s/l-NEG") +
COUNTIFS('Circular Economy'!F:F, "2021-2030", 'Circular Economy'!G:G, "n") +
COUNTIFS('Circular Economy'!F:F, "2021-2030", 'Circular Economy'!G:G, "s/l-UNC") +
COUNTIFS('Circular Economy'!F:F, "2021-2030", 'Circular Economy'!G:G, "s/l-POS") +
COUNTIFS('Circular Economy'!F:F, "2021-2030", 'Circular Economy'!G:G, "s/l-NEG") +
COUNTIFS(Finance!F:F, "2021-2030", Finance!G:G, "n") +
COUNTIFS(Finance!F:F, "2021-2030", Finance!G:G, "s/l-UNC") +
COUNTIFS(Finance!F:F, "2021-2030", Finance!G:G, "s/l-POS") +
COUNTIFS(Finance!F:F, "2021-2030", Finance!G:G, "s/l-NEG")</f>
        <v/>
      </c>
    </row>
    <row r="42" ht="19" customHeight="1" s="235">
      <c r="N42" s="88" t="inlineStr">
        <is>
          <t>2021-2060</t>
        </is>
      </c>
      <c r="O42" s="87">
        <f>COUNTIFS('GHG Emissions'!F:F, "2021-2060", 'GHG Emissions'!G:G, "n") +
COUNTIFS('GHG Emissions'!F:F, "2021-2060", 'GHG Emissions'!G:G, "s/l-UNC") +
COUNTIFS('GHG Emissions'!F:F, "2021-2060", 'GHG Emissions'!G:G, "s/l-POS") +
COUNTIFS('GHG Emissions'!F:F, "2021-2060", 'GHG Emissions'!G:G, "s/l-NEG") +
COUNTIFS(Pollution!F:F, "2021-2060", Pollution!G:G, "n") +
COUNTIFS(Pollution!F:F, "2021-2060", Pollution!G:G, "s/l-UNC") +
COUNTIFS(Pollution!F:F, "2021-2060", Pollution!G:G, "s/l-POS") +
COUNTIFS(Pollution!F:F, "2021-2060", Pollution!G:G, "s/l-NEG") +
COUNTIFS('Energy|Power'!F:F, "2021-2060", 'Energy|Power'!G:G, "n") +
COUNTIFS('Energy|Power'!F:F, "2021-2060", 'Energy|Power'!G:G, "s/l-UNC") +
COUNTIFS('Energy|Power'!F:F, "2021-2060", 'Energy|Power'!G:G, "s/l-POS") +
COUNTIFS('Energy|Power'!F:F, "2021-2060", 'Energy|Power'!G:G, "s/l-NEG") +
COUNTIFS(Industry!F:F, "2021-2060", Industry!G:G, "n") +
COUNTIFS(Industry!F:F, "2021-2060", Industry!G:G, "s/l-UNC") +
COUNTIFS(Industry!F:F, "2021-2060", Industry!G:G, "s/l-POS") +
COUNTIFS(Industry!F:F, "2021-2060", Industry!G:G, "s/l-NEG") +
COUNTIFS(Buildings!F:F, "2021-2060", Buildings!G:G, "n") +
COUNTIFS(Buildings!F:F, "2021-2060", Buildings!G:G, "s/l-UNC") +
COUNTIFS(Buildings!F:F, "2021-2060", Buildings!G:G, "s/l-POS") +
COUNTIFS(Buildings!F:F, "2021-2060", Buildings!G:G, "s/l-NEG") +
COUNTIFS(Transport!F:F, "2021-2060", Transport!G:G, "n") +
COUNTIFS(Transport!F:F, "2021-2060", Transport!G:G, "s/l-UNC") +
COUNTIFS(Transport!F:F, "2021-2060", Transport!G:G, "s/l-POS") +
COUNTIFS(Transport!F:F, "2021-2060", Transport!G:G, "s/l-NEG") +
COUNTIFS(LULUCF!F:F, "2021-2060", LULUCF!G:G, "n") +
COUNTIFS(LULUCF!F:F, "2021-2060", LULUCF!G:G, "s/l-UNC") +
COUNTIFS(LULUCF!F:F, "2021-2060", LULUCF!G:G, "s/l-POS") +
COUNTIFS(LULUCF!F:F, "2021-2060", LULUCF!G:G, "s/l-NEG") +
COUNTIFS('Circular Economy'!F:F, "2021-2060", 'Circular Economy'!G:G, "n") +
COUNTIFS('Circular Economy'!F:F, "2021-2060", 'Circular Economy'!G:G, "s/l-UNC") +
COUNTIFS('Circular Economy'!F:F, "2021-2060", 'Circular Economy'!G:G, "s/l-POS") +
COUNTIFS('Circular Economy'!F:F, "2021-2060", 'Circular Economy'!G:G, "s/l-NEG") +
COUNTIFS(Finance!F:F, "2021-2060", Finance!G:G, "n") +
COUNTIFS(Finance!F:F, "2021-2060", Finance!G:G, "s/l-UNC") +
COUNTIFS(Finance!F:F, "2021-2060", Finance!G:G, "s/l-POS") +
COUNTIFS(Finance!F:F, "2021-2060", Finance!G:G, "s/l-NEG")</f>
        <v/>
      </c>
    </row>
    <row r="43" ht="19" customHeight="1" s="235">
      <c r="O43" s="7" t="n"/>
      <c r="R43" s="7" t="n"/>
    </row>
    <row r="44" ht="15" customHeight="1" s="235">
      <c r="N44" s="64" t="inlineStr">
        <is>
          <t>2010 Total</t>
        </is>
      </c>
      <c r="O44" s="58">
        <f>O8+O9+O35</f>
        <v/>
      </c>
      <c r="P44" s="78" t="n"/>
      <c r="R44" s="7" t="n"/>
    </row>
    <row r="45" ht="15" customHeight="1" s="235">
      <c r="N45" s="73" t="inlineStr">
        <is>
          <t>2015 Total</t>
        </is>
      </c>
      <c r="O45" s="68">
        <f>O12+O13+O37</f>
        <v/>
      </c>
      <c r="P45" s="78" t="n"/>
      <c r="R45" s="7" t="n"/>
    </row>
    <row r="46" ht="15" customHeight="1" s="235">
      <c r="N46" s="73" t="inlineStr">
        <is>
          <t>2020 Total</t>
        </is>
      </c>
      <c r="O46" s="68">
        <f>O18+O19+O34+O36+O39</f>
        <v/>
      </c>
      <c r="P46" s="78" t="n"/>
      <c r="R46" s="7" t="n"/>
    </row>
    <row r="47" ht="15" customHeight="1" s="235">
      <c r="N47" s="73" t="inlineStr">
        <is>
          <t>2025 Total</t>
        </is>
      </c>
      <c r="O47" s="68">
        <f>O24+O25</f>
        <v/>
      </c>
      <c r="P47" s="78" t="n"/>
      <c r="R47" s="7" t="n"/>
    </row>
    <row r="48" ht="16" customHeight="1" s="235">
      <c r="N48" s="88" t="inlineStr">
        <is>
          <t>2030 Total</t>
        </is>
      </c>
      <c r="O48" s="77">
        <f>O30+O31+O40+O41</f>
        <v/>
      </c>
      <c r="P48" s="78" t="n"/>
    </row>
    <row r="49" ht="15" customHeight="1" s="235"/>
    <row r="50" ht="15" customHeight="1" s="235"/>
    <row r="51" ht="15" customHeight="1" s="235"/>
    <row r="52" ht="15" customHeight="1" s="235"/>
    <row r="53" ht="15" customHeight="1" s="235"/>
    <row r="54" ht="15" customHeight="1" s="235"/>
    <row r="55" ht="15" customHeight="1" s="235"/>
    <row r="56" ht="15" customHeight="1" s="235"/>
    <row r="57" ht="15" customHeight="1" s="235"/>
    <row r="58" ht="15" customHeight="1" s="235"/>
    <row r="59" ht="15" customHeight="1" s="235"/>
    <row r="60" ht="15" customHeight="1" s="235"/>
    <row r="61" ht="15" customHeight="1" s="235"/>
    <row r="62" ht="15" customHeight="1" s="235"/>
    <row r="63" ht="15" customHeight="1" s="235"/>
    <row r="64" ht="15" customHeight="1" s="235"/>
    <row r="65" ht="15" customHeight="1" s="235"/>
    <row r="66" ht="15" customHeight="1" s="235"/>
    <row r="67" ht="15" customHeight="1" s="235"/>
    <row r="68" ht="15" customHeight="1" s="235"/>
    <row r="69" ht="15" customHeight="1" s="235"/>
    <row r="70" ht="15" customHeight="1" s="235"/>
    <row r="71" ht="15" customHeight="1" s="235"/>
    <row r="72" ht="15" customHeight="1" s="235"/>
    <row r="73" ht="15" customHeight="1" s="235"/>
    <row r="74" ht="15" customHeight="1" s="235"/>
    <row r="75" ht="15" customHeight="1" s="235"/>
    <row r="76" ht="15" customHeight="1" s="235"/>
    <row r="77" ht="15" customHeight="1" s="235"/>
    <row r="78" ht="15" customHeight="1" s="235"/>
    <row r="79" ht="15" customHeight="1" s="235"/>
    <row r="80" ht="15" customHeight="1" s="235"/>
    <row r="81" ht="15" customHeight="1" s="235"/>
    <row r="82" ht="15" customHeight="1" s="235"/>
    <row r="83" ht="15" customHeight="1" s="235"/>
    <row r="84" ht="15" customHeight="1" s="235"/>
    <row r="85" ht="15" customHeight="1" s="235"/>
    <row r="86" ht="15" customHeight="1" s="235"/>
    <row r="87" ht="15" customHeight="1" s="235"/>
    <row r="88" ht="15" customHeight="1" s="235"/>
    <row r="89" ht="15" customHeight="1" s="235"/>
    <row r="90" ht="15" customHeight="1" s="235"/>
    <row r="91" ht="15" customHeight="1" s="235"/>
    <row r="92" ht="15" customHeight="1" s="235"/>
    <row r="93" ht="15" customHeight="1" s="235"/>
    <row r="94" ht="15" customHeight="1" s="235"/>
    <row r="95" ht="15" customHeight="1" s="235"/>
    <row r="96" ht="15" customHeight="1" s="235"/>
    <row r="97" ht="15" customHeight="1" s="235"/>
    <row r="98" ht="15" customHeight="1" s="235"/>
    <row r="99" ht="15" customHeight="1" s="235"/>
    <row r="100" ht="15" customHeight="1" s="235"/>
    <row r="101" ht="15" customHeight="1" s="235"/>
    <row r="102" ht="15" customHeight="1" s="235"/>
    <row r="103" ht="15" customHeight="1" s="235"/>
    <row r="104" ht="15" customHeight="1" s="235"/>
    <row r="105" ht="15" customHeight="1" s="235"/>
    <row r="106" ht="15" customHeight="1" s="235"/>
    <row r="107" ht="15" customHeight="1" s="235"/>
    <row r="108" ht="15" customHeight="1" s="235"/>
    <row r="109" ht="15" customHeight="1" s="235"/>
    <row r="110" ht="15" customHeight="1" s="235"/>
    <row r="111" ht="15" customHeight="1" s="235"/>
    <row r="112" ht="15" customHeight="1" s="235"/>
    <row r="113" ht="15" customHeight="1" s="235"/>
    <row r="114" ht="15" customHeight="1" s="235"/>
    <row r="115" ht="15" customHeight="1" s="235"/>
    <row r="116" ht="15" customHeight="1" s="235"/>
    <row r="117" ht="15" customHeight="1" s="235"/>
    <row r="118" ht="15" customHeight="1" s="235"/>
    <row r="119" ht="15" customHeight="1" s="235"/>
    <row r="120" ht="15" customHeight="1" s="235"/>
    <row r="121" ht="15" customHeight="1" s="235"/>
    <row r="122" ht="15" customHeight="1" s="235"/>
    <row r="123" ht="15" customHeight="1" s="235"/>
    <row r="124" ht="15" customHeight="1" s="235"/>
    <row r="125" ht="15" customHeight="1" s="235"/>
    <row r="126" ht="15" customHeight="1" s="235"/>
    <row r="127" ht="15" customHeight="1" s="235"/>
    <row r="128" ht="15" customHeight="1" s="235"/>
    <row r="129" ht="15" customHeight="1" s="235"/>
    <row r="130" ht="15" customHeight="1" s="235"/>
    <row r="131" ht="15" customHeight="1" s="235"/>
    <row r="132" ht="15" customHeight="1" s="235"/>
    <row r="133" ht="15" customHeight="1" s="235"/>
    <row r="134" ht="15" customHeight="1" s="235"/>
    <row r="135" ht="15" customHeight="1" s="235"/>
    <row r="136" ht="15" customHeight="1" s="235"/>
    <row r="137" ht="15" customHeight="1" s="235"/>
    <row r="138" ht="15" customHeight="1" s="235"/>
    <row r="139" ht="15" customHeight="1" s="235"/>
    <row r="140" ht="15" customHeight="1" s="235"/>
    <row r="141" ht="15" customHeight="1" s="235"/>
    <row r="142" ht="15" customHeight="1" s="235"/>
    <row r="143" ht="15" customHeight="1" s="235"/>
    <row r="144" ht="15" customHeight="1" s="235"/>
    <row r="145" ht="15" customHeight="1" s="235"/>
    <row r="146" ht="15" customHeight="1" s="235"/>
    <row r="147" ht="15" customHeight="1" s="235"/>
    <row r="148" ht="15" customHeight="1" s="235"/>
    <row r="149" ht="15" customHeight="1" s="235"/>
    <row r="150" ht="15" customHeight="1" s="235"/>
    <row r="151" ht="15" customHeight="1" s="235"/>
    <row r="152" ht="15" customHeight="1" s="235"/>
    <row r="153" ht="15" customHeight="1" s="235"/>
    <row r="154" ht="15" customHeight="1" s="235"/>
    <row r="155" ht="15" customHeight="1" s="235"/>
    <row r="156" ht="15" customHeight="1" s="235"/>
    <row r="157" ht="15" customHeight="1" s="235"/>
    <row r="158" ht="15" customHeight="1" s="235"/>
    <row r="159" ht="15" customHeight="1" s="235"/>
    <row r="160" ht="15" customHeight="1" s="235"/>
    <row r="161" ht="15" customHeight="1" s="235"/>
    <row r="162" ht="15" customHeight="1" s="235"/>
    <row r="163" ht="15" customHeight="1" s="235"/>
    <row r="164" ht="15" customHeight="1" s="235"/>
    <row r="165" ht="15" customHeight="1" s="235"/>
    <row r="166" ht="15" customHeight="1" s="235"/>
    <row r="167" ht="15" customHeight="1" s="235"/>
    <row r="168" ht="15" customHeight="1" s="235"/>
    <row r="169" ht="15" customHeight="1" s="235"/>
    <row r="170" ht="15" customHeight="1" s="235"/>
    <row r="171" ht="15" customHeight="1" s="235"/>
    <row r="172" ht="15" customHeight="1" s="235"/>
    <row r="173" ht="15" customHeight="1" s="235"/>
    <row r="174" ht="15" customHeight="1" s="235"/>
    <row r="175" ht="15" customHeight="1" s="235"/>
    <row r="176" ht="15" customHeight="1" s="235"/>
    <row r="177" ht="15" customHeight="1" s="235"/>
    <row r="178" ht="15" customHeight="1" s="235"/>
    <row r="179" ht="15" customHeight="1" s="235"/>
    <row r="180" ht="15" customHeight="1" s="235"/>
    <row r="181" ht="15" customHeight="1" s="235"/>
    <row r="182" ht="15" customHeight="1" s="235"/>
    <row r="183" ht="15" customHeight="1" s="235"/>
    <row r="184" ht="15" customHeight="1" s="235"/>
    <row r="185" ht="15" customHeight="1" s="235"/>
    <row r="186" ht="15" customHeight="1" s="235"/>
    <row r="187" ht="15" customHeight="1" s="235"/>
    <row r="188" ht="15" customHeight="1" s="235"/>
    <row r="189" ht="15" customHeight="1" s="235"/>
    <row r="190" ht="15" customHeight="1" s="235"/>
    <row r="191" ht="15" customHeight="1" s="235"/>
    <row r="192" ht="15" customHeight="1" s="235"/>
    <row r="193" ht="15" customHeight="1" s="235"/>
    <row r="194" ht="15" customHeight="1" s="235"/>
    <row r="195" ht="15" customHeight="1" s="235"/>
    <row r="196" ht="15" customHeight="1" s="235"/>
    <row r="197" ht="15" customHeight="1" s="235"/>
    <row r="198" ht="15" customHeight="1" s="235"/>
    <row r="199" ht="15" customHeight="1" s="235"/>
    <row r="200" ht="15" customHeight="1" s="235"/>
  </sheetData>
  <mergeCells count="7">
    <mergeCell ref="E4:F4"/>
    <mergeCell ref="H4:I4"/>
    <mergeCell ref="K4:L4"/>
    <mergeCell ref="B4:C4"/>
    <mergeCell ref="Q4:R4"/>
    <mergeCell ref="N4:O4"/>
    <mergeCell ref="T4:U4"/>
  </mergeCells>
  <conditionalFormatting sqref="D6:D11 D12:F14">
    <cfRule type="colorScale" priority="3">
      <colorScale>
        <cfvo type="min"/>
        <cfvo type="percentile" val="50"/>
        <cfvo type="max"/>
        <color rgb="FFF8696B"/>
        <color rgb="FFFCFCFF"/>
        <color rgb="FF63BE7B"/>
      </colorScale>
    </cfRule>
  </conditionalFormatting>
  <conditionalFormatting sqref="L29:L30">
    <cfRule type="colorScale" priority="2">
      <colorScale>
        <cfvo type="min"/>
        <cfvo type="percentile" val="50"/>
        <cfvo type="max"/>
        <color rgb="FFF8696B"/>
        <color rgb="FFFCFCFF"/>
        <color rgb="FF63BE7B"/>
      </colorScale>
    </cfRule>
  </conditionalFormatting>
  <pageMargins left="0.7" right="0.7" top="0.75" bottom="0.75" header="0.3" footer="0.3"/>
  <pageSetup orientation="portrait" paperSize="9"/>
</worksheet>
</file>

<file path=xl/worksheets/sheet3.xml><?xml version="1.0" encoding="utf-8"?>
<worksheet xmlns="http://schemas.openxmlformats.org/spreadsheetml/2006/main">
  <sheetPr>
    <outlinePr summaryBelow="0" summaryRight="0"/>
    <pageSetUpPr/>
  </sheetPr>
  <dimension ref="A1:L128"/>
  <sheetViews>
    <sheetView topLeftCell="A67" zoomScale="75" workbookViewId="0">
      <selection activeCell="K1" sqref="K1"/>
    </sheetView>
  </sheetViews>
  <sheetFormatPr baseColWidth="8" defaultColWidth="14" defaultRowHeight="13"/>
  <cols>
    <col width="9.7968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05" customWidth="1" style="235" min="13" max="13"/>
    <col width="17" customWidth="1" style="235" min="14" max="15"/>
    <col width="13" customWidth="1" style="235" min="16" max="20"/>
  </cols>
  <sheetData>
    <row r="1" ht="18" customHeight="1" s="235">
      <c r="A1" s="89" t="inlineStr">
        <is>
          <t>Announcement_Year</t>
        </is>
      </c>
      <c r="B1" s="89" t="inlineStr">
        <is>
          <t>Metric</t>
        </is>
      </c>
      <c r="C1" s="89" t="inlineStr">
        <is>
          <t>Direction</t>
        </is>
      </c>
      <c r="D1" s="89" t="inlineStr">
        <is>
          <t>Target_Magnitude</t>
        </is>
      </c>
      <c r="E1" s="89" t="inlineStr">
        <is>
          <t>Baseline</t>
        </is>
      </c>
      <c r="F1" s="89" t="inlineStr">
        <is>
          <t>Target_Year_or_Period</t>
        </is>
      </c>
      <c r="G1" s="89" t="inlineStr">
        <is>
          <t>Count</t>
        </is>
      </c>
      <c r="H1" s="89" t="inlineStr">
        <is>
          <t>Target_Category</t>
        </is>
      </c>
      <c r="I1" s="89" t="inlineStr">
        <is>
          <t>Accountability</t>
        </is>
      </c>
      <c r="J1" s="89" t="inlineStr">
        <is>
          <t>Sentence</t>
        </is>
      </c>
      <c r="K1" s="89" t="inlineStr">
        <is>
          <t>Document</t>
        </is>
      </c>
      <c r="L1" s="89" t="inlineStr">
        <is>
          <t>Topic_Label</t>
        </is>
      </c>
    </row>
    <row r="2" ht="18" customHeight="1" s="235">
      <c r="A2" s="90" t="n">
        <v>2024</v>
      </c>
      <c r="B2" s="90" t="inlineStr">
        <is>
          <t>annual GHG emissions reductions through transformation of key areas and industries</t>
        </is>
      </c>
      <c r="C2" s="90" t="inlineStr">
        <is>
          <t>achieve</t>
        </is>
      </c>
      <c r="D2" s="90" t="inlineStr">
        <is>
          <t>130 million tons</t>
        </is>
      </c>
      <c r="E2" s="90" t="n"/>
      <c r="F2" s="91" t="n">
        <v>2024</v>
      </c>
      <c r="G2" s="90" t="inlineStr">
        <is>
          <t>n</t>
        </is>
      </c>
      <c r="H2" s="90" t="inlineStr">
        <is>
          <t>Carbon reduction</t>
        </is>
      </c>
      <c r="I2" s="90" t="inlineStr">
        <is>
          <t>areas</t>
        </is>
      </c>
      <c r="J2" s="90" t="inlineStr">
        <is>
          <t>The energy-saving and carbon reduction transformation of key areas and industries will result in carbon dioxide emissions reduction of about 130 million tons.</t>
        </is>
      </c>
      <c r="K2" s="92" t="inlineStr">
        <is>
          <t>AP2405.htm</t>
        </is>
      </c>
      <c r="L2" s="93" t="inlineStr">
        <is>
          <t>Emissions</t>
        </is>
      </c>
    </row>
    <row r="3" ht="18" customHeight="1" s="235">
      <c r="A3" s="90" t="n">
        <v>2024</v>
      </c>
      <c r="B3" s="90" t="inlineStr">
        <is>
          <t>annual GHG emissions reductions through transformation of key areas and industries</t>
        </is>
      </c>
      <c r="C3" s="90" t="inlineStr">
        <is>
          <t>achieve</t>
        </is>
      </c>
      <c r="D3" s="90" t="inlineStr">
        <is>
          <t>130 million tons</t>
        </is>
      </c>
      <c r="E3" s="90" t="n"/>
      <c r="F3" s="91" t="n">
        <v>2025</v>
      </c>
      <c r="G3" s="90" t="inlineStr">
        <is>
          <t>n</t>
        </is>
      </c>
      <c r="H3" s="90" t="inlineStr">
        <is>
          <t>Carbon reduction</t>
        </is>
      </c>
      <c r="I3" s="90" t="inlineStr">
        <is>
          <t>areas</t>
        </is>
      </c>
      <c r="J3" s="90" t="inlineStr">
        <is>
          <t>By 2025, the proportion of non fossil energy consumption will reach about 20%, and energy-saving and carbon reduction reforms in key areas and industries will result in energy savings of about 50 million tons of standard coal and carbon dioxide emissions reduction of about 130 million tons.</t>
        </is>
      </c>
      <c r="K3" s="92" t="inlineStr">
        <is>
          <t>AP2405.htm</t>
        </is>
      </c>
      <c r="L3" s="90" t="inlineStr">
        <is>
          <t>Emissions</t>
        </is>
      </c>
    </row>
    <row r="4" ht="18" customHeight="1" s="235">
      <c r="A4" s="0" t="n">
        <v>2026</v>
      </c>
      <c r="B4" s="0" t="inlineStr">
        <is>
          <t>carbon dioxide emission reductions from energy conservation and carbon reduction transformation in key industries</t>
        </is>
      </c>
      <c r="C4" s="0" t="inlineStr">
        <is>
          <t>achieve</t>
        </is>
      </c>
      <c r="D4" s="0" t="inlineStr">
        <is>
          <t>more than 200 million tons</t>
        </is>
      </c>
      <c r="F4" s="0" t="n">
        <v>2028</v>
      </c>
      <c r="G4" s="0" t="inlineStr">
        <is>
          <t>n</t>
        </is>
      </c>
      <c r="H4" s="0" t="inlineStr">
        <is>
          <t>Carbon reduction</t>
        </is>
      </c>
      <c r="I4" s="0" t="inlineStr">
        <is>
          <t>whole economy</t>
        </is>
      </c>
      <c r="J4" s="0" t="inlineStr">
        <is>
          <t>...cumulative energy savings of more than 100 million tons of standard coal and carbon dioxide reductions of more than 200 million tons will be achieved.</t>
        </is>
      </c>
      <c r="K4" s="0" t="inlineStr">
        <is>
          <t>AP2607.htm</t>
        </is>
      </c>
      <c r="L4" s="0" t="inlineStr">
        <is>
          <t>GHG Emissions</t>
        </is>
      </c>
    </row>
    <row r="5" ht="18" customHeight="1" s="235">
      <c r="A5" s="90" t="n">
        <v>2026</v>
      </c>
      <c r="B5" s="90" t="inlineStr">
        <is>
          <t xml:space="preserve">carbon dioxide emissions intensity of international shipping vessels </t>
        </is>
      </c>
      <c r="C5" s="90" t="inlineStr">
        <is>
          <t>reduce by</t>
        </is>
      </c>
      <c r="D5" s="90" t="inlineStr">
        <is>
          <t>more than 15%</t>
        </is>
      </c>
      <c r="E5" s="90" t="n">
        <v>2025</v>
      </c>
      <c r="F5" s="91" t="n">
        <v>2030</v>
      </c>
      <c r="G5" s="90" t="inlineStr">
        <is>
          <t>n</t>
        </is>
      </c>
      <c r="H5" s="90" t="inlineStr">
        <is>
          <t>Carbon intensity</t>
        </is>
      </c>
      <c r="I5" s="90" t="inlineStr">
        <is>
          <t>sectors</t>
        </is>
      </c>
      <c r="J5" s="90" t="inlineStr">
        <is>
          <t>By 2030, the carbon emission intensity of international-voyage ships will decrease by more than 15% compared with 2025.</t>
        </is>
      </c>
      <c r="K5" s="92" t="inlineStr">
        <is>
          <t>O2602.htm</t>
        </is>
      </c>
      <c r="L5" s="90" t="inlineStr">
        <is>
          <t>Emissions</t>
        </is>
      </c>
    </row>
    <row r="6" ht="18" customHeight="1" s="235">
      <c r="A6" s="90" t="n">
        <v>2020</v>
      </c>
      <c r="B6" s="90" t="inlineStr">
        <is>
          <t>carbon dioxide emissions neutrality</t>
        </is>
      </c>
      <c r="C6" s="90" t="inlineStr">
        <is>
          <t>achieve</t>
        </is>
      </c>
      <c r="D6" s="90" t="n"/>
      <c r="E6" s="90" t="n"/>
      <c r="F6" s="91" t="inlineStr">
        <is>
          <t>before 2060</t>
        </is>
      </c>
      <c r="G6" s="90" t="inlineStr">
        <is>
          <t>r</t>
        </is>
      </c>
      <c r="H6" s="90" t="inlineStr">
        <is>
          <t>Carbon reduction</t>
        </is>
      </c>
      <c r="I6" s="90" t="inlineStr">
        <is>
          <t>whole economy</t>
        </is>
      </c>
      <c r="J6" s="90" t="inlineStr">
        <is>
          <t>On September 21, 2020, President Xi Jinping announced at the general debate of the 76th United Nations General Assembly that China will strive to achieve carbon peak before 2030 and carbon neutrality before 2060.</t>
        </is>
      </c>
      <c r="K6" s="92" t="inlineStr">
        <is>
          <t>HL2105.pdf</t>
        </is>
      </c>
      <c r="L6" s="90" t="inlineStr">
        <is>
          <t>Emissions</t>
        </is>
      </c>
    </row>
    <row r="7" ht="18" customHeight="1" s="235">
      <c r="A7" s="90" t="n">
        <v>2020</v>
      </c>
      <c r="B7" s="90" t="inlineStr">
        <is>
          <t>carbon dioxide emissions neutrality</t>
        </is>
      </c>
      <c r="C7" s="90" t="inlineStr">
        <is>
          <t>achieve</t>
        </is>
      </c>
      <c r="D7" s="90" t="n"/>
      <c r="E7" s="90" t="n"/>
      <c r="F7" s="91" t="inlineStr">
        <is>
          <t>before 2060</t>
        </is>
      </c>
      <c r="G7" s="90" t="inlineStr">
        <is>
          <t>n</t>
        </is>
      </c>
      <c r="H7" s="90" t="inlineStr">
        <is>
          <t>Carbon reduction</t>
        </is>
      </c>
      <c r="I7" s="90" t="inlineStr">
        <is>
          <t>whole economy</t>
        </is>
      </c>
      <c r="J7" s="90" t="inlineStr">
        <is>
          <t>On September 22, 2020, President Xi Jinping declared, at the General Debate of the 75th Session of the United Nations General Assembly, that China would scale up its Nationally Determined Contributions (NDCs) by adopting more vigorous policies and measures, and aims to have CO2 emissions peak before 2030 and achieve carbon neutrality before 2060.</t>
        </is>
      </c>
      <c r="K7" s="92" t="inlineStr">
        <is>
          <t>GO2102.htm</t>
        </is>
      </c>
      <c r="L7" s="90" t="inlineStr">
        <is>
          <t>Emissions</t>
        </is>
      </c>
    </row>
    <row r="8" ht="18" customHeight="1" s="235">
      <c r="A8" s="90" t="n">
        <v>2016</v>
      </c>
      <c r="B8" s="90" t="inlineStr">
        <is>
          <t>carbon dioxide emissions of large-scale power generation group units</t>
        </is>
      </c>
      <c r="C8" s="90" t="inlineStr">
        <is>
          <t>control within</t>
        </is>
      </c>
      <c r="D8" s="90" t="inlineStr">
        <is>
          <t>550 grams of carbon dioxide per kilowatt hour</t>
        </is>
      </c>
      <c r="E8" s="90" t="n"/>
      <c r="F8" s="91" t="n">
        <v>2020</v>
      </c>
      <c r="G8" s="90" t="inlineStr">
        <is>
          <t>n</t>
        </is>
      </c>
      <c r="H8" s="90" t="inlineStr">
        <is>
          <t>Carbon intensity</t>
        </is>
      </c>
      <c r="I8" s="90" t="inlineStr">
        <is>
          <t>unclear</t>
        </is>
      </c>
      <c r="J8" s="90" t="inlineStr">
        <is>
          <t>By 2020, the carbon dioxide emissions of large-scale power generation group units are controlled within 550 grams of carbon dioxide per kilowatt hour.</t>
        </is>
      </c>
      <c r="K8" s="92" t="inlineStr">
        <is>
          <t>FYP1615.htm</t>
        </is>
      </c>
      <c r="L8" s="90" t="inlineStr">
        <is>
          <t>Emissions</t>
        </is>
      </c>
    </row>
    <row r="9" ht="18" customHeight="1" s="235">
      <c r="A9" s="90" t="n">
        <v>2015</v>
      </c>
      <c r="B9" s="90" t="inlineStr">
        <is>
          <t>carbon dioxide emissions peaking</t>
        </is>
      </c>
      <c r="C9" s="90" t="inlineStr">
        <is>
          <t>achieve</t>
        </is>
      </c>
      <c r="D9" s="90" t="n"/>
      <c r="E9" s="90" t="n"/>
      <c r="F9" s="91" t="inlineStr">
        <is>
          <t>around 2030</t>
        </is>
      </c>
      <c r="G9" s="90" t="inlineStr">
        <is>
          <t>n</t>
        </is>
      </c>
      <c r="H9" s="90" t="inlineStr">
        <is>
          <t>Carbon reduction</t>
        </is>
      </c>
      <c r="I9" s="90" t="inlineStr">
        <is>
          <t>whole economy</t>
        </is>
      </c>
      <c r="J9" s="90" t="inlineStr">
        <is>
          <t>To achieve the peaking of carbon dioxide emissions around 2030 and making best efforts to peak early</t>
        </is>
      </c>
      <c r="K9" s="92" t="inlineStr">
        <is>
          <t>HL1601.pdf</t>
        </is>
      </c>
      <c r="L9" s="90" t="inlineStr">
        <is>
          <t>Emissions</t>
        </is>
      </c>
    </row>
    <row r="10" ht="18" customHeight="1" s="235">
      <c r="A10" s="90" t="n">
        <v>2020</v>
      </c>
      <c r="B10" s="90" t="inlineStr">
        <is>
          <t>carbon dioxide emissions peaking</t>
        </is>
      </c>
      <c r="C10" s="90" t="inlineStr">
        <is>
          <t>achieve</t>
        </is>
      </c>
      <c r="D10" s="90" t="n"/>
      <c r="E10" s="90" t="n"/>
      <c r="F10" s="91" t="inlineStr">
        <is>
          <t>before 2030</t>
        </is>
      </c>
      <c r="G10" s="90" t="inlineStr">
        <is>
          <t>s/l-POS</t>
        </is>
      </c>
      <c r="H10" s="90" t="inlineStr">
        <is>
          <t>Carbon reduction</t>
        </is>
      </c>
      <c r="I10" s="90" t="inlineStr">
        <is>
          <t>whole economy</t>
        </is>
      </c>
      <c r="J10" s="90" t="inlineStr">
        <is>
          <t>General Secretary Xi Jinping announced at the general debate of the 75th United Nations General Assembly that China will strive to peak its carbon dioxide emissions before 2030 and achieve carbon neutrality before 2060, and further announced the latest national voluntary contributions at the Climate Ambition Summit.</t>
        </is>
      </c>
      <c r="K10" s="92" t="inlineStr">
        <is>
          <t>GO2102.htm</t>
        </is>
      </c>
      <c r="L10" s="90" t="inlineStr">
        <is>
          <t>Emissions</t>
        </is>
      </c>
    </row>
    <row r="11" ht="18" customHeight="1" s="235">
      <c r="A11" s="90" t="n">
        <v>2022</v>
      </c>
      <c r="B11" s="90" t="inlineStr">
        <is>
          <t>carbon dioxide emissions peaking in the building materials sector</t>
        </is>
      </c>
      <c r="C11" s="90" t="inlineStr">
        <is>
          <t>achieve</t>
        </is>
      </c>
      <c r="D11" s="90" t="n"/>
      <c r="E11" s="90" t="n"/>
      <c r="F11" s="91" t="inlineStr">
        <is>
          <t>before 2030</t>
        </is>
      </c>
      <c r="G11" s="90" t="inlineStr">
        <is>
          <t>n</t>
        </is>
      </c>
      <c r="H11" s="90" t="inlineStr">
        <is>
          <t>Carbon reduction</t>
        </is>
      </c>
      <c r="I11" s="90" t="inlineStr">
        <is>
          <t>sectors</t>
        </is>
      </c>
      <c r="J11" s="90" t="inlineStr">
        <is>
          <t>ensuring that the building materials industry reaches its carbon peak by 2030.</t>
        </is>
      </c>
      <c r="K11" s="92" t="inlineStr">
        <is>
          <t>IP2220.htm</t>
        </is>
      </c>
      <c r="L11" s="90" t="inlineStr">
        <is>
          <t>Emissions</t>
        </is>
      </c>
    </row>
    <row r="12" ht="18" customHeight="1" s="235">
      <c r="A12" s="90" t="n">
        <v>2022</v>
      </c>
      <c r="B12" s="90" t="inlineStr">
        <is>
          <t>carbon dioxide emissions peaking in the industrial sector</t>
        </is>
      </c>
      <c r="C12" s="90" t="inlineStr">
        <is>
          <t>achieve</t>
        </is>
      </c>
      <c r="D12" s="90" t="inlineStr">
        <is>
          <t>before 2030</t>
        </is>
      </c>
      <c r="E12" s="90" t="n"/>
      <c r="F12" s="91" t="inlineStr">
        <is>
          <t>before 2030</t>
        </is>
      </c>
      <c r="G12" s="90" t="inlineStr">
        <is>
          <t>n</t>
        </is>
      </c>
      <c r="H12" s="90" t="inlineStr">
        <is>
          <t>Carbon reduction</t>
        </is>
      </c>
      <c r="I12" s="90" t="inlineStr">
        <is>
          <t>sectors</t>
        </is>
      </c>
      <c r="J12" s="90" t="inlineStr">
        <is>
          <t>ensuring that the industrial sector reaches its carbon peak by 2030.</t>
        </is>
      </c>
      <c r="K12" s="92" t="inlineStr">
        <is>
          <t>IP2206.pdf</t>
        </is>
      </c>
      <c r="L12" s="90" t="inlineStr">
        <is>
          <t>Emissions</t>
        </is>
      </c>
    </row>
    <row r="13" ht="18" customHeight="1" s="235">
      <c r="A13" s="90" t="n">
        <v>2022</v>
      </c>
      <c r="B13" s="90" t="inlineStr">
        <is>
          <t>carbon dioxide emissions peaking in the non-ferrous metals sector</t>
        </is>
      </c>
      <c r="C13" s="90" t="inlineStr">
        <is>
          <t>achieve</t>
        </is>
      </c>
      <c r="D13" s="90" t="n"/>
      <c r="E13" s="90" t="n"/>
      <c r="F13" s="91" t="inlineStr">
        <is>
          <t>before 2030</t>
        </is>
      </c>
      <c r="G13" s="90" t="inlineStr">
        <is>
          <t>n</t>
        </is>
      </c>
      <c r="H13" s="90" t="inlineStr">
        <is>
          <t>Carbon reduction</t>
        </is>
      </c>
      <c r="I13" s="90" t="inlineStr">
        <is>
          <t>sectors</t>
        </is>
      </c>
      <c r="J13" s="90" t="inlineStr">
        <is>
          <t>Ensure the non-ferrous metals industry achieves carbon peaking before 2030.</t>
        </is>
      </c>
      <c r="K13" s="92" t="inlineStr">
        <is>
          <t>IP2221.htm</t>
        </is>
      </c>
      <c r="L13" s="90" t="inlineStr">
        <is>
          <t>Emissions</t>
        </is>
      </c>
    </row>
    <row r="14" ht="18" customHeight="1" s="235">
      <c r="A14" s="90" t="n">
        <v>2022</v>
      </c>
      <c r="B14" s="90" t="inlineStr">
        <is>
          <t>carbon dioxide emissions peaking in the steel sector</t>
        </is>
      </c>
      <c r="C14" s="90" t="inlineStr">
        <is>
          <t>achieve</t>
        </is>
      </c>
      <c r="D14" s="90" t="n"/>
      <c r="E14" s="90" t="n"/>
      <c r="F14" s="91" t="inlineStr">
        <is>
          <t>before 2030</t>
        </is>
      </c>
      <c r="G14" s="90" t="inlineStr">
        <is>
          <t>n</t>
        </is>
      </c>
      <c r="H14" s="90" t="inlineStr">
        <is>
          <t>Carbon reduction</t>
        </is>
      </c>
      <c r="I14" s="90" t="inlineStr">
        <is>
          <t>sectors</t>
        </is>
      </c>
      <c r="J14" s="90" t="inlineStr">
        <is>
          <t xml:space="preserve"> and carbon emissions in the steel sector will peak before 2030</t>
        </is>
      </c>
      <c r="K14" s="92" t="inlineStr">
        <is>
          <t>GO2204.htm</t>
        </is>
      </c>
      <c r="L14" s="90" t="inlineStr">
        <is>
          <t>Emissions</t>
        </is>
      </c>
    </row>
    <row r="15" ht="18" customHeight="1" s="235">
      <c r="A15" s="90" t="n">
        <v>2024</v>
      </c>
      <c r="B15" s="90" t="inlineStr">
        <is>
          <t>carbon dioxide emissions per kilowatt hour of related low-carbon transformation and construction projects for coal-fired power plants</t>
        </is>
      </c>
      <c r="C15" s="90" t="inlineStr">
        <is>
          <t>reduce by</t>
        </is>
      </c>
      <c r="D15" s="90" t="inlineStr">
        <is>
          <t>about 20%</t>
        </is>
      </c>
      <c r="E15" s="90" t="n">
        <v>2023</v>
      </c>
      <c r="F15" s="91" t="n">
        <v>2025</v>
      </c>
      <c r="G15" s="90" t="inlineStr">
        <is>
          <t>n</t>
        </is>
      </c>
      <c r="H15" s="90" t="inlineStr">
        <is>
          <t>Carbon intensity</t>
        </is>
      </c>
      <c r="I15" s="90" t="inlineStr">
        <is>
          <t>enterprises</t>
        </is>
      </c>
      <c r="J15" s="90" t="inlineStr">
        <is>
          <t>By 2025, the carbon emissions per kilowatt hour of related low-carbon transformation and construction projects for coal-fired power plants will be reduced by about 20% compared to the average carbon emissions level of similar coal-fired power units in 2023</t>
        </is>
      </c>
      <c r="K15" s="92" t="inlineStr">
        <is>
          <t>AP2406.pdf</t>
        </is>
      </c>
      <c r="L15" s="90" t="inlineStr">
        <is>
          <t>Emissions</t>
        </is>
      </c>
    </row>
    <row r="16" ht="18" customHeight="1" s="235">
      <c r="A16" s="90" t="n">
        <v>2024</v>
      </c>
      <c r="B16" s="90" t="inlineStr">
        <is>
          <t>carbon dioxide emissions per kilowatt hour of related low-carbon transformation and construction projects for coal-fired power plants</t>
        </is>
      </c>
      <c r="C16" s="90" t="inlineStr">
        <is>
          <t>reduce by</t>
        </is>
      </c>
      <c r="D16" s="90" t="inlineStr">
        <is>
          <t>about 50%</t>
        </is>
      </c>
      <c r="E16" s="90" t="n">
        <v>2023</v>
      </c>
      <c r="F16" s="91" t="n">
        <v>2027</v>
      </c>
      <c r="G16" s="90" t="inlineStr">
        <is>
          <t>n</t>
        </is>
      </c>
      <c r="H16" s="90" t="inlineStr">
        <is>
          <t>Carbon intensity</t>
        </is>
      </c>
      <c r="I16" s="90" t="inlineStr">
        <is>
          <t>enterprises</t>
        </is>
      </c>
      <c r="J16" s="90" t="inlineStr">
        <is>
          <t>By 2027, the carbon emissions per kilowatt hour of related low-carbon transformation and construction projects for coal-fired power plants will be reduced by about 50% compared to the average carbon emissions level of similar coal-fired power units in 2023</t>
        </is>
      </c>
      <c r="K16" s="92" t="inlineStr">
        <is>
          <t>AP2406.pdf</t>
        </is>
      </c>
      <c r="L16" s="90" t="inlineStr">
        <is>
          <t>Emissions</t>
        </is>
      </c>
    </row>
    <row r="17" ht="18" customHeight="1" s="235">
      <c r="A17" s="90" t="n">
        <v>2010</v>
      </c>
      <c r="B17" s="90" t="inlineStr">
        <is>
          <t>carbon dioxide emissions per unit of GDP</t>
        </is>
      </c>
      <c r="C17" s="90" t="inlineStr">
        <is>
          <t>reduce by</t>
        </is>
      </c>
      <c r="D17" s="90" t="inlineStr">
        <is>
          <t>40%–45%</t>
        </is>
      </c>
      <c r="E17" s="90" t="n">
        <v>2005</v>
      </c>
      <c r="F17" s="91" t="inlineStr">
        <is>
          <t>2020</t>
        </is>
      </c>
      <c r="G17" s="90" t="inlineStr">
        <is>
          <t>r</t>
        </is>
      </c>
      <c r="H17" s="90" t="inlineStr">
        <is>
          <t>Carbon intensity</t>
        </is>
      </c>
      <c r="I17" s="90" t="inlineStr">
        <is>
          <t>whole economy</t>
        </is>
      </c>
      <c r="J17" s="90" t="inlineStr">
        <is>
          <t>By 2020, the Chinese government will reduce carbon dioxide emissions per unit of GDP by 40%–45% compared with 2005 levels.</t>
        </is>
      </c>
      <c r="K17" s="92" t="inlineStr">
        <is>
          <t>N1001.htm</t>
        </is>
      </c>
      <c r="L17" s="90" t="inlineStr">
        <is>
          <t>Emissions</t>
        </is>
      </c>
    </row>
    <row r="18" ht="18" customHeight="1" s="235">
      <c r="A18" s="90" t="n">
        <v>2011</v>
      </c>
      <c r="B18" s="90" t="inlineStr">
        <is>
          <t>carbon dioxide emissions per unit of GDP</t>
        </is>
      </c>
      <c r="C18" s="90" t="inlineStr">
        <is>
          <t>reduce by</t>
        </is>
      </c>
      <c r="D18" s="90" t="inlineStr">
        <is>
          <t>40-45%</t>
        </is>
      </c>
      <c r="E18" s="90" t="n">
        <v>2005</v>
      </c>
      <c r="F18" s="91" t="inlineStr">
        <is>
          <t>2020</t>
        </is>
      </c>
      <c r="G18" s="90" t="inlineStr">
        <is>
          <t>r</t>
        </is>
      </c>
      <c r="H18" s="90" t="inlineStr">
        <is>
          <t>Carbon intensity</t>
        </is>
      </c>
      <c r="I18" s="90" t="inlineStr">
        <is>
          <t>whole economy</t>
        </is>
      </c>
      <c r="J18" s="90" t="inlineStr">
        <is>
          <t>To this end, the CPC Central Committee and the State Council have clearly proposed to vigorously develop a green economy, actively develop a low-carbon economy and a circular economy, incorporate climate change response into economic and social development plans, and solemnly promise to the world to achieve a reduction target of 40% to 45% in carbon dioxide emissions per unit of GDP by 2020 compared with 2005.</t>
        </is>
      </c>
      <c r="K18" s="92" t="inlineStr">
        <is>
          <t>FYP1102.htm</t>
        </is>
      </c>
      <c r="L18" s="90" t="inlineStr">
        <is>
          <t>Emissions</t>
        </is>
      </c>
    </row>
    <row r="19" ht="18" customHeight="1" s="235">
      <c r="A19" s="90" t="n">
        <v>2011</v>
      </c>
      <c r="B19" s="90" t="inlineStr">
        <is>
          <t>carbon dioxide emissions per unit of GDP</t>
        </is>
      </c>
      <c r="C19" s="90" t="inlineStr">
        <is>
          <t>reduce by</t>
        </is>
      </c>
      <c r="D19" s="90" t="inlineStr">
        <is>
          <t>17%</t>
        </is>
      </c>
      <c r="E19" s="90" t="n">
        <v>2010</v>
      </c>
      <c r="F19" s="91" t="inlineStr">
        <is>
          <t>2015</t>
        </is>
      </c>
      <c r="G19" s="90" t="inlineStr">
        <is>
          <t>r</t>
        </is>
      </c>
      <c r="H19" s="90" t="inlineStr">
        <is>
          <t>Carbon intensity</t>
        </is>
      </c>
      <c r="I19" s="90" t="inlineStr">
        <is>
          <t>whole economy</t>
        </is>
      </c>
      <c r="J19" s="90" t="inlineStr">
        <is>
          <t>We should focus on the goal of reducing the national carbon dioxide emissions per unit of GDP by 17% by 2015 compared with 2010, vigorously promote energy conservation and consumption reduction, optimize the energy structure, strive to increase carbon sinks, and accelerate the formation of an industrial system and lifestyle characterized by low carbon.</t>
        </is>
      </c>
      <c r="K19" s="92" t="inlineStr">
        <is>
          <t>FYP1101.htm</t>
        </is>
      </c>
      <c r="L19" s="90" t="inlineStr">
        <is>
          <t>Emissions</t>
        </is>
      </c>
    </row>
    <row r="20" ht="18" customHeight="1" s="235">
      <c r="A20" s="90" t="n">
        <v>2012</v>
      </c>
      <c r="B20" s="90" t="inlineStr">
        <is>
          <t>carbon dioxide emissions per unit of GDP</t>
        </is>
      </c>
      <c r="C20" s="90" t="inlineStr">
        <is>
          <t>reduce by</t>
        </is>
      </c>
      <c r="D20" s="90" t="inlineStr">
        <is>
          <t>40-45%</t>
        </is>
      </c>
      <c r="E20" s="90" t="n">
        <v>2005</v>
      </c>
      <c r="F20" s="91" t="inlineStr">
        <is>
          <t>2020</t>
        </is>
      </c>
      <c r="G20" s="90" t="inlineStr">
        <is>
          <t>r</t>
        </is>
      </c>
      <c r="H20" s="90" t="inlineStr">
        <is>
          <t>Carbon intensity</t>
        </is>
      </c>
      <c r="I20" s="90" t="inlineStr">
        <is>
          <t>whole economy</t>
        </is>
      </c>
      <c r="J20" s="90" t="inlineStr">
        <is>
          <t>The Chinese government announced that, by 2020 CO2 emission per unit of GDP will be reduced by 40-45% compared with 2005.</t>
        </is>
      </c>
      <c r="K20" s="92" t="inlineStr">
        <is>
          <t>HL1201.pdf</t>
        </is>
      </c>
      <c r="L20" s="90" t="inlineStr">
        <is>
          <t>Emissions</t>
        </is>
      </c>
    </row>
    <row r="21" ht="18" customHeight="1" s="235">
      <c r="A21" s="90" t="n">
        <v>2012</v>
      </c>
      <c r="B21" s="90" t="inlineStr">
        <is>
          <t>carbon dioxide emissions per unit of GDP</t>
        </is>
      </c>
      <c r="C21" s="90" t="inlineStr">
        <is>
          <t>reduce by</t>
        </is>
      </c>
      <c r="D21" s="90" t="inlineStr">
        <is>
          <t>17%</t>
        </is>
      </c>
      <c r="E21" s="90" t="n"/>
      <c r="F21" s="91" t="inlineStr">
        <is>
          <t>12th FYP</t>
        </is>
      </c>
      <c r="G21" s="90" t="inlineStr">
        <is>
          <t>r</t>
        </is>
      </c>
      <c r="H21" s="90" t="inlineStr">
        <is>
          <t>Carbon intensity</t>
        </is>
      </c>
      <c r="I21" s="90" t="inlineStr">
        <is>
          <t>whole economy</t>
        </is>
      </c>
      <c r="J21" s="90" t="inlineStr">
        <is>
          <t>During the 12th FYP period, China will decrease CO2 emission per unit of GDP by 17% as a binding target.</t>
        </is>
      </c>
      <c r="K21" s="92" t="inlineStr">
        <is>
          <t>HL1201.pdf</t>
        </is>
      </c>
      <c r="L21" s="90" t="inlineStr">
        <is>
          <t>Emissions</t>
        </is>
      </c>
    </row>
    <row r="22" ht="18" customHeight="1" s="235">
      <c r="A22" s="90" t="n">
        <v>2012</v>
      </c>
      <c r="B22" s="90" t="inlineStr">
        <is>
          <t>carbon dioxide emissions per unit of GDP</t>
        </is>
      </c>
      <c r="C22" s="90" t="inlineStr">
        <is>
          <t>reduce by</t>
        </is>
      </c>
      <c r="D22" s="90" t="inlineStr">
        <is>
          <t>17%</t>
        </is>
      </c>
      <c r="E22" s="90" t="n"/>
      <c r="F22" s="91" t="inlineStr">
        <is>
          <t>12th FYP</t>
        </is>
      </c>
      <c r="G22" s="90" t="inlineStr">
        <is>
          <t>r</t>
        </is>
      </c>
      <c r="H22" s="90" t="inlineStr">
        <is>
          <t>Carbon intensity</t>
        </is>
      </c>
      <c r="I22" s="90" t="inlineStr">
        <is>
          <t>whole economy</t>
        </is>
      </c>
      <c r="J22" s="90" t="inlineStr">
        <is>
          <t>The 12th Five-Year Plan for National Economic and Social Development of PRC has set for the first time a binding target for reducing CO2 emissions per unit of GDP by 17%.</t>
        </is>
      </c>
      <c r="K22" s="92" t="inlineStr">
        <is>
          <t>HL1201.pdf</t>
        </is>
      </c>
      <c r="L22" s="90" t="inlineStr">
        <is>
          <t>Emissions</t>
        </is>
      </c>
    </row>
    <row r="23" ht="18" customHeight="1" s="235">
      <c r="A23" s="90" t="n">
        <v>2012</v>
      </c>
      <c r="B23" s="90" t="inlineStr">
        <is>
          <t>carbon dioxide emissions per unit of GDP</t>
        </is>
      </c>
      <c r="C23" s="90" t="inlineStr">
        <is>
          <t>reduce by</t>
        </is>
      </c>
      <c r="D23" s="90" t="inlineStr">
        <is>
          <t>40%-45%</t>
        </is>
      </c>
      <c r="E23" s="90" t="n">
        <v>2005</v>
      </c>
      <c r="F23" s="91" t="inlineStr">
        <is>
          <t>2020</t>
        </is>
      </c>
      <c r="G23" s="90" t="inlineStr">
        <is>
          <t>r</t>
        </is>
      </c>
      <c r="H23" s="90" t="inlineStr">
        <is>
          <t>Carbon intensity</t>
        </is>
      </c>
      <c r="I23" s="90" t="inlineStr">
        <is>
          <t>whole economy</t>
        </is>
      </c>
      <c r="J23" s="90" t="inlineStr">
        <is>
          <t>China’s CO2 emission per unit of GDP will be reduced by 40%-45% by 2020 compared with 2005, which has been incorporated in the medium and long-term economic and social development plans as a binding target, and for which national statistical, monitoring and assessment methods will be developed accordingly.</t>
        </is>
      </c>
      <c r="K23" s="92" t="inlineStr">
        <is>
          <t>HL1201.pdf</t>
        </is>
      </c>
      <c r="L23" s="90" t="inlineStr">
        <is>
          <t>Emissions</t>
        </is>
      </c>
    </row>
    <row r="24" ht="18" customHeight="1" s="235">
      <c r="A24" s="90" t="n">
        <v>2012</v>
      </c>
      <c r="B24" s="90" t="inlineStr">
        <is>
          <t>carbon dioxide emissions per unit of GDP</t>
        </is>
      </c>
      <c r="C24" s="90" t="inlineStr">
        <is>
          <t>reduce by</t>
        </is>
      </c>
      <c r="D24" s="90" t="inlineStr">
        <is>
          <t>40%-45%</t>
        </is>
      </c>
      <c r="E24" s="90" t="n">
        <v>2005</v>
      </c>
      <c r="F24" s="91" t="inlineStr">
        <is>
          <t>2020</t>
        </is>
      </c>
      <c r="G24" s="90" t="inlineStr">
        <is>
          <t>r</t>
        </is>
      </c>
      <c r="H24" s="90" t="inlineStr">
        <is>
          <t>Carbon intensity</t>
        </is>
      </c>
      <c r="I24" s="90" t="inlineStr">
        <is>
          <t>whole economy</t>
        </is>
      </c>
      <c r="J24" s="90" t="inlineStr">
        <is>
          <t>The Chinese government has pledged that by 2020, carbon dioxide emissions per unit of GDP will fall by 40%-45% compared with 2005.</t>
        </is>
      </c>
      <c r="K24" s="92" t="inlineStr">
        <is>
          <t>WP1201.htm</t>
        </is>
      </c>
      <c r="L24" s="90" t="inlineStr">
        <is>
          <t>Emissions</t>
        </is>
      </c>
    </row>
    <row r="25" ht="18" customHeight="1" s="235">
      <c r="A25" s="90" t="n">
        <v>2013</v>
      </c>
      <c r="B25" s="90" t="inlineStr">
        <is>
          <t>carbon dioxide emissions per unit of GDP</t>
        </is>
      </c>
      <c r="C25" s="90" t="inlineStr">
        <is>
          <t>reduce by</t>
        </is>
      </c>
      <c r="D25" s="90" t="inlineStr">
        <is>
          <t>17%</t>
        </is>
      </c>
      <c r="E25" s="90" t="n"/>
      <c r="F25" s="91" t="inlineStr">
        <is>
          <t>2015</t>
        </is>
      </c>
      <c r="G25" s="90" t="inlineStr">
        <is>
          <t>r</t>
        </is>
      </c>
      <c r="H25" s="90" t="inlineStr">
        <is>
          <t>Carbon intensity</t>
        </is>
      </c>
      <c r="I25" s="90" t="inlineStr">
        <is>
          <t>whole economy</t>
        </is>
      </c>
      <c r="J25" s="90" t="inlineStr">
        <is>
          <t>Carbon dioxide emissions per unit of GDP will decline by 17% by 2015 compared with 2010.</t>
        </is>
      </c>
      <c r="K25" s="92" t="inlineStr">
        <is>
          <t>FYP1302.htm</t>
        </is>
      </c>
      <c r="L25" s="90" t="inlineStr">
        <is>
          <t>Emissions</t>
        </is>
      </c>
    </row>
    <row r="26" ht="18" customHeight="1" s="235">
      <c r="A26" s="90" t="n">
        <v>2016</v>
      </c>
      <c r="B26" s="90" t="inlineStr">
        <is>
          <t>carbon dioxide emissions per unit of GDP</t>
        </is>
      </c>
      <c r="C26" s="90" t="inlineStr">
        <is>
          <t>reduce by</t>
        </is>
      </c>
      <c r="D26" s="90" t="inlineStr">
        <is>
          <t>18%</t>
        </is>
      </c>
      <c r="E26" s="90" t="n"/>
      <c r="F26" s="91" t="n">
        <v>2020</v>
      </c>
      <c r="G26" s="90" t="inlineStr">
        <is>
          <t>r</t>
        </is>
      </c>
      <c r="H26" s="90" t="inlineStr">
        <is>
          <t>Carbon intensity</t>
        </is>
      </c>
      <c r="I26" s="90" t="inlineStr">
        <is>
          <t>whole economy</t>
        </is>
      </c>
      <c r="J26" s="90" t="inlineStr">
        <is>
          <t>By 2020, carbon dioxide emissions per unit of GDP will be down 18% from 2015, and total carbon emissions will be effectively controlled.</t>
        </is>
      </c>
      <c r="K26" s="92" t="inlineStr">
        <is>
          <t>FYP1615.htm</t>
        </is>
      </c>
      <c r="L26" s="90" t="inlineStr">
        <is>
          <t>Emissions</t>
        </is>
      </c>
    </row>
    <row r="27" ht="18" customHeight="1" s="235">
      <c r="A27" s="90" t="n">
        <v>2016</v>
      </c>
      <c r="B27" s="90" t="inlineStr">
        <is>
          <t>carbon dioxide emissions per unit of GDP</t>
        </is>
      </c>
      <c r="C27" s="90" t="inlineStr">
        <is>
          <t>reduce by</t>
        </is>
      </c>
      <c r="D27" s="90" t="inlineStr">
        <is>
          <t>more than 3.9%</t>
        </is>
      </c>
      <c r="E27" s="90" t="n">
        <v>2015</v>
      </c>
      <c r="F27" s="91" t="n">
        <v>2016</v>
      </c>
      <c r="G27" s="90" t="inlineStr">
        <is>
          <t>n</t>
        </is>
      </c>
      <c r="H27" s="90" t="inlineStr">
        <is>
          <t>Carbon intensity</t>
        </is>
      </c>
      <c r="I27" s="90" t="inlineStr">
        <is>
          <t>whole economy</t>
        </is>
      </c>
      <c r="J27" s="90" t="inlineStr">
        <is>
          <t>Energy consumption and carbon dioxide emissions per unit of GDP will be reduced by at least 3.4% and 3.9% respectively</t>
        </is>
      </c>
      <c r="K27" s="92" t="inlineStr">
        <is>
          <t>HL1604.htm</t>
        </is>
      </c>
      <c r="L27" s="90" t="inlineStr">
        <is>
          <t>Emissions</t>
        </is>
      </c>
    </row>
    <row r="28" ht="18" customHeight="1" s="235">
      <c r="A28" s="92" t="n">
        <v>2017</v>
      </c>
      <c r="B28" s="90" t="inlineStr">
        <is>
          <t>carbon dioxide emissions per unit of GDP</t>
        </is>
      </c>
      <c r="C28" s="90" t="inlineStr">
        <is>
          <t>reduce by</t>
        </is>
      </c>
      <c r="D28" s="90" t="inlineStr">
        <is>
          <t>40% -45%</t>
        </is>
      </c>
      <c r="E28" s="90" t="n">
        <v>2005</v>
      </c>
      <c r="F28" s="91" t="n">
        <v>2020</v>
      </c>
      <c r="G28" s="90" t="inlineStr">
        <is>
          <t>r</t>
        </is>
      </c>
      <c r="H28" s="90" t="inlineStr">
        <is>
          <t>Carbon intensity</t>
        </is>
      </c>
      <c r="I28" s="90" t="inlineStr">
        <is>
          <t>whole economy</t>
        </is>
      </c>
      <c r="J28" s="90" t="inlineStr">
        <is>
          <t>From a national perspective, in order to achieve the binding goal of reducing carbon intensity by 40% -45% by 2020 and reaching the peak of carbon dioxide emissions around 2030, and striving to reach the peak as soon as possible, the construction of the national ecological civilization system will reach a new height, and the hard constraints in the fields of environmental protection and energy conservation and emission reduction will continue to be strengthened.</t>
        </is>
      </c>
      <c r="K28" s="92" t="inlineStr">
        <is>
          <t>FYP1702.pdf</t>
        </is>
      </c>
      <c r="L28" s="90" t="inlineStr">
        <is>
          <t>Emissions</t>
        </is>
      </c>
    </row>
    <row r="29" ht="18" customHeight="1" s="235">
      <c r="A29" s="92" t="n">
        <v>2017</v>
      </c>
      <c r="B29" s="90" t="inlineStr">
        <is>
          <t>carbon dioxide emissions per unit of GDP</t>
        </is>
      </c>
      <c r="C29" s="90" t="inlineStr">
        <is>
          <t>reduce by</t>
        </is>
      </c>
      <c r="D29" s="90" t="inlineStr">
        <is>
          <t xml:space="preserve">40%-45% </t>
        </is>
      </c>
      <c r="E29" s="90" t="n">
        <v>2005</v>
      </c>
      <c r="F29" s="91" t="inlineStr">
        <is>
          <t>12th FYP</t>
        </is>
      </c>
      <c r="G29" s="90" t="inlineStr">
        <is>
          <t>r</t>
        </is>
      </c>
      <c r="H29" s="90" t="inlineStr">
        <is>
          <t>Carbon intensity</t>
        </is>
      </c>
      <c r="I29" s="90" t="inlineStr">
        <is>
          <t>whole economy</t>
        </is>
      </c>
      <c r="J29" s="90" t="inlineStr">
        <is>
          <t>Based on the National Appropriate Mitigation Actions (NAMAs) proposed by the Chinese government, such as reducing carbon dioxide emissions per unit of GDP by 40%-45% compared with 2005 during the 12th Five-Year Plan</t>
        </is>
      </c>
      <c r="K29" s="92" t="inlineStr">
        <is>
          <t>HL1701.pdf</t>
        </is>
      </c>
      <c r="L29" s="90" t="inlineStr">
        <is>
          <t>Emissions</t>
        </is>
      </c>
    </row>
    <row r="30" ht="18" customHeight="1" s="235">
      <c r="A30" s="92" t="n">
        <v>2019</v>
      </c>
      <c r="B30" s="90" t="inlineStr">
        <is>
          <t>carbon dioxide emissions per unit of GDP</t>
        </is>
      </c>
      <c r="C30" s="90" t="inlineStr">
        <is>
          <t>reduce by</t>
        </is>
      </c>
      <c r="D30" s="90" t="inlineStr">
        <is>
          <t>18%</t>
        </is>
      </c>
      <c r="E30" s="90" t="n">
        <v>2015</v>
      </c>
      <c r="F30" s="91" t="n">
        <v>2020</v>
      </c>
      <c r="G30" s="90" t="inlineStr">
        <is>
          <t>r</t>
        </is>
      </c>
      <c r="H30" s="90" t="inlineStr">
        <is>
          <t>Carbon intensity</t>
        </is>
      </c>
      <c r="I30" s="90" t="inlineStr">
        <is>
          <t>whole economy</t>
        </is>
      </c>
      <c r="J30" s="90" t="inlineStr">
        <is>
          <t>it is further stressed out China’s determined mitigation actions, and clearly pointed out that to exert effective control on carbon emissions, and by 2020 carbon intensity is 18% lower than that of 2015; to put more efforts to control the emission of greenhouse gas other than CO , including HFCs, CH , N O, PFCs and SF ; and to increase significantly carbon sink capability.</t>
        </is>
      </c>
      <c r="K30" s="92" t="inlineStr">
        <is>
          <t>HL1901.pdf</t>
        </is>
      </c>
      <c r="L30" s="90" t="inlineStr">
        <is>
          <t>Emissions</t>
        </is>
      </c>
    </row>
    <row r="31" ht="18" customHeight="1" s="235">
      <c r="A31" s="92" t="n">
        <v>2019</v>
      </c>
      <c r="B31" s="90" t="inlineStr">
        <is>
          <t>carbon dioxide emissions per unit of GDP</t>
        </is>
      </c>
      <c r="C31" s="90" t="inlineStr">
        <is>
          <t>reduce by</t>
        </is>
      </c>
      <c r="D31" s="90" t="inlineStr">
        <is>
          <t>40% to 45%</t>
        </is>
      </c>
      <c r="E31" s="90" t="n">
        <v>2005</v>
      </c>
      <c r="F31" s="91" t="n">
        <v>2020</v>
      </c>
      <c r="G31" s="90" t="inlineStr">
        <is>
          <t>r</t>
        </is>
      </c>
      <c r="H31" s="90" t="inlineStr">
        <is>
          <t>Carbon intensity</t>
        </is>
      </c>
      <c r="I31" s="90" t="inlineStr">
        <is>
          <t>whole economy</t>
        </is>
      </c>
      <c r="J31" s="90" t="inlineStr">
        <is>
          <t>by 2020 the CO2 emission per unit of GDP (hereafter referred to as carbon intensity) will be reduced by 40% to 45% than the 2005 level</t>
        </is>
      </c>
      <c r="K31" s="92" t="inlineStr">
        <is>
          <t>HL1902.pdf</t>
        </is>
      </c>
      <c r="L31" s="90" t="inlineStr">
        <is>
          <t>Emissions</t>
        </is>
      </c>
    </row>
    <row r="32" ht="18" customHeight="1" s="235">
      <c r="A32" s="90" t="n">
        <v>2019</v>
      </c>
      <c r="B32" s="90" t="inlineStr">
        <is>
          <t>carbon dioxide emissions per unit of GDP</t>
        </is>
      </c>
      <c r="C32" s="90" t="inlineStr">
        <is>
          <t>reduce by</t>
        </is>
      </c>
      <c r="D32" s="90" t="inlineStr">
        <is>
          <t>60% to 65%</t>
        </is>
      </c>
      <c r="E32" s="90" t="n">
        <v>2005</v>
      </c>
      <c r="F32" s="91" t="n">
        <v>2030</v>
      </c>
      <c r="G32" s="90" t="inlineStr">
        <is>
          <t>r</t>
        </is>
      </c>
      <c r="H32" s="90" t="inlineStr">
        <is>
          <t>Carbon intensity</t>
        </is>
      </c>
      <c r="I32" s="90" t="inlineStr">
        <is>
          <t>whole economy</t>
        </is>
      </c>
      <c r="J32" s="90" t="inlineStr">
        <is>
          <t>by 2030 carbon intensity will be reduced by 60% to 65% than that in 2005</t>
        </is>
      </c>
      <c r="K32" s="92" t="inlineStr">
        <is>
          <t>HL1902.pdf</t>
        </is>
      </c>
      <c r="L32" s="90" t="inlineStr">
        <is>
          <t>Emissions</t>
        </is>
      </c>
    </row>
    <row r="33" ht="18" customHeight="1" s="235">
      <c r="A33" s="90" t="n">
        <v>2019</v>
      </c>
      <c r="B33" s="90" t="inlineStr">
        <is>
          <t>carbon dioxide emissions per unit of GDP</t>
        </is>
      </c>
      <c r="C33" s="90" t="inlineStr">
        <is>
          <t>reduce by</t>
        </is>
      </c>
      <c r="D33" s="90" t="inlineStr">
        <is>
          <t>18%</t>
        </is>
      </c>
      <c r="E33" s="90" t="n">
        <v>2015</v>
      </c>
      <c r="F33" s="91" t="n">
        <v>2020</v>
      </c>
      <c r="G33" s="90" t="inlineStr">
        <is>
          <t>r</t>
        </is>
      </c>
      <c r="H33" s="90" t="inlineStr">
        <is>
          <t>Carbon intensity</t>
        </is>
      </c>
      <c r="I33" s="90" t="inlineStr">
        <is>
          <t>whole economy</t>
        </is>
      </c>
      <c r="J33" s="90" t="inlineStr">
        <is>
          <t>by 2020 the CO2 emission per unit of GDP will be reduced by 18% than 2015</t>
        </is>
      </c>
      <c r="K33" s="92" t="inlineStr">
        <is>
          <t>HL1902.pdf</t>
        </is>
      </c>
      <c r="L33" s="90" t="inlineStr">
        <is>
          <t>Emissions</t>
        </is>
      </c>
    </row>
    <row r="34" ht="18" customHeight="1" s="235">
      <c r="A34" s="90" t="n">
        <v>2021</v>
      </c>
      <c r="B34" s="90" t="inlineStr">
        <is>
          <t>carbon dioxide emissions per unit of GDP</t>
        </is>
      </c>
      <c r="C34" s="90" t="inlineStr">
        <is>
          <t>reduce by</t>
        </is>
      </c>
      <c r="D34" s="90" t="inlineStr">
        <is>
          <t>60%-65%</t>
        </is>
      </c>
      <c r="E34" s="90" t="n">
        <v>2005</v>
      </c>
      <c r="F34" s="91" t="n">
        <v>2030</v>
      </c>
      <c r="G34" s="90" t="inlineStr">
        <is>
          <t>r</t>
        </is>
      </c>
      <c r="H34" s="90" t="inlineStr">
        <is>
          <t>Carbon intensity</t>
        </is>
      </c>
      <c r="I34" s="90" t="inlineStr">
        <is>
          <t>whole economy</t>
        </is>
      </c>
      <c r="J34" s="90" t="inlineStr">
        <is>
          <t>The targets include reducing carbon dioxide emissions per unit of GDP by 60%-65% compared with 2005 by 2030.</t>
        </is>
      </c>
      <c r="K34" s="92" t="inlineStr">
        <is>
          <t>HL2105.pdf</t>
        </is>
      </c>
      <c r="L34" s="90" t="inlineStr">
        <is>
          <t>Emissions</t>
        </is>
      </c>
    </row>
    <row r="35" ht="18" customHeight="1" s="235">
      <c r="A35" s="90" t="n">
        <v>2021</v>
      </c>
      <c r="B35" s="90" t="inlineStr">
        <is>
          <t>carbon dioxide emissions per unit of GDP</t>
        </is>
      </c>
      <c r="C35" s="90" t="inlineStr">
        <is>
          <t>reduce by</t>
        </is>
      </c>
      <c r="D35" s="90" t="inlineStr">
        <is>
          <t>over 65%</t>
        </is>
      </c>
      <c r="E35" s="90" t="n">
        <v>2005</v>
      </c>
      <c r="F35" s="91" t="n">
        <v>2030</v>
      </c>
      <c r="G35" s="90" t="inlineStr">
        <is>
          <t>r</t>
        </is>
      </c>
      <c r="H35" s="90" t="inlineStr">
        <is>
          <t>Carbon intensity</t>
        </is>
      </c>
      <c r="I35" s="90" t="inlineStr">
        <is>
          <t>whole economy</t>
        </is>
      </c>
      <c r="J35" s="90" t="inlineStr">
        <is>
          <t>China’s updated NDC goals are as follows: to lower CO2 emissions per unit of GDP by over 65% from the 2005 level by 2030</t>
        </is>
      </c>
      <c r="K35" s="92" t="inlineStr">
        <is>
          <t>HL2105.pdf</t>
        </is>
      </c>
      <c r="L35" s="90" t="inlineStr">
        <is>
          <t>Emissions</t>
        </is>
      </c>
    </row>
    <row r="36" ht="18" customHeight="1" s="235">
      <c r="A36" s="90" t="n">
        <v>2021</v>
      </c>
      <c r="B36" s="90" t="inlineStr">
        <is>
          <t>carbon dioxide emissions per unit of GDP</t>
        </is>
      </c>
      <c r="C36" s="90" t="inlineStr">
        <is>
          <t>reduce by</t>
        </is>
      </c>
      <c r="D36" s="90" t="inlineStr">
        <is>
          <t>18%</t>
        </is>
      </c>
      <c r="E36" s="90" t="n">
        <v>2020</v>
      </c>
      <c r="F36" s="91" t="inlineStr">
        <is>
          <t>2025</t>
        </is>
      </c>
      <c r="G36" s="90" t="inlineStr">
        <is>
          <t>r</t>
        </is>
      </c>
      <c r="H36" s="90" t="inlineStr">
        <is>
          <t>Carbon intensity</t>
        </is>
      </c>
      <c r="I36" s="90" t="inlineStr">
        <is>
          <t>whole economy</t>
        </is>
      </c>
      <c r="J36" s="90" t="inlineStr">
        <is>
          <t>binding target of slashing carbon intensity by 18% during the 14th Five-Year Plan period (2021-2025).</t>
        </is>
      </c>
      <c r="K36" s="92" t="inlineStr">
        <is>
          <t>HL2107.pdf</t>
        </is>
      </c>
      <c r="L36" s="90" t="inlineStr">
        <is>
          <t>Emissions</t>
        </is>
      </c>
    </row>
    <row r="37" ht="18" customHeight="1" s="235">
      <c r="A37" s="90" t="n">
        <v>2021</v>
      </c>
      <c r="B37" s="90" t="inlineStr">
        <is>
          <t>carbon dioxide emissions per unit of GDP</t>
        </is>
      </c>
      <c r="C37" s="90" t="inlineStr">
        <is>
          <t>reduce by</t>
        </is>
      </c>
      <c r="D37" s="90" t="inlineStr">
        <is>
          <t>over 65%</t>
        </is>
      </c>
      <c r="E37" s="90" t="n">
        <v>2005</v>
      </c>
      <c r="F37" s="91" t="inlineStr">
        <is>
          <t>2030</t>
        </is>
      </c>
      <c r="G37" s="90" t="inlineStr">
        <is>
          <t>r</t>
        </is>
      </c>
      <c r="H37" s="90" t="inlineStr">
        <is>
          <t>Carbon intensity</t>
        </is>
      </c>
      <c r="I37" s="90" t="inlineStr">
        <is>
          <t>whole economy</t>
        </is>
      </c>
      <c r="J37" s="90" t="inlineStr">
        <is>
          <t>China aims to lower its carbon intensity by over 65% by 2030 from the 2005 level.</t>
        </is>
      </c>
      <c r="K37" s="92" t="inlineStr">
        <is>
          <t>HL2107.htm</t>
        </is>
      </c>
      <c r="L37" s="90" t="inlineStr">
        <is>
          <t>Emissions</t>
        </is>
      </c>
    </row>
    <row r="38" ht="18" customHeight="1" s="235">
      <c r="A38" s="90" t="n">
        <v>2021</v>
      </c>
      <c r="B38" s="90" t="inlineStr">
        <is>
          <t>carbon dioxide emissions per unit of GDP</t>
        </is>
      </c>
      <c r="C38" s="90" t="inlineStr">
        <is>
          <t>reduce by</t>
        </is>
      </c>
      <c r="D38" s="90" t="inlineStr">
        <is>
          <t>18%</t>
        </is>
      </c>
      <c r="E38" s="90" t="n">
        <v>2020</v>
      </c>
      <c r="F38" s="91" t="inlineStr">
        <is>
          <t>2025</t>
        </is>
      </c>
      <c r="G38" s="90" t="inlineStr">
        <is>
          <t>r</t>
        </is>
      </c>
      <c r="H38" s="90" t="inlineStr">
        <is>
          <t>Carbon intensity</t>
        </is>
      </c>
      <c r="I38" s="90" t="inlineStr">
        <is>
          <t>whole economy</t>
        </is>
      </c>
      <c r="J38" s="90" t="inlineStr">
        <is>
          <t>By 2025, carbon dioxide emissions per unit of GDP will decrease by 18% compared with 2020.</t>
        </is>
      </c>
      <c r="K38" s="92" t="inlineStr">
        <is>
          <t>HL2101.htm</t>
        </is>
      </c>
      <c r="L38" s="90" t="inlineStr">
        <is>
          <t>Emissions</t>
        </is>
      </c>
    </row>
    <row r="39" ht="18" customHeight="1" s="235">
      <c r="A39" s="90" t="n">
        <v>2021</v>
      </c>
      <c r="B39" s="90" t="inlineStr">
        <is>
          <t>carbon dioxide emissions per unit of GDP</t>
        </is>
      </c>
      <c r="C39" s="90" t="inlineStr">
        <is>
          <t>reduce by</t>
        </is>
      </c>
      <c r="D39" s="90" t="inlineStr">
        <is>
          <t>more than 65%</t>
        </is>
      </c>
      <c r="E39" s="90" t="n">
        <v>2005</v>
      </c>
      <c r="F39" s="91" t="inlineStr">
        <is>
          <t>2030</t>
        </is>
      </c>
      <c r="G39" s="90" t="inlineStr">
        <is>
          <t>r</t>
        </is>
      </c>
      <c r="H39" s="90" t="inlineStr">
        <is>
          <t>Carbon intensity</t>
        </is>
      </c>
      <c r="I39" s="90" t="inlineStr">
        <is>
          <t>whole economy</t>
        </is>
      </c>
      <c r="J39" s="90" t="inlineStr">
        <is>
          <t>By 2030, carbon dioxide emissions per unit of GDP will decrease by more than 65% compared with 2005.</t>
        </is>
      </c>
      <c r="K39" s="92" t="inlineStr">
        <is>
          <t>HL2101.htm</t>
        </is>
      </c>
      <c r="L39" s="90" t="inlineStr">
        <is>
          <t>Emissions</t>
        </is>
      </c>
    </row>
    <row r="40" ht="18" customHeight="1" s="235">
      <c r="A40" s="90" t="n">
        <v>2021</v>
      </c>
      <c r="B40" s="90" t="inlineStr">
        <is>
          <t>carbon dioxide emissions per unit of GDP</t>
        </is>
      </c>
      <c r="C40" s="90" t="inlineStr">
        <is>
          <t>reduce by</t>
        </is>
      </c>
      <c r="D40" s="90" t="inlineStr">
        <is>
          <t>18%</t>
        </is>
      </c>
      <c r="E40" s="90" t="n">
        <v>2020</v>
      </c>
      <c r="F40" s="91" t="inlineStr">
        <is>
          <t>2025</t>
        </is>
      </c>
      <c r="G40" s="90" t="inlineStr">
        <is>
          <t>r</t>
        </is>
      </c>
      <c r="H40" s="90" t="inlineStr">
        <is>
          <t>Carbon intensity</t>
        </is>
      </c>
      <c r="I40" s="90" t="inlineStr">
        <is>
          <t>whole economy</t>
        </is>
      </c>
      <c r="J40" s="90" t="inlineStr">
        <is>
          <t>By 2025, carbon dioxide emissions per unit of GDP will drop by 18%, compared with 2020 levels</t>
        </is>
      </c>
      <c r="K40" s="92" t="inlineStr">
        <is>
          <t>HL2102.pdf</t>
        </is>
      </c>
      <c r="L40" s="90" t="inlineStr">
        <is>
          <t>Emissions</t>
        </is>
      </c>
    </row>
    <row r="41" ht="18" customHeight="1" s="235">
      <c r="A41" s="90" t="n">
        <v>2021</v>
      </c>
      <c r="B41" s="90" t="inlineStr">
        <is>
          <t>carbon dioxide emissions per unit of GDP</t>
        </is>
      </c>
      <c r="C41" s="90" t="inlineStr">
        <is>
          <t>reduce by</t>
        </is>
      </c>
      <c r="D41" s="90" t="inlineStr">
        <is>
          <t>more than 65%</t>
        </is>
      </c>
      <c r="E41" s="90" t="n">
        <v>2005</v>
      </c>
      <c r="F41" s="91" t="inlineStr">
        <is>
          <t>2030</t>
        </is>
      </c>
      <c r="G41" s="90" t="inlineStr">
        <is>
          <t>r</t>
        </is>
      </c>
      <c r="H41" s="90" t="inlineStr">
        <is>
          <t>Carbon intensity</t>
        </is>
      </c>
      <c r="I41" s="90" t="inlineStr">
        <is>
          <t>whole economy</t>
        </is>
      </c>
      <c r="J41" s="90" t="inlineStr">
        <is>
          <t>By 2030, carbon dioxide emissions per unit of GDP will have dropped by more than 65% compared with the 2005 level, successfully achieving carbon dioxide peaking before 2030.</t>
        </is>
      </c>
      <c r="K41" s="92" t="inlineStr">
        <is>
          <t>HL2102.pdf</t>
        </is>
      </c>
      <c r="L41" s="90" t="inlineStr">
        <is>
          <t>Emissions</t>
        </is>
      </c>
    </row>
    <row r="42" ht="18" customHeight="1" s="235">
      <c r="A42" s="90" t="n">
        <v>2015</v>
      </c>
      <c r="B42" s="90" t="inlineStr">
        <is>
          <t>carbon dioxide emissions per unit of GDP</t>
        </is>
      </c>
      <c r="C42" s="90" t="inlineStr">
        <is>
          <t>reduce by</t>
        </is>
      </c>
      <c r="D42" s="90" t="inlineStr">
        <is>
          <t>40%-45%</t>
        </is>
      </c>
      <c r="E42" s="90" t="n">
        <v>2005</v>
      </c>
      <c r="F42" s="91" t="inlineStr">
        <is>
          <t>2020</t>
        </is>
      </c>
      <c r="G42" s="90" t="inlineStr">
        <is>
          <t>r</t>
        </is>
      </c>
      <c r="H42" s="90" t="inlineStr">
        <is>
          <t>Carbon intensity</t>
        </is>
      </c>
      <c r="I42" s="90" t="inlineStr">
        <is>
          <t>whole economy</t>
        </is>
      </c>
      <c r="J42" s="90" t="inlineStr">
        <is>
          <t>By 2020, the intensity of carbon dioxide emissions per unit of GDP will be reduced by 40% to 45% compared with 2005.</t>
        </is>
      </c>
      <c r="K42" s="92" t="inlineStr">
        <is>
          <t>HL1503.htm</t>
        </is>
      </c>
      <c r="L42" s="90" t="inlineStr">
        <is>
          <t>Emissions</t>
        </is>
      </c>
    </row>
    <row r="43" ht="18" customHeight="1" s="235">
      <c r="A43" s="90" t="n">
        <v>2014</v>
      </c>
      <c r="B43" s="90" t="inlineStr">
        <is>
          <t>carbon dioxide emissions per unit of GDP</t>
        </is>
      </c>
      <c r="C43" s="90" t="inlineStr">
        <is>
          <t>reduce by</t>
        </is>
      </c>
      <c r="D43" s="90" t="inlineStr">
        <is>
          <t>4%</t>
        </is>
      </c>
      <c r="E43" s="94" t="n">
        <v>2013</v>
      </c>
      <c r="F43" s="95" t="n">
        <v>2014</v>
      </c>
      <c r="G43" s="90" t="inlineStr">
        <is>
          <t>n</t>
        </is>
      </c>
      <c r="H43" s="90" t="inlineStr">
        <is>
          <t>Carbon intensity</t>
        </is>
      </c>
      <c r="I43" s="90" t="inlineStr">
        <is>
          <t>whole economy</t>
        </is>
      </c>
      <c r="J43" s="90" t="inlineStr">
        <is>
          <t>From 2014 to 2015, the carbon dioxide emissions per unit of GDP will decrease by more than 4% and 3.5% respectively in two years.</t>
        </is>
      </c>
      <c r="K43" s="92" t="inlineStr">
        <is>
          <t>AP1404.htm</t>
        </is>
      </c>
      <c r="L43" s="90" t="inlineStr">
        <is>
          <t>Emissions</t>
        </is>
      </c>
    </row>
    <row r="44" ht="18" customHeight="1" s="235">
      <c r="A44" s="90" t="n">
        <v>2011</v>
      </c>
      <c r="B44" s="90" t="inlineStr">
        <is>
          <t>carbon dioxide emissions per unit of GDP</t>
        </is>
      </c>
      <c r="C44" s="90" t="inlineStr">
        <is>
          <t>reduce by</t>
        </is>
      </c>
      <c r="D44" s="90" t="inlineStr">
        <is>
          <t>17%</t>
        </is>
      </c>
      <c r="E44" s="90" t="n">
        <v>2010</v>
      </c>
      <c r="F44" s="91" t="n">
        <v>2015</v>
      </c>
      <c r="G44" s="90" t="inlineStr">
        <is>
          <t>n</t>
        </is>
      </c>
      <c r="H44" s="90" t="inlineStr">
        <is>
          <t>Carbon intensity</t>
        </is>
      </c>
      <c r="I44" s="90" t="inlineStr">
        <is>
          <t>whole economy</t>
        </is>
      </c>
      <c r="J44" s="90" t="inlineStr">
        <is>
          <t>By 2015, carbon dioxide emission per-unit GDP would be reduced by 17% and energy consumption per-unit GDP by 16% as compared with that in 2010.</t>
        </is>
      </c>
      <c r="K44" s="92" t="inlineStr">
        <is>
          <t>HL1101.pdf</t>
        </is>
      </c>
      <c r="L44" s="90" t="inlineStr">
        <is>
          <t>Emissions</t>
        </is>
      </c>
    </row>
    <row r="45" ht="18" customHeight="1" s="235">
      <c r="A45" s="90" t="n">
        <v>2015</v>
      </c>
      <c r="B45" s="90" t="inlineStr">
        <is>
          <t>carbon dioxide emissions per unit of GDP</t>
        </is>
      </c>
      <c r="C45" s="90" t="inlineStr">
        <is>
          <t>reduce by</t>
        </is>
      </c>
      <c r="D45" s="90" t="inlineStr">
        <is>
          <t>more than 3.1%</t>
        </is>
      </c>
      <c r="E45" s="94" t="n">
        <v>2014</v>
      </c>
      <c r="F45" s="91" t="n">
        <v>2015</v>
      </c>
      <c r="G45" s="90" t="inlineStr">
        <is>
          <t>s/l-NEG</t>
        </is>
      </c>
      <c r="H45" s="90" t="inlineStr">
        <is>
          <t>Carbon intensity</t>
        </is>
      </c>
      <c r="I45" s="90" t="inlineStr">
        <is>
          <t>whole economy</t>
        </is>
      </c>
      <c r="J45" s="90" t="inlineStr">
        <is>
          <t>Unit GDP carbon dioxide emissions are to be reduced by more than 3.1%.</t>
        </is>
      </c>
      <c r="K45" s="92" t="inlineStr">
        <is>
          <t>HL1506.pdf</t>
        </is>
      </c>
      <c r="L45" s="90" t="inlineStr">
        <is>
          <t>Emissions</t>
        </is>
      </c>
    </row>
    <row r="46" ht="18" customHeight="1" s="235">
      <c r="A46" s="90" t="n">
        <v>2014</v>
      </c>
      <c r="B46" s="90" t="inlineStr">
        <is>
          <t>carbon dioxide emissions per unit of GDP</t>
        </is>
      </c>
      <c r="C46" s="90" t="inlineStr">
        <is>
          <t>reduce by</t>
        </is>
      </c>
      <c r="D46" s="90" t="inlineStr">
        <is>
          <t>3.5%</t>
        </is>
      </c>
      <c r="E46" s="94" t="n">
        <v>2014</v>
      </c>
      <c r="F46" s="95" t="n">
        <v>2015</v>
      </c>
      <c r="G46" s="90" t="inlineStr">
        <is>
          <t>n</t>
        </is>
      </c>
      <c r="H46" s="90" t="inlineStr">
        <is>
          <t>Carbon intensity</t>
        </is>
      </c>
      <c r="I46" s="90" t="inlineStr">
        <is>
          <t>whole economy</t>
        </is>
      </c>
      <c r="J46" s="94" t="inlineStr">
        <is>
          <t>From 2014 to 2015, the energy consumption, chemical oxygen demand, sulfur dioxide, ammonia nitrogen, and nitrogen oxide emissions per unit of GDP will decrease by more than 3.9%, 2%, 2%, 2%, and 5% respectively year by year. The carbon dioxide emissions per unit of GDP will decrease by more than 4% and 3.5% respectively in two years.</t>
        </is>
      </c>
      <c r="K46" s="92" t="inlineStr">
        <is>
          <t>AP1404.htm</t>
        </is>
      </c>
      <c r="L46" s="90" t="inlineStr">
        <is>
          <t>Emissions</t>
        </is>
      </c>
    </row>
    <row r="47" ht="18" customHeight="1" s="235">
      <c r="A47" s="90" t="n">
        <v>2009</v>
      </c>
      <c r="B47" s="90" t="inlineStr">
        <is>
          <t>carbon dioxide emissions per unit of GDP</t>
        </is>
      </c>
      <c r="C47" s="90" t="inlineStr">
        <is>
          <t>reduce by</t>
        </is>
      </c>
      <c r="D47" s="90" t="inlineStr">
        <is>
          <t>40%–45%</t>
        </is>
      </c>
      <c r="E47" s="90" t="n">
        <v>2005</v>
      </c>
      <c r="F47" s="91" t="n">
        <v>2020</v>
      </c>
      <c r="G47" s="90" t="inlineStr">
        <is>
          <t>n</t>
        </is>
      </c>
      <c r="H47" s="90" t="inlineStr">
        <is>
          <t>Carbon intensity</t>
        </is>
      </c>
      <c r="I47" s="90" t="inlineStr">
        <is>
          <t>whole economy</t>
        </is>
      </c>
      <c r="J47" s="90" t="inlineStr">
        <is>
          <t>As part of its Nationally Appropriate Mitigation Actions China proposed in 2009 to lower carbon dioxide emissions per unit of GDP by 40%–45% by 2020 compared to 2005 levels.</t>
        </is>
      </c>
      <c r="K47" s="92" t="inlineStr">
        <is>
          <t>HL2401.pdf</t>
        </is>
      </c>
      <c r="L47" s="90" t="inlineStr">
        <is>
          <t>Emissions</t>
        </is>
      </c>
    </row>
    <row r="48" ht="18" customHeight="1" s="235">
      <c r="A48" s="90" t="n">
        <v>2016</v>
      </c>
      <c r="B48" s="90" t="inlineStr">
        <is>
          <t>carbon dioxide emissions per unit of GDP</t>
        </is>
      </c>
      <c r="C48" s="90" t="inlineStr">
        <is>
          <t>reduce by</t>
        </is>
      </c>
      <c r="D48" s="90" t="inlineStr">
        <is>
          <t>18%</t>
        </is>
      </c>
      <c r="E48" s="90" t="n">
        <v>2015</v>
      </c>
      <c r="F48" s="91" t="n">
        <v>2020</v>
      </c>
      <c r="G48" s="90" t="inlineStr">
        <is>
          <t>n</t>
        </is>
      </c>
      <c r="H48" s="90" t="inlineStr">
        <is>
          <t>Carbon intensity</t>
        </is>
      </c>
      <c r="I48" s="90" t="inlineStr">
        <is>
          <t>whole economy</t>
        </is>
      </c>
      <c r="J48" s="90" t="inlineStr">
        <is>
          <t>In 2016, China put forward the goal that by 2020, the carbon dioxide emissions per unit of GDP will be decreased by 18% from the levels in 2015</t>
        </is>
      </c>
      <c r="K48" s="92" t="inlineStr">
        <is>
          <t>HL2302.pdf</t>
        </is>
      </c>
      <c r="L48" s="90" t="inlineStr">
        <is>
          <t>Emissions</t>
        </is>
      </c>
    </row>
    <row r="49" ht="18" customHeight="1" s="235">
      <c r="A49" s="90" t="n">
        <v>2024</v>
      </c>
      <c r="B49" s="90" t="inlineStr">
        <is>
          <t>carbon dioxide emissions per unit of GDP</t>
        </is>
      </c>
      <c r="C49" s="90" t="inlineStr">
        <is>
          <t>reduce by</t>
        </is>
      </c>
      <c r="D49" s="90" t="inlineStr">
        <is>
          <t>3.9%</t>
        </is>
      </c>
      <c r="E49" s="90" t="n">
        <v>2023</v>
      </c>
      <c r="F49" s="91" t="n">
        <v>2024</v>
      </c>
      <c r="G49" s="90" t="inlineStr">
        <is>
          <t>n</t>
        </is>
      </c>
      <c r="H49" s="90" t="inlineStr">
        <is>
          <t>Carbon intensity</t>
        </is>
      </c>
      <c r="I49" s="90" t="inlineStr">
        <is>
          <t>whole economy</t>
        </is>
      </c>
      <c r="J49" s="90" t="inlineStr">
        <is>
          <t>By 2024, the energy consumption and carbon dioxide emissions per unit of GDP will be reduced by about 2.5% and 3.9% respectively, the energy consumption per unit of added value of industrial units above designated size will be reduced by about 3.5%</t>
        </is>
      </c>
      <c r="K49" s="92" t="inlineStr">
        <is>
          <t>AP2405.htm</t>
        </is>
      </c>
      <c r="L49" s="90" t="inlineStr">
        <is>
          <t>Emissions</t>
        </is>
      </c>
    </row>
    <row r="50" ht="18" customHeight="1" s="235">
      <c r="A50" s="90" t="n">
        <v>2021</v>
      </c>
      <c r="B50" s="90" t="inlineStr">
        <is>
          <t>carbon dioxide emissions per unit of GDP</t>
        </is>
      </c>
      <c r="C50" s="90" t="inlineStr">
        <is>
          <t>reduce by</t>
        </is>
      </c>
      <c r="D50" s="90" t="inlineStr">
        <is>
          <t>18%</t>
        </is>
      </c>
      <c r="E50" s="90" t="n">
        <v>2020</v>
      </c>
      <c r="F50" s="91" t="n">
        <v>2025</v>
      </c>
      <c r="G50" s="90" t="inlineStr">
        <is>
          <t>n</t>
        </is>
      </c>
      <c r="H50" s="90" t="inlineStr">
        <is>
          <t>Carbon intensity</t>
        </is>
      </c>
      <c r="I50" s="90" t="inlineStr">
        <is>
          <t>whole economy</t>
        </is>
      </c>
      <c r="J50" s="90" t="inlineStr">
        <is>
          <t>Notably, it sets quantitative targets to reduce CO2 emissions per unit of GDP by 18% in 2025 compared to 2020</t>
        </is>
      </c>
      <c r="K50" s="92" t="inlineStr">
        <is>
          <t>HL2401.pdf</t>
        </is>
      </c>
      <c r="L50" s="90" t="inlineStr">
        <is>
          <t>Emissions</t>
        </is>
      </c>
    </row>
    <row r="51" ht="18" customHeight="1" s="235">
      <c r="A51" s="90" t="n">
        <v>2021</v>
      </c>
      <c r="B51" s="90" t="inlineStr">
        <is>
          <t>carbon dioxide emissions per unit of GDP</t>
        </is>
      </c>
      <c r="C51" s="90" t="inlineStr">
        <is>
          <t>reduce by</t>
        </is>
      </c>
      <c r="D51" s="90" t="inlineStr">
        <is>
          <t>more than 65%</t>
        </is>
      </c>
      <c r="E51" s="90" t="n">
        <v>2005</v>
      </c>
      <c r="F51" s="91" t="n">
        <v>2030</v>
      </c>
      <c r="G51" s="90" t="inlineStr">
        <is>
          <t>s/l-POS</t>
        </is>
      </c>
      <c r="H51" s="90" t="inlineStr">
        <is>
          <t>Carbon intensity</t>
        </is>
      </c>
      <c r="I51" s="90" t="inlineStr">
        <is>
          <t>whole economy</t>
        </is>
      </c>
      <c r="J51" s="90" t="inlineStr">
        <is>
          <t>By 2030, China's carbon dioxide emissions per unit of GDP will be reduced by more than 65% compared with 2005.</t>
        </is>
      </c>
      <c r="K51" s="92" t="inlineStr">
        <is>
          <t>HL2105.pdf</t>
        </is>
      </c>
      <c r="L51" s="90" t="inlineStr">
        <is>
          <t>Emissions</t>
        </is>
      </c>
    </row>
    <row r="52" ht="18" customHeight="1" s="235">
      <c r="A52" s="90" t="n">
        <v>2015</v>
      </c>
      <c r="B52" s="90" t="inlineStr">
        <is>
          <t>carbon dioxide emissions per unit of GDP</t>
        </is>
      </c>
      <c r="C52" s="90" t="inlineStr">
        <is>
          <t>reduce by</t>
        </is>
      </c>
      <c r="D52" s="90" t="inlineStr">
        <is>
          <t>60% to 65%</t>
        </is>
      </c>
      <c r="E52" s="90" t="n">
        <v>2005</v>
      </c>
      <c r="F52" s="91" t="n">
        <v>2030</v>
      </c>
      <c r="G52" s="90" t="inlineStr">
        <is>
          <t>n</t>
        </is>
      </c>
      <c r="H52" s="90" t="inlineStr">
        <is>
          <t>Carbon intensity</t>
        </is>
      </c>
      <c r="I52" s="90" t="inlineStr">
        <is>
          <t>whole economy</t>
        </is>
      </c>
      <c r="J52" s="90" t="inlineStr">
        <is>
          <t>To lower carbon dioxide emissions per unit of GDP by 60% to 65% from the 2005 level by 2030</t>
        </is>
      </c>
      <c r="K52" s="92" t="inlineStr">
        <is>
          <t>HL1601.pdf</t>
        </is>
      </c>
      <c r="L52" s="90" t="inlineStr">
        <is>
          <t>Emissions</t>
        </is>
      </c>
    </row>
    <row r="53" ht="18" customHeight="1" s="235">
      <c r="A53" s="90" t="n">
        <v>2011</v>
      </c>
      <c r="B53" s="90" t="inlineStr">
        <is>
          <t>carbon dioxide emissions per unit of GDP</t>
        </is>
      </c>
      <c r="C53" s="90" t="inlineStr">
        <is>
          <t>reduce by</t>
        </is>
      </c>
      <c r="D53" s="90" t="inlineStr">
        <is>
          <t>17%</t>
        </is>
      </c>
      <c r="E53" s="90" t="n">
        <v>2010</v>
      </c>
      <c r="F53" s="91" t="inlineStr">
        <is>
          <t>2015</t>
        </is>
      </c>
      <c r="G53" s="90" t="inlineStr">
        <is>
          <t>r</t>
        </is>
      </c>
      <c r="H53" s="90" t="inlineStr">
        <is>
          <t>Carbon intensity</t>
        </is>
      </c>
      <c r="I53" s="90" t="inlineStr">
        <is>
          <t>whole economy</t>
        </is>
      </c>
      <c r="J53" s="90" t="inlineStr">
        <is>
          <t>The National 12th Five-Year Plan outline proposes that by 2015, carbon dioxide emissions intensity will be reduced by 17% compared with 2010.</t>
        </is>
      </c>
      <c r="K53" s="92" t="inlineStr">
        <is>
          <t>FYP1102.htm</t>
        </is>
      </c>
      <c r="L53" s="90" t="inlineStr">
        <is>
          <t>Emissions</t>
        </is>
      </c>
    </row>
    <row r="54" ht="18" customHeight="1" s="235">
      <c r="A54" s="90" t="n">
        <v>2026</v>
      </c>
      <c r="B54" s="90" t="inlineStr">
        <is>
          <t>carbon dioxide emissions per unit of GDP</t>
        </is>
      </c>
      <c r="C54" s="90" t="inlineStr">
        <is>
          <t>reduce by</t>
        </is>
      </c>
      <c r="D54" s="90" t="inlineStr">
        <is>
          <t>around 3.8%</t>
        </is>
      </c>
      <c r="E54" s="90" t="n">
        <v>2025</v>
      </c>
      <c r="F54" s="91" t="n">
        <v>2026</v>
      </c>
      <c r="G54" s="90" t="inlineStr">
        <is>
          <t>n</t>
        </is>
      </c>
      <c r="H54" s="90" t="inlineStr">
        <is>
          <t>Carbon intensity</t>
        </is>
      </c>
      <c r="I54" s="90" t="inlineStr">
        <is>
          <t>whole economy</t>
        </is>
      </c>
      <c r="J54" s="90" t="inlineStr">
        <is>
          <t>Reduce carbon dioxide emissions per unit of GDP by about 3.8%.</t>
        </is>
      </c>
      <c r="K54" s="92" t="inlineStr">
        <is>
          <t>HL2602.htm</t>
        </is>
      </c>
      <c r="L54" s="90" t="inlineStr">
        <is>
          <t>Emissions</t>
        </is>
      </c>
    </row>
    <row r="55" ht="18" customHeight="1" s="235">
      <c r="A55" s="90" t="n">
        <v>2026</v>
      </c>
      <c r="B55" s="90" t="inlineStr">
        <is>
          <t>carbon dioxide emissions per unit of GDP</t>
        </is>
      </c>
      <c r="C55" s="90" t="inlineStr">
        <is>
          <t>reduce by</t>
        </is>
      </c>
      <c r="D55" s="90" t="inlineStr">
        <is>
          <t>17%</t>
        </is>
      </c>
      <c r="E55" s="90" t="n"/>
      <c r="F55" s="91" t="inlineStr">
        <is>
          <t>15th FYP</t>
        </is>
      </c>
      <c r="G55" s="90" t="inlineStr">
        <is>
          <t>n</t>
        </is>
      </c>
      <c r="H55" s="90" t="inlineStr">
        <is>
          <t>Carbon intensity</t>
        </is>
      </c>
      <c r="I55" s="90" t="inlineStr">
        <is>
          <t>whole economy</t>
        </is>
      </c>
      <c r="J55" s="90" t="inlineStr">
        <is>
          <t>During the 15th Five-Year Plan period, unit GDP carbon dioxide emissions will fall by 17%.</t>
        </is>
      </c>
      <c r="K55" s="92" t="inlineStr">
        <is>
          <t>HL2601.pdf</t>
        </is>
      </c>
      <c r="L55" s="90" t="inlineStr">
        <is>
          <t>Emissions</t>
        </is>
      </c>
    </row>
    <row r="56" ht="18" customHeight="1" s="235">
      <c r="A56" s="90" t="n">
        <v>2019</v>
      </c>
      <c r="B56" s="90" t="inlineStr">
        <is>
          <t>carbon dioxide emissions per unit of GDP</t>
        </is>
      </c>
      <c r="C56" s="90" t="inlineStr">
        <is>
          <t>reduce by</t>
        </is>
      </c>
      <c r="D56" s="90" t="inlineStr">
        <is>
          <t>around 3.6%</t>
        </is>
      </c>
      <c r="E56" s="90" t="n">
        <v>2018</v>
      </c>
      <c r="F56" s="91" t="n">
        <v>2019</v>
      </c>
      <c r="G56" s="90" t="inlineStr">
        <is>
          <t>n</t>
        </is>
      </c>
      <c r="H56" s="90" t="inlineStr">
        <is>
          <t>Carbon intensity</t>
        </is>
      </c>
      <c r="I56" s="90" t="inlineStr">
        <is>
          <t>whole economy</t>
        </is>
      </c>
      <c r="J56" s="90" t="inlineStr">
        <is>
          <t>Carbon dioxide emissions per unit of GDP are to be reduced by 3.6%.</t>
        </is>
      </c>
      <c r="K56" s="92" t="inlineStr">
        <is>
          <t>HL2003.pdf</t>
        </is>
      </c>
      <c r="L56" s="90" t="inlineStr">
        <is>
          <t>Emissions</t>
        </is>
      </c>
    </row>
    <row r="57" ht="18" customHeight="1" s="235">
      <c r="A57" s="90" t="n">
        <v>2011</v>
      </c>
      <c r="B57" s="90" t="inlineStr">
        <is>
          <t>carbon dioxide emissions per unit of GDP</t>
        </is>
      </c>
      <c r="C57" s="90" t="inlineStr">
        <is>
          <t>reduce by</t>
        </is>
      </c>
      <c r="D57" s="90" t="inlineStr">
        <is>
          <t>around 3.5%</t>
        </is>
      </c>
      <c r="E57" s="90" t="n">
        <v>2010</v>
      </c>
      <c r="F57" s="91" t="n">
        <v>2011</v>
      </c>
      <c r="G57" s="90" t="inlineStr">
        <is>
          <t>n</t>
        </is>
      </c>
      <c r="H57" s="90" t="inlineStr">
        <is>
          <t>Carbon intensity</t>
        </is>
      </c>
      <c r="I57" s="90" t="inlineStr">
        <is>
          <t>whole economy</t>
        </is>
      </c>
      <c r="J57" s="90" t="inlineStr">
        <is>
          <t>Carbon dioxide emission intensity is to be reduced by around 3.5%.</t>
        </is>
      </c>
      <c r="K57" s="92" t="inlineStr">
        <is>
          <t>HL1103.htm</t>
        </is>
      </c>
      <c r="L57" s="90" t="inlineStr">
        <is>
          <t>Emissions</t>
        </is>
      </c>
    </row>
    <row r="58" ht="18" customHeight="1" s="235">
      <c r="A58" s="90" t="n">
        <v>2012</v>
      </c>
      <c r="B58" s="90" t="inlineStr">
        <is>
          <t>carbon dioxide emissions per unit of GDP</t>
        </is>
      </c>
      <c r="C58" s="90" t="inlineStr">
        <is>
          <t>reduce by</t>
        </is>
      </c>
      <c r="D58" s="90" t="inlineStr">
        <is>
          <t>more than 3.5%</t>
        </is>
      </c>
      <c r="E58" s="90" t="n">
        <v>2011</v>
      </c>
      <c r="F58" s="91" t="n">
        <v>2012</v>
      </c>
      <c r="G58" s="90" t="inlineStr">
        <is>
          <t>n</t>
        </is>
      </c>
      <c r="H58" s="90" t="inlineStr">
        <is>
          <t>Carbon intensity</t>
        </is>
      </c>
      <c r="I58" s="90" t="inlineStr">
        <is>
          <t>whole economy</t>
        </is>
      </c>
      <c r="J58" s="90" t="inlineStr">
        <is>
          <t>Energy consumption per unit of GDP decreased by approximately 3.5%, with a greater decline in carbon dioxide emissions intensity</t>
        </is>
      </c>
      <c r="K58" s="92" t="inlineStr">
        <is>
          <t>HL1204.htm</t>
        </is>
      </c>
      <c r="L58" s="90" t="inlineStr">
        <is>
          <t>Emissions</t>
        </is>
      </c>
    </row>
    <row r="59" ht="18" customHeight="1" s="235">
      <c r="A59" s="90" t="n">
        <v>2018</v>
      </c>
      <c r="B59" s="90" t="inlineStr">
        <is>
          <t>carbon dioxide emissions per unit of GDP</t>
        </is>
      </c>
      <c r="C59" s="90" t="inlineStr">
        <is>
          <t>reduce by</t>
        </is>
      </c>
      <c r="D59" s="90" t="inlineStr">
        <is>
          <t>3.9%</t>
        </is>
      </c>
      <c r="E59" s="90" t="n">
        <v>2017</v>
      </c>
      <c r="F59" s="91" t="n">
        <v>2018</v>
      </c>
      <c r="G59" s="90" t="inlineStr">
        <is>
          <t>n</t>
        </is>
      </c>
      <c r="H59" s="90" t="inlineStr">
        <is>
          <t>Carbon intensity</t>
        </is>
      </c>
      <c r="I59" s="90" t="inlineStr">
        <is>
          <t>whole economy</t>
        </is>
      </c>
      <c r="J59" s="90" t="inlineStr">
        <is>
          <t>Unit GDP carbon dioxide emissions are to be reduced by 3.9%.</t>
        </is>
      </c>
      <c r="K59" s="92" t="inlineStr">
        <is>
          <t>HL1803.htm</t>
        </is>
      </c>
      <c r="L59" s="90" t="inlineStr">
        <is>
          <t>Emissions</t>
        </is>
      </c>
    </row>
    <row r="60" ht="18" customHeight="1" s="235">
      <c r="A60" s="0" t="n">
        <v>2026</v>
      </c>
      <c r="B60" s="0" t="inlineStr">
        <is>
          <t>carbon dioxide emissions per unit of GDP</t>
        </is>
      </c>
      <c r="C60" s="0" t="inlineStr">
        <is>
          <t>reduce by</t>
        </is>
      </c>
      <c r="D60" s="0" t="inlineStr">
        <is>
          <t>17%</t>
        </is>
      </c>
      <c r="E60" s="0" t="n">
        <v>2025</v>
      </c>
      <c r="F60" s="0" t="n">
        <v>2030</v>
      </c>
      <c r="G60" s="0" t="inlineStr">
        <is>
          <t>n</t>
        </is>
      </c>
      <c r="H60" s="0" t="inlineStr">
        <is>
          <t>Carbon intensity</t>
        </is>
      </c>
      <c r="I60" s="0" t="inlineStr">
        <is>
          <t>whole economy</t>
        </is>
      </c>
      <c r="J60" s="0" t="inlineStr">
        <is>
          <t>By 2030, carbon dioxide emissions per unit of GDP will be reduced by 17% compared with 2025, the share of non-fossil energy consumption will reach 25%, and the carbon peaking target will be achieved on schedule, ...</t>
        </is>
      </c>
      <c r="K60" s="0" t="inlineStr">
        <is>
          <t>HL2604.htm</t>
        </is>
      </c>
      <c r="L60" s="0" t="inlineStr">
        <is>
          <t>GHG Emissions</t>
        </is>
      </c>
    </row>
    <row r="61" ht="18" customHeight="1" s="235">
      <c r="A61" s="0" t="n">
        <v>2026</v>
      </c>
      <c r="B61" s="0" t="inlineStr">
        <is>
          <t>carbon dioxide emissions per unit of GDP</t>
        </is>
      </c>
      <c r="C61" s="0" t="inlineStr">
        <is>
          <t>reduce by</t>
        </is>
      </c>
      <c r="D61" s="0" t="inlineStr">
        <is>
          <t>17%</t>
        </is>
      </c>
      <c r="E61" s="0" t="n">
        <v>2025</v>
      </c>
      <c r="F61" s="0" t="n">
        <v>2030</v>
      </c>
      <c r="G61" s="0" t="inlineStr">
        <is>
          <t>r</t>
        </is>
      </c>
      <c r="H61" s="0" t="inlineStr">
        <is>
          <t>Carbon intensity</t>
        </is>
      </c>
      <c r="I61" s="0" t="inlineStr">
        <is>
          <t>whole economy</t>
        </is>
      </c>
      <c r="J61" s="0" t="inlineStr">
        <is>
          <t>By 2030, carbon dioxide emissions per unit of GDP will be reduced by 17% compared with 2025, ...</t>
        </is>
      </c>
      <c r="K61" s="0" t="inlineStr">
        <is>
          <t>HL2603.pdf</t>
        </is>
      </c>
      <c r="L61" s="0" t="inlineStr">
        <is>
          <t>GHG Emissions</t>
        </is>
      </c>
    </row>
    <row r="62" ht="18" customHeight="1" s="235">
      <c r="A62" s="90" t="n">
        <v>2016</v>
      </c>
      <c r="B62" s="90" t="inlineStr">
        <is>
          <t>carbon dioxide emissions per unit of industrial value added</t>
        </is>
      </c>
      <c r="C62" s="90" t="inlineStr">
        <is>
          <t>reduce by</t>
        </is>
      </c>
      <c r="D62" s="90" t="inlineStr">
        <is>
          <t>22%</t>
        </is>
      </c>
      <c r="E62" s="90" t="n">
        <v>2015</v>
      </c>
      <c r="F62" s="91" t="inlineStr">
        <is>
          <t>2020</t>
        </is>
      </c>
      <c r="G62" s="90" t="inlineStr">
        <is>
          <t>n</t>
        </is>
      </c>
      <c r="H62" s="90" t="inlineStr">
        <is>
          <t>Carbon intensity</t>
        </is>
      </c>
      <c r="I62" s="90" t="inlineStr">
        <is>
          <t>sectors</t>
        </is>
      </c>
      <c r="J62" s="90" t="inlineStr">
        <is>
          <t>In 2020, carbon dioxide emissions per unit of industrial added value will decrease by 22% compared with 2015. The total carbon dioxide emissions in the industrial sector will tend to stabilize, and the total carbon dioxide emissions in key industries such as steel and building materials will effectively be controlled.</t>
        </is>
      </c>
      <c r="K62" s="92" t="inlineStr">
        <is>
          <t>FYP1615.htm</t>
        </is>
      </c>
      <c r="L62" s="90" t="inlineStr">
        <is>
          <t>Emissions</t>
        </is>
      </c>
    </row>
    <row r="63" ht="18" customHeight="1" s="235">
      <c r="A63" s="90" t="n">
        <v>2012</v>
      </c>
      <c r="B63" s="90" t="inlineStr">
        <is>
          <t>carbon dioxide emissions per unit of industrial value added</t>
        </is>
      </c>
      <c r="C63" s="90" t="inlineStr">
        <is>
          <t>reduce by</t>
        </is>
      </c>
      <c r="D63" s="90" t="inlineStr">
        <is>
          <t>50%</t>
        </is>
      </c>
      <c r="E63" s="90" t="n">
        <v>2005</v>
      </c>
      <c r="F63" s="91" t="inlineStr">
        <is>
          <t>2020</t>
        </is>
      </c>
      <c r="G63" s="90" t="inlineStr">
        <is>
          <t>n</t>
        </is>
      </c>
      <c r="H63" s="90" t="inlineStr">
        <is>
          <t>Carbon intensity</t>
        </is>
      </c>
      <c r="I63" s="90" t="inlineStr">
        <is>
          <t>sectors</t>
        </is>
      </c>
      <c r="J63" s="90" t="inlineStr">
        <is>
          <t>By 2020, carbon dioxide emissions per unit of industrial added value will be reduced by about 50% compared with 2005, and an industrial system characterized by low carbon emissions will be basically formed.</t>
        </is>
      </c>
      <c r="K63" s="92" t="inlineStr">
        <is>
          <t>AP1201.pdf</t>
        </is>
      </c>
      <c r="L63" s="90" t="inlineStr">
        <is>
          <t>Emissions</t>
        </is>
      </c>
    </row>
    <row r="64" ht="18" customHeight="1" s="235">
      <c r="A64" s="90" t="n">
        <v>2012</v>
      </c>
      <c r="B64" s="90" t="inlineStr">
        <is>
          <t>carbon dioxide emissions per unit of industrial value added</t>
        </is>
      </c>
      <c r="C64" s="90" t="inlineStr">
        <is>
          <t>reduce by</t>
        </is>
      </c>
      <c r="D64" s="90" t="inlineStr">
        <is>
          <t>more than 21%</t>
        </is>
      </c>
      <c r="E64" s="90" t="n">
        <v>2010</v>
      </c>
      <c r="F64" s="91" t="inlineStr">
        <is>
          <t>2015</t>
        </is>
      </c>
      <c r="G64" s="90" t="inlineStr">
        <is>
          <t>n</t>
        </is>
      </c>
      <c r="H64" s="90" t="inlineStr">
        <is>
          <t>Carbon intensity</t>
        </is>
      </c>
      <c r="I64" s="90" t="inlineStr">
        <is>
          <t>sectors</t>
        </is>
      </c>
      <c r="J64" s="90" t="inlineStr">
        <is>
          <t>By 2015, the national greenhouse gas emission control targets will be fully implemented, with CO2 emissions per unit of industrial value added falling by more than 21% compared with 2010.</t>
        </is>
      </c>
      <c r="K64" s="92" t="inlineStr">
        <is>
          <t>AP1201.pdf</t>
        </is>
      </c>
      <c r="L64" s="90" t="inlineStr">
        <is>
          <t>Emissions</t>
        </is>
      </c>
    </row>
    <row r="65" ht="18" customHeight="1" s="235">
      <c r="A65" s="90" t="n">
        <v>2021</v>
      </c>
      <c r="B65" s="90" t="inlineStr">
        <is>
          <t>carbon dioxide emissions per unit of industrial value added average annual reduction rate</t>
        </is>
      </c>
      <c r="C65" s="90" t="inlineStr">
        <is>
          <t>reach</t>
        </is>
      </c>
      <c r="D65" s="90" t="inlineStr">
        <is>
          <t>above 4%</t>
        </is>
      </c>
      <c r="E65" s="90" t="n"/>
      <c r="F65" s="91" t="inlineStr">
        <is>
          <t>2025</t>
        </is>
      </c>
      <c r="G65" s="90" t="inlineStr">
        <is>
          <t>n</t>
        </is>
      </c>
      <c r="H65" s="90" t="inlineStr">
        <is>
          <t>Carbon intensity</t>
        </is>
      </c>
      <c r="I65" s="90" t="inlineStr">
        <is>
          <t>sectors</t>
        </is>
      </c>
      <c r="J65" s="90" t="inlineStr">
        <is>
          <t>By 2025, the average annual reduction rate of carbon dioxide emissions per unit of industrial added value will be above 4%.</t>
        </is>
      </c>
      <c r="K65" s="92" t="inlineStr">
        <is>
          <t>IP2102.htm</t>
        </is>
      </c>
      <c r="L65" s="90" t="inlineStr">
        <is>
          <t>Emissions</t>
        </is>
      </c>
    </row>
    <row r="66" ht="18" customHeight="1" s="235">
      <c r="A66" s="92" t="n">
        <v>2012</v>
      </c>
      <c r="B66" s="92" t="inlineStr">
        <is>
          <t>carbon dioxide emissions per unit of industrial value added in the building materials industry</t>
        </is>
      </c>
      <c r="C66" s="92" t="inlineStr">
        <is>
          <t>reduce by</t>
        </is>
      </c>
      <c r="D66" s="92" t="inlineStr">
        <is>
          <t>18%</t>
        </is>
      </c>
      <c r="E66" s="92" t="n">
        <v>2010</v>
      </c>
      <c r="F66" s="96" t="inlineStr">
        <is>
          <t>2015</t>
        </is>
      </c>
      <c r="G66" s="92" t="inlineStr">
        <is>
          <t>n</t>
        </is>
      </c>
      <c r="H66" s="90" t="inlineStr">
        <is>
          <t>Carbon intensity</t>
        </is>
      </c>
      <c r="I66" s="92" t="inlineStr">
        <is>
          <t>sectors</t>
        </is>
      </c>
      <c r="J66" s="92" t="inlineStr">
        <is>
          <t>By 2015, carbon dioxide emissions per unit of industrial value added in the building materials industry will fall by 18% compared with 2010.</t>
        </is>
      </c>
      <c r="K66" s="92" t="inlineStr">
        <is>
          <t>AP1201.pdf</t>
        </is>
      </c>
      <c r="L66" s="92" t="inlineStr">
        <is>
          <t>Emissions</t>
        </is>
      </c>
    </row>
    <row r="67" ht="18" customHeight="1" s="235">
      <c r="A67" s="90" t="n">
        <v>2012</v>
      </c>
      <c r="B67" s="90" t="inlineStr">
        <is>
          <t>carbon dioxide emissions per unit of industrial value added in the chemicals industry</t>
        </is>
      </c>
      <c r="C67" s="90" t="inlineStr">
        <is>
          <t>reduce by</t>
        </is>
      </c>
      <c r="D67" s="90" t="inlineStr">
        <is>
          <t>17%</t>
        </is>
      </c>
      <c r="E67" s="90" t="n">
        <v>2010</v>
      </c>
      <c r="F67" s="91" t="inlineStr">
        <is>
          <t>2015</t>
        </is>
      </c>
      <c r="G67" s="90" t="inlineStr">
        <is>
          <t>n</t>
        </is>
      </c>
      <c r="H67" s="90" t="inlineStr">
        <is>
          <t>Carbon intensity</t>
        </is>
      </c>
      <c r="I67" s="90" t="inlineStr">
        <is>
          <t>sectors</t>
        </is>
      </c>
      <c r="J67" s="90" t="inlineStr">
        <is>
          <t>By 2015, carbon dioxide emissions per unit of industrial value added in the chemicals industry will fall by 17% compared with 2010.</t>
        </is>
      </c>
      <c r="K67" s="92" t="inlineStr">
        <is>
          <t>AP1201.pdf</t>
        </is>
      </c>
      <c r="L67" s="90" t="inlineStr">
        <is>
          <t>Emissions</t>
        </is>
      </c>
    </row>
    <row r="68" ht="18" customHeight="1" s="235">
      <c r="A68" s="90" t="n">
        <v>2012</v>
      </c>
      <c r="B68" s="90" t="inlineStr">
        <is>
          <t>carbon dioxide emissions per unit of industrial value added in the electronic information industry</t>
        </is>
      </c>
      <c r="C68" s="90" t="inlineStr">
        <is>
          <t>reduce by</t>
        </is>
      </c>
      <c r="D68" s="90" t="inlineStr">
        <is>
          <t>18%</t>
        </is>
      </c>
      <c r="E68" s="90" t="n">
        <v>2010</v>
      </c>
      <c r="F68" s="91" t="inlineStr">
        <is>
          <t>2015</t>
        </is>
      </c>
      <c r="G68" s="90" t="inlineStr">
        <is>
          <t>n</t>
        </is>
      </c>
      <c r="H68" s="90" t="inlineStr">
        <is>
          <t>Carbon intensity</t>
        </is>
      </c>
      <c r="I68" s="90" t="inlineStr">
        <is>
          <t>sectors</t>
        </is>
      </c>
      <c r="J68" s="90" t="inlineStr">
        <is>
          <t>By 2015, carbon dioxide emissions per unit of industrial value added in the electronic information industry will fall by more than 18% compared with 2010.</t>
        </is>
      </c>
      <c r="K68" s="92" t="inlineStr">
        <is>
          <t>AP1201.pdf</t>
        </is>
      </c>
      <c r="L68" s="90" t="inlineStr">
        <is>
          <t>Emissions</t>
        </is>
      </c>
    </row>
    <row r="69" ht="18" customHeight="1" s="235">
      <c r="A69" s="90" t="n">
        <v>2012</v>
      </c>
      <c r="B69" s="90" t="inlineStr">
        <is>
          <t>carbon dioxide emissions per unit of industrial value added in the light industry</t>
        </is>
      </c>
      <c r="C69" s="90" t="inlineStr">
        <is>
          <t>reduce by</t>
        </is>
      </c>
      <c r="D69" s="90" t="inlineStr">
        <is>
          <t>20%</t>
        </is>
      </c>
      <c r="E69" s="90" t="n">
        <v>2010</v>
      </c>
      <c r="F69" s="91" t="inlineStr">
        <is>
          <t>2015</t>
        </is>
      </c>
      <c r="G69" s="90" t="inlineStr">
        <is>
          <t>n</t>
        </is>
      </c>
      <c r="H69" s="90" t="inlineStr">
        <is>
          <t>Carbon intensity</t>
        </is>
      </c>
      <c r="I69" s="90" t="inlineStr">
        <is>
          <t>sectors</t>
        </is>
      </c>
      <c r="J69" s="90" t="inlineStr">
        <is>
          <t>By 2015, carbon dioxide emissions per unit of industrial value added in the light industry sector will fall by 20% compared with 2010.</t>
        </is>
      </c>
      <c r="K69" s="92" t="inlineStr">
        <is>
          <t>AP1201.pdf</t>
        </is>
      </c>
      <c r="L69" s="90" t="inlineStr">
        <is>
          <t>Emissions</t>
        </is>
      </c>
    </row>
    <row r="70" ht="18" customHeight="1" s="235">
      <c r="A70" s="90" t="n">
        <v>2012</v>
      </c>
      <c r="B70" s="90" t="inlineStr">
        <is>
          <t>carbon dioxide emissions per unit of industrial value added in the machinery industry</t>
        </is>
      </c>
      <c r="C70" s="90" t="inlineStr">
        <is>
          <t>reduce by</t>
        </is>
      </c>
      <c r="D70" s="90" t="inlineStr">
        <is>
          <t>22%</t>
        </is>
      </c>
      <c r="E70" s="90" t="n">
        <v>2010</v>
      </c>
      <c r="F70" s="91" t="inlineStr">
        <is>
          <t>2015</t>
        </is>
      </c>
      <c r="G70" s="90" t="inlineStr">
        <is>
          <t>n</t>
        </is>
      </c>
      <c r="H70" s="90" t="inlineStr">
        <is>
          <t>Carbon intensity</t>
        </is>
      </c>
      <c r="I70" s="90" t="inlineStr">
        <is>
          <t>sectors</t>
        </is>
      </c>
      <c r="J70" s="90" t="inlineStr">
        <is>
          <t>By 2015, carbon dioxide emissions per unit of industrial value added in the machinery industry will fall by 22% compared with 2010.</t>
        </is>
      </c>
      <c r="K70" s="92" t="inlineStr">
        <is>
          <t>AP1201.pdf</t>
        </is>
      </c>
      <c r="L70" s="90" t="inlineStr">
        <is>
          <t>Emissions</t>
        </is>
      </c>
    </row>
    <row r="71" ht="18" customHeight="1" s="235">
      <c r="A71" s="90" t="n">
        <v>2012</v>
      </c>
      <c r="B71" s="90" t="inlineStr">
        <is>
          <t>carbon dioxide emissions per unit of industrial value added in the non-ferrous metals industry</t>
        </is>
      </c>
      <c r="C71" s="90" t="inlineStr">
        <is>
          <t>reduce by</t>
        </is>
      </c>
      <c r="D71" s="90" t="inlineStr">
        <is>
          <t>18%</t>
        </is>
      </c>
      <c r="E71" s="90" t="n">
        <v>2010</v>
      </c>
      <c r="F71" s="91" t="inlineStr">
        <is>
          <t>2015</t>
        </is>
      </c>
      <c r="G71" s="90" t="inlineStr">
        <is>
          <t>n</t>
        </is>
      </c>
      <c r="H71" s="90" t="inlineStr">
        <is>
          <t>Carbon intensity</t>
        </is>
      </c>
      <c r="I71" s="90" t="inlineStr">
        <is>
          <t>sectors</t>
        </is>
      </c>
      <c r="J71" s="90" t="inlineStr">
        <is>
          <t>By 2015, carbon dioxide emissions per unit of industrial value added in the nonferrous metals industry will fall by 18% compared with 2010.</t>
        </is>
      </c>
      <c r="K71" s="92" t="inlineStr">
        <is>
          <t>AP1201.pdf</t>
        </is>
      </c>
      <c r="L71" s="90" t="inlineStr">
        <is>
          <t>Emissions</t>
        </is>
      </c>
    </row>
    <row r="72" ht="18" customHeight="1" s="235">
      <c r="A72" s="90" t="n">
        <v>2012</v>
      </c>
      <c r="B72" s="90" t="inlineStr">
        <is>
          <t>carbon dioxide emissions per unit of industrial value added in the petrochemicals industry</t>
        </is>
      </c>
      <c r="C72" s="90" t="inlineStr">
        <is>
          <t>reduce by</t>
        </is>
      </c>
      <c r="D72" s="90" t="inlineStr">
        <is>
          <t>18%</t>
        </is>
      </c>
      <c r="E72" s="90" t="n">
        <v>2010</v>
      </c>
      <c r="F72" s="91" t="inlineStr">
        <is>
          <t>2015</t>
        </is>
      </c>
      <c r="G72" s="90" t="inlineStr">
        <is>
          <t>n</t>
        </is>
      </c>
      <c r="H72" s="90" t="inlineStr">
        <is>
          <t>Carbon intensity</t>
        </is>
      </c>
      <c r="I72" s="90" t="inlineStr">
        <is>
          <t>sectors</t>
        </is>
      </c>
      <c r="J72" s="90" t="inlineStr">
        <is>
          <t>By 2015, carbon dioxide emissions per unit of industrial value added in the petrochemicals industry will fall by 18% compared with 2010.</t>
        </is>
      </c>
      <c r="K72" s="92" t="inlineStr">
        <is>
          <t>AP1201.pdf</t>
        </is>
      </c>
      <c r="L72" s="90" t="inlineStr">
        <is>
          <t>Emissions</t>
        </is>
      </c>
    </row>
    <row r="73" ht="18" customHeight="1" s="235">
      <c r="A73" s="90" t="n">
        <v>2012</v>
      </c>
      <c r="B73" s="90" t="inlineStr">
        <is>
          <t>carbon dioxide emissions per unit of industrial value added in the steel industry</t>
        </is>
      </c>
      <c r="C73" s="90" t="inlineStr">
        <is>
          <t>reduce by</t>
        </is>
      </c>
      <c r="D73" s="90" t="inlineStr">
        <is>
          <t>18%</t>
        </is>
      </c>
      <c r="E73" s="90" t="n">
        <v>2010</v>
      </c>
      <c r="F73" s="91" t="inlineStr">
        <is>
          <t>2015</t>
        </is>
      </c>
      <c r="G73" s="90" t="inlineStr">
        <is>
          <t>n</t>
        </is>
      </c>
      <c r="H73" s="90" t="inlineStr">
        <is>
          <t>Carbon intensity</t>
        </is>
      </c>
      <c r="I73" s="90" t="inlineStr">
        <is>
          <t>sectors</t>
        </is>
      </c>
      <c r="J73" s="90" t="inlineStr">
        <is>
          <t>By 2015, carbon dioxide emissions per unit of industrial value added in the steel industry will fall by 18% compared with 2010.</t>
        </is>
      </c>
      <c r="K73" s="92" t="inlineStr">
        <is>
          <t>AP1201.pdf</t>
        </is>
      </c>
      <c r="L73" s="90" t="inlineStr">
        <is>
          <t>Emissions</t>
        </is>
      </c>
    </row>
    <row r="74" ht="18" customHeight="1" s="235">
      <c r="A74" s="90" t="n">
        <v>2012</v>
      </c>
      <c r="B74" s="90" t="inlineStr">
        <is>
          <t>carbon dioxide emissions per unit of industrial value added in the textiles industry</t>
        </is>
      </c>
      <c r="C74" s="90" t="inlineStr">
        <is>
          <t>reduce by</t>
        </is>
      </c>
      <c r="D74" s="90" t="inlineStr">
        <is>
          <t>20%</t>
        </is>
      </c>
      <c r="E74" s="90" t="n">
        <v>2010</v>
      </c>
      <c r="F74" s="91" t="inlineStr">
        <is>
          <t>2015</t>
        </is>
      </c>
      <c r="G74" s="90" t="inlineStr">
        <is>
          <t>n</t>
        </is>
      </c>
      <c r="H74" s="90" t="inlineStr">
        <is>
          <t>Carbon intensity</t>
        </is>
      </c>
      <c r="I74" s="90" t="inlineStr">
        <is>
          <t>sectors</t>
        </is>
      </c>
      <c r="J74" s="90" t="inlineStr">
        <is>
          <t>By 2015, carbon dioxide emissions per unit of industrial value added in the textiles industry will fall by 20% compared with 2010.</t>
        </is>
      </c>
      <c r="K74" s="92" t="inlineStr">
        <is>
          <t>AP1201.pdf</t>
        </is>
      </c>
      <c r="L74" s="90" t="inlineStr">
        <is>
          <t>Emissions</t>
        </is>
      </c>
    </row>
    <row r="75" ht="18" customHeight="1" s="235">
      <c r="A75" s="0" t="n">
        <v>2026</v>
      </c>
      <c r="B75" s="0" t="inlineStr">
        <is>
          <t>carbon dioxide emissions per unit of product in sectors covered by the national carbon emissions trading market</t>
        </is>
      </c>
      <c r="C75" s="0" t="inlineStr">
        <is>
          <t>reduce by</t>
        </is>
      </c>
      <c r="D75" s="0" t="inlineStr">
        <is>
          <t>around 3%</t>
        </is>
      </c>
      <c r="E75" s="0" t="n">
        <v>2025</v>
      </c>
      <c r="F75" s="0" t="n">
        <v>2030</v>
      </c>
      <c r="G75" s="0" t="inlineStr">
        <is>
          <t>r</t>
        </is>
      </c>
      <c r="H75" s="0" t="inlineStr">
        <is>
          <t>Carbon intensity</t>
        </is>
      </c>
      <c r="I75" s="0" t="inlineStr">
        <is>
          <t>sectors</t>
        </is>
      </c>
      <c r="J75" s="0" t="inlineStr">
        <is>
          <t>...carbon dioxide emissions per unit of product in sectors covered by the national carbon emissions trading market will be reduced by around 3% compared with 2025, and a national voluntary greenhouse gas emission reduction trading market that is credible and transparent, with unified methodologies, broad participation and international alignment will be built, ...</t>
        </is>
      </c>
      <c r="K75" s="0" t="inlineStr">
        <is>
          <t>HL2603.pdf</t>
        </is>
      </c>
      <c r="L75" s="0" t="inlineStr">
        <is>
          <t>GHG Emissions</t>
        </is>
      </c>
    </row>
    <row r="76" ht="18" customHeight="1" s="235">
      <c r="A76" s="90" t="n">
        <v>2022</v>
      </c>
      <c r="B76" s="90" t="inlineStr">
        <is>
          <t>carbon dioxide emissions per unit of turnover in the transportation sector</t>
        </is>
      </c>
      <c r="C76" s="90" t="inlineStr">
        <is>
          <t>reduce by</t>
        </is>
      </c>
      <c r="D76" s="90" t="inlineStr">
        <is>
          <t>9.5%</t>
        </is>
      </c>
      <c r="E76" s="90" t="n">
        <v>2020</v>
      </c>
      <c r="F76" s="91" t="n">
        <v>2030</v>
      </c>
      <c r="G76" s="90" t="inlineStr">
        <is>
          <t>r</t>
        </is>
      </c>
      <c r="H76" s="90" t="inlineStr">
        <is>
          <t>Carbon intensity</t>
        </is>
      </c>
      <c r="I76" s="90" t="inlineStr">
        <is>
          <t>sectors</t>
        </is>
      </c>
      <c r="J76" s="90" t="inlineStr">
        <is>
          <t>It also aims to reduce the carbon intensity of operational transport per unit turnover by about 9.5% by 2030 compared with 2020 levels</t>
        </is>
      </c>
      <c r="K76" s="92" t="inlineStr">
        <is>
          <t>HL2404.pdf</t>
        </is>
      </c>
      <c r="L76" s="90" t="inlineStr">
        <is>
          <t>Emissions</t>
        </is>
      </c>
    </row>
    <row r="77" ht="18" customHeight="1" s="235">
      <c r="A77" s="90" t="n">
        <v>2016</v>
      </c>
      <c r="B77" s="90" t="inlineStr">
        <is>
          <t>carbon dioxide emissions per unit of transport turnover of operating buses</t>
        </is>
      </c>
      <c r="C77" s="90" t="inlineStr">
        <is>
          <t>reduce by</t>
        </is>
      </c>
      <c r="D77" s="90" t="inlineStr">
        <is>
          <t>2.6%</t>
        </is>
      </c>
      <c r="E77" s="90" t="n">
        <v>2015</v>
      </c>
      <c r="F77" s="91" t="inlineStr">
        <is>
          <t>2020</t>
        </is>
      </c>
      <c r="G77" s="90" t="inlineStr">
        <is>
          <t>n</t>
        </is>
      </c>
      <c r="H77" s="90" t="inlineStr">
        <is>
          <t>Carbon intensity</t>
        </is>
      </c>
      <c r="I77" s="90" t="inlineStr">
        <is>
          <t>sectors</t>
        </is>
      </c>
      <c r="J77" s="90" t="inlineStr">
        <is>
          <t>By 2020, carbon dioxide emissions per unit of transport turnover of operating buses in China were to be reduced by 2.6% compared with 2015 levels.</t>
        </is>
      </c>
      <c r="K77" s="92" t="inlineStr">
        <is>
          <t>FYP1615.htm</t>
        </is>
      </c>
      <c r="L77" s="90" t="inlineStr">
        <is>
          <t>Emissions</t>
        </is>
      </c>
    </row>
    <row r="78" ht="18" customHeight="1" s="235">
      <c r="A78" s="90" t="n">
        <v>2016</v>
      </c>
      <c r="B78" s="90" t="inlineStr">
        <is>
          <t>carbon dioxide emissions per unit of transport turnover of operating vessels</t>
        </is>
      </c>
      <c r="C78" s="90" t="inlineStr">
        <is>
          <t>reduce by</t>
        </is>
      </c>
      <c r="D78" s="90" t="inlineStr">
        <is>
          <t>7%</t>
        </is>
      </c>
      <c r="E78" s="90" t="n">
        <v>2015</v>
      </c>
      <c r="F78" s="91" t="inlineStr">
        <is>
          <t>2020</t>
        </is>
      </c>
      <c r="G78" s="90" t="inlineStr">
        <is>
          <t>n</t>
        </is>
      </c>
      <c r="H78" s="90" t="inlineStr">
        <is>
          <t>Carbon intensity</t>
        </is>
      </c>
      <c r="I78" s="90" t="inlineStr">
        <is>
          <t>sectors</t>
        </is>
      </c>
      <c r="J78" s="90" t="inlineStr">
        <is>
          <t>By 2020, carbon dioxide emissions per unit of transport turnover of operating ships in China were to be reduced by 7% compared with 2015 levels.</t>
        </is>
      </c>
      <c r="K78" s="92" t="inlineStr">
        <is>
          <t>FYP1615.htm</t>
        </is>
      </c>
      <c r="L78" s="90" t="inlineStr">
        <is>
          <t>Emissions</t>
        </is>
      </c>
    </row>
    <row r="79" ht="18" customHeight="1" s="235">
      <c r="A79" s="90" t="n">
        <v>2016</v>
      </c>
      <c r="B79" s="90" t="inlineStr">
        <is>
          <t>carbon dioxide emissions per unit of transport turnover of operating trucks</t>
        </is>
      </c>
      <c r="C79" s="90" t="inlineStr">
        <is>
          <t>reduce by</t>
        </is>
      </c>
      <c r="D79" s="90" t="inlineStr">
        <is>
          <t>8%</t>
        </is>
      </c>
      <c r="E79" s="90" t="n">
        <v>2015</v>
      </c>
      <c r="F79" s="91" t="inlineStr">
        <is>
          <t>2020</t>
        </is>
      </c>
      <c r="G79" s="90" t="inlineStr">
        <is>
          <t>n</t>
        </is>
      </c>
      <c r="H79" s="90" t="inlineStr">
        <is>
          <t>Carbon intensity</t>
        </is>
      </c>
      <c r="I79" s="90" t="inlineStr">
        <is>
          <t>sectors</t>
        </is>
      </c>
      <c r="J79" s="90" t="inlineStr">
        <is>
          <t>By 2020, carbon dioxide emissions per unit of transport turnover of operating trucks in China will be reduced by 8% compared with 2015 levels.</t>
        </is>
      </c>
      <c r="K79" s="92" t="inlineStr">
        <is>
          <t>FYP1615.htm</t>
        </is>
      </c>
      <c r="L79" s="90" t="inlineStr">
        <is>
          <t>Emissions</t>
        </is>
      </c>
    </row>
    <row r="80" ht="18" customHeight="1" s="235">
      <c r="A80" s="90" t="n">
        <v>2022</v>
      </c>
      <c r="B80" s="90" t="inlineStr">
        <is>
          <t>carbon dioxide emissions per unit of transport turnover of operating vehicles</t>
        </is>
      </c>
      <c r="C80" s="90" t="inlineStr">
        <is>
          <t>reduce by</t>
        </is>
      </c>
      <c r="D80" s="90" t="inlineStr">
        <is>
          <t>5%</t>
        </is>
      </c>
      <c r="E80" s="90" t="n">
        <v>2020</v>
      </c>
      <c r="F80" s="91" t="inlineStr">
        <is>
          <t>2025</t>
        </is>
      </c>
      <c r="G80" s="90" t="inlineStr">
        <is>
          <t>n</t>
        </is>
      </c>
      <c r="H80" s="90" t="inlineStr">
        <is>
          <t>Carbon intensity</t>
        </is>
      </c>
      <c r="I80" s="90" t="inlineStr">
        <is>
          <t>sectors</t>
        </is>
      </c>
      <c r="J80" s="90" t="inlineStr">
        <is>
          <t>By 2025, the CO2 emissions per unit of transport turnover for operating vehicles and vessels will decrease by 5% and 3.5% compared to 2020</t>
        </is>
      </c>
      <c r="K80" s="92" t="inlineStr">
        <is>
          <t>HL2401.pdf</t>
        </is>
      </c>
      <c r="L80" s="90" t="inlineStr">
        <is>
          <t>Emissions</t>
        </is>
      </c>
    </row>
    <row r="81" ht="18" customHeight="1" s="235">
      <c r="A81" s="90" t="n">
        <v>2022</v>
      </c>
      <c r="B81" s="90" t="inlineStr">
        <is>
          <t>carbon dioxide emissions per unit of transport turnover of operating vessels</t>
        </is>
      </c>
      <c r="C81" s="90" t="inlineStr">
        <is>
          <t>reduce by</t>
        </is>
      </c>
      <c r="D81" s="90" t="inlineStr">
        <is>
          <t>3.5%</t>
        </is>
      </c>
      <c r="E81" s="90" t="n">
        <v>2020</v>
      </c>
      <c r="F81" s="91" t="inlineStr">
        <is>
          <t>2025</t>
        </is>
      </c>
      <c r="G81" s="90" t="inlineStr">
        <is>
          <t>n</t>
        </is>
      </c>
      <c r="H81" s="90" t="inlineStr">
        <is>
          <t>Carbon intensity</t>
        </is>
      </c>
      <c r="I81" s="90" t="inlineStr">
        <is>
          <t>sectors</t>
        </is>
      </c>
      <c r="J81" s="90" t="inlineStr">
        <is>
          <t>By 2025, the CO2 emissions per unit of transport turnover for operating vehicles and vessels will decrease by 5% and 3.5% compared to 2020</t>
        </is>
      </c>
      <c r="K81" s="92" t="inlineStr">
        <is>
          <t>HL2401.pdf</t>
        </is>
      </c>
      <c r="L81" s="90" t="inlineStr">
        <is>
          <t>Emissions</t>
        </is>
      </c>
    </row>
    <row r="82" ht="18" customHeight="1" s="235">
      <c r="A82" s="90" t="n">
        <v>2024</v>
      </c>
      <c r="B82" s="90" t="inlineStr">
        <is>
          <t>carbon dioxide emissions per unit of turnover in the transportation sector</t>
        </is>
      </c>
      <c r="C82" s="90" t="inlineStr">
        <is>
          <t>reduce by</t>
        </is>
      </c>
      <c r="D82" s="90" t="inlineStr">
        <is>
          <t>5%</t>
        </is>
      </c>
      <c r="E82" s="90" t="n">
        <v>2020</v>
      </c>
      <c r="F82" s="91" t="inlineStr">
        <is>
          <t>2025</t>
        </is>
      </c>
      <c r="G82" s="90" t="inlineStr">
        <is>
          <t>n</t>
        </is>
      </c>
      <c r="H82" s="90" t="inlineStr">
        <is>
          <t>Carbon intensity</t>
        </is>
      </c>
      <c r="I82" s="90" t="inlineStr">
        <is>
          <t>sectors</t>
        </is>
      </c>
      <c r="J82" s="90" t="inlineStr">
        <is>
          <t>By the end of 2025, the carbon dioxide emission intensity in the transportation sector will be reduced by 5% compared with 2020.</t>
        </is>
      </c>
      <c r="K82" s="92" t="inlineStr">
        <is>
          <t>AP2405.htm</t>
        </is>
      </c>
      <c r="L82" s="90" t="inlineStr">
        <is>
          <t>Emissions</t>
        </is>
      </c>
    </row>
    <row r="83" ht="18" customHeight="1" s="235">
      <c r="A83" s="90" t="n">
        <v>2021</v>
      </c>
      <c r="B83" s="90" t="inlineStr">
        <is>
          <t>carbon dioxide emissions per unit of transport turnover of operating vehicles</t>
        </is>
      </c>
      <c r="C83" s="90" t="inlineStr">
        <is>
          <t>reduce by</t>
        </is>
      </c>
      <c r="D83" s="90" t="inlineStr">
        <is>
          <t>9.5%</t>
        </is>
      </c>
      <c r="E83" s="90" t="n">
        <v>2020</v>
      </c>
      <c r="F83" s="91" t="inlineStr">
        <is>
          <t>2030</t>
        </is>
      </c>
      <c r="G83" s="90" t="inlineStr">
        <is>
          <t>n</t>
        </is>
      </c>
      <c r="H83" s="90" t="inlineStr">
        <is>
          <t>Carbon intensity</t>
        </is>
      </c>
      <c r="I83" s="90" t="inlineStr">
        <is>
          <t>unclear</t>
        </is>
      </c>
      <c r="J83" s="90" t="inlineStr">
        <is>
          <t>By 2030, carbon emission intensity of commercial vehicles measured on the basis of converted turnover will be cut by about 9.5% compared with 2020</t>
        </is>
      </c>
      <c r="K83" s="92" t="inlineStr">
        <is>
          <t>HL2102.pdf</t>
        </is>
      </c>
      <c r="L83" s="90" t="inlineStr">
        <is>
          <t>Emissions</t>
        </is>
      </c>
    </row>
    <row r="84" ht="18" customHeight="1" s="235">
      <c r="A84" s="97" t="n">
        <v>2021</v>
      </c>
      <c r="B84" s="97" t="inlineStr">
        <is>
          <t>carbon dioxide emissions per unit of turnover of public transport</t>
        </is>
      </c>
      <c r="C84" s="90" t="inlineStr">
        <is>
          <t>reduce by</t>
        </is>
      </c>
      <c r="D84" s="97" t="inlineStr">
        <is>
          <t>9.5%</t>
        </is>
      </c>
      <c r="E84" s="97" t="n">
        <v>2020</v>
      </c>
      <c r="F84" s="98" t="inlineStr">
        <is>
          <t>2030</t>
        </is>
      </c>
      <c r="G84" s="90" t="inlineStr">
        <is>
          <t>n</t>
        </is>
      </c>
      <c r="H84" s="90" t="inlineStr">
        <is>
          <t>Carbon intensity</t>
        </is>
      </c>
      <c r="I84" s="97" t="inlineStr">
        <is>
          <t>unclear</t>
        </is>
      </c>
      <c r="J84" s="97" t="inlineStr">
        <is>
          <t>By 2030, CO emissions intensity of public transport per unit of turnover will decrease by about 9.5% from the 2020 level</t>
        </is>
      </c>
      <c r="K84" s="99" t="inlineStr">
        <is>
          <t>HL2302.pdf</t>
        </is>
      </c>
      <c r="L84" s="97" t="inlineStr">
        <is>
          <t>Emissions</t>
        </is>
      </c>
    </row>
    <row r="85" ht="18" customHeight="1" s="235">
      <c r="A85" s="90" t="n">
        <v>2016</v>
      </c>
      <c r="B85" s="97" t="inlineStr">
        <is>
          <t>carbon dioxide emissions per unit of urban passenger transport</t>
        </is>
      </c>
      <c r="C85" s="90" t="inlineStr">
        <is>
          <t>reduce by</t>
        </is>
      </c>
      <c r="D85" s="90" t="inlineStr">
        <is>
          <t>12.5%</t>
        </is>
      </c>
      <c r="E85" s="90" t="n">
        <v>2015</v>
      </c>
      <c r="F85" s="91" t="inlineStr">
        <is>
          <t>2020</t>
        </is>
      </c>
      <c r="G85" s="90" t="inlineStr">
        <is>
          <t>n</t>
        </is>
      </c>
      <c r="H85" s="90" t="inlineStr">
        <is>
          <t>Carbon intensity</t>
        </is>
      </c>
      <c r="I85" s="97" t="inlineStr">
        <is>
          <t>cities</t>
        </is>
      </c>
      <c r="J85" s="90" t="inlineStr">
        <is>
          <t>By 2020, carbon dioxide emissions per unit of urban passenger transport in China were to be reduced by 12.5% compared with 2015 levels.</t>
        </is>
      </c>
      <c r="K85" s="92" t="inlineStr">
        <is>
          <t>FYP1615.htm</t>
        </is>
      </c>
      <c r="L85" s="97" t="inlineStr">
        <is>
          <t>Emissions</t>
        </is>
      </c>
    </row>
    <row r="86" ht="18" customHeight="1" s="235">
      <c r="A86" s="90" t="n">
        <v>2024</v>
      </c>
      <c r="B86" s="97" t="inlineStr">
        <is>
          <t>carbon dioxide emissions reduction through energy-saving and carbon-reduction transformation of the building materials industry</t>
        </is>
      </c>
      <c r="C86" s="90" t="inlineStr">
        <is>
          <t>reach</t>
        </is>
      </c>
      <c r="D86" s="90" t="inlineStr">
        <is>
          <t>26 million tons of CO2</t>
        </is>
      </c>
      <c r="E86" s="90" t="n"/>
      <c r="F86" s="91" t="inlineStr">
        <is>
          <t>2024-2025</t>
        </is>
      </c>
      <c r="G86" s="90" t="inlineStr">
        <is>
          <t>n</t>
        </is>
      </c>
      <c r="H86" s="90" t="inlineStr">
        <is>
          <t>Carbon reduction</t>
        </is>
      </c>
      <c r="I86" s="97" t="inlineStr">
        <is>
          <t>sectors</t>
        </is>
      </c>
      <c r="J86" s="90" t="inlineStr">
        <is>
          <t>From 2024 to 2025, the energy-saving and carbon-reduction transformation of the building materials industry will reduce carbon dioxide emissions by about 26 million tons.</t>
        </is>
      </c>
      <c r="K86" s="92" t="inlineStr">
        <is>
          <t>AP2405.htm</t>
        </is>
      </c>
      <c r="L86" s="97" t="inlineStr">
        <is>
          <t>Emissions</t>
        </is>
      </c>
    </row>
    <row r="87" ht="18" customHeight="1" s="235">
      <c r="A87" s="94" t="n">
        <v>2024</v>
      </c>
      <c r="B87" s="100" t="inlineStr">
        <is>
          <t>carbon dioxide emissions reduction through energy-saving and carbon-reduction transformation of the cement industry</t>
        </is>
      </c>
      <c r="C87" s="94" t="inlineStr">
        <is>
          <t>reach</t>
        </is>
      </c>
      <c r="D87" s="94" t="inlineStr">
        <is>
          <t>approximately 13 million tons</t>
        </is>
      </c>
      <c r="E87" s="94" t="n"/>
      <c r="F87" s="95" t="inlineStr">
        <is>
          <t>2024-2025</t>
        </is>
      </c>
      <c r="G87" s="94" t="inlineStr">
        <is>
          <t>n</t>
        </is>
      </c>
      <c r="H87" s="94" t="inlineStr">
        <is>
          <t>Carbon reduction</t>
        </is>
      </c>
      <c r="I87" s="100" t="inlineStr">
        <is>
          <t>sectors</t>
        </is>
      </c>
      <c r="J87" s="94" t="inlineStr">
        <is>
          <t>During 2024–2025, the implementation of energy-saving and carbon-reduction retrofits, together with energy-consuming equipment upgrades in the cement industry, is expected to generate energy savings of approximately 5 million tons of standard coal and reduce carbon dioxide emissions by approximately 13 million tons.</t>
        </is>
      </c>
      <c r="K87" s="101" t="inlineStr">
        <is>
          <t>AP2412.pdf</t>
        </is>
      </c>
      <c r="L87" s="100" t="inlineStr">
        <is>
          <t>Emissions</t>
        </is>
      </c>
    </row>
    <row r="88" ht="18" customHeight="1" s="235">
      <c r="A88" s="90" t="n">
        <v>2024</v>
      </c>
      <c r="B88" s="90" t="inlineStr">
        <is>
          <t>carbon dioxide emissions reduction through energy-saving and carbon-reduction transformation of the non-ferrous metals industry</t>
        </is>
      </c>
      <c r="C88" s="90" t="inlineStr">
        <is>
          <t>reach</t>
        </is>
      </c>
      <c r="D88" s="90" t="inlineStr">
        <is>
          <t>13 million tons of CO2</t>
        </is>
      </c>
      <c r="E88" s="90" t="n"/>
      <c r="F88" s="95" t="inlineStr">
        <is>
          <t>2024-2025</t>
        </is>
      </c>
      <c r="G88" s="90" t="inlineStr">
        <is>
          <t>n</t>
        </is>
      </c>
      <c r="H88" s="90" t="inlineStr">
        <is>
          <t>Carbon reduction</t>
        </is>
      </c>
      <c r="I88" s="97" t="inlineStr">
        <is>
          <t>sectors</t>
        </is>
      </c>
      <c r="J88" s="90" t="inlineStr">
        <is>
          <t>From 2024 to 2025, the energy-saving and carbon-reduction transformation of the non-ferrous metals industry will reduce carbon dioxide emissions by about 13 million tons.</t>
        </is>
      </c>
      <c r="K88" s="92" t="inlineStr">
        <is>
          <t>AP2405.htm</t>
        </is>
      </c>
      <c r="L88" s="90" t="inlineStr">
        <is>
          <t>Emissions</t>
        </is>
      </c>
    </row>
    <row r="89" ht="18" customHeight="1" s="235">
      <c r="A89" s="90" t="n">
        <v>2024</v>
      </c>
      <c r="B89" s="90" t="inlineStr">
        <is>
          <t>carbon dioxide emissions reduction through energy-saving and carbon-reduction transformation of the petrochemical and chemical industry</t>
        </is>
      </c>
      <c r="C89" s="90" t="inlineStr">
        <is>
          <t>reach</t>
        </is>
      </c>
      <c r="D89" s="90" t="inlineStr">
        <is>
          <t>110 million tons</t>
        </is>
      </c>
      <c r="E89" s="90" t="n"/>
      <c r="F89" s="95" t="inlineStr">
        <is>
          <t>2024-2025</t>
        </is>
      </c>
      <c r="G89" s="90" t="inlineStr">
        <is>
          <t>n</t>
        </is>
      </c>
      <c r="H89" s="90" t="inlineStr">
        <is>
          <t>Carbon reduction</t>
        </is>
      </c>
      <c r="I89" s="90" t="inlineStr">
        <is>
          <t>sectors</t>
        </is>
      </c>
      <c r="J89" s="90" t="inlineStr">
        <is>
          <t>From 2024 to 2025, the energy-saving and carbon-reduction transformation of the petrochemical and chemical industry will reduce carbon dioxide emissions by about 110 million tons.</t>
        </is>
      </c>
      <c r="K89" s="92" t="inlineStr">
        <is>
          <t>AP2405.htm</t>
        </is>
      </c>
      <c r="L89" s="90" t="inlineStr">
        <is>
          <t>Emissions</t>
        </is>
      </c>
    </row>
    <row r="90" ht="18" customHeight="1" s="235">
      <c r="A90" s="90" t="n">
        <v>2024</v>
      </c>
      <c r="B90" s="90" t="inlineStr">
        <is>
          <t xml:space="preserve">carbon dioxide emissions reduction through energy-saving and carbon-reduction transformation of the steel industry  </t>
        </is>
      </c>
      <c r="C90" s="90" t="inlineStr">
        <is>
          <t>reach</t>
        </is>
      </c>
      <c r="D90" s="90" t="inlineStr">
        <is>
          <t>53 million tons of CO2</t>
        </is>
      </c>
      <c r="E90" s="90" t="n"/>
      <c r="F90" s="95" t="inlineStr">
        <is>
          <t>2024-2025</t>
        </is>
      </c>
      <c r="G90" s="90" t="inlineStr">
        <is>
          <t>n</t>
        </is>
      </c>
      <c r="H90" s="90" t="inlineStr">
        <is>
          <t>Carbon reduction</t>
        </is>
      </c>
      <c r="I90" s="90" t="inlineStr">
        <is>
          <t>sectors</t>
        </is>
      </c>
      <c r="J90" s="90" t="inlineStr">
        <is>
          <t>From 2024 to 2025, the energy-saving and carbon-reduction transformation of the steel industry will result in energy savings of about 20 million tons of standard coal and reduce carbon dioxide emissions by about 53 million tons.</t>
        </is>
      </c>
      <c r="K90" s="92" t="inlineStr">
        <is>
          <t>AP2405.htm</t>
        </is>
      </c>
      <c r="L90" s="90" t="inlineStr">
        <is>
          <t>Emissions</t>
        </is>
      </c>
    </row>
    <row r="91" ht="18" customHeight="1" s="235">
      <c r="A91" s="90" t="n">
        <v>2013</v>
      </c>
      <c r="B91" s="90" t="inlineStr">
        <is>
          <t>carbon dioxide emissions reductions through energy-saving internal combustion engines</t>
        </is>
      </c>
      <c r="C91" s="90" t="inlineStr">
        <is>
          <t>reduce by</t>
        </is>
      </c>
      <c r="D91" s="90" t="inlineStr">
        <is>
          <t>62 million tons</t>
        </is>
      </c>
      <c r="E91" s="90" t="n">
        <v>2010</v>
      </c>
      <c r="F91" s="91" t="n">
        <v>2015</v>
      </c>
      <c r="G91" s="90" t="inlineStr">
        <is>
          <t>n</t>
        </is>
      </c>
      <c r="H91" s="90" t="inlineStr">
        <is>
          <t>Carbon reduction</t>
        </is>
      </c>
      <c r="I91" s="90" t="inlineStr">
        <is>
          <t>unclear</t>
        </is>
      </c>
      <c r="J91" s="90" t="inlineStr">
        <is>
          <t>By 2015, carbon dioxide emissions will be reduced by 62 million tons through energy-saving internal combustion engines.</t>
        </is>
      </c>
      <c r="K91" s="92" t="inlineStr">
        <is>
          <t>O1301.htm</t>
        </is>
      </c>
      <c r="L91" s="90" t="inlineStr">
        <is>
          <t>Emissions</t>
        </is>
      </c>
    </row>
    <row r="92" ht="18" customHeight="1" s="235">
      <c r="A92" s="90" t="n">
        <v>2007</v>
      </c>
      <c r="B92" s="90" t="inlineStr">
        <is>
          <t>carbon dioxide emissions reductions through renewables additions</t>
        </is>
      </c>
      <c r="C92" s="90" t="inlineStr">
        <is>
          <t>save</t>
        </is>
      </c>
      <c r="D92" s="90" t="inlineStr">
        <is>
          <t>600 million tons CO2</t>
        </is>
      </c>
      <c r="E92" s="90" t="n"/>
      <c r="F92" s="91" t="inlineStr">
        <is>
          <t>2007-2010</t>
        </is>
      </c>
      <c r="G92" s="90" t="inlineStr">
        <is>
          <t>n</t>
        </is>
      </c>
      <c r="H92" s="90" t="inlineStr">
        <is>
          <t>Carbon reduction</t>
        </is>
      </c>
      <c r="I92" s="90" t="inlineStr">
        <is>
          <t>whole economy</t>
        </is>
      </c>
      <c r="J92" s="90" t="inlineStr">
        <is>
          <t>When achieving the 2010 development goal, the annual utilization of renewable energy is equivalent to reducing annual sulfur dioxide emissions by approximately 4 million tons, reducing annual emissions of nitrogen oxides by about 1.5 million tons, reducing annual emissions of smoke and dust by about 2 million tons, reducing annual emissions of carbon dioxide by about 600 million tons, saving about 1.5 billion cubic meters of water annually, and protecting about 150 million acres of forest land from damage</t>
        </is>
      </c>
      <c r="K92" s="92" t="inlineStr">
        <is>
          <t>MLT0701.htm</t>
        </is>
      </c>
      <c r="L92" s="90" t="inlineStr">
        <is>
          <t>Emissions</t>
        </is>
      </c>
    </row>
    <row r="93" ht="18" customHeight="1" s="235">
      <c r="A93" s="90" t="n">
        <v>2007</v>
      </c>
      <c r="B93" s="90" t="inlineStr">
        <is>
          <t>carbon dioxide emissions reductions through renewables additions</t>
        </is>
      </c>
      <c r="C93" s="90" t="inlineStr">
        <is>
          <t>save</t>
        </is>
      </c>
      <c r="D93" s="90" t="inlineStr">
        <is>
          <t>about 1.2 billion tons CO2</t>
        </is>
      </c>
      <c r="E93" s="90" t="n"/>
      <c r="F93" s="91" t="inlineStr">
        <is>
          <t>2007-2020</t>
        </is>
      </c>
      <c r="G93" s="90" t="inlineStr">
        <is>
          <t>n</t>
        </is>
      </c>
      <c r="H93" s="90" t="inlineStr">
        <is>
          <t>Carbon reduction</t>
        </is>
      </c>
      <c r="I93" s="90" t="inlineStr">
        <is>
          <t>unclear</t>
        </is>
      </c>
      <c r="J93" s="90" t="inlineStr">
        <is>
          <t>When achieving the 2020 development goals, the annual utilization of renewable energy is equivalent to reducing annual sulfur dioxide emissions by about 8 million tons, reducing annual nitrogen oxide emissions by about 3 million tons, reducing annual smoke emissions by about 4 million tons, reducing annual carbon dioxide emissions by about 1.2 billion tons, saving about 2 billion cubic meters of water annually, and protecting about 300 million acres of forest land from damage.</t>
        </is>
      </c>
      <c r="K93" s="92" t="inlineStr">
        <is>
          <t>MLT0701.htm</t>
        </is>
      </c>
      <c r="L93" s="90" t="inlineStr">
        <is>
          <t>Emissions</t>
        </is>
      </c>
    </row>
    <row r="94" ht="18" customHeight="1" s="235">
      <c r="A94" s="90" t="n">
        <v>2022</v>
      </c>
      <c r="B94" s="90" t="inlineStr">
        <is>
          <t>carbon emissions in the coke industry</t>
        </is>
      </c>
      <c r="C94" s="90" t="inlineStr">
        <is>
          <t>reduce by</t>
        </is>
      </c>
      <c r="D94" s="90" t="inlineStr">
        <is>
          <t>30%</t>
        </is>
      </c>
      <c r="E94" s="90" t="n">
        <v>2025</v>
      </c>
      <c r="F94" s="91" t="inlineStr">
        <is>
          <t>2035</t>
        </is>
      </c>
      <c r="G94" s="90" t="inlineStr">
        <is>
          <t>n</t>
        </is>
      </c>
      <c r="H94" s="90" t="inlineStr">
        <is>
          <t>Carbon reduction</t>
        </is>
      </c>
      <c r="I94" s="90" t="inlineStr">
        <is>
          <t>sectors</t>
        </is>
      </c>
      <c r="J94" s="90" t="inlineStr">
        <is>
          <t>By taking effective technical and management measures, we will have the ability to reduce carbon emissions in the coke industry by 30% by 2035 compared to the expected carbon peaking in 2025.</t>
        </is>
      </c>
      <c r="K94" s="92" t="inlineStr">
        <is>
          <t>AP2206.pdf</t>
        </is>
      </c>
      <c r="L94" s="90" t="inlineStr">
        <is>
          <t>Emissions</t>
        </is>
      </c>
    </row>
    <row r="95" ht="18" customHeight="1" s="235">
      <c r="A95" s="90" t="n">
        <v>2024</v>
      </c>
      <c r="B95" s="90" t="inlineStr">
        <is>
          <t>carbon emissions per unit of building area of public institutions</t>
        </is>
      </c>
      <c r="C95" s="90" t="inlineStr">
        <is>
          <t>reduce by</t>
        </is>
      </c>
      <c r="D95" s="90" t="inlineStr">
        <is>
          <t>7%</t>
        </is>
      </c>
      <c r="E95" s="90" t="n">
        <v>2020</v>
      </c>
      <c r="F95" s="91" t="inlineStr">
        <is>
          <t>2025</t>
        </is>
      </c>
      <c r="G95" s="90" t="inlineStr">
        <is>
          <t>n</t>
        </is>
      </c>
      <c r="H95" s="90" t="inlineStr">
        <is>
          <t>Carbon intensity</t>
        </is>
      </c>
      <c r="I95" s="90" t="inlineStr">
        <is>
          <t>public institutions</t>
        </is>
      </c>
      <c r="J95" s="90" t="inlineStr">
        <is>
          <t>By the end of 2025, the carbon emissions per unit building area of public institutions will be reduced by 7% compared with 2020.</t>
        </is>
      </c>
      <c r="K95" s="92" t="inlineStr">
        <is>
          <t>AP2405.htm</t>
        </is>
      </c>
      <c r="L95" s="90" t="inlineStr">
        <is>
          <t>Emissions</t>
        </is>
      </c>
    </row>
    <row r="96" ht="18" customHeight="1" s="235">
      <c r="A96" s="90" t="n">
        <v>2021</v>
      </c>
      <c r="B96" s="90" t="inlineStr">
        <is>
          <t>carbon dioxide emissions per unit of transport turnover of operating vehicles</t>
        </is>
      </c>
      <c r="C96" s="90" t="inlineStr">
        <is>
          <t>reduce by</t>
        </is>
      </c>
      <c r="D96" s="90" t="inlineStr">
        <is>
          <t>9.5%</t>
        </is>
      </c>
      <c r="E96" s="90" t="n">
        <v>2020</v>
      </c>
      <c r="F96" s="91" t="inlineStr">
        <is>
          <t>2030</t>
        </is>
      </c>
      <c r="G96" s="90" t="inlineStr">
        <is>
          <t>r</t>
        </is>
      </c>
      <c r="H96" s="90" t="inlineStr">
        <is>
          <t>Carbon intensity</t>
        </is>
      </c>
      <c r="I96" s="90" t="inlineStr">
        <is>
          <t>unclear</t>
        </is>
      </c>
      <c r="J96" s="90" t="inlineStr">
        <is>
          <t>By 2030, the carbon emission intensity of converted turnover of commercial vehicles will decrease about 9.5% from 2020 level</t>
        </is>
      </c>
      <c r="K96" s="92" t="inlineStr">
        <is>
          <t>HL2104.pdf</t>
        </is>
      </c>
      <c r="L96" s="90" t="inlineStr">
        <is>
          <t>Emissions</t>
        </is>
      </c>
    </row>
    <row r="97" ht="18" customHeight="1" s="235">
      <c r="A97" s="97" t="n">
        <v>2024</v>
      </c>
      <c r="B97" s="90" t="inlineStr">
        <is>
          <t>carbon dioxide emissions per unit of transport turnover of operating vehicles</t>
        </is>
      </c>
      <c r="C97" s="90" t="inlineStr">
        <is>
          <t>reduce by</t>
        </is>
      </c>
      <c r="D97" s="97" t="inlineStr">
        <is>
          <t>9.5%</t>
        </is>
      </c>
      <c r="E97" s="97" t="n">
        <v>2020</v>
      </c>
      <c r="F97" s="98" t="inlineStr">
        <is>
          <t>2030</t>
        </is>
      </c>
      <c r="G97" s="97" t="inlineStr">
        <is>
          <t>r</t>
        </is>
      </c>
      <c r="H97" s="90" t="inlineStr">
        <is>
          <t>Carbon intensity</t>
        </is>
      </c>
      <c r="I97" s="90" t="inlineStr">
        <is>
          <t>unclear</t>
        </is>
      </c>
      <c r="J97" s="97" t="inlineStr">
        <is>
          <t>By 2030, the carbon emission intensity per unit turnover of operating vehicles will be reduced by about 9.5% compared with 2020.</t>
        </is>
      </c>
      <c r="K97" s="99" t="inlineStr">
        <is>
          <t>O2407.htm</t>
        </is>
      </c>
      <c r="L97" s="97" t="inlineStr">
        <is>
          <t>Emissions</t>
        </is>
      </c>
    </row>
    <row r="98" ht="18" customHeight="1" s="235">
      <c r="A98" s="0" t="n">
        <v>2026</v>
      </c>
      <c r="B98" s="0" t="inlineStr">
        <is>
          <t>carbon emissions per unit of building area of public institutions</t>
        </is>
      </c>
      <c r="C98" s="0" t="inlineStr">
        <is>
          <t>reduce by</t>
        </is>
      </c>
      <c r="D98" s="0" t="inlineStr">
        <is>
          <t>8.5%</t>
        </is>
      </c>
      <c r="F98" s="0" t="inlineStr">
        <is>
          <t>15th FYP</t>
        </is>
      </c>
      <c r="G98" s="0" t="inlineStr">
        <is>
          <t>r</t>
        </is>
      </c>
      <c r="H98" s="0" t="inlineStr">
        <is>
          <t>Carbon intensity</t>
        </is>
      </c>
      <c r="I98" s="0" t="inlineStr">
        <is>
          <t>enterprises</t>
        </is>
      </c>
      <c r="J98" s="0" t="inlineStr">
        <is>
          <t>During the 15th FYP period, energy consumption per unit of building area of public institutions will be reduced by 5%, and carbon emissions by 8.5%.</t>
        </is>
      </c>
      <c r="K98" s="0" t="inlineStr">
        <is>
          <t>HL2604.htm</t>
        </is>
      </c>
      <c r="L98" s="0" t="inlineStr">
        <is>
          <t>GHG Emissions</t>
        </is>
      </c>
    </row>
    <row r="99" ht="18" customHeight="1" s="235">
      <c r="A99" s="0" t="n">
        <v>2026</v>
      </c>
      <c r="B99" s="0" t="inlineStr">
        <is>
          <t>carbon emissions per unit of building area of public institutions</t>
        </is>
      </c>
      <c r="C99" s="0" t="inlineStr">
        <is>
          <t>reduce by</t>
        </is>
      </c>
      <c r="D99" s="0" t="inlineStr">
        <is>
          <t>8.5%</t>
        </is>
      </c>
      <c r="E99" s="0" t="n">
        <v>2025</v>
      </c>
      <c r="F99" s="0" t="n">
        <v>2030</v>
      </c>
      <c r="G99" s="0" t="inlineStr">
        <is>
          <t>n</t>
        </is>
      </c>
      <c r="H99" s="0" t="inlineStr">
        <is>
          <t>Carbon intensity</t>
        </is>
      </c>
      <c r="I99" s="0" t="inlineStr">
        <is>
          <t>enterprises</t>
        </is>
      </c>
      <c r="J99" s="0" t="inlineStr">
        <is>
          <t>Using 2025 carbon emissions and energy resource consumption as the base, carbon emissions per unit of building area of public institutions within the statistical scope will be reduced by 8.5% by 2030, ...</t>
        </is>
      </c>
      <c r="K99" s="0" t="inlineStr">
        <is>
          <t>WOP2601.htm</t>
        </is>
      </c>
      <c r="L99" s="0" t="inlineStr">
        <is>
          <t>GHG Emissions</t>
        </is>
      </c>
    </row>
    <row r="100" ht="18" customHeight="1" s="235">
      <c r="A100" s="0" t="n">
        <v>2026</v>
      </c>
      <c r="B100" s="0" t="inlineStr">
        <is>
          <t>carbon emissions per unit of product in sectors covered by the national carbon emissions trading market</t>
        </is>
      </c>
      <c r="C100" s="0" t="inlineStr">
        <is>
          <t>reduce by</t>
        </is>
      </c>
      <c r="D100" s="0" t="inlineStr">
        <is>
          <t>around 3%</t>
        </is>
      </c>
      <c r="F100" s="0" t="inlineStr">
        <is>
          <t>15th FYP</t>
        </is>
      </c>
      <c r="G100" s="0" t="inlineStr">
        <is>
          <t>n</t>
        </is>
      </c>
      <c r="H100" s="0" t="inlineStr">
        <is>
          <t>Carbon intensity</t>
        </is>
      </c>
      <c r="I100" s="0" t="inlineStr">
        <is>
          <t>sectors</t>
        </is>
      </c>
      <c r="J100" s="0" t="inlineStr">
        <is>
          <t>During the 15th FYP period, carbon emissions per unit of product in sectors covered by the national carbon emissions trading market will be reduced by around 3%, and the quota compliance rate of key emitters will remain stable at a high level.</t>
        </is>
      </c>
      <c r="K100" s="0" t="inlineStr">
        <is>
          <t>HL2604.htm</t>
        </is>
      </c>
      <c r="L100" s="0" t="inlineStr">
        <is>
          <t>GHG Emissions</t>
        </is>
      </c>
    </row>
    <row r="101" ht="18" customHeight="1" s="235">
      <c r="A101" s="90" t="n">
        <v>2019</v>
      </c>
      <c r="B101" s="90" t="inlineStr">
        <is>
          <t>chlorodifluoromethane (HCFC-22) production/output</t>
        </is>
      </c>
      <c r="C101" s="90" t="inlineStr">
        <is>
          <t>reduce by</t>
        </is>
      </c>
      <c r="D101" s="90" t="inlineStr">
        <is>
          <t>35%</t>
        </is>
      </c>
      <c r="E101" s="90" t="n">
        <v>2010</v>
      </c>
      <c r="F101" s="91" t="inlineStr">
        <is>
          <t>2020</t>
        </is>
      </c>
      <c r="G101" s="90" t="inlineStr">
        <is>
          <t>n</t>
        </is>
      </c>
      <c r="H101" s="90" t="inlineStr">
        <is>
          <t>Carbon reduction</t>
        </is>
      </c>
      <c r="I101" s="90" t="inlineStr">
        <is>
          <t>whole economy</t>
        </is>
      </c>
      <c r="J101" s="90" t="inlineStr">
        <is>
          <t>reducing the output of chlorodifuoromethane (HCFC-22) by 35% by 2020</t>
        </is>
      </c>
      <c r="K101" s="92" t="inlineStr">
        <is>
          <t>HL1902.pdf</t>
        </is>
      </c>
      <c r="L101" s="97" t="inlineStr">
        <is>
          <t>Emissions</t>
        </is>
      </c>
    </row>
    <row r="102" ht="18" customHeight="1" s="235">
      <c r="A102" s="90" t="n">
        <v>2019</v>
      </c>
      <c r="B102" s="90" t="inlineStr">
        <is>
          <t>chlorodifluoromethane (HCFC-22) production/output</t>
        </is>
      </c>
      <c r="C102" s="90" t="inlineStr">
        <is>
          <t>reduce by</t>
        </is>
      </c>
      <c r="D102" s="90" t="inlineStr">
        <is>
          <t>67.5%</t>
        </is>
      </c>
      <c r="E102" s="90" t="n">
        <v>2010</v>
      </c>
      <c r="F102" s="91" t="inlineStr">
        <is>
          <t>2025</t>
        </is>
      </c>
      <c r="G102" s="90" t="inlineStr">
        <is>
          <t>n</t>
        </is>
      </c>
      <c r="H102" s="90" t="inlineStr">
        <is>
          <t>Carbon reduction</t>
        </is>
      </c>
      <c r="I102" s="90" t="inlineStr">
        <is>
          <t>whole economy</t>
        </is>
      </c>
      <c r="J102" s="90" t="inlineStr">
        <is>
          <t>reducing the output of chlorodifuoromethane (HCFC-22) by 67.5% by 2025</t>
        </is>
      </c>
      <c r="K102" s="92" t="inlineStr">
        <is>
          <t>HL1902.pdf</t>
        </is>
      </c>
      <c r="L102" s="97" t="inlineStr">
        <is>
          <t>Emissions</t>
        </is>
      </c>
    </row>
    <row r="103" ht="18" customHeight="1" s="235">
      <c r="A103" s="90" t="n">
        <v>2016</v>
      </c>
      <c r="B103" s="90" t="inlineStr">
        <is>
          <t>cumulative reduction in carbon dioxide equivalent emissions in the industrial sector</t>
        </is>
      </c>
      <c r="C103" s="90" t="inlineStr">
        <is>
          <t>achieve</t>
        </is>
      </c>
      <c r="D103" s="90" t="inlineStr">
        <is>
          <t>more than 1.1 billion tons CO2e</t>
        </is>
      </c>
      <c r="E103" s="90" t="n"/>
      <c r="F103" s="91" t="inlineStr">
        <is>
          <t>13th FYP</t>
        </is>
      </c>
      <c r="G103" s="90" t="inlineStr">
        <is>
          <t>n</t>
        </is>
      </c>
      <c r="H103" s="90" t="inlineStr">
        <is>
          <t>Carbon reduction</t>
        </is>
      </c>
      <c r="I103" s="90" t="inlineStr">
        <is>
          <t>whole economy</t>
        </is>
      </c>
      <c r="J103" s="90" t="inlineStr">
        <is>
          <t>During the 13th Five-Year Plan period, the cumulative reduction in carbon dioxide equivalent emissions in the industrial sector will be more than 1.1 billion tons, and the production and use of controlled difluorochloromethane will be gradually reduced.</t>
        </is>
      </c>
      <c r="K103" s="92" t="inlineStr">
        <is>
          <t>FYP1615.htm</t>
        </is>
      </c>
      <c r="L103" s="97" t="inlineStr">
        <is>
          <t>Emissions</t>
        </is>
      </c>
    </row>
    <row r="104" ht="18" customHeight="1" s="235">
      <c r="A104" s="90" t="n">
        <v>2014</v>
      </c>
      <c r="B104" s="90" t="inlineStr">
        <is>
          <t>cumulative reduction in carbon dioxide equivalent emissions through HFC management, destruction and substitution</t>
        </is>
      </c>
      <c r="C104" s="90" t="inlineStr">
        <is>
          <t>achieve</t>
        </is>
      </c>
      <c r="D104" s="90" t="inlineStr">
        <is>
          <t>280 million tons CO2e</t>
        </is>
      </c>
      <c r="E104" s="90" t="n"/>
      <c r="F104" s="91" t="inlineStr">
        <is>
          <t>12th FYP</t>
        </is>
      </c>
      <c r="G104" s="90" t="inlineStr">
        <is>
          <t>n</t>
        </is>
      </c>
      <c r="H104" s="90" t="inlineStr">
        <is>
          <t>Carbon reduction</t>
        </is>
      </c>
      <c r="I104" s="90" t="inlineStr">
        <is>
          <t>whole economy</t>
        </is>
      </c>
      <c r="J104" s="90" t="inlineStr">
        <is>
          <t>achieve a cumulative reduction of 280 million tons of carbon dioxide equivalent during the 12th Five-Year Plan period through HFC management, destruction and substitution</t>
        </is>
      </c>
      <c r="K104" s="92" t="inlineStr">
        <is>
          <t>AP1404.htm</t>
        </is>
      </c>
      <c r="L104" s="97" t="inlineStr">
        <is>
          <t>Emissions</t>
        </is>
      </c>
    </row>
    <row r="105" ht="18" customHeight="1" s="235">
      <c r="A105" s="90" t="n">
        <v>2016</v>
      </c>
      <c r="B105" s="90" t="inlineStr">
        <is>
          <t>chlorodifluoromethane (HCFC-22) production/output</t>
        </is>
      </c>
      <c r="C105" s="90" t="inlineStr">
        <is>
          <t>reduce by</t>
        </is>
      </c>
      <c r="D105" s="90" t="inlineStr">
        <is>
          <t>35%</t>
        </is>
      </c>
      <c r="E105" s="90" t="n">
        <v>2010</v>
      </c>
      <c r="F105" s="91" t="inlineStr">
        <is>
          <t>2020</t>
        </is>
      </c>
      <c r="G105" s="90" t="inlineStr">
        <is>
          <t>r</t>
        </is>
      </c>
      <c r="H105" s="90" t="inlineStr">
        <is>
          <t>Carbon reduction</t>
        </is>
      </c>
      <c r="I105" s="90" t="inlineStr">
        <is>
          <t>unclear</t>
        </is>
      </c>
      <c r="J105" s="90" t="inlineStr">
        <is>
          <t>By 2020, the output of difluorochloromethane will be reduced by 35% from the baseline level (2010 output).</t>
        </is>
      </c>
      <c r="K105" s="92" t="inlineStr">
        <is>
          <t>FYP1615.htm</t>
        </is>
      </c>
      <c r="L105" s="97" t="inlineStr">
        <is>
          <t>Emissions</t>
        </is>
      </c>
    </row>
    <row r="106" ht="18" customHeight="1" s="235">
      <c r="A106" s="90" t="n">
        <v>2025</v>
      </c>
      <c r="B106" s="90" t="inlineStr">
        <is>
          <t>economy-wide net greenhouse gas emissions</t>
        </is>
      </c>
      <c r="C106" s="90" t="inlineStr">
        <is>
          <t>reduce by</t>
        </is>
      </c>
      <c r="D106" s="90" t="inlineStr">
        <is>
          <t>7-10%</t>
        </is>
      </c>
      <c r="E106" s="90" t="inlineStr">
        <is>
          <t>peak level</t>
        </is>
      </c>
      <c r="F106" s="91" t="n">
        <v>2035</v>
      </c>
      <c r="G106" s="91" t="inlineStr">
        <is>
          <t>n</t>
        </is>
      </c>
      <c r="H106" s="90" t="inlineStr">
        <is>
          <t>Carbon reduction</t>
        </is>
      </c>
      <c r="I106" s="90" t="inlineStr">
        <is>
          <t>whole economy</t>
        </is>
      </c>
      <c r="J106" s="90" t="inlineStr">
        <is>
          <t>China will, by 2035, reduce economy-wide net greenhouse gas emissions by 7% to 10% from peak levels, striving to do better</t>
        </is>
      </c>
      <c r="K106" s="92" t="inlineStr">
        <is>
          <t>PA2501.htm</t>
        </is>
      </c>
      <c r="L106" s="97" t="inlineStr">
        <is>
          <t>Emissions</t>
        </is>
      </c>
    </row>
    <row r="107" ht="18" customHeight="1" s="235">
      <c r="A107" s="0" t="n">
        <v>2026</v>
      </c>
      <c r="B107" s="0" t="inlineStr">
        <is>
          <t>economy-wide net greenhouse gas emissions</t>
        </is>
      </c>
      <c r="C107" s="0" t="inlineStr">
        <is>
          <t>reduce by</t>
        </is>
      </c>
      <c r="D107" s="0" t="inlineStr">
        <is>
          <t>7-10% below the peak</t>
        </is>
      </c>
      <c r="E107" s="0" t="inlineStr">
        <is>
          <t>peak level</t>
        </is>
      </c>
      <c r="F107" s="0" t="n">
        <v>2035</v>
      </c>
      <c r="G107" s="0" t="inlineStr">
        <is>
          <t>r</t>
        </is>
      </c>
      <c r="H107" s="0" t="inlineStr">
        <is>
          <t>Carbon reduction</t>
        </is>
      </c>
      <c r="I107" s="0" t="inlineStr">
        <is>
          <t>whole economy</t>
        </is>
      </c>
      <c r="J107" s="0" t="inlineStr">
        <is>
          <t>...economy-wide net greenhouse gas emissions will be reduced by 7-10% from the peak, striving for better results, ...</t>
        </is>
      </c>
      <c r="K107" s="0" t="inlineStr">
        <is>
          <t>FYP2609.htm</t>
        </is>
      </c>
      <c r="L107" s="0" t="inlineStr">
        <is>
          <t>GHG Emissions</t>
        </is>
      </c>
    </row>
    <row r="108" ht="18" customHeight="1" s="235">
      <c r="A108" s="90" t="n">
        <v>2007</v>
      </c>
      <c r="B108" s="90" t="inlineStr">
        <is>
          <t>GHG emissions reductions through bio-energy development</t>
        </is>
      </c>
      <c r="C108" s="90" t="inlineStr">
        <is>
          <t>reach</t>
        </is>
      </c>
      <c r="D108" s="90" t="inlineStr">
        <is>
          <t>30 Mt CO2e</t>
        </is>
      </c>
      <c r="E108" s="90" t="n"/>
      <c r="F108" s="91" t="inlineStr">
        <is>
          <t>2005-2010</t>
        </is>
      </c>
      <c r="G108" s="90" t="inlineStr">
        <is>
          <t>n</t>
        </is>
      </c>
      <c r="H108" s="90" t="inlineStr">
        <is>
          <t>Carbon reduction</t>
        </is>
      </c>
      <c r="I108" s="90" t="inlineStr">
        <is>
          <t>unclear</t>
        </is>
      </c>
      <c r="J108" s="90" t="inlineStr">
        <is>
          <t>Through the countermeasures on development of bio-energy, it is expected that the GHG emissions can be reduced by about 30 Mt CO2e by 2010.</t>
        </is>
      </c>
      <c r="K108" s="92" t="inlineStr">
        <is>
          <t>HL0701.pdf</t>
        </is>
      </c>
      <c r="L108" s="97" t="inlineStr">
        <is>
          <t>Emissions</t>
        </is>
      </c>
    </row>
    <row r="109" ht="18" customHeight="1" s="235">
      <c r="A109" s="90" t="n">
        <v>2007</v>
      </c>
      <c r="B109" s="90" t="inlineStr">
        <is>
          <t>GHG emissions reductions through coal-bed methane exploration</t>
        </is>
      </c>
      <c r="C109" s="90" t="inlineStr">
        <is>
          <t>reach</t>
        </is>
      </c>
      <c r="D109" s="90" t="inlineStr">
        <is>
          <t>200 Mt CO2e</t>
        </is>
      </c>
      <c r="E109" s="90" t="n"/>
      <c r="F109" s="91" t="inlineStr">
        <is>
          <t>2005-2010</t>
        </is>
      </c>
      <c r="G109" s="90" t="inlineStr">
        <is>
          <t>n</t>
        </is>
      </c>
      <c r="H109" s="90" t="inlineStr">
        <is>
          <t>Carbon reduction</t>
        </is>
      </c>
      <c r="I109" s="90" t="inlineStr">
        <is>
          <t>unclear</t>
        </is>
      </c>
      <c r="J109" s="90" t="inlineStr">
        <is>
          <t>Through the countermeasures on coal-bed methane exploration, development and utilization, it is expected that the GHG emissions can be reduced by about 200 Mt CO2e by 2010.</t>
        </is>
      </c>
      <c r="K109" s="92" t="inlineStr">
        <is>
          <t>HL0701.pdf</t>
        </is>
      </c>
      <c r="L109" s="97" t="inlineStr">
        <is>
          <t>Emissions</t>
        </is>
      </c>
    </row>
    <row r="110" ht="18" customHeight="1" s="235">
      <c r="A110" s="90" t="n">
        <v>2007</v>
      </c>
      <c r="B110" s="90" t="inlineStr">
        <is>
          <t>GHG emissions reductions through hydropower development</t>
        </is>
      </c>
      <c r="C110" s="90" t="inlineStr">
        <is>
          <t>reach</t>
        </is>
      </c>
      <c r="D110" s="90" t="inlineStr">
        <is>
          <t>500 Mt CO2</t>
        </is>
      </c>
      <c r="E110" s="90" t="n"/>
      <c r="F110" s="91" t="inlineStr">
        <is>
          <t>2005-2010</t>
        </is>
      </c>
      <c r="G110" s="90" t="inlineStr">
        <is>
          <t>n</t>
        </is>
      </c>
      <c r="H110" s="90" t="inlineStr">
        <is>
          <t>Carbon reduction</t>
        </is>
      </c>
      <c r="I110" s="90" t="inlineStr">
        <is>
          <t>unclear</t>
        </is>
      </c>
      <c r="J110" s="90" t="inlineStr">
        <is>
          <t>Through the countermeasures on hydropower development, it is expected that the GHG emissions can be reduced by about 500 Mt CO2 by 2010 compared to 2005.</t>
        </is>
      </c>
      <c r="K110" s="92" t="inlineStr">
        <is>
          <t>HL0701.pdf</t>
        </is>
      </c>
      <c r="L110" s="97" t="inlineStr">
        <is>
          <t>Emissions</t>
        </is>
      </c>
    </row>
    <row r="111" ht="18" customHeight="1" s="235">
      <c r="A111" s="90" t="n">
        <v>2007</v>
      </c>
      <c r="B111" s="90" t="inlineStr">
        <is>
          <t>GHG emissions reductions through nuclear power development</t>
        </is>
      </c>
      <c r="C111" s="90" t="inlineStr">
        <is>
          <t>reach</t>
        </is>
      </c>
      <c r="D111" s="90" t="inlineStr">
        <is>
          <t>50 Mt CO2</t>
        </is>
      </c>
      <c r="E111" s="90" t="n"/>
      <c r="F111" s="91" t="inlineStr">
        <is>
          <t>2005-2010</t>
        </is>
      </c>
      <c r="G111" s="90" t="inlineStr">
        <is>
          <t>n</t>
        </is>
      </c>
      <c r="H111" s="90" t="inlineStr">
        <is>
          <t>Carbon reduction</t>
        </is>
      </c>
      <c r="I111" s="90" t="inlineStr">
        <is>
          <t>unclear</t>
        </is>
      </c>
      <c r="J111" s="90" t="inlineStr">
        <is>
          <t>Through the countermeasures on development of nuclear power, it is expected that the GHG emissions can be reduced by about 50 Mt CO2 by 2010.</t>
        </is>
      </c>
      <c r="K111" s="92" t="inlineStr">
        <is>
          <t>HL0701.pdf</t>
        </is>
      </c>
      <c r="L111" s="97" t="inlineStr">
        <is>
          <t>Emissions</t>
        </is>
      </c>
    </row>
    <row r="112" ht="18" customHeight="1" s="235">
      <c r="A112" s="90" t="n">
        <v>2007</v>
      </c>
      <c r="B112" s="90" t="inlineStr">
        <is>
          <t>GHG emissions reductions through thermal power generation advancements</t>
        </is>
      </c>
      <c r="C112" s="90" t="inlineStr">
        <is>
          <t>reach</t>
        </is>
      </c>
      <c r="D112" s="90" t="inlineStr">
        <is>
          <t>110 Mt CO2</t>
        </is>
      </c>
      <c r="E112" s="90" t="n"/>
      <c r="F112" s="91" t="inlineStr">
        <is>
          <t>2005-2010</t>
        </is>
      </c>
      <c r="G112" s="90" t="inlineStr">
        <is>
          <t>n</t>
        </is>
      </c>
      <c r="H112" s="90" t="inlineStr">
        <is>
          <t>Carbon reduction</t>
        </is>
      </c>
      <c r="I112" s="90" t="inlineStr">
        <is>
          <t>unclear</t>
        </is>
      </c>
      <c r="J112" s="90" t="inlineStr">
        <is>
          <t>Through the countermeasures on technology advancement in thermal power generation, it is expected that the GHG emissions can be reduced by about 110 Mt CO2 by 2010.</t>
        </is>
      </c>
      <c r="K112" s="92" t="inlineStr">
        <is>
          <t>HL0701.pdf</t>
        </is>
      </c>
      <c r="L112" s="97" t="inlineStr">
        <is>
          <t>Emissions</t>
        </is>
      </c>
    </row>
    <row r="113" ht="18" customHeight="1" s="235">
      <c r="A113" s="90" t="n">
        <v>2007</v>
      </c>
      <c r="B113" s="90" t="inlineStr">
        <is>
          <t>GHG emissions reductions through utilization of wind, solar, geothermal and tidal energy</t>
        </is>
      </c>
      <c r="C113" s="90" t="inlineStr">
        <is>
          <t>reach</t>
        </is>
      </c>
      <c r="D113" s="90" t="inlineStr">
        <is>
          <t>60 Mt CO2</t>
        </is>
      </c>
      <c r="E113" s="90" t="n"/>
      <c r="F113" s="91" t="inlineStr">
        <is>
          <t>2005-2010</t>
        </is>
      </c>
      <c r="G113" s="90" t="inlineStr">
        <is>
          <t>n</t>
        </is>
      </c>
      <c r="H113" s="90" t="inlineStr">
        <is>
          <t>Carbon reduction</t>
        </is>
      </c>
      <c r="I113" s="90" t="inlineStr">
        <is>
          <t>unclear</t>
        </is>
      </c>
      <c r="J113" s="90" t="inlineStr">
        <is>
          <t>Through the countermeasures on development and utilization of wind, solar, geothermal and tidal energy, it is expected that the GHG emissions can be reduced by about 60 Mt CO2 by 2010.</t>
        </is>
      </c>
      <c r="K113" s="92" t="inlineStr">
        <is>
          <t>HL0701.pdf</t>
        </is>
      </c>
      <c r="L113" s="97" t="inlineStr">
        <is>
          <t>Emissions</t>
        </is>
      </c>
    </row>
    <row r="114" ht="18" customHeight="1" s="235">
      <c r="A114" s="90" t="n">
        <v>2011</v>
      </c>
      <c r="B114" s="90" t="inlineStr">
        <is>
          <t>greenhouse gas emissions per unit of GDP</t>
        </is>
      </c>
      <c r="C114" s="90" t="inlineStr">
        <is>
          <t>reduce by</t>
        </is>
      </c>
      <c r="D114" s="90" t="inlineStr">
        <is>
          <t>40%-45%</t>
        </is>
      </c>
      <c r="E114" s="90" t="n">
        <v>2005</v>
      </c>
      <c r="F114" s="91" t="n">
        <v>2020</v>
      </c>
      <c r="G114" s="90" t="inlineStr">
        <is>
          <t>r</t>
        </is>
      </c>
      <c r="H114" s="90" t="inlineStr">
        <is>
          <t>Carbon intensity</t>
        </is>
      </c>
      <c r="I114" s="90" t="inlineStr">
        <is>
          <t>whole economy</t>
        </is>
      </c>
      <c r="J114" s="90" t="inlineStr">
        <is>
          <t>In 2009, China set an action target to reduce greenhouse gas emissions per unit of GDP by 40%-45% by 2020 compared with 2005.</t>
        </is>
      </c>
      <c r="K114" s="92" t="inlineStr">
        <is>
          <t>HL1101.htm</t>
        </is>
      </c>
      <c r="L114" s="97" t="inlineStr">
        <is>
          <t>Emissions</t>
        </is>
      </c>
    </row>
    <row r="115" ht="18" customHeight="1" s="235">
      <c r="A115" s="90" t="n">
        <v>2011</v>
      </c>
      <c r="B115" s="90" t="inlineStr">
        <is>
          <t>greenhouse gas emissions per unit of GDP</t>
        </is>
      </c>
      <c r="C115" s="90" t="inlineStr">
        <is>
          <t>reduce by</t>
        </is>
      </c>
      <c r="D115" s="90" t="inlineStr">
        <is>
          <t>40%-45%</t>
        </is>
      </c>
      <c r="E115" s="90" t="n">
        <v>2005</v>
      </c>
      <c r="F115" s="91" t="n">
        <v>2020</v>
      </c>
      <c r="G115" s="90" t="inlineStr">
        <is>
          <t>r</t>
        </is>
      </c>
      <c r="H115" s="90" t="inlineStr">
        <is>
          <t>Carbon intensity</t>
        </is>
      </c>
      <c r="I115" s="90" t="inlineStr">
        <is>
          <t>whole economy</t>
        </is>
      </c>
      <c r="J115" s="90" t="inlineStr">
        <is>
          <t>Before the 2009 Copenhagen Conference, China announced a target to reduce greenhouse gas emissions per unit of GDP by 40%-45% by 2020 compared with 2005.</t>
        </is>
      </c>
      <c r="K115" s="92" t="inlineStr">
        <is>
          <t>HL1101.htm</t>
        </is>
      </c>
      <c r="L115" s="97" t="inlineStr">
        <is>
          <t>Emissions</t>
        </is>
      </c>
    </row>
    <row r="116" ht="18" customHeight="1" s="235">
      <c r="A116" s="90" t="n">
        <v>2011</v>
      </c>
      <c r="B116" s="97" t="inlineStr">
        <is>
          <t>greenhouse gas emissions per unit of GDP</t>
        </is>
      </c>
      <c r="C116" s="97" t="inlineStr">
        <is>
          <t>reduce by</t>
        </is>
      </c>
      <c r="D116" s="97" t="inlineStr">
        <is>
          <t>40%-45%</t>
        </is>
      </c>
      <c r="E116" s="97" t="n">
        <v>2005</v>
      </c>
      <c r="F116" s="98" t="n">
        <v>2020</v>
      </c>
      <c r="G116" s="97" t="inlineStr">
        <is>
          <t>r</t>
        </is>
      </c>
      <c r="H116" s="90" t="inlineStr">
        <is>
          <t>Carbon intensity</t>
        </is>
      </c>
      <c r="I116" s="97" t="inlineStr">
        <is>
          <t>whole economy</t>
        </is>
      </c>
      <c r="J116" s="97" t="inlineStr">
        <is>
          <t>Before the Copenhagen Climate Change Conference was held in 2009, the Chinese government had announced the objective of reducing greenhouse gas emissions per-unit GDP by 40-45% by 2020 as compared with that in 2005, and had it included as a compulsory indicator in its medium- and long-term program for national economic and social development.</t>
        </is>
      </c>
      <c r="K116" s="99" t="inlineStr">
        <is>
          <t>HL1101.pdf</t>
        </is>
      </c>
      <c r="L116" s="97" t="inlineStr">
        <is>
          <t>Emissions</t>
        </is>
      </c>
    </row>
    <row r="117" ht="18" customHeight="1" s="235">
      <c r="A117" s="97" t="n">
        <v>2025</v>
      </c>
      <c r="B117" s="102" t="inlineStr">
        <is>
          <t>HCFCs (controlled uses) consumption/use (ODP-weighted)</t>
        </is>
      </c>
      <c r="C117" s="103" t="inlineStr">
        <is>
          <t>reduce by</t>
        </is>
      </c>
      <c r="D117" s="102" t="inlineStr">
        <is>
          <t>73.2%</t>
        </is>
      </c>
      <c r="E117" s="102" t="inlineStr">
        <is>
          <t>18,900 tonnes ODP</t>
        </is>
      </c>
      <c r="F117" s="104" t="n">
        <v>2025</v>
      </c>
      <c r="G117" s="105" t="inlineStr">
        <is>
          <t>n</t>
        </is>
      </c>
      <c r="H117" s="90" t="inlineStr">
        <is>
          <t>Carbon reduction</t>
        </is>
      </c>
      <c r="I117" s="97" t="inlineStr">
        <is>
          <t>whole economy</t>
        </is>
      </c>
      <c r="J117" s="106" t="inlineStr">
        <is>
          <t>Specifically, based on baseline ODP-weighted production and consumption values for HCFCs for controlled uses of 29,100 tonnes and 18,900 tonnes, respectively, by 2025 these will be reduced by 67.5% and 73.2% from the baseline, and by 2030 both will be reduced by 97.5% from the baseline, with 2.5% retained to meet needs such as refrigeration and air-conditioning servicing and maintenance.</t>
        </is>
      </c>
      <c r="K117" s="107" t="inlineStr">
        <is>
          <t>WOP2501.pdf</t>
        </is>
      </c>
      <c r="L117" s="97" t="inlineStr">
        <is>
          <t>Emissions</t>
        </is>
      </c>
    </row>
    <row r="118" ht="18" customHeight="1" s="235">
      <c r="A118" s="97" t="n">
        <v>2025</v>
      </c>
      <c r="B118" s="103" t="inlineStr">
        <is>
          <t>HCFCs (controlled uses) consumption/use (ODP-weighted)</t>
        </is>
      </c>
      <c r="C118" s="103" t="inlineStr">
        <is>
          <t>reduce by</t>
        </is>
      </c>
      <c r="D118" s="103" t="inlineStr">
        <is>
          <t>97.5%</t>
        </is>
      </c>
      <c r="E118" s="103" t="inlineStr">
        <is>
          <t>18,900 tonnes ODP</t>
        </is>
      </c>
      <c r="F118" s="108" t="n">
        <v>2030</v>
      </c>
      <c r="G118" s="109" t="inlineStr">
        <is>
          <t>n</t>
        </is>
      </c>
      <c r="H118" s="90" t="inlineStr">
        <is>
          <t>Carbon reduction</t>
        </is>
      </c>
      <c r="I118" s="97" t="inlineStr">
        <is>
          <t>whole economy</t>
        </is>
      </c>
      <c r="J118" s="110" t="inlineStr">
        <is>
          <t>Specifically, based on baseline ODP-weighted production and consumption values for HCFCs for controlled uses of 29,100 tonnes and 18,900 tonnes, respectively, by 2025 these will be reduced by 67.5% and 73.2% from the baseline, and by 2030 both will be reduced by 97.5% from the baseline, with 2.5% retained to meet needs such as refrigeration and air-conditioning servicing and maintenance.</t>
        </is>
      </c>
      <c r="K118" s="111" t="inlineStr">
        <is>
          <t>WOP2501.pdf</t>
        </is>
      </c>
      <c r="L118" s="97" t="inlineStr">
        <is>
          <t>Emissions</t>
        </is>
      </c>
    </row>
    <row r="119" ht="18" customHeight="1" s="235">
      <c r="A119" s="97" t="n">
        <v>2025</v>
      </c>
      <c r="B119" s="103" t="inlineStr">
        <is>
          <t>HCFCs (controlled uses) production (ODP-weighted)</t>
        </is>
      </c>
      <c r="C119" s="103" t="inlineStr">
        <is>
          <t>reduce by</t>
        </is>
      </c>
      <c r="D119" s="103" t="inlineStr">
        <is>
          <t>67.5%</t>
        </is>
      </c>
      <c r="E119" s="103" t="inlineStr">
        <is>
          <t>29,100 tonnes ODP</t>
        </is>
      </c>
      <c r="F119" s="108" t="n">
        <v>2025</v>
      </c>
      <c r="G119" s="109" t="inlineStr">
        <is>
          <t>n</t>
        </is>
      </c>
      <c r="H119" s="90" t="inlineStr">
        <is>
          <t>Carbon reduction</t>
        </is>
      </c>
      <c r="I119" s="97" t="inlineStr">
        <is>
          <t>whole economy</t>
        </is>
      </c>
      <c r="J119" s="110" t="inlineStr">
        <is>
          <t>Specifically, based on baseline ODP-weighted production and consumption values for HCFCs for controlled uses of 29,100 tonnes and 18,900 tonnes, respectively, by 2025 these will be reduced by 67.5% and 73.2% from the baseline, and by 2030 both will be reduced by 97.5% from the baseline, with 2.5% retained to meet needs such as refrigeration and air-conditioning servicing and maintenance.</t>
        </is>
      </c>
      <c r="K119" s="111" t="inlineStr">
        <is>
          <t>WOP2501.pdf</t>
        </is>
      </c>
      <c r="L119" s="97" t="inlineStr">
        <is>
          <t>Emissions</t>
        </is>
      </c>
    </row>
    <row r="120" ht="18" customHeight="1" s="235">
      <c r="A120" s="97" t="n">
        <v>2025</v>
      </c>
      <c r="B120" s="103" t="inlineStr">
        <is>
          <t>HCFCs (controlled uses) production (ODP-weighted)</t>
        </is>
      </c>
      <c r="C120" s="103" t="inlineStr">
        <is>
          <t>reduce by</t>
        </is>
      </c>
      <c r="D120" s="103" t="inlineStr">
        <is>
          <t>97.5%</t>
        </is>
      </c>
      <c r="E120" s="103" t="inlineStr">
        <is>
          <t>29,100 tonnes ODP</t>
        </is>
      </c>
      <c r="F120" s="108" t="n">
        <v>2030</v>
      </c>
      <c r="G120" s="109" t="inlineStr">
        <is>
          <t>n</t>
        </is>
      </c>
      <c r="H120" s="90" t="inlineStr">
        <is>
          <t>Carbon reduction</t>
        </is>
      </c>
      <c r="I120" s="97" t="inlineStr">
        <is>
          <t>whole economy</t>
        </is>
      </c>
      <c r="J120" s="110" t="inlineStr">
        <is>
          <t>Specifically, based on baseline ODP-weighted production and consumption values for HCFCs for controlled uses of 29,100 tonnes and 18,900 tonnes, respectively, by 2025 these will be reduced by 67.5% and 73.2% from the baseline, and by 2030 both will be reduced by 97.5% from the baseline, with 2.5% retained to meet needs such as refrigeration and air-conditioning servicing and maintenance.</t>
        </is>
      </c>
      <c r="K120" s="111" t="inlineStr">
        <is>
          <t>WOP2501.pdf</t>
        </is>
      </c>
      <c r="L120" s="97" t="inlineStr">
        <is>
          <t>Emissions</t>
        </is>
      </c>
    </row>
    <row r="121" ht="18" customHeight="1" s="235">
      <c r="A121" s="97" t="n">
        <v>2025</v>
      </c>
      <c r="B121" s="103" t="inlineStr">
        <is>
          <t>HFCs (controlled uses) consumption/use (CO2e)</t>
        </is>
      </c>
      <c r="C121" s="103" t="inlineStr">
        <is>
          <t>reduce by</t>
        </is>
      </c>
      <c r="D121" s="103" t="inlineStr">
        <is>
          <t>10%</t>
        </is>
      </c>
      <c r="E121" s="103" t="inlineStr">
        <is>
          <t>0.905 billion tCO2e</t>
        </is>
      </c>
      <c r="F121" s="108" t="n">
        <v>2029</v>
      </c>
      <c r="G121" s="109" t="inlineStr">
        <is>
          <t>n</t>
        </is>
      </c>
      <c r="H121" s="90" t="inlineStr">
        <is>
          <t>Carbon reduction</t>
        </is>
      </c>
      <c r="I121" s="97" t="inlineStr">
        <is>
          <t>whole economy</t>
        </is>
      </c>
      <c r="J121" s="110" t="inlineStr">
        <is>
          <t>Based on baseline production and consumption values for HFCs for controlled uses of 1.853 billion tonnes and 0.905 billion tonnes of CO₂-equivalent (tCO₂e), respectively, by 2029 both will be reduced by 10% from the baseline.</t>
        </is>
      </c>
      <c r="K121" s="111" t="inlineStr">
        <is>
          <t>WOP2501.pdf</t>
        </is>
      </c>
      <c r="L121" s="97" t="inlineStr">
        <is>
          <t>Emissions</t>
        </is>
      </c>
    </row>
    <row r="122" ht="18" customHeight="1" s="235">
      <c r="A122" s="97" t="n">
        <v>2025</v>
      </c>
      <c r="B122" s="103" t="inlineStr">
        <is>
          <t>HFCs (controlled uses) production (CO2e)</t>
        </is>
      </c>
      <c r="C122" s="103" t="inlineStr">
        <is>
          <t>reduce by</t>
        </is>
      </c>
      <c r="D122" s="103" t="inlineStr">
        <is>
          <t>10%</t>
        </is>
      </c>
      <c r="E122" s="103" t="inlineStr">
        <is>
          <t>1.853 billion tCO2e</t>
        </is>
      </c>
      <c r="F122" s="108" t="n">
        <v>2029</v>
      </c>
      <c r="G122" s="109" t="inlineStr">
        <is>
          <t>n</t>
        </is>
      </c>
      <c r="H122" s="90" t="inlineStr">
        <is>
          <t>Carbon reduction</t>
        </is>
      </c>
      <c r="I122" s="97" t="inlineStr">
        <is>
          <t>whole economy</t>
        </is>
      </c>
      <c r="J122" s="110" t="inlineStr">
        <is>
          <t>Based on baseline production and consumption values for HFCs for controlled uses of 1.853 billion tonnes and 0.905 billion tonnes of CO₂-equivalent (tCO₂e), respectively, by 2029 both will be reduced by 10% from the baseline.</t>
        </is>
      </c>
      <c r="K122" s="111" t="inlineStr">
        <is>
          <t>WOP2501.pdf</t>
        </is>
      </c>
      <c r="L122" s="97" t="inlineStr">
        <is>
          <t>Emissions</t>
        </is>
      </c>
    </row>
    <row r="123" ht="18" customHeight="1" s="235">
      <c r="A123" s="97" t="n">
        <v>2026</v>
      </c>
      <c r="B123" s="103" t="inlineStr">
        <is>
          <t>non-carbon-dioxide greenhouse gas mitigation capacity</t>
        </is>
      </c>
      <c r="C123" s="103" t="inlineStr">
        <is>
          <t>form</t>
        </is>
      </c>
      <c r="D123" s="103" t="inlineStr">
        <is>
          <t>30 million tonnes CO2e</t>
        </is>
      </c>
      <c r="E123" s="103" t="n"/>
      <c r="F123" s="108" t="inlineStr">
        <is>
          <t>15th FYP</t>
        </is>
      </c>
      <c r="G123" s="109" t="inlineStr">
        <is>
          <t>n</t>
        </is>
      </c>
      <c r="H123" s="90" t="inlineStr">
        <is>
          <t>Carbon reduction</t>
        </is>
      </c>
      <c r="I123" s="97" t="inlineStr">
        <is>
          <t>whole economy</t>
        </is>
      </c>
      <c r="J123" s="110" t="inlineStr">
        <is>
          <t>The plan will implement non-carbon-dioxide greenhouse gas control projects in coal mining, crop and livestock production, waste treatment and chemical production, forming mitigation capacity of 30 million tonnes of carbon dioxide equivalent.</t>
        </is>
      </c>
      <c r="K123" s="111" t="inlineStr">
        <is>
          <t>HL2601.pdf</t>
        </is>
      </c>
      <c r="L123" s="97" t="inlineStr">
        <is>
          <t>Emissions</t>
        </is>
      </c>
    </row>
    <row r="124" ht="18" customHeight="1" s="235">
      <c r="A124" s="0" t="n">
        <v>2026</v>
      </c>
      <c r="B124" s="0" t="inlineStr">
        <is>
          <t>non-CO2 greenhouse gas emission reduction capacity</t>
        </is>
      </c>
      <c r="C124" s="0" t="inlineStr">
        <is>
          <t>form</t>
        </is>
      </c>
      <c r="D124" s="0" t="inlineStr">
        <is>
          <t>30 million tons of CO2 equivalent</t>
        </is>
      </c>
      <c r="F124" s="0" t="inlineStr">
        <is>
          <t>15th FYP</t>
        </is>
      </c>
      <c r="G124" s="0" t="inlineStr">
        <is>
          <t>r</t>
        </is>
      </c>
      <c r="H124" s="0" t="inlineStr">
        <is>
          <t>Carbon reduction</t>
        </is>
      </c>
      <c r="I124" s="0" t="inlineStr">
        <is>
          <t>whole economy</t>
        </is>
      </c>
      <c r="J124" s="0" t="inlineStr">
        <is>
          <t>...the monitoring and control of non-CO2 greenhouse gases will be strengthened, forming a reduction capacity of 30 million tons of CO2 equivalent.</t>
        </is>
      </c>
      <c r="K124" s="0" t="inlineStr">
        <is>
          <t>HL2603.pdf</t>
        </is>
      </c>
      <c r="L124" s="0" t="inlineStr">
        <is>
          <t>GHG Emissions</t>
        </is>
      </c>
    </row>
    <row r="125" ht="18" customHeight="1" s="235">
      <c r="A125" s="0" t="n">
        <v>2026</v>
      </c>
      <c r="B125" s="0" t="inlineStr">
        <is>
          <t>reduction in carbon emissions per kWh of retrofitted units</t>
        </is>
      </c>
      <c r="C125" s="0" t="inlineStr">
        <is>
          <t>reduce by</t>
        </is>
      </c>
      <c r="D125" s="0" t="inlineStr">
        <is>
          <t>around 10%</t>
        </is>
      </c>
      <c r="F125" s="0" t="n">
        <v>2028</v>
      </c>
      <c r="G125" s="0" t="inlineStr">
        <is>
          <t>n</t>
        </is>
      </c>
      <c r="H125" s="0" t="inlineStr">
        <is>
          <t>Carbon intensity</t>
        </is>
      </c>
      <c r="I125" s="0" t="inlineStr">
        <is>
          <t>enterprises</t>
        </is>
      </c>
      <c r="J125" s="0" t="inlineStr">
        <is>
          <t>Retrofits of eligible units with zero-carbon and low-carbon fuel co-firing and carbon capture, utilization and storage (CCUS) will be supported, with carbon emissions per kWh reduced by around 10% after retrofitting.</t>
        </is>
      </c>
      <c r="K125" s="0" t="inlineStr">
        <is>
          <t>AP2608.htm</t>
        </is>
      </c>
      <c r="L125" s="0" t="inlineStr">
        <is>
          <t>GHG Emissions</t>
        </is>
      </c>
    </row>
    <row r="126" ht="18" customHeight="1" s="235">
      <c r="A126" s="0" t="n">
        <v>2026</v>
      </c>
      <c r="B126" s="0" t="inlineStr">
        <is>
          <t>reduction in carbon emissions per kWh of retrofitted units</t>
        </is>
      </c>
      <c r="C126" s="0" t="inlineStr">
        <is>
          <t>reduce by</t>
        </is>
      </c>
      <c r="D126" s="0" t="inlineStr">
        <is>
          <t>10-20% (strive for more than 20%)</t>
        </is>
      </c>
      <c r="F126" s="0" t="n">
        <v>2028</v>
      </c>
      <c r="G126" s="0" t="inlineStr">
        <is>
          <t>n</t>
        </is>
      </c>
      <c r="H126" s="0" t="inlineStr">
        <is>
          <t>Carbon intensity</t>
        </is>
      </c>
      <c r="I126" s="0" t="inlineStr">
        <is>
          <t>enterprises</t>
        </is>
      </c>
      <c r="J126" s="0" t="inlineStr">
        <is>
          <t>Existing coal power units of 300 MW and above with suitable conditions will be retrofitted for low-carbon operation... reducing carbon emissions per kWh by 10-20%, and striving for a reduction of more than 20%.</t>
        </is>
      </c>
      <c r="K126" s="0" t="inlineStr">
        <is>
          <t>AP2607.htm</t>
        </is>
      </c>
      <c r="L126" s="0" t="inlineStr">
        <is>
          <t>GHG Emissions</t>
        </is>
      </c>
    </row>
    <row r="127" ht="18" customHeight="1" s="235">
      <c r="A127" s="0" t="n">
        <v>2026</v>
      </c>
      <c r="B127" s="0" t="inlineStr">
        <is>
          <t>total carbon emissions of public institutions</t>
        </is>
      </c>
      <c r="C127" s="0" t="inlineStr">
        <is>
          <t>peak</t>
        </is>
      </c>
      <c r="D127" s="0" t="inlineStr">
        <is>
          <t>peak as early as possible before 2030</t>
        </is>
      </c>
      <c r="F127" s="0" t="n">
        <v>2030</v>
      </c>
      <c r="G127" s="0" t="inlineStr">
        <is>
          <t>n</t>
        </is>
      </c>
      <c r="H127" s="0" t="inlineStr">
        <is>
          <t>Carbon reduction</t>
        </is>
      </c>
      <c r="I127" s="0" t="inlineStr">
        <is>
          <t>enterprises</t>
        </is>
      </c>
      <c r="J127" s="0" t="inlineStr">
        <is>
          <t>...total carbon emissions of public institutions will peak as early as possible before 2030.</t>
        </is>
      </c>
      <c r="K127" s="0" t="inlineStr">
        <is>
          <t>WOP2601.htm</t>
        </is>
      </c>
      <c r="L127" s="0" t="inlineStr">
        <is>
          <t>GHG Emissions</t>
        </is>
      </c>
    </row>
    <row r="128" ht="18" customHeight="1" s="235">
      <c r="A128" s="97" t="n">
        <v>2019</v>
      </c>
      <c r="B128" s="97" t="inlineStr">
        <is>
          <t>trifluoromethane (HFC-23) emissions</t>
        </is>
      </c>
      <c r="C128" s="90" t="inlineStr">
        <is>
          <t>effectively control</t>
        </is>
      </c>
      <c r="D128" s="90" t="inlineStr">
        <is>
          <t>effectively control trifluoromethane (HFC-23) emissions</t>
        </is>
      </c>
      <c r="E128" s="97" t="n"/>
      <c r="F128" s="98" t="inlineStr">
        <is>
          <t>2020</t>
        </is>
      </c>
      <c r="G128" s="97" t="inlineStr">
        <is>
          <t>n</t>
        </is>
      </c>
      <c r="H128" s="90" t="inlineStr">
        <is>
          <t>Carbon reduction</t>
        </is>
      </c>
      <c r="I128" s="97" t="inlineStr">
        <is>
          <t>unclear</t>
        </is>
      </c>
      <c r="J128" s="97" t="inlineStr">
        <is>
          <t>effectively control trifluoromethane (HFC-23) emission by 2020</t>
        </is>
      </c>
      <c r="K128" s="92" t="inlineStr">
        <is>
          <t>HL1902.pdf</t>
        </is>
      </c>
      <c r="L128" s="97" t="inlineStr">
        <is>
          <t>Emissions</t>
        </is>
      </c>
    </row>
    <row r="129" ht="18" customHeight="1" s="235"/>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row r="200" ht="18" customHeight="1" s="235"/>
    <row r="201" ht="18" customHeight="1" s="235"/>
    <row r="202" ht="18" customHeight="1" s="235"/>
    <row r="203" ht="18" customHeight="1" s="235"/>
    <row r="204" ht="18" customHeight="1" s="235"/>
    <row r="205" ht="18" customHeight="1" s="235"/>
    <row r="206" ht="18" customHeight="1" s="235"/>
    <row r="207" ht="18" customHeight="1" s="235"/>
    <row r="208" ht="18" customHeight="1" s="235"/>
    <row r="209" ht="18" customHeight="1" s="235"/>
    <row r="210" ht="18" customHeight="1" s="235"/>
    <row r="211" ht="18" customHeight="1" s="235"/>
    <row r="212" ht="18" customHeight="1" s="235"/>
    <row r="213"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Q564"/>
  <sheetViews>
    <sheetView zoomScale="75" zoomScaleNormal="75" workbookViewId="0">
      <pane ySplit="1" topLeftCell="A358" activePane="bottomLeft" state="frozen"/>
      <selection activeCell="K400" sqref="K400"/>
      <selection pane="bottomLeft" activeCell="E384" sqref="E384"/>
    </sheetView>
  </sheetViews>
  <sheetFormatPr baseColWidth="8" defaultColWidth="14" defaultRowHeight="13"/>
  <cols>
    <col width="9.59765625" customWidth="1" style="235" min="1" max="1"/>
    <col width="110" customWidth="1" style="235" min="2" max="2"/>
    <col width="12" customWidth="1" style="235" min="3" max="3"/>
    <col width="23" customWidth="1" style="235" min="4" max="4"/>
    <col width="11" customWidth="1" style="235" min="5" max="5"/>
    <col width="23.8984375" customWidth="1" style="112" min="6" max="6"/>
    <col width="9" customWidth="1" style="235" min="7" max="7"/>
    <col width="24" customWidth="1" style="235" min="8" max="9"/>
    <col width="118" customWidth="1" style="235" min="10" max="10"/>
    <col width="13" customWidth="1" style="235" min="11" max="11"/>
    <col width="14.296875" customWidth="1" style="235" min="12" max="12"/>
    <col width="22" customWidth="1" style="235" min="13" max="13"/>
    <col width="17" customWidth="1" style="235" min="14" max="14"/>
    <col width="8" customWidth="1" style="235" min="15" max="15"/>
    <col width="14" customWidth="1" style="235" min="16" max="16"/>
    <col width="17" customWidth="1" style="235" min="17" max="18"/>
    <col width="10" customWidth="1" style="235" min="19" max="20"/>
  </cols>
  <sheetData>
    <row r="1" ht="18" customHeight="1" s="235">
      <c r="A1" s="89" t="inlineStr">
        <is>
          <t>Announcement_Year</t>
        </is>
      </c>
      <c r="B1" s="89" t="inlineStr">
        <is>
          <t>Metric</t>
        </is>
      </c>
      <c r="C1" s="89" t="inlineStr">
        <is>
          <t>Direction</t>
        </is>
      </c>
      <c r="D1" s="89" t="inlineStr">
        <is>
          <t>Target_Magnitude</t>
        </is>
      </c>
      <c r="E1" s="89" t="inlineStr">
        <is>
          <t>Baseline</t>
        </is>
      </c>
      <c r="F1" s="89" t="inlineStr">
        <is>
          <t>Target_Year_or_Period</t>
        </is>
      </c>
      <c r="G1" s="89" t="inlineStr">
        <is>
          <t>Count</t>
        </is>
      </c>
      <c r="H1" s="89" t="inlineStr">
        <is>
          <t>Target_Category</t>
        </is>
      </c>
      <c r="I1" s="89" t="inlineStr">
        <is>
          <t>Accountability</t>
        </is>
      </c>
      <c r="J1" s="89" t="inlineStr">
        <is>
          <t>Sentence</t>
        </is>
      </c>
      <c r="K1" s="89" t="inlineStr">
        <is>
          <t>Document</t>
        </is>
      </c>
      <c r="L1" s="89" t="inlineStr">
        <is>
          <t>Topic_Label</t>
        </is>
      </c>
      <c r="M1" s="89" t="inlineStr">
        <is>
          <t>Subtopic_Label</t>
        </is>
      </c>
    </row>
    <row r="2" ht="18" customHeight="1" s="235">
      <c r="A2" s="113" t="n">
        <v>2018</v>
      </c>
      <c r="B2" s="113" t="inlineStr">
        <is>
          <t>cross-regional consumption of renewable energy in the "Three Norths"</t>
        </is>
      </c>
      <c r="C2" s="113" t="inlineStr">
        <is>
          <t>achieve</t>
        </is>
      </c>
      <c r="D2" s="113" t="inlineStr">
        <is>
          <t>more than 40 million kilowatts</t>
        </is>
      </c>
      <c r="E2" s="113" t="n"/>
      <c r="F2" s="114" t="inlineStr">
        <is>
          <t>13th FYP</t>
        </is>
      </c>
      <c r="G2" s="113" t="inlineStr">
        <is>
          <t>n</t>
        </is>
      </c>
      <c r="H2" s="113" t="inlineStr">
        <is>
          <t>Renewable energy</t>
        </is>
      </c>
      <c r="I2" s="113" t="inlineStr">
        <is>
          <t>unclear</t>
        </is>
      </c>
      <c r="J2" s="113" t="inlineStr">
        <is>
          <t>Adjust and slow down the cross-regional transmission channels for supporting thermal power construction, give priority to the export of new energy in surplus capacity, and strive to achieve cross-regional consumption of more than 40 million kilowatts of renewable energy in the "Three Norths" during the 13th Five-Year Plan period.</t>
        </is>
      </c>
      <c r="K2" s="113" t="inlineStr">
        <is>
          <t>GO1801.htm</t>
        </is>
      </c>
      <c r="L2" s="113" t="inlineStr">
        <is>
          <t>Energy/Power</t>
        </is>
      </c>
      <c r="M2" s="113" t="inlineStr">
        <is>
          <t>Power transmission/Energy transportation</t>
        </is>
      </c>
    </row>
    <row r="3" ht="18" customHeight="1" s="235">
      <c r="A3" s="0" t="n">
        <v>2016</v>
      </c>
      <c r="B3" s="0" t="inlineStr">
        <is>
          <t>flexibility transformation of thermal power units in the "Three Norths" region</t>
        </is>
      </c>
      <c r="C3" s="0" t="inlineStr">
        <is>
          <t>reach</t>
        </is>
      </c>
      <c r="D3" s="0" t="inlineStr">
        <is>
          <t>about 133 million kilowatts</t>
        </is>
      </c>
      <c r="F3" s="0" t="inlineStr">
        <is>
          <t>13th FYP</t>
        </is>
      </c>
      <c r="G3" s="0" t="inlineStr">
        <is>
          <t>n</t>
        </is>
      </c>
      <c r="H3" s="0" t="inlineStr">
        <is>
          <t>Coal-related</t>
        </is>
      </c>
      <c r="I3" s="0" t="inlineStr">
        <is>
          <t>areas</t>
        </is>
      </c>
      <c r="J3" s="0" t="inlineStr">
        <is>
          <t>During the 13th Five-Year Plan period, the flexibility transformation of thermal power units in the "Three Norths" region will reach about 133 million kilowatts.</t>
        </is>
      </c>
      <c r="K3" s="0" t="inlineStr">
        <is>
          <t>FYP1607.pdf</t>
        </is>
      </c>
      <c r="L3" s="0" t="inlineStr">
        <is>
          <t>Energy/Power</t>
        </is>
      </c>
      <c r="M3" s="0" t="inlineStr">
        <is>
          <t>Power supply</t>
        </is>
      </c>
    </row>
    <row r="4" ht="18" customHeight="1" s="235">
      <c r="A4" s="0" t="n">
        <v>2013</v>
      </c>
      <c r="B4" s="0" t="inlineStr">
        <is>
          <t>330 kV and above transmission line installations</t>
        </is>
      </c>
      <c r="C4" s="0" t="inlineStr">
        <is>
          <t>reach</t>
        </is>
      </c>
      <c r="D4" s="0" t="inlineStr">
        <is>
          <t>200000  kilometers</t>
        </is>
      </c>
      <c r="F4" s="0" t="inlineStr">
        <is>
          <t>2015</t>
        </is>
      </c>
      <c r="G4" s="0" t="inlineStr">
        <is>
          <t>n</t>
        </is>
      </c>
      <c r="H4" s="0" t="inlineStr">
        <is>
          <t>Renewable energy</t>
        </is>
      </c>
      <c r="I4" s="0" t="inlineStr">
        <is>
          <t>unclear</t>
        </is>
      </c>
      <c r="J4" s="0" t="inlineStr">
        <is>
          <t>By 2015, 200,000 kilometers of 330 kV and above transmission lines will be built.</t>
        </is>
      </c>
      <c r="K4" s="0" t="inlineStr">
        <is>
          <t>FYP1302.htm</t>
        </is>
      </c>
      <c r="L4" s="0" t="inlineStr">
        <is>
          <t>Energy/Power</t>
        </is>
      </c>
      <c r="M4" s="0" t="inlineStr">
        <is>
          <t>Power supply</t>
        </is>
      </c>
    </row>
    <row r="5" ht="18" customHeight="1" s="235">
      <c r="A5" s="113" t="n">
        <v>2023</v>
      </c>
      <c r="B5" s="113" t="inlineStr">
        <is>
          <t>coal-fired boilers with an output of 10 tons of steam per hour or less in cities that fail to meet PM2.5 standards</t>
        </is>
      </c>
      <c r="C5" s="113" t="inlineStr">
        <is>
          <t>eliminate totally</t>
        </is>
      </c>
      <c r="D5" s="113" t="inlineStr">
        <is>
          <t>basically eliminated</t>
        </is>
      </c>
      <c r="E5" s="113" t="n"/>
      <c r="F5" s="114" t="inlineStr">
        <is>
          <t>2025</t>
        </is>
      </c>
      <c r="G5" s="113" t="inlineStr">
        <is>
          <t>n</t>
        </is>
      </c>
      <c r="H5" s="113" t="inlineStr">
        <is>
          <t>Coal-related</t>
        </is>
      </c>
      <c r="I5" s="113" t="inlineStr">
        <is>
          <t>sectors</t>
        </is>
      </c>
      <c r="J5" s="113" t="inlineStr">
        <is>
          <t>By 2025, cities that fail to meet PM2.5 standards will have basically eliminated coal-fired boilers with an output of 10 tons of steam per hour or less.</t>
        </is>
      </c>
      <c r="K5" s="113" t="inlineStr">
        <is>
          <t>AP2304.htm</t>
        </is>
      </c>
      <c r="L5" s="113" t="inlineStr">
        <is>
          <t>Energy/Power</t>
        </is>
      </c>
      <c r="M5" s="113" t="inlineStr">
        <is>
          <t>Power supply</t>
        </is>
      </c>
    </row>
    <row r="6" ht="18" customHeight="1" s="235">
      <c r="A6" s="113" t="n">
        <v>2014</v>
      </c>
      <c r="B6" s="113" t="inlineStr">
        <is>
          <t>proportion of coal in primary energy consumption</t>
        </is>
      </c>
      <c r="C6" s="113" t="inlineStr">
        <is>
          <t>reduce by</t>
        </is>
      </c>
      <c r="D6" s="113" t="inlineStr">
        <is>
          <t>62%</t>
        </is>
      </c>
      <c r="E6" s="113" t="n"/>
      <c r="F6" s="114" t="inlineStr">
        <is>
          <t>2020</t>
        </is>
      </c>
      <c r="G6" s="113" t="inlineStr">
        <is>
          <t>r</t>
        </is>
      </c>
      <c r="H6" s="113" t="inlineStr">
        <is>
          <t>Coal-related</t>
        </is>
      </c>
      <c r="I6" s="113" t="inlineStr">
        <is>
          <t>whole economy</t>
        </is>
      </c>
      <c r="J6" s="113" t="inlineStr">
        <is>
          <t>By 2020, the proportion of coal consumption in the country will be reduced to less than 62%.</t>
        </is>
      </c>
      <c r="K6" s="113" t="inlineStr">
        <is>
          <t>AP1401.htm</t>
        </is>
      </c>
      <c r="L6" s="113" t="inlineStr">
        <is>
          <t>Energy/Power</t>
        </is>
      </c>
      <c r="M6" s="113" t="inlineStr">
        <is>
          <t>Power supply</t>
        </is>
      </c>
    </row>
    <row r="7" ht="18" customHeight="1" s="235">
      <c r="A7" s="113" t="n">
        <v>2013</v>
      </c>
      <c r="B7" s="113" t="inlineStr">
        <is>
          <t>total energy consumption</t>
        </is>
      </c>
      <c r="C7" s="113" t="inlineStr">
        <is>
          <t>reach</t>
        </is>
      </c>
      <c r="D7" s="113" t="inlineStr">
        <is>
          <t>4 billion tons of standard coal</t>
        </is>
      </c>
      <c r="E7" s="113" t="n"/>
      <c r="F7" s="114" t="inlineStr">
        <is>
          <t>2015</t>
        </is>
      </c>
      <c r="G7" s="113" t="inlineStr">
        <is>
          <t>n</t>
        </is>
      </c>
      <c r="H7" s="113" t="inlineStr">
        <is>
          <t>Energy efficiency</t>
        </is>
      </c>
      <c r="I7" s="113" t="inlineStr">
        <is>
          <t>whole economy</t>
        </is>
      </c>
      <c r="J7" s="113" t="inlineStr">
        <is>
          <t>By 2015, total energy consumption will reach 4 billion tons of standard coal</t>
        </is>
      </c>
      <c r="K7" s="113" t="inlineStr">
        <is>
          <t>FYP1302.htm</t>
        </is>
      </c>
      <c r="L7" s="113" t="inlineStr">
        <is>
          <t>Energy/Power</t>
        </is>
      </c>
      <c r="M7" s="113" t="inlineStr">
        <is>
          <t>Coal power</t>
        </is>
      </c>
    </row>
    <row r="8" ht="18" customHeight="1" s="235">
      <c r="A8" s="113" t="n">
        <v>2018</v>
      </c>
      <c r="B8" s="113" t="inlineStr">
        <is>
          <t>total coal consumption in Shanghai, Jiangsu, Zhejiang, Anhui, and the Fenwei Plain</t>
        </is>
      </c>
      <c r="C8" s="113" t="inlineStr">
        <is>
          <t>reduce by</t>
        </is>
      </c>
      <c r="D8" s="113" t="inlineStr">
        <is>
          <t>5% compared with 2015</t>
        </is>
      </c>
      <c r="E8" s="113" t="n">
        <v>2015</v>
      </c>
      <c r="F8" s="114" t="inlineStr">
        <is>
          <t>2020</t>
        </is>
      </c>
      <c r="G8" s="113" t="inlineStr">
        <is>
          <t>n</t>
        </is>
      </c>
      <c r="H8" s="113" t="inlineStr">
        <is>
          <t>Coal-related</t>
        </is>
      </c>
      <c r="I8" s="113" t="inlineStr">
        <is>
          <t>areas</t>
        </is>
      </c>
      <c r="J8" s="113" t="inlineStr">
        <is>
          <t>By 2020, total coal consumption in Shanghai, Jiangsu, Zhejiang, Anhui, and the Fenwei Plain will have dropped by about 5%.</t>
        </is>
      </c>
      <c r="K8" s="113" t="inlineStr">
        <is>
          <t>O1802.htm</t>
        </is>
      </c>
      <c r="L8" s="113" t="inlineStr">
        <is>
          <t>Energy/Power</t>
        </is>
      </c>
      <c r="M8" s="113" t="inlineStr">
        <is>
          <t>Coal power</t>
        </is>
      </c>
    </row>
    <row r="9" ht="18" customHeight="1" s="235">
      <c r="A9" s="113" t="n">
        <v>2016</v>
      </c>
      <c r="B9" s="113" t="inlineStr">
        <is>
          <t>ultra-low emission transformation of 300,000-kilowatt and above public coal-fired power units and 100,000-kilowatt and above self-provided coal-fired power units in 11 eastern provinces and cities</t>
        </is>
      </c>
      <c r="C9" s="113" t="inlineStr">
        <is>
          <t>complete</t>
        </is>
      </c>
      <c r="D9" s="113" t="n"/>
      <c r="E9" s="113" t="n"/>
      <c r="F9" s="114" t="inlineStr">
        <is>
          <t>2017</t>
        </is>
      </c>
      <c r="G9" s="113" t="inlineStr">
        <is>
          <t>n</t>
        </is>
      </c>
      <c r="H9" s="113" t="inlineStr">
        <is>
          <t>Coal-related</t>
        </is>
      </c>
      <c r="I9" s="113" t="inlineStr">
        <is>
          <t>sectors</t>
        </is>
      </c>
      <c r="J9" s="113" t="inlineStr">
        <is>
          <t>By 2017, the ultra-low emission transformation of 300,000-kilowatt and above public coal-fired power units and 100,000-kilowatt and above self-provided coal-fired power units in 11 eastern provinces and cities will be completed.</t>
        </is>
      </c>
      <c r="K9" s="113" t="inlineStr">
        <is>
          <t>FYP1603.pdf</t>
        </is>
      </c>
      <c r="L9" s="113" t="inlineStr">
        <is>
          <t>Energy/Power</t>
        </is>
      </c>
      <c r="M9" s="113" t="inlineStr">
        <is>
          <t>Coal power</t>
        </is>
      </c>
    </row>
    <row r="10" ht="18" customHeight="1" s="235">
      <c r="A10" s="113" t="n">
        <v>2021</v>
      </c>
      <c r="B10" s="113" t="inlineStr">
        <is>
          <t>installed capacity of annual non-fossil energy production in eastern and central regions</t>
        </is>
      </c>
      <c r="C10" s="113" t="inlineStr">
        <is>
          <t>add</t>
        </is>
      </c>
      <c r="D10" s="113" t="inlineStr">
        <is>
          <t>150 million tons of standard coal</t>
        </is>
      </c>
      <c r="E10" s="113" t="n"/>
      <c r="F10" s="114" t="inlineStr">
        <is>
          <t>14th FYP</t>
        </is>
      </c>
      <c r="G10" s="113" t="inlineStr">
        <is>
          <t>n</t>
        </is>
      </c>
      <c r="H10" s="113" t="inlineStr">
        <is>
          <t>Renewable energy</t>
        </is>
      </c>
      <c r="I10" s="113" t="inlineStr">
        <is>
          <t>whole economy</t>
        </is>
      </c>
      <c r="J10" s="113" t="inlineStr">
        <is>
          <t>During the 14th Five-Year Plan period, the eastern and central regions will add more than 150 million tons of standard coal in annual non-fossil energy production capacity.</t>
        </is>
      </c>
      <c r="K10" s="113" t="inlineStr">
        <is>
          <t>FYP2105.pdf</t>
        </is>
      </c>
      <c r="L10" s="113" t="inlineStr">
        <is>
          <t>Energy/Power</t>
        </is>
      </c>
      <c r="M10" s="113" t="inlineStr">
        <is>
          <t>Coal power</t>
        </is>
      </c>
    </row>
    <row r="11" ht="18" customHeight="1" s="235">
      <c r="A11" s="0" t="n">
        <v>2014</v>
      </c>
      <c r="B11" s="0" t="inlineStr">
        <is>
          <t>recovery rate of medium-thick coal</t>
        </is>
      </c>
      <c r="C11" s="0" t="inlineStr">
        <is>
          <t>reach</t>
        </is>
      </c>
      <c r="D11" s="0" t="inlineStr">
        <is>
          <t>85%</t>
        </is>
      </c>
      <c r="F11" s="0" t="inlineStr">
        <is>
          <t>2020</t>
        </is>
      </c>
      <c r="G11" s="0" t="inlineStr">
        <is>
          <t>n</t>
        </is>
      </c>
      <c r="H11" s="0" t="inlineStr">
        <is>
          <t>Coal-related</t>
        </is>
      </c>
      <c r="I11" s="0" t="inlineStr">
        <is>
          <t>unclear</t>
        </is>
      </c>
      <c r="J11" s="0" t="inlineStr">
        <is>
          <t>By 2020, the recovery rate of medium-thick coal seams will reach 85%.</t>
        </is>
      </c>
      <c r="K11" s="0" t="inlineStr">
        <is>
          <t>O1401.htm</t>
        </is>
      </c>
      <c r="L11" s="0" t="inlineStr">
        <is>
          <t>Energy/Power</t>
        </is>
      </c>
      <c r="M11" s="0" t="inlineStr">
        <is>
          <t>Energy consumption</t>
        </is>
      </c>
    </row>
    <row r="12" ht="18" customHeight="1" s="235">
      <c r="A12" s="0" t="n">
        <v>2016</v>
      </c>
      <c r="B12" s="0" t="inlineStr">
        <is>
          <t>ultra-low emission transformation of coal-fired power units with a capacity of 300,000 kilowatts and above in service in eight central provinces</t>
        </is>
      </c>
      <c r="C12" s="0" t="inlineStr">
        <is>
          <t>complete basically</t>
        </is>
      </c>
      <c r="D12" s="0" t="n"/>
      <c r="F12" s="0" t="inlineStr">
        <is>
          <t>2018</t>
        </is>
      </c>
      <c r="G12" s="0" t="inlineStr">
        <is>
          <t>n</t>
        </is>
      </c>
      <c r="H12" s="0" t="inlineStr">
        <is>
          <t>Coal-related</t>
        </is>
      </c>
      <c r="I12" s="0" t="inlineStr">
        <is>
          <t>sectors</t>
        </is>
      </c>
      <c r="J12" s="0" t="inlineStr">
        <is>
          <t>By 2018, the ultra-low emission transformation of coal-fired power units with a capacity of 300,000 kilowatts and above in service in eight central provinces will be basically completed.</t>
        </is>
      </c>
      <c r="K12" s="0" t="inlineStr">
        <is>
          <t>FYP1603.pdf</t>
        </is>
      </c>
      <c r="L12" s="0" t="inlineStr">
        <is>
          <t>Energy/Power</t>
        </is>
      </c>
      <c r="M12" s="0" t="inlineStr">
        <is>
          <t>Power supply</t>
        </is>
      </c>
    </row>
    <row r="13" ht="18" customHeight="1" s="235">
      <c r="A13" s="0" t="n">
        <v>2023</v>
      </c>
      <c r="B13" s="0" t="inlineStr">
        <is>
          <t>total coal consumption in Beijing-Tianjin-Hebei region and surrounding areas</t>
        </is>
      </c>
      <c r="C13" s="0" t="inlineStr">
        <is>
          <t>reduce by</t>
        </is>
      </c>
      <c r="D13" s="0" t="inlineStr">
        <is>
          <t>10%</t>
        </is>
      </c>
      <c r="E13" s="0" t="n">
        <v>2020</v>
      </c>
      <c r="F13" s="0" t="inlineStr">
        <is>
          <t>2025</t>
        </is>
      </c>
      <c r="G13" s="0" t="inlineStr">
        <is>
          <t>n</t>
        </is>
      </c>
      <c r="H13" s="0" t="inlineStr">
        <is>
          <t>Coal-related</t>
        </is>
      </c>
      <c r="I13" s="0" t="inlineStr">
        <is>
          <t>areas</t>
        </is>
      </c>
      <c r="J13" s="0" t="inlineStr">
        <is>
          <t>By 2025, coal consumption in the Beijing-Tianjin-Hebei region and surrounding areas will drop by about 10% compared with 2020.</t>
        </is>
      </c>
      <c r="K13" s="0" t="inlineStr">
        <is>
          <t>AP2304.htm</t>
        </is>
      </c>
      <c r="L13" s="0" t="inlineStr">
        <is>
          <t>Energy/Power</t>
        </is>
      </c>
      <c r="M13" s="0" t="inlineStr">
        <is>
          <t>Power supply</t>
        </is>
      </c>
    </row>
    <row r="14" ht="18" customHeight="1" s="235">
      <c r="A14" s="113" t="n">
        <v>2014</v>
      </c>
      <c r="B14" s="113" t="inlineStr">
        <is>
          <t>total coal consumption in the four provinces and municipalities of Beijing, Tianjin, Hebei and Shandong</t>
        </is>
      </c>
      <c r="C14" s="113" t="inlineStr">
        <is>
          <t>reduce by</t>
        </is>
      </c>
      <c r="D14" s="113" t="inlineStr">
        <is>
          <t>100 million tons</t>
        </is>
      </c>
      <c r="E14" s="113" t="n">
        <v>2012</v>
      </c>
      <c r="F14" s="114" t="inlineStr">
        <is>
          <t>2020</t>
        </is>
      </c>
      <c r="G14" s="113" t="inlineStr">
        <is>
          <t>n</t>
        </is>
      </c>
      <c r="H14" s="113" t="inlineStr">
        <is>
          <t>Coal-related</t>
        </is>
      </c>
      <c r="I14" s="113" t="inlineStr">
        <is>
          <t>areas</t>
        </is>
      </c>
      <c r="J14" s="113" t="inlineStr">
        <is>
          <t>By 2020, coal consumption in the four provinces and municipalities of Beijing, Tianjin, Hebei and Shandong will have been reduced by 100 million tons compared with 2012, and the total coal consumption in the Yangtze River Delta and Pearl River Delta regions will have shown negative growth.</t>
        </is>
      </c>
      <c r="K14" s="113" t="inlineStr">
        <is>
          <t>AP1401.htm</t>
        </is>
      </c>
      <c r="L14" s="113" t="inlineStr">
        <is>
          <t>Energy/Power</t>
        </is>
      </c>
      <c r="M14" s="113" t="inlineStr">
        <is>
          <t>Energy consumption</t>
        </is>
      </c>
    </row>
    <row r="15" ht="18" customHeight="1" s="235">
      <c r="A15" s="113" t="n">
        <v>2013</v>
      </c>
      <c r="B15" s="113" t="inlineStr">
        <is>
          <t>new energy demonstration cities based on distributed renewable energy</t>
        </is>
      </c>
      <c r="C15" s="113" t="inlineStr">
        <is>
          <t>build</t>
        </is>
      </c>
      <c r="D15" s="113" t="inlineStr">
        <is>
          <t>100 cities</t>
        </is>
      </c>
      <c r="E15" s="113" t="n"/>
      <c r="F15" s="114" t="inlineStr">
        <is>
          <t>2015</t>
        </is>
      </c>
      <c r="G15" s="113" t="inlineStr">
        <is>
          <t>n</t>
        </is>
      </c>
      <c r="H15" s="113" t="inlineStr">
        <is>
          <t>Renewable energy</t>
        </is>
      </c>
      <c r="I15" s="113" t="inlineStr">
        <is>
          <t>whole economy</t>
        </is>
      </c>
      <c r="J15" s="113" t="inlineStr">
        <is>
          <t>By 2015, 100 new energy demonstration cities based on distributed renewable energy will be built.</t>
        </is>
      </c>
      <c r="K15" s="113" t="inlineStr">
        <is>
          <t>FYP1302.htm</t>
        </is>
      </c>
      <c r="L15" s="113" t="inlineStr">
        <is>
          <t>Energy/Power</t>
        </is>
      </c>
      <c r="M15" s="113" t="inlineStr">
        <is>
          <t>Energy consumption</t>
        </is>
      </c>
    </row>
    <row r="16" ht="18" customHeight="1" s="235">
      <c r="A16" s="113" t="n">
        <v>2004</v>
      </c>
      <c r="B16" s="113" t="inlineStr">
        <is>
          <t>low-temperature waste heat power generation devices</t>
        </is>
      </c>
      <c r="C16" s="113" t="inlineStr">
        <is>
          <t>build</t>
        </is>
      </c>
      <c r="D16" s="113" t="inlineStr">
        <is>
          <t>30  sets</t>
        </is>
      </c>
      <c r="E16" s="113" t="n"/>
      <c r="F16" s="114" t="inlineStr">
        <is>
          <t>11th FYP</t>
        </is>
      </c>
      <c r="G16" s="113" t="inlineStr">
        <is>
          <t>n</t>
        </is>
      </c>
      <c r="H16" s="113" t="inlineStr">
        <is>
          <t>Energy efficiency</t>
        </is>
      </c>
      <c r="I16" s="113" t="inlineStr">
        <is>
          <t>unclear</t>
        </is>
      </c>
      <c r="J16" s="113" t="inlineStr">
        <is>
          <t>During the 11th Five-Year Plan period, 30 sets of low-temperature waste heat power generation devices will be built on cement production lines with a daily output of over 2,000 tons, saving 3 million tons of standard coal annually.</t>
        </is>
      </c>
      <c r="K16" s="113" t="inlineStr">
        <is>
          <t>MLT0401.htm</t>
        </is>
      </c>
      <c r="L16" s="113" t="inlineStr">
        <is>
          <t>Energy/Power</t>
        </is>
      </c>
      <c r="M16" s="113" t="inlineStr">
        <is>
          <t>Energy consumption</t>
        </is>
      </c>
    </row>
    <row r="17" ht="18" customHeight="1" s="235">
      <c r="A17" s="113" t="n">
        <v>2013</v>
      </c>
      <c r="B17" s="113" t="inlineStr">
        <is>
          <t>installed capacity of power generation from the comprehensive utilization of low calorific value coal resources</t>
        </is>
      </c>
      <c r="C17" s="113" t="inlineStr">
        <is>
          <t>reach</t>
        </is>
      </c>
      <c r="D17" s="113" t="inlineStr">
        <is>
          <t>76 million kilowatts</t>
        </is>
      </c>
      <c r="E17" s="113" t="n"/>
      <c r="F17" s="114" t="inlineStr">
        <is>
          <t>2015</t>
        </is>
      </c>
      <c r="G17" s="113" t="inlineStr">
        <is>
          <t>n</t>
        </is>
      </c>
      <c r="H17" s="113" t="inlineStr">
        <is>
          <t>Coal-related</t>
        </is>
      </c>
      <c r="I17" s="113" t="inlineStr">
        <is>
          <t>whole economy</t>
        </is>
      </c>
      <c r="J17" s="113" t="inlineStr">
        <is>
          <t>By 2015, the installed capacity of power generation from the comprehensive utilization of low calorific value coal resources will reach 76 million kilowatts.</t>
        </is>
      </c>
      <c r="K17" s="113" t="inlineStr">
        <is>
          <t>DP1301.htm</t>
        </is>
      </c>
      <c r="L17" s="113" t="inlineStr">
        <is>
          <t>Energy/Power</t>
        </is>
      </c>
      <c r="M17" s="113" t="inlineStr">
        <is>
          <t>Energy consumption</t>
        </is>
      </c>
    </row>
    <row r="18" ht="18" customHeight="1" s="235">
      <c r="A18" s="113" t="n">
        <v>2012</v>
      </c>
      <c r="B18" s="113" t="inlineStr">
        <is>
          <t>proportion of waste heat power generation</t>
        </is>
      </c>
      <c r="C18" s="113" t="inlineStr">
        <is>
          <t>increase to</t>
        </is>
      </c>
      <c r="D18" s="113" t="inlineStr">
        <is>
          <t>more than 30%</t>
        </is>
      </c>
      <c r="E18" s="113" t="n"/>
      <c r="F18" s="114" t="inlineStr">
        <is>
          <t>2015</t>
        </is>
      </c>
      <c r="G18" s="113" t="inlineStr">
        <is>
          <t>n</t>
        </is>
      </c>
      <c r="H18" s="113" t="inlineStr">
        <is>
          <t>Energy efficiency</t>
        </is>
      </c>
      <c r="I18" s="113" t="inlineStr">
        <is>
          <t>whole economy</t>
        </is>
      </c>
      <c r="J18" s="113" t="inlineStr">
        <is>
          <t>Promote waste heat power generation from glass production lines, and increase the proportion of waste heat power generation to more than 30% by 2015.</t>
        </is>
      </c>
      <c r="K18" s="113" t="inlineStr">
        <is>
          <t>FYP1201.htm</t>
        </is>
      </c>
      <c r="L18" s="113" t="inlineStr">
        <is>
          <t>Energy/Power</t>
        </is>
      </c>
      <c r="M18" s="113" t="inlineStr">
        <is>
          <t>Reserves</t>
        </is>
      </c>
    </row>
    <row r="19" ht="18" customHeight="1" s="235">
      <c r="A19" s="113" t="n">
        <v>2007</v>
      </c>
      <c r="B19" s="113" t="inlineStr">
        <is>
          <t>output of retained small coal mines</t>
        </is>
      </c>
      <c r="C19" s="113" t="inlineStr">
        <is>
          <t>control within</t>
        </is>
      </c>
      <c r="D19" s="113" t="inlineStr">
        <is>
          <t>200 million tons</t>
        </is>
      </c>
      <c r="E19" s="113" t="n"/>
      <c r="F19" s="114" t="inlineStr">
        <is>
          <t>2010</t>
        </is>
      </c>
      <c r="G19" s="113" t="inlineStr">
        <is>
          <t>r</t>
        </is>
      </c>
      <c r="H19" s="113" t="inlineStr">
        <is>
          <t>Coal-related</t>
        </is>
      </c>
      <c r="I19" s="113" t="inlineStr">
        <is>
          <t>sectors</t>
        </is>
      </c>
      <c r="J19" s="113" t="inlineStr">
        <is>
          <t>By 2010, the output of retained small coal mines will be controlled within 200 million tons.</t>
        </is>
      </c>
      <c r="K19" s="113" t="inlineStr">
        <is>
          <t>FYP0701.htm</t>
        </is>
      </c>
      <c r="L19" s="113" t="inlineStr">
        <is>
          <t>Energy/Power</t>
        </is>
      </c>
      <c r="M19" s="113" t="inlineStr">
        <is>
          <t>Coal power</t>
        </is>
      </c>
    </row>
    <row r="20" ht="18" customHeight="1" s="235">
      <c r="A20" s="113" t="n">
        <v>2013</v>
      </c>
      <c r="B20" s="113" t="inlineStr">
        <is>
          <t>installed capacity of solar power generation from photovoltaic power stations</t>
        </is>
      </c>
      <c r="C20" s="113" t="inlineStr">
        <is>
          <t>reach</t>
        </is>
      </c>
      <c r="D20" s="113" t="inlineStr">
        <is>
          <t>more than 35 million kilowatts</t>
        </is>
      </c>
      <c r="E20" s="113" t="n"/>
      <c r="F20" s="114" t="inlineStr">
        <is>
          <t>2015</t>
        </is>
      </c>
      <c r="G20" s="113" t="inlineStr">
        <is>
          <t>n</t>
        </is>
      </c>
      <c r="H20" s="113" t="inlineStr">
        <is>
          <t>Renewable energy</t>
        </is>
      </c>
      <c r="I20" s="113" t="inlineStr">
        <is>
          <t>whole economy</t>
        </is>
      </c>
      <c r="J20" s="113" t="inlineStr">
        <is>
          <t>By 2015 the total installed capacity of photovoltaic power generation capacity will reach more than 35 million kilowatts.</t>
        </is>
      </c>
      <c r="K20" s="113" t="inlineStr">
        <is>
          <t>O1303.htm</t>
        </is>
      </c>
      <c r="L20" s="113" t="inlineStr">
        <is>
          <t>Energy/Power</t>
        </is>
      </c>
      <c r="M20" s="113" t="inlineStr">
        <is>
          <t>Coal power</t>
        </is>
      </c>
    </row>
    <row r="21" ht="18" customHeight="1" s="235">
      <c r="A21" s="113" t="n">
        <v>2018</v>
      </c>
      <c r="B21" s="113" t="inlineStr">
        <is>
          <t>national photovoltaic (PV) power utilization rate</t>
        </is>
      </c>
      <c r="C21" s="113" t="inlineStr">
        <is>
          <t>exceed</t>
        </is>
      </c>
      <c r="D21" s="113" t="inlineStr">
        <is>
          <t>95%</t>
        </is>
      </c>
      <c r="E21" s="113" t="n"/>
      <c r="F21" s="114" t="n">
        <v>2018</v>
      </c>
      <c r="G21" s="113" t="inlineStr">
        <is>
          <t>n</t>
        </is>
      </c>
      <c r="H21" s="113" t="inlineStr">
        <is>
          <t>Renewable energy</t>
        </is>
      </c>
      <c r="I21" s="113" t="inlineStr">
        <is>
          <t>whole economy</t>
        </is>
      </c>
      <c r="J21" s="113" t="inlineStr">
        <is>
          <t>In 2018, the photovoltaic (PV) power utilization rate should exceed 95%, and the solar curtailment rate should be below 5%, ensuring that curtailed wind and solar generation further decreases compared with 2017</t>
        </is>
      </c>
      <c r="K21" s="113" t="inlineStr">
        <is>
          <t>AP1804.pdf</t>
        </is>
      </c>
      <c r="L21" s="113" t="inlineStr">
        <is>
          <t>Energy/Power</t>
        </is>
      </c>
      <c r="M21" s="113" t="inlineStr">
        <is>
          <t>Coal power</t>
        </is>
      </c>
    </row>
    <row r="22" ht="18" customHeight="1" s="235">
      <c r="A22" s="113" t="n">
        <v>2018</v>
      </c>
      <c r="B22" s="113" t="inlineStr">
        <is>
          <t>national photovoltaic (PV) power utilization rate</t>
        </is>
      </c>
      <c r="C22" s="113" t="inlineStr">
        <is>
          <t>exceed</t>
        </is>
      </c>
      <c r="D22" s="113" t="inlineStr">
        <is>
          <t>95%</t>
        </is>
      </c>
      <c r="E22" s="113" t="n"/>
      <c r="F22" s="114" t="n">
        <v>2019</v>
      </c>
      <c r="G22" s="113" t="inlineStr">
        <is>
          <t>n</t>
        </is>
      </c>
      <c r="H22" s="113" t="inlineStr">
        <is>
          <t>Renewable energy</t>
        </is>
      </c>
      <c r="I22" s="113" t="inlineStr">
        <is>
          <t>whole economy</t>
        </is>
      </c>
      <c r="J22" s="113" t="inlineStr">
        <is>
          <t>In 2019, the photovoltaic power utilization rate should exceed 95%, and the solar curtailment rate should be below 5%.</t>
        </is>
      </c>
      <c r="K22" s="113" t="inlineStr">
        <is>
          <t>AP1804.pdf</t>
        </is>
      </c>
      <c r="L22" s="113" t="inlineStr">
        <is>
          <t>Energy/Power</t>
        </is>
      </c>
      <c r="M22" s="113" t="inlineStr">
        <is>
          <t>Coal power</t>
        </is>
      </c>
    </row>
    <row r="23" ht="18" customHeight="1" s="235">
      <c r="A23" s="113" t="n">
        <v>2018</v>
      </c>
      <c r="B23" s="113" t="inlineStr">
        <is>
          <t>national photovoltaic (PV) power utilization rate</t>
        </is>
      </c>
      <c r="C23" s="113" t="inlineStr">
        <is>
          <t>exceed</t>
        </is>
      </c>
      <c r="D23" s="113" t="inlineStr">
        <is>
          <t>95%</t>
        </is>
      </c>
      <c r="E23" s="113" t="n"/>
      <c r="F23" s="114" t="n">
        <v>2020</v>
      </c>
      <c r="G23" s="113" t="inlineStr">
        <is>
          <t>n</t>
        </is>
      </c>
      <c r="H23" s="113" t="inlineStr">
        <is>
          <t>Renewable energy</t>
        </is>
      </c>
      <c r="I23" s="113" t="inlineStr">
        <is>
          <t>whole economy</t>
        </is>
      </c>
      <c r="J23" s="113" t="inlineStr">
        <is>
          <t>In 2020, the photovoltaic power utilization rate should exceed 95%, and the solar curtailment rate should be below 5%.</t>
        </is>
      </c>
      <c r="K23" s="113" t="inlineStr">
        <is>
          <t>AP1804.pdf</t>
        </is>
      </c>
      <c r="L23" s="113" t="inlineStr">
        <is>
          <t>Energy/Power</t>
        </is>
      </c>
      <c r="M23" s="113" t="inlineStr">
        <is>
          <t>Energy consumption</t>
        </is>
      </c>
    </row>
    <row r="24" ht="18" customHeight="1" s="235">
      <c r="A24" s="113" t="n">
        <v>2018</v>
      </c>
      <c r="B24" s="113" t="inlineStr">
        <is>
          <t>national solar curtailment rate</t>
        </is>
      </c>
      <c r="C24" s="113" t="inlineStr">
        <is>
          <t>keep below</t>
        </is>
      </c>
      <c r="D24" s="113" t="inlineStr">
        <is>
          <t>5%</t>
        </is>
      </c>
      <c r="E24" s="113" t="n"/>
      <c r="F24" s="114" t="n">
        <v>2020</v>
      </c>
      <c r="G24" s="113" t="inlineStr">
        <is>
          <t>n</t>
        </is>
      </c>
      <c r="H24" s="113" t="inlineStr">
        <is>
          <t>Renewable energy</t>
        </is>
      </c>
      <c r="I24" s="113" t="inlineStr">
        <is>
          <t>whole economy</t>
        </is>
      </c>
      <c r="J24" s="113" t="inlineStr">
        <is>
          <t>In 2020, the photovoltaic power utilization rate should exceed 95%, and the solar curtailment rate should be below 5%.</t>
        </is>
      </c>
      <c r="K24" s="113" t="inlineStr">
        <is>
          <t>AP1804.pdf</t>
        </is>
      </c>
      <c r="L24" s="113" t="inlineStr">
        <is>
          <t>Energy/Power</t>
        </is>
      </c>
      <c r="M24" s="113" t="inlineStr">
        <is>
          <t>Coal power</t>
        </is>
      </c>
    </row>
    <row r="25" ht="18" customHeight="1" s="235">
      <c r="A25" s="113" t="n">
        <v>2012</v>
      </c>
      <c r="B25" s="113" t="inlineStr">
        <is>
          <t>national renewable energy utilization</t>
        </is>
      </c>
      <c r="C25" s="113" t="inlineStr">
        <is>
          <t>reach</t>
        </is>
      </c>
      <c r="D25" s="113" t="inlineStr">
        <is>
          <t>300 million tce</t>
        </is>
      </c>
      <c r="E25" s="113" t="n"/>
      <c r="F25" s="114" t="inlineStr">
        <is>
          <t>11th FYP</t>
        </is>
      </c>
      <c r="G25" s="113" t="inlineStr">
        <is>
          <t>n</t>
        </is>
      </c>
      <c r="H25" s="113" t="inlineStr">
        <is>
          <t>Renewable energy</t>
        </is>
      </c>
      <c r="I25" s="113" t="inlineStr">
        <is>
          <t>whole economy</t>
        </is>
      </c>
      <c r="J25" s="113" t="inlineStr">
        <is>
          <t>The major development indicators proposed in the 11th Five-Year Plan for Renewable Energy Development included that the national renewable energy utilization would reach the level equivalent to 300 Mtce.</t>
        </is>
      </c>
      <c r="K25" s="113" t="inlineStr">
        <is>
          <t>HL1201.pdf</t>
        </is>
      </c>
      <c r="L25" s="113" t="inlineStr">
        <is>
          <t>Energy/Power</t>
        </is>
      </c>
      <c r="M25" s="113" t="inlineStr">
        <is>
          <t>Power transmission/Energy transportation</t>
        </is>
      </c>
    </row>
    <row r="26" ht="18" customHeight="1" s="235">
      <c r="A26" s="113" t="n">
        <v>2018</v>
      </c>
      <c r="B26" s="113" t="inlineStr">
        <is>
          <t>national solar curtailment rate</t>
        </is>
      </c>
      <c r="C26" s="113" t="inlineStr">
        <is>
          <t>keep below</t>
        </is>
      </c>
      <c r="D26" s="113" t="inlineStr">
        <is>
          <t>5%</t>
        </is>
      </c>
      <c r="E26" s="113" t="n"/>
      <c r="F26" s="114" t="n">
        <v>2019</v>
      </c>
      <c r="G26" s="113" t="inlineStr">
        <is>
          <t>n</t>
        </is>
      </c>
      <c r="H26" s="113" t="inlineStr">
        <is>
          <t>Renewable energy</t>
        </is>
      </c>
      <c r="I26" s="113" t="inlineStr">
        <is>
          <t>whole economy</t>
        </is>
      </c>
      <c r="J26" s="113" t="inlineStr">
        <is>
          <t>In 2019, the photovoltaic power utilization rate should exceed 95%, and the solar curtailment rate should be below 5%.</t>
        </is>
      </c>
      <c r="K26" s="113" t="inlineStr">
        <is>
          <t>AP1804.pdf</t>
        </is>
      </c>
      <c r="L26" s="113" t="inlineStr">
        <is>
          <t>Energy/Power</t>
        </is>
      </c>
      <c r="M26" s="113" t="inlineStr">
        <is>
          <t>Coal power</t>
        </is>
      </c>
    </row>
    <row r="27" ht="18" customHeight="1" s="235">
      <c r="A27" s="113" t="n">
        <v>2018</v>
      </c>
      <c r="B27" s="113" t="inlineStr">
        <is>
          <t>national average wind curtailment rate</t>
        </is>
      </c>
      <c r="C27" s="113" t="inlineStr">
        <is>
          <t>keep below</t>
        </is>
      </c>
      <c r="D27" s="113" t="inlineStr">
        <is>
          <t>12%</t>
        </is>
      </c>
      <c r="E27" s="113" t="n"/>
      <c r="F27" s="114" t="n">
        <v>2018</v>
      </c>
      <c r="G27" s="113" t="inlineStr">
        <is>
          <t>n</t>
        </is>
      </c>
      <c r="H27" s="113" t="inlineStr">
        <is>
          <t>Renewable energy</t>
        </is>
      </c>
      <c r="I27" s="113" t="inlineStr">
        <is>
          <t>whole economy</t>
        </is>
      </c>
      <c r="J27" s="113" t="inlineStr">
        <is>
          <t>In 2018, ensure that the national average wind power utilization rate exceeds 88% (striving to reach above 90%), and that the wind curtailment rate is below 12% (striving to control it within 10%).</t>
        </is>
      </c>
      <c r="K27" s="113" t="inlineStr">
        <is>
          <t>AP1804.pdf</t>
        </is>
      </c>
      <c r="L27" s="113" t="inlineStr">
        <is>
          <t>Energy/Power</t>
        </is>
      </c>
      <c r="M27" s="113" t="inlineStr">
        <is>
          <t>Coal power</t>
        </is>
      </c>
    </row>
    <row r="28" ht="18" customHeight="1" s="235">
      <c r="A28" s="113" t="n">
        <v>2018</v>
      </c>
      <c r="B28" s="113" t="inlineStr">
        <is>
          <t>national average wind curtailment rate</t>
        </is>
      </c>
      <c r="C28" s="113" t="inlineStr">
        <is>
          <t>keep below</t>
        </is>
      </c>
      <c r="D28" s="113" t="inlineStr">
        <is>
          <t>10%</t>
        </is>
      </c>
      <c r="E28" s="113" t="n"/>
      <c r="F28" s="114" t="n">
        <v>2019</v>
      </c>
      <c r="G28" s="113" t="inlineStr">
        <is>
          <t>n</t>
        </is>
      </c>
      <c r="H28" s="113" t="inlineStr">
        <is>
          <t>Renewable energy</t>
        </is>
      </c>
      <c r="I28" s="113" t="inlineStr">
        <is>
          <t>whole economy</t>
        </is>
      </c>
      <c r="J28" s="113" t="inlineStr">
        <is>
          <t>In 2019, ensure that the national average wind power utilization rate exceeds 90% (striving to reach about 92%), and that the wind curtailment rate is below 10% (striving to control it around 8%).</t>
        </is>
      </c>
      <c r="K28" s="113" t="inlineStr">
        <is>
          <t>AP1804.pdf</t>
        </is>
      </c>
      <c r="L28" s="113" t="inlineStr">
        <is>
          <t>Energy/Power</t>
        </is>
      </c>
      <c r="M28" s="113" t="inlineStr">
        <is>
          <t>Coal power</t>
        </is>
      </c>
    </row>
    <row r="29" ht="18" customHeight="1" s="235">
      <c r="A29" s="0" t="n">
        <v>2018</v>
      </c>
      <c r="B29" s="0" t="inlineStr">
        <is>
          <t>national average wind curtailment rate</t>
        </is>
      </c>
      <c r="C29" s="0" t="inlineStr">
        <is>
          <t>keep below</t>
        </is>
      </c>
      <c r="D29" s="0" t="inlineStr">
        <is>
          <t>5%</t>
        </is>
      </c>
      <c r="F29" s="0" t="n">
        <v>2020</v>
      </c>
      <c r="G29" s="0" t="inlineStr">
        <is>
          <t>n</t>
        </is>
      </c>
      <c r="H29" s="0" t="inlineStr">
        <is>
          <t>Renewable energy</t>
        </is>
      </c>
      <c r="I29" s="0" t="inlineStr">
        <is>
          <t>whole economy</t>
        </is>
      </c>
      <c r="J29" s="0" t="inlineStr">
        <is>
          <t>In 2020, ensure that the national average wind power utilization rate reaches the internationally advanced level (striving for about 95%), and that the wind curtailment rate is kept at a reasonable level (striving to control it around 5%).</t>
        </is>
      </c>
      <c r="K29" s="0" t="inlineStr">
        <is>
          <t>AP1804.pdf</t>
        </is>
      </c>
      <c r="L29" s="0" t="inlineStr">
        <is>
          <t>Energy/Power</t>
        </is>
      </c>
      <c r="M29" s="0" t="inlineStr">
        <is>
          <t>Power transmission/Energy transportation</t>
        </is>
      </c>
    </row>
    <row r="30" ht="18" customHeight="1" s="235">
      <c r="A30" s="0" t="n">
        <v>2018</v>
      </c>
      <c r="B30" s="0" t="inlineStr">
        <is>
          <t>national average wind power utilization rate</t>
        </is>
      </c>
      <c r="C30" s="0" t="inlineStr">
        <is>
          <t>exceed</t>
        </is>
      </c>
      <c r="D30" s="0" t="inlineStr">
        <is>
          <t>88%</t>
        </is>
      </c>
      <c r="F30" s="0" t="n">
        <v>2018</v>
      </c>
      <c r="G30" s="0" t="inlineStr">
        <is>
          <t>n</t>
        </is>
      </c>
      <c r="H30" s="0" t="inlineStr">
        <is>
          <t>Renewable energy</t>
        </is>
      </c>
      <c r="I30" s="0" t="inlineStr">
        <is>
          <t>whole economy</t>
        </is>
      </c>
      <c r="J30" s="0" t="inlineStr">
        <is>
          <t>In 2018, ensure that the national average wind power utilization rate exceeds 88% (striving to reach above 90%), and that the wind curtailment rate is below 12% (striving to control it within 10%).</t>
        </is>
      </c>
      <c r="K30" s="0" t="inlineStr">
        <is>
          <t>AP1804.pdf</t>
        </is>
      </c>
      <c r="L30" s="0" t="inlineStr">
        <is>
          <t>Energy/Power</t>
        </is>
      </c>
      <c r="M30" s="0" t="inlineStr">
        <is>
          <t>Power transmission/Energy transportation</t>
        </is>
      </c>
    </row>
    <row r="31" ht="18" customHeight="1" s="235">
      <c r="A31" s="113" t="n">
        <v>2018</v>
      </c>
      <c r="B31" s="113" t="inlineStr">
        <is>
          <t>national average wind power utilization rate</t>
        </is>
      </c>
      <c r="C31" s="113" t="inlineStr">
        <is>
          <t>exceed</t>
        </is>
      </c>
      <c r="D31" s="113" t="inlineStr">
        <is>
          <t>90%</t>
        </is>
      </c>
      <c r="E31" s="113" t="n"/>
      <c r="F31" s="114" t="n">
        <v>2019</v>
      </c>
      <c r="G31" s="113" t="inlineStr">
        <is>
          <t>n</t>
        </is>
      </c>
      <c r="H31" s="113" t="inlineStr">
        <is>
          <t>Renewable energy</t>
        </is>
      </c>
      <c r="I31" s="113" t="inlineStr">
        <is>
          <t>whole economy</t>
        </is>
      </c>
      <c r="J31" s="113" t="inlineStr">
        <is>
          <t>In 2019, ensure that the national average wind power utilization rate exceeds 90% (striving to reach about 92%), and that the wind curtailment rate is below 10% (striving to control it around 8%).</t>
        </is>
      </c>
      <c r="K31" s="113" t="inlineStr">
        <is>
          <t>AP1804.pdf</t>
        </is>
      </c>
      <c r="L31" s="113" t="inlineStr">
        <is>
          <t>Energy/Power</t>
        </is>
      </c>
      <c r="M31" s="113" t="inlineStr">
        <is>
          <t>Power supply</t>
        </is>
      </c>
    </row>
    <row r="32" ht="18" customHeight="1" s="235">
      <c r="A32" s="113" t="n">
        <v>2018</v>
      </c>
      <c r="B32" s="113" t="inlineStr">
        <is>
          <t>national average wind power utilization rate</t>
        </is>
      </c>
      <c r="C32" s="113" t="inlineStr">
        <is>
          <t>exceed</t>
        </is>
      </c>
      <c r="D32" s="113" t="inlineStr">
        <is>
          <t>95%</t>
        </is>
      </c>
      <c r="E32" s="113" t="n"/>
      <c r="F32" s="114" t="n">
        <v>2020</v>
      </c>
      <c r="G32" s="113" t="inlineStr">
        <is>
          <t>n</t>
        </is>
      </c>
      <c r="H32" s="113" t="inlineStr">
        <is>
          <t>Renewable energy</t>
        </is>
      </c>
      <c r="I32" s="113" t="inlineStr">
        <is>
          <t>whole economy</t>
        </is>
      </c>
      <c r="J32" s="113" t="inlineStr">
        <is>
          <t>In 2020, ensure that the national average wind power utilization rate reaches the internationally advanced level (striving for about 95%), and that the wind curtailment rate is kept at a reasonable level (striving to control it around 5%).</t>
        </is>
      </c>
      <c r="K32" s="113" t="inlineStr">
        <is>
          <t>AP1804.pdf</t>
        </is>
      </c>
      <c r="L32" s="113" t="inlineStr">
        <is>
          <t>Energy/Power</t>
        </is>
      </c>
      <c r="M32" s="113" t="inlineStr">
        <is>
          <t>Power supply</t>
        </is>
      </c>
    </row>
    <row r="33" ht="18" customHeight="1" s="235">
      <c r="A33" s="113" t="n">
        <v>2018</v>
      </c>
      <c r="B33" s="113" t="inlineStr">
        <is>
          <t>national solar curtailment rate</t>
        </is>
      </c>
      <c r="C33" s="113" t="inlineStr">
        <is>
          <t>keep below</t>
        </is>
      </c>
      <c r="D33" s="113" t="inlineStr">
        <is>
          <t>5%</t>
        </is>
      </c>
      <c r="E33" s="113" t="n"/>
      <c r="F33" s="114" t="n">
        <v>2018</v>
      </c>
      <c r="G33" s="113" t="inlineStr">
        <is>
          <t>n</t>
        </is>
      </c>
      <c r="H33" s="113" t="inlineStr">
        <is>
          <t>Renewable energy</t>
        </is>
      </c>
      <c r="I33" s="113" t="inlineStr">
        <is>
          <t>whole economy</t>
        </is>
      </c>
      <c r="J33" s="113" t="inlineStr">
        <is>
          <t>In 2018, the photovoltaic (PV) power utilization rate should exceed 95%, and the solar curtailment rate should be below 5%, ensuring that curtailed wind and solar generation further decreases compared with 2017</t>
        </is>
      </c>
      <c r="K33" s="113" t="inlineStr">
        <is>
          <t>AP1804.pdf</t>
        </is>
      </c>
      <c r="L33" s="113" t="inlineStr">
        <is>
          <t>Energy/Power</t>
        </is>
      </c>
      <c r="M33" s="113" t="inlineStr">
        <is>
          <t>Coal power</t>
        </is>
      </c>
    </row>
    <row r="34" ht="18" customHeight="1" s="235">
      <c r="A34" s="113" t="n">
        <v>2018</v>
      </c>
      <c r="B34" s="113" t="inlineStr">
        <is>
          <t>national hydropower utilization rate</t>
        </is>
      </c>
      <c r="C34" s="113" t="inlineStr">
        <is>
          <t>exceed</t>
        </is>
      </c>
      <c r="D34" s="113" t="inlineStr">
        <is>
          <t>95%</t>
        </is>
      </c>
      <c r="E34" s="113" t="n"/>
      <c r="F34" s="114" t="n">
        <v>2018</v>
      </c>
      <c r="G34" s="113" t="inlineStr">
        <is>
          <t>n</t>
        </is>
      </c>
      <c r="H34" s="113" t="inlineStr">
        <is>
          <t>Renewable energy</t>
        </is>
      </c>
      <c r="I34" s="113" t="inlineStr">
        <is>
          <t>whole economy</t>
        </is>
      </c>
      <c r="J34" s="113" t="inlineStr">
        <is>
          <t>in 2018, the national hydropower utilization rate should be above 95%.</t>
        </is>
      </c>
      <c r="K34" s="113" t="inlineStr">
        <is>
          <t>AP1804.pdf</t>
        </is>
      </c>
      <c r="L34" s="113" t="inlineStr">
        <is>
          <t>Energy/Power</t>
        </is>
      </c>
      <c r="M34" s="113" t="inlineStr">
        <is>
          <t>Coal power</t>
        </is>
      </c>
    </row>
    <row r="35" ht="18" customHeight="1" s="235">
      <c r="A35" s="113" t="n">
        <v>2018</v>
      </c>
      <c r="B35" s="113" t="inlineStr">
        <is>
          <t>national hydropower utilization rate</t>
        </is>
      </c>
      <c r="C35" s="113" t="inlineStr">
        <is>
          <t>exceed</t>
        </is>
      </c>
      <c r="D35" s="113" t="inlineStr">
        <is>
          <t>95%</t>
        </is>
      </c>
      <c r="E35" s="113" t="n"/>
      <c r="F35" s="114" t="n">
        <v>2019</v>
      </c>
      <c r="G35" s="113" t="inlineStr">
        <is>
          <t>n</t>
        </is>
      </c>
      <c r="H35" s="113" t="inlineStr">
        <is>
          <t>Renewable energy</t>
        </is>
      </c>
      <c r="I35" s="113" t="inlineStr">
        <is>
          <t>whole economy</t>
        </is>
      </c>
      <c r="J35" s="113" t="inlineStr">
        <is>
          <t>In 2019, the national hydropower utilization rate should be above 95%.</t>
        </is>
      </c>
      <c r="K35" s="113" t="inlineStr">
        <is>
          <t>AP1804.pdf</t>
        </is>
      </c>
      <c r="L35" s="113" t="inlineStr">
        <is>
          <t>Energy/Power</t>
        </is>
      </c>
      <c r="M35" s="113" t="inlineStr">
        <is>
          <t>Coal power</t>
        </is>
      </c>
    </row>
    <row r="36" ht="18" customHeight="1" s="235">
      <c r="A36" s="0" t="n">
        <v>2018</v>
      </c>
      <c r="B36" s="0" t="inlineStr">
        <is>
          <t>national hydropower utilization rate</t>
        </is>
      </c>
      <c r="C36" s="0" t="inlineStr">
        <is>
          <t>exceed</t>
        </is>
      </c>
      <c r="D36" s="0" t="inlineStr">
        <is>
          <t>95%</t>
        </is>
      </c>
      <c r="F36" s="0" t="n">
        <v>2020</v>
      </c>
      <c r="G36" s="0" t="inlineStr">
        <is>
          <t>n</t>
        </is>
      </c>
      <c r="H36" s="0" t="inlineStr">
        <is>
          <t>Renewable energy</t>
        </is>
      </c>
      <c r="I36" s="0" t="inlineStr">
        <is>
          <t>whole economy</t>
        </is>
      </c>
      <c r="J36" s="0" t="inlineStr">
        <is>
          <t>In 2020, the national hydropower utilization rate should be above 95%.</t>
        </is>
      </c>
      <c r="K36" s="0" t="inlineStr">
        <is>
          <t>AP1804.pdf</t>
        </is>
      </c>
      <c r="L36" s="0" t="inlineStr">
        <is>
          <t>Energy/Power</t>
        </is>
      </c>
      <c r="M36" s="0" t="inlineStr">
        <is>
          <t>Other</t>
        </is>
      </c>
    </row>
    <row r="37" ht="18" customHeight="1" s="235">
      <c r="A37" s="0" t="n">
        <v>2014</v>
      </c>
      <c r="B37" s="0" t="inlineStr">
        <is>
          <t>national coal railway transportation capacity</t>
        </is>
      </c>
      <c r="C37" s="0" t="inlineStr">
        <is>
          <t>reach</t>
        </is>
      </c>
      <c r="D37" s="0" t="inlineStr">
        <is>
          <t>3 billion tons</t>
        </is>
      </c>
      <c r="F37" s="0" t="inlineStr">
        <is>
          <t>2020</t>
        </is>
      </c>
      <c r="G37" s="0" t="inlineStr">
        <is>
          <t>n</t>
        </is>
      </c>
      <c r="H37" s="0" t="inlineStr">
        <is>
          <t>Coal-related</t>
        </is>
      </c>
      <c r="I37" s="0" t="inlineStr">
        <is>
          <t>whole economy</t>
        </is>
      </c>
      <c r="J37" s="0" t="inlineStr">
        <is>
          <t>By 2020, the national coal railway transportation capacity will reach 3 billion tons.</t>
        </is>
      </c>
      <c r="K37" s="0" t="inlineStr">
        <is>
          <t>AP1401.htm</t>
        </is>
      </c>
      <c r="L37" s="0" t="inlineStr">
        <is>
          <t>Energy/Power</t>
        </is>
      </c>
      <c r="M37" s="0" t="inlineStr">
        <is>
          <t>Other</t>
        </is>
      </c>
    </row>
    <row r="38" ht="18" customHeight="1" s="235">
      <c r="A38" s="113" t="n">
        <v>2025</v>
      </c>
      <c r="B38" s="113" t="inlineStr">
        <is>
          <t>national virtual power plant regulation capacity</t>
        </is>
      </c>
      <c r="C38" s="113" t="inlineStr">
        <is>
          <t>reach</t>
        </is>
      </c>
      <c r="D38" s="113" t="inlineStr">
        <is>
          <t>more than 50 million kilowatts</t>
        </is>
      </c>
      <c r="E38" s="113" t="n"/>
      <c r="F38" s="114" t="inlineStr">
        <is>
          <t>2030</t>
        </is>
      </c>
      <c r="G38" s="113" t="inlineStr">
        <is>
          <t>n</t>
        </is>
      </c>
      <c r="H38" s="113" t="inlineStr">
        <is>
          <t>Renewable energy</t>
        </is>
      </c>
      <c r="I38" s="113" t="inlineStr">
        <is>
          <t>whole economy</t>
        </is>
      </c>
      <c r="J38" s="113" t="inlineStr">
        <is>
          <t>By 2030, the application scenarios of virtual power plants will be further expanded, various business models will be innovatively developed, and the national virtual power plant regulation capacity will reach more than 50 million kilowatts.</t>
        </is>
      </c>
      <c r="K38" s="113" t="inlineStr">
        <is>
          <t>GO2501.htm</t>
        </is>
      </c>
      <c r="L38" s="113" t="inlineStr">
        <is>
          <t>Energy/Power</t>
        </is>
      </c>
      <c r="M38" s="113" t="inlineStr">
        <is>
          <t>Power supply</t>
        </is>
      </c>
    </row>
    <row r="39" ht="18" customHeight="1" s="235">
      <c r="A39" s="113" t="n">
        <v>2025</v>
      </c>
      <c r="B39" s="113" t="inlineStr">
        <is>
          <t>national virtual power plant regulation capacity</t>
        </is>
      </c>
      <c r="C39" s="113" t="inlineStr">
        <is>
          <t>reach</t>
        </is>
      </c>
      <c r="D39" s="113" t="inlineStr">
        <is>
          <t>more than 20 million kilowatts</t>
        </is>
      </c>
      <c r="E39" s="113" t="n"/>
      <c r="F39" s="114" t="inlineStr">
        <is>
          <t>2027</t>
        </is>
      </c>
      <c r="G39" s="113" t="inlineStr">
        <is>
          <t>n</t>
        </is>
      </c>
      <c r="H39" s="113" t="inlineStr">
        <is>
          <t>Renewable energy</t>
        </is>
      </c>
      <c r="I39" s="113" t="inlineStr">
        <is>
          <t>whole economy</t>
        </is>
      </c>
      <c r="J39" s="113" t="inlineStr">
        <is>
          <t>By 2027, the construction, operation and management mechanism of virtual power plants will be mature and standardized, the mechanism for participating in the electricity market will be sound and complete, and the national virtual power plant regulation capacity will reach more than 20 million kilowatts.</t>
        </is>
      </c>
      <c r="K39" s="113" t="inlineStr">
        <is>
          <t>GO2501.htm</t>
        </is>
      </c>
      <c r="L39" s="113" t="inlineStr">
        <is>
          <t>Energy/Power</t>
        </is>
      </c>
      <c r="M39" s="113" t="inlineStr">
        <is>
          <t>Power supply</t>
        </is>
      </c>
    </row>
    <row r="40" ht="18" customHeight="1" s="235">
      <c r="A40" s="113" t="n">
        <v>2013</v>
      </c>
      <c r="B40" s="113" t="inlineStr">
        <is>
          <t>total electricity consumption</t>
        </is>
      </c>
      <c r="C40" s="113" t="inlineStr">
        <is>
          <t>increase to</t>
        </is>
      </c>
      <c r="D40" s="113" t="inlineStr">
        <is>
          <t>6.15 trillion kWh</t>
        </is>
      </c>
      <c r="E40" s="113" t="n"/>
      <c r="F40" s="114" t="inlineStr">
        <is>
          <t>2015</t>
        </is>
      </c>
      <c r="G40" s="113" t="inlineStr">
        <is>
          <t>r</t>
        </is>
      </c>
      <c r="H40" s="113" t="inlineStr">
        <is>
          <t>Electrification</t>
        </is>
      </c>
      <c r="I40" s="113" t="inlineStr">
        <is>
          <t>whole economy</t>
        </is>
      </c>
      <c r="J40" s="113" t="inlineStr">
        <is>
          <t>By 2015, total national energy consumption and electricity consumption will be controlled at around 4 billion tons of standard coal and 6.15 trillion kilowatt-hours respectively.</t>
        </is>
      </c>
      <c r="K40" s="113" t="inlineStr">
        <is>
          <t>FYP1302.htm</t>
        </is>
      </c>
      <c r="L40" s="113" t="inlineStr">
        <is>
          <t>Energy/Power</t>
        </is>
      </c>
      <c r="M40" s="113" t="inlineStr">
        <is>
          <t>Power supply</t>
        </is>
      </c>
    </row>
    <row r="41" ht="18" customHeight="1" s="235">
      <c r="A41" s="113" t="n">
        <v>2013</v>
      </c>
      <c r="B41" s="113" t="inlineStr">
        <is>
          <t>total electricity consumption</t>
        </is>
      </c>
      <c r="C41" s="113" t="inlineStr">
        <is>
          <t>reach</t>
        </is>
      </c>
      <c r="D41" s="113" t="inlineStr">
        <is>
          <t>6.15 trillion kilowatt-hours</t>
        </is>
      </c>
      <c r="E41" s="113" t="n"/>
      <c r="F41" s="114" t="inlineStr">
        <is>
          <t>2015</t>
        </is>
      </c>
      <c r="G41" s="113" t="inlineStr">
        <is>
          <t>n</t>
        </is>
      </c>
      <c r="H41" s="113" t="inlineStr">
        <is>
          <t>Electrification</t>
        </is>
      </c>
      <c r="I41" s="113" t="inlineStr">
        <is>
          <t>whole economy</t>
        </is>
      </c>
      <c r="J41" s="113" t="inlineStr">
        <is>
          <t>By 2015, total electricity consumption will reach 6.15 trillion kilowatt-hours</t>
        </is>
      </c>
      <c r="K41" s="113" t="inlineStr">
        <is>
          <t>FYP1302.htm</t>
        </is>
      </c>
      <c r="L41" s="113" t="inlineStr">
        <is>
          <t>Energy/Power</t>
        </is>
      </c>
      <c r="M41" s="113" t="inlineStr">
        <is>
          <t>Power supply</t>
        </is>
      </c>
    </row>
    <row r="42" ht="18" customHeight="1" s="235">
      <c r="A42" s="113" t="n">
        <v>2021</v>
      </c>
      <c r="B42" s="113" t="inlineStr">
        <is>
          <t>energy efficiency leaders</t>
        </is>
      </c>
      <c r="C42" s="113" t="inlineStr">
        <is>
          <t>select</t>
        </is>
      </c>
      <c r="D42" s="113" t="inlineStr">
        <is>
          <t>200</t>
        </is>
      </c>
      <c r="E42" s="113" t="n"/>
      <c r="F42" s="114" t="inlineStr">
        <is>
          <t>2025</t>
        </is>
      </c>
      <c r="G42" s="113" t="inlineStr">
        <is>
          <t>n</t>
        </is>
      </c>
      <c r="H42" s="113" t="inlineStr">
        <is>
          <t>Energy efficiency</t>
        </is>
      </c>
      <c r="I42" s="113" t="inlineStr">
        <is>
          <t>unclear</t>
        </is>
      </c>
      <c r="J42" s="113" t="inlineStr">
        <is>
          <t>By 2025, 200 public institutions will be selected as energy efficiency leaders.</t>
        </is>
      </c>
      <c r="K42" s="113" t="inlineStr">
        <is>
          <t>FYP2107.htm</t>
        </is>
      </c>
      <c r="L42" s="113" t="inlineStr">
        <is>
          <t>Energy/Power</t>
        </is>
      </c>
      <c r="M42" s="113" t="inlineStr">
        <is>
          <t>Coal power</t>
        </is>
      </c>
    </row>
    <row r="43" ht="18" customHeight="1" s="235">
      <c r="A43" s="113" t="n">
        <v>2013</v>
      </c>
      <c r="B43" s="113" t="inlineStr">
        <is>
          <t>rural biogas utilization</t>
        </is>
      </c>
      <c r="C43" s="113" t="inlineStr">
        <is>
          <t>reach</t>
        </is>
      </c>
      <c r="D43" s="113" t="inlineStr">
        <is>
          <t>19 billion cubic meters</t>
        </is>
      </c>
      <c r="E43" s="113" t="n"/>
      <c r="F43" s="114" t="inlineStr">
        <is>
          <t>2015</t>
        </is>
      </c>
      <c r="G43" s="113" t="inlineStr">
        <is>
          <t>n</t>
        </is>
      </c>
      <c r="H43" s="113" t="inlineStr">
        <is>
          <t>Renewable energy</t>
        </is>
      </c>
      <c r="I43" s="113" t="inlineStr">
        <is>
          <t>areas</t>
        </is>
      </c>
      <c r="J43" s="113" t="inlineStr">
        <is>
          <t>By 2015, rural biogas utilization will reach 19 billion cubic meters annually.</t>
        </is>
      </c>
      <c r="K43" s="113" t="inlineStr">
        <is>
          <t>FYP1302.htm</t>
        </is>
      </c>
      <c r="L43" s="113" t="inlineStr">
        <is>
          <t>Energy/Power</t>
        </is>
      </c>
      <c r="M43" s="113" t="inlineStr">
        <is>
          <t>Coal power</t>
        </is>
      </c>
    </row>
    <row r="44" ht="18" customHeight="1" s="235">
      <c r="A44" s="113" t="n">
        <v>2013</v>
      </c>
      <c r="B44" s="113" t="inlineStr">
        <is>
          <t>rural biogas users</t>
        </is>
      </c>
      <c r="C44" s="113" t="inlineStr">
        <is>
          <t>reach</t>
        </is>
      </c>
      <c r="D44" s="113" t="inlineStr">
        <is>
          <t>50 million households</t>
        </is>
      </c>
      <c r="E44" s="113" t="n"/>
      <c r="F44" s="114" t="inlineStr">
        <is>
          <t>2015</t>
        </is>
      </c>
      <c r="G44" s="113" t="inlineStr">
        <is>
          <t>n</t>
        </is>
      </c>
      <c r="H44" s="113" t="inlineStr">
        <is>
          <t>Renewable energy</t>
        </is>
      </c>
      <c r="I44" s="113" t="inlineStr">
        <is>
          <t>areas</t>
        </is>
      </c>
      <c r="J44" s="113" t="inlineStr">
        <is>
          <t>By 2015, rural biogas users will reach 50 million households.</t>
        </is>
      </c>
      <c r="K44" s="113" t="inlineStr">
        <is>
          <t>FYP1302.htm</t>
        </is>
      </c>
      <c r="L44" s="113" t="inlineStr">
        <is>
          <t>Energy/Power</t>
        </is>
      </c>
      <c r="M44" s="113" t="inlineStr">
        <is>
          <t>Energy consumption</t>
        </is>
      </c>
    </row>
    <row r="45" ht="18" customHeight="1" s="235">
      <c r="A45" s="113" t="n">
        <v>2013</v>
      </c>
      <c r="B45" s="113" t="inlineStr">
        <is>
          <t>distributed natural gas energy projects</t>
        </is>
      </c>
      <c r="C45" s="113" t="inlineStr">
        <is>
          <t>build</t>
        </is>
      </c>
      <c r="D45" s="113" t="inlineStr">
        <is>
          <t>about 1000 projects</t>
        </is>
      </c>
      <c r="E45" s="113" t="n"/>
      <c r="F45" s="114" t="inlineStr">
        <is>
          <t>2015</t>
        </is>
      </c>
      <c r="G45" s="113" t="inlineStr">
        <is>
          <t>n</t>
        </is>
      </c>
      <c r="H45" s="113" t="inlineStr">
        <is>
          <t>Transitional energy</t>
        </is>
      </c>
      <c r="I45" s="113" t="inlineStr">
        <is>
          <t>sectors</t>
        </is>
      </c>
      <c r="J45" s="113" t="inlineStr">
        <is>
          <t>By 2015, about 1,000 distributed natural gas energy projects will be built.</t>
        </is>
      </c>
      <c r="K45" s="113" t="inlineStr">
        <is>
          <t>FYP1302.htm</t>
        </is>
      </c>
      <c r="L45" s="113" t="inlineStr">
        <is>
          <t>Energy/Power</t>
        </is>
      </c>
      <c r="M45" s="113" t="inlineStr">
        <is>
          <t>Energy consumption</t>
        </is>
      </c>
    </row>
    <row r="46" ht="18" customHeight="1" s="235">
      <c r="A46" s="0" t="n">
        <v>2013</v>
      </c>
      <c r="B46" s="0" t="inlineStr">
        <is>
          <t>distributed natural gas energy projects</t>
        </is>
      </c>
      <c r="C46" s="0" t="inlineStr">
        <is>
          <t>create</t>
        </is>
      </c>
      <c r="D46" s="0" t="inlineStr">
        <is>
          <t>10 demonstration zones</t>
        </is>
      </c>
      <c r="F46" s="0" t="inlineStr">
        <is>
          <t>2015</t>
        </is>
      </c>
      <c r="G46" s="0" t="inlineStr">
        <is>
          <t>n</t>
        </is>
      </c>
      <c r="H46" s="0" t="inlineStr">
        <is>
          <t>Transitional energy</t>
        </is>
      </c>
      <c r="I46" s="0" t="inlineStr">
        <is>
          <t>unclear</t>
        </is>
      </c>
      <c r="J46" s="0" t="inlineStr">
        <is>
          <t>By 2015, 10 distributed natural gas energy demonstration zones will be created.</t>
        </is>
      </c>
      <c r="K46" s="0" t="inlineStr">
        <is>
          <t>FYP1302.htm</t>
        </is>
      </c>
      <c r="L46" s="0" t="inlineStr">
        <is>
          <t>Energy/Power</t>
        </is>
      </c>
      <c r="M46" s="0" t="inlineStr">
        <is>
          <t>Energy consumption</t>
        </is>
      </c>
    </row>
    <row r="47" ht="18" customHeight="1" s="235">
      <c r="A47" s="113" t="n">
        <v>2012</v>
      </c>
      <c r="B47" s="113" t="inlineStr">
        <is>
          <t>distributed natural gas energy projects</t>
        </is>
      </c>
      <c r="C47" s="113" t="inlineStr">
        <is>
          <t>build</t>
        </is>
      </c>
      <c r="D47" s="113" t="inlineStr">
        <is>
          <t>1000 projects</t>
        </is>
      </c>
      <c r="E47" s="113" t="n"/>
      <c r="F47" s="114" t="inlineStr">
        <is>
          <t>12th FYP</t>
        </is>
      </c>
      <c r="G47" s="113" t="inlineStr">
        <is>
          <t>n</t>
        </is>
      </c>
      <c r="H47" s="113" t="inlineStr">
        <is>
          <t>Transitional energy</t>
        </is>
      </c>
      <c r="I47" s="113" t="inlineStr">
        <is>
          <t>unclear</t>
        </is>
      </c>
      <c r="J47" s="113" t="inlineStr">
        <is>
          <t>During the 12th Five-Year Plan period, about 1,000 natural gas distributed energy projects and about 10 distributed energy demonstration areas with various typical characteristics will be built.</t>
        </is>
      </c>
      <c r="K47" s="113" t="inlineStr">
        <is>
          <t>WP1201.htm</t>
        </is>
      </c>
      <c r="L47" s="113" t="inlineStr">
        <is>
          <t>Energy/Power</t>
        </is>
      </c>
      <c r="M47" s="113" t="inlineStr">
        <is>
          <t>Power supply</t>
        </is>
      </c>
    </row>
    <row r="48" ht="18" customHeight="1" s="235">
      <c r="A48" s="113" t="n">
        <v>2013</v>
      </c>
      <c r="B48" s="113" t="inlineStr">
        <is>
          <t>installed capacity of solar power generation from distributed photovoltaic power generation</t>
        </is>
      </c>
      <c r="C48" s="113" t="inlineStr">
        <is>
          <t>reach</t>
        </is>
      </c>
      <c r="D48" s="113" t="inlineStr">
        <is>
          <t>10 million kilowatts</t>
        </is>
      </c>
      <c r="E48" s="113" t="n"/>
      <c r="F48" s="114" t="inlineStr">
        <is>
          <t>2015</t>
        </is>
      </c>
      <c r="G48" s="113" t="inlineStr">
        <is>
          <t>n</t>
        </is>
      </c>
      <c r="H48" s="113" t="inlineStr">
        <is>
          <t>Renewable energy</t>
        </is>
      </c>
      <c r="I48" s="113" t="inlineStr">
        <is>
          <t>whole economy</t>
        </is>
      </c>
      <c r="J48" s="113" t="inlineStr">
        <is>
          <t>By 2015, distributed solar power generation capacity will reach 10 million kilowatts.</t>
        </is>
      </c>
      <c r="K48" s="113" t="inlineStr">
        <is>
          <t>FYP1302.htm</t>
        </is>
      </c>
      <c r="L48" s="113" t="inlineStr">
        <is>
          <t>Energy/Power</t>
        </is>
      </c>
      <c r="M48" s="113" t="inlineStr">
        <is>
          <t>Power supply</t>
        </is>
      </c>
    </row>
    <row r="49" ht="18" customHeight="1" s="235">
      <c r="A49" s="113" t="n">
        <v>2018</v>
      </c>
      <c r="B49" s="113" t="inlineStr">
        <is>
          <t>total coal consumption in Beijing, Tianjin, Hebei, Shandong and Henan</t>
        </is>
      </c>
      <c r="C49" s="113" t="inlineStr">
        <is>
          <t>reduce by</t>
        </is>
      </c>
      <c r="D49" s="113" t="inlineStr">
        <is>
          <t>10% compared with 2015</t>
        </is>
      </c>
      <c r="E49" s="113" t="n">
        <v>2015</v>
      </c>
      <c r="F49" s="114" t="inlineStr">
        <is>
          <t>2020</t>
        </is>
      </c>
      <c r="G49" s="113" t="inlineStr">
        <is>
          <t>r</t>
        </is>
      </c>
      <c r="H49" s="113" t="inlineStr">
        <is>
          <t>Coal-related</t>
        </is>
      </c>
      <c r="I49" s="113" t="inlineStr">
        <is>
          <t>whole economy</t>
        </is>
      </c>
      <c r="J49" s="113" t="inlineStr">
        <is>
          <t>By 2020, the total coal consumption in Beijing, Tianjin, Hebei, Shandong and Henan will drop by 10% compared with 2015.</t>
        </is>
      </c>
      <c r="K49" s="113" t="inlineStr">
        <is>
          <t>AP1802.htm</t>
        </is>
      </c>
      <c r="L49" s="113" t="inlineStr">
        <is>
          <t>Energy/Power</t>
        </is>
      </c>
      <c r="M49" s="113" t="inlineStr">
        <is>
          <t>Power supply</t>
        </is>
      </c>
    </row>
    <row r="50" ht="18" customHeight="1" s="235">
      <c r="A50" s="113" t="n">
        <v>2018</v>
      </c>
      <c r="B50" s="113" t="inlineStr">
        <is>
          <t>total coal consumption in Beijing, Tianjin, Hebei, Shandong, Henan, and the Pearl River Delta region</t>
        </is>
      </c>
      <c r="C50" s="113" t="inlineStr">
        <is>
          <t>reduce by</t>
        </is>
      </c>
      <c r="D50" s="113" t="inlineStr">
        <is>
          <t>10%</t>
        </is>
      </c>
      <c r="E50" s="113" t="n">
        <v>2015</v>
      </c>
      <c r="F50" s="114" t="inlineStr">
        <is>
          <t>2020</t>
        </is>
      </c>
      <c r="G50" s="113" t="inlineStr">
        <is>
          <t>r</t>
        </is>
      </c>
      <c r="H50" s="113" t="inlineStr">
        <is>
          <t>Coal-related</t>
        </is>
      </c>
      <c r="I50" s="113" t="inlineStr">
        <is>
          <t>areas</t>
        </is>
      </c>
      <c r="J50" s="113" t="inlineStr">
        <is>
          <t>By 2020, total coal consumption in Beijing, Tianjin, Hebei, Shandong, Henan, and the Pearl River Delta region will have dropped by about 10% compared with 2015.</t>
        </is>
      </c>
      <c r="K50" s="113" t="inlineStr">
        <is>
          <t>O1802.htm</t>
        </is>
      </c>
      <c r="L50" s="113" t="inlineStr">
        <is>
          <t>Energy/Power</t>
        </is>
      </c>
      <c r="M50" s="113" t="inlineStr">
        <is>
          <t>Energy consumption</t>
        </is>
      </c>
    </row>
    <row r="51" ht="18" customHeight="1" s="235">
      <c r="A51" s="113" t="n">
        <v>2007</v>
      </c>
      <c r="B51" s="113" t="inlineStr">
        <is>
          <t>energy-saving capacity through ten key energy-saving projects</t>
        </is>
      </c>
      <c r="C51" s="113" t="inlineStr">
        <is>
          <t>achieve</t>
        </is>
      </c>
      <c r="D51" s="113" t="inlineStr">
        <is>
          <t>240 million tons</t>
        </is>
      </c>
      <c r="E51" s="113" t="n"/>
      <c r="F51" s="114" t="inlineStr">
        <is>
          <t>11th FYP</t>
        </is>
      </c>
      <c r="G51" s="113" t="inlineStr">
        <is>
          <t>n</t>
        </is>
      </c>
      <c r="H51" s="113" t="inlineStr">
        <is>
          <t>Energy saving</t>
        </is>
      </c>
      <c r="I51" s="113" t="inlineStr">
        <is>
          <t>unclear</t>
        </is>
      </c>
      <c r="J51" s="113" t="inlineStr">
        <is>
          <t>energy-saving capacity of 240 million tons of standard coal will be achieved through ten key energy-saving projects during the 11th Five-Year Plan period.</t>
        </is>
      </c>
      <c r="K51" s="113" t="inlineStr">
        <is>
          <t>WOP0701.htm</t>
        </is>
      </c>
      <c r="L51" s="113" t="inlineStr">
        <is>
          <t>Energy/Power</t>
        </is>
      </c>
      <c r="M51" s="113" t="inlineStr">
        <is>
          <t>Energy consumption</t>
        </is>
      </c>
    </row>
    <row r="52" ht="18" customHeight="1" s="235">
      <c r="A52" s="113" t="n">
        <v>2023</v>
      </c>
      <c r="B52" s="113" t="inlineStr">
        <is>
          <t>proportion of large refineries in total oil refining</t>
        </is>
      </c>
      <c r="C52" s="113" t="inlineStr">
        <is>
          <t>account for</t>
        </is>
      </c>
      <c r="D52" s="113" t="inlineStr">
        <is>
          <t>55%</t>
        </is>
      </c>
      <c r="E52" s="113" t="n"/>
      <c r="F52" s="114" t="inlineStr">
        <is>
          <t>2025</t>
        </is>
      </c>
      <c r="G52" s="113" t="inlineStr">
        <is>
          <t>n</t>
        </is>
      </c>
      <c r="H52" s="113" t="inlineStr">
        <is>
          <t>Transitional energy</t>
        </is>
      </c>
      <c r="I52" s="113" t="inlineStr">
        <is>
          <t>whole economy</t>
        </is>
      </c>
      <c r="J52" s="113" t="inlineStr">
        <is>
          <t>By 2025, China’s primary crude oil processing capacity will be controlled within 1 billion tons, and about 55% of China’s total oil refining capacity should come from large refineries that have a capacity of at least 10 million tons per year.</t>
        </is>
      </c>
      <c r="K52" s="113" t="inlineStr">
        <is>
          <t>GO2304.htm</t>
        </is>
      </c>
      <c r="L52" s="113" t="inlineStr">
        <is>
          <t>Energy/Power</t>
        </is>
      </c>
      <c r="M52" s="113" t="inlineStr">
        <is>
          <t>Power supply</t>
        </is>
      </c>
    </row>
    <row r="53" ht="18" customHeight="1" s="235">
      <c r="A53" s="113" t="n">
        <v>2018</v>
      </c>
      <c r="B53" s="113" t="inlineStr">
        <is>
          <t xml:space="preserve">energy consumption per unit of GDP  </t>
        </is>
      </c>
      <c r="C53" s="113" t="inlineStr">
        <is>
          <t>reduce by</t>
        </is>
      </c>
      <c r="D53" s="113" t="inlineStr">
        <is>
          <t>more than 3%</t>
        </is>
      </c>
      <c r="E53" s="113" t="n">
        <v>2017</v>
      </c>
      <c r="F53" s="114" t="n">
        <v>2018</v>
      </c>
      <c r="G53" s="113" t="inlineStr">
        <is>
          <t>n</t>
        </is>
      </c>
      <c r="H53" s="113" t="inlineStr">
        <is>
          <t>Energy efficiency</t>
        </is>
      </c>
      <c r="I53" s="113" t="inlineStr">
        <is>
          <t>whole economy</t>
        </is>
      </c>
      <c r="J53" s="113" t="inlineStr">
        <is>
          <t>Unit GDP energy consumption is to be reduced by more than 3%.</t>
        </is>
      </c>
      <c r="K53" s="113" t="inlineStr">
        <is>
          <t>HL1803.htm</t>
        </is>
      </c>
      <c r="L53" s="113" t="inlineStr">
        <is>
          <t>Energy/Power</t>
        </is>
      </c>
      <c r="M53" s="113" t="inlineStr">
        <is>
          <t>Power transmission/Energy transportation</t>
        </is>
      </c>
    </row>
    <row r="54" ht="18" customHeight="1" s="235">
      <c r="A54" s="113" t="n">
        <v>2007</v>
      </c>
      <c r="B54" s="113" t="inlineStr">
        <is>
          <t>energy consumption per unit of GDP</t>
        </is>
      </c>
      <c r="C54" s="113" t="inlineStr">
        <is>
          <t>reduce by</t>
        </is>
      </c>
      <c r="D54" s="113" t="inlineStr">
        <is>
          <t>20%</t>
        </is>
      </c>
      <c r="E54" s="113" t="n">
        <v>2005</v>
      </c>
      <c r="F54" s="114" t="inlineStr">
        <is>
          <t>2010</t>
        </is>
      </c>
      <c r="G54" s="113" t="inlineStr">
        <is>
          <t>r</t>
        </is>
      </c>
      <c r="H54" s="113" t="inlineStr">
        <is>
          <t>Energy efficiency</t>
        </is>
      </c>
      <c r="I54" s="113" t="inlineStr">
        <is>
          <t>whole economy</t>
        </is>
      </c>
      <c r="J54" s="113" t="inlineStr">
        <is>
          <t>By all these means, China will achieve the target of about 20% reduction of energy consumption per unit GDP by 2010 compared to 2005, and consequently reduce CO2 emissions.</t>
        </is>
      </c>
      <c r="K54" s="113" t="inlineStr">
        <is>
          <t>HL0701.pdf</t>
        </is>
      </c>
      <c r="L54" s="113" t="inlineStr">
        <is>
          <t>Energy/Power</t>
        </is>
      </c>
      <c r="M54" s="113" t="inlineStr">
        <is>
          <t>Power supply</t>
        </is>
      </c>
    </row>
    <row r="55" ht="18" customHeight="1" s="235">
      <c r="A55" s="113" t="n">
        <v>2012</v>
      </c>
      <c r="B55" s="113" t="inlineStr">
        <is>
          <t>energy consumption per unit of GDP</t>
        </is>
      </c>
      <c r="C55" s="113" t="inlineStr">
        <is>
          <t>reduce by</t>
        </is>
      </c>
      <c r="D55" s="113" t="inlineStr">
        <is>
          <t>16%</t>
        </is>
      </c>
      <c r="E55" s="113" t="n"/>
      <c r="F55" s="114" t="inlineStr">
        <is>
          <t>12th FYP</t>
        </is>
      </c>
      <c r="G55" s="113" t="inlineStr">
        <is>
          <t>r</t>
        </is>
      </c>
      <c r="H55" s="113" t="inlineStr">
        <is>
          <t>Energy efficiency</t>
        </is>
      </c>
      <c r="I55" s="113" t="inlineStr">
        <is>
          <t>whole economy</t>
        </is>
      </c>
      <c r="J55" s="113" t="inlineStr">
        <is>
          <t>The 12th Five-Year Plan has also set the specific action target to lower energy consumption per unit of GDP by 16%.</t>
        </is>
      </c>
      <c r="K55" s="113" t="inlineStr">
        <is>
          <t>HL1201.pdf</t>
        </is>
      </c>
      <c r="L55" s="113" t="inlineStr">
        <is>
          <t>Energy/Power</t>
        </is>
      </c>
      <c r="M55" s="113" t="inlineStr">
        <is>
          <t>Power supply</t>
        </is>
      </c>
    </row>
    <row r="56" ht="18" customHeight="1" s="235">
      <c r="A56" s="113" t="n">
        <v>2017</v>
      </c>
      <c r="B56" s="113" t="inlineStr">
        <is>
          <t>energy consumption per unit of GDP</t>
        </is>
      </c>
      <c r="C56" s="113" t="inlineStr">
        <is>
          <t>reduce by</t>
        </is>
      </c>
      <c r="D56" s="113" t="inlineStr">
        <is>
          <t>16%</t>
        </is>
      </c>
      <c r="E56" s="113" t="n">
        <v>2010</v>
      </c>
      <c r="F56" s="114" t="n">
        <v>2015</v>
      </c>
      <c r="G56" s="113" t="inlineStr">
        <is>
          <t>r</t>
        </is>
      </c>
      <c r="H56" s="113" t="inlineStr">
        <is>
          <t>Energy efficiency</t>
        </is>
      </c>
      <c r="I56" s="113" t="inlineStr">
        <is>
          <t>whole economy</t>
        </is>
      </c>
      <c r="J56" s="113" t="inlineStr">
        <is>
          <t>The Outline of the 12th Five-Year Plan for National Economic and Social Development of the People's Republic of China, released in March 2011, set a binding target of reducing energy consumption per unit of GDP by 16% by 2015 compared with 2010.</t>
        </is>
      </c>
      <c r="K56" s="113" t="inlineStr">
        <is>
          <t>HL1701.pdf</t>
        </is>
      </c>
      <c r="L56" s="113" t="inlineStr">
        <is>
          <t>Energy/Power</t>
        </is>
      </c>
      <c r="M56" s="113" t="inlineStr">
        <is>
          <t>Power supply</t>
        </is>
      </c>
    </row>
    <row r="57" ht="18" customHeight="1" s="235">
      <c r="A57" s="113" t="n">
        <v>2019</v>
      </c>
      <c r="B57" s="113" t="inlineStr">
        <is>
          <t>energy consumption per unit of GDP</t>
        </is>
      </c>
      <c r="C57" s="113" t="inlineStr">
        <is>
          <t>reduce by</t>
        </is>
      </c>
      <c r="D57" s="113" t="inlineStr">
        <is>
          <t>16%</t>
        </is>
      </c>
      <c r="E57" s="113" t="n"/>
      <c r="F57" s="114" t="inlineStr">
        <is>
          <t>12th FYP</t>
        </is>
      </c>
      <c r="G57" s="113" t="inlineStr">
        <is>
          <t>r</t>
        </is>
      </c>
      <c r="H57" s="113" t="inlineStr">
        <is>
          <t>Energy efficiency</t>
        </is>
      </c>
      <c r="I57" s="113" t="inlineStr">
        <is>
          <t>whole economy</t>
        </is>
      </c>
      <c r="J57" s="113" t="inlineStr">
        <is>
          <t>the Outline of 12th FYP has adopted a 16% reduction in energy consumption per unit of GDP as an obligatory target.</t>
        </is>
      </c>
      <c r="K57" s="113" t="inlineStr">
        <is>
          <t>HL1902.pdf</t>
        </is>
      </c>
      <c r="L57" s="113" t="inlineStr">
        <is>
          <t>Energy/Power</t>
        </is>
      </c>
      <c r="M57" s="113" t="inlineStr">
        <is>
          <t>Power supply</t>
        </is>
      </c>
    </row>
    <row r="58" ht="18" customHeight="1" s="235">
      <c r="A58" s="113" t="n">
        <v>2024</v>
      </c>
      <c r="B58" s="113" t="inlineStr">
        <is>
          <t>energy consumption per unit of GDP</t>
        </is>
      </c>
      <c r="C58" s="113" t="inlineStr">
        <is>
          <t>reduce by</t>
        </is>
      </c>
      <c r="D58" s="113" t="inlineStr">
        <is>
          <t>approximately 2.5%</t>
        </is>
      </c>
      <c r="E58" s="113" t="n">
        <v>2023</v>
      </c>
      <c r="F58" s="114" t="n">
        <v>2024</v>
      </c>
      <c r="G58" s="113" t="inlineStr">
        <is>
          <t>n</t>
        </is>
      </c>
      <c r="H58" s="113" t="inlineStr">
        <is>
          <t>Energy efficiency</t>
        </is>
      </c>
      <c r="I58" s="113" t="inlineStr">
        <is>
          <t>whole economy</t>
        </is>
      </c>
      <c r="J58" s="113" t="inlineStr">
        <is>
          <t>In 2024, energy consumption and carbon dioxide emissions per unit of GDP are expected to decrease by approximately 2.5% and 3.9%, respectively.</t>
        </is>
      </c>
      <c r="K58" s="113" t="inlineStr">
        <is>
          <t>AP2405.htm</t>
        </is>
      </c>
      <c r="L58" s="113" t="inlineStr">
        <is>
          <t>Energy/Power</t>
        </is>
      </c>
      <c r="M58" s="113" t="inlineStr">
        <is>
          <t>Power supply</t>
        </is>
      </c>
    </row>
    <row r="59" ht="18" customHeight="1" s="235">
      <c r="A59" s="0" t="n">
        <v>2021</v>
      </c>
      <c r="B59" s="0" t="inlineStr">
        <is>
          <t xml:space="preserve">energy consumption per unit of GDP  </t>
        </is>
      </c>
      <c r="C59" s="0" t="inlineStr">
        <is>
          <t>reduce by</t>
        </is>
      </c>
      <c r="D59" s="0" t="inlineStr">
        <is>
          <t>13.5%</t>
        </is>
      </c>
      <c r="E59" s="0" t="n">
        <v>2020</v>
      </c>
      <c r="F59" s="0" t="inlineStr">
        <is>
          <t>2025</t>
        </is>
      </c>
      <c r="G59" s="0" t="inlineStr">
        <is>
          <t>n</t>
        </is>
      </c>
      <c r="H59" s="0" t="inlineStr">
        <is>
          <t>Energy efficiency</t>
        </is>
      </c>
      <c r="I59" s="0" t="inlineStr">
        <is>
          <t>whole economy</t>
        </is>
      </c>
      <c r="J59" s="0" t="inlineStr">
        <is>
          <t>By 2025, energy consumption per unit of GDP will drop by 13.5% compared with 2020 levels, laying a solid foundation for carbon dioxide peaking.</t>
        </is>
      </c>
      <c r="K59" s="0" t="inlineStr">
        <is>
          <t>HL2102.pdf</t>
        </is>
      </c>
      <c r="L59" s="0" t="inlineStr">
        <is>
          <t>Energy/Power</t>
        </is>
      </c>
      <c r="M59" s="0" t="inlineStr">
        <is>
          <t>Power supply</t>
        </is>
      </c>
    </row>
    <row r="60" ht="18" customHeight="1" s="235">
      <c r="A60" s="113" t="n">
        <v>2011</v>
      </c>
      <c r="B60" s="113" t="inlineStr">
        <is>
          <t xml:space="preserve">energy consumption per unit of GDP  </t>
        </is>
      </c>
      <c r="C60" s="113" t="inlineStr">
        <is>
          <t>reduce by</t>
        </is>
      </c>
      <c r="D60" s="113" t="inlineStr">
        <is>
          <t>16%</t>
        </is>
      </c>
      <c r="E60" s="113" t="n">
        <v>2010</v>
      </c>
      <c r="F60" s="114" t="inlineStr">
        <is>
          <t>2015</t>
        </is>
      </c>
      <c r="G60" s="113" t="inlineStr">
        <is>
          <t>r</t>
        </is>
      </c>
      <c r="H60" s="113" t="inlineStr">
        <is>
          <t>Energy efficiency</t>
        </is>
      </c>
      <c r="I60" s="113" t="inlineStr">
        <is>
          <t>whole economy</t>
        </is>
      </c>
      <c r="J60" s="113" t="inlineStr">
        <is>
          <t>The National 12th Five-Year Plan outline proposes that by 2015, energy consumption per unit of GDP will be reduced by 16% compared with 2010.</t>
        </is>
      </c>
      <c r="K60" s="113" t="inlineStr">
        <is>
          <t>FYP1102.htm</t>
        </is>
      </c>
      <c r="L60" s="113" t="inlineStr">
        <is>
          <t>Energy/Power</t>
        </is>
      </c>
      <c r="M60" s="113" t="inlineStr">
        <is>
          <t>Power supply</t>
        </is>
      </c>
    </row>
    <row r="61" ht="18" customHeight="1" s="235">
      <c r="A61" s="113" t="n">
        <v>2019</v>
      </c>
      <c r="B61" s="113" t="inlineStr">
        <is>
          <t xml:space="preserve">energy consumption per unit of GDP  </t>
        </is>
      </c>
      <c r="C61" s="113" t="inlineStr">
        <is>
          <t>reduce by</t>
        </is>
      </c>
      <c r="D61" s="113" t="inlineStr">
        <is>
          <t>15%</t>
        </is>
      </c>
      <c r="E61" s="113" t="n">
        <v>2015</v>
      </c>
      <c r="F61" s="114" t="inlineStr">
        <is>
          <t>2020</t>
        </is>
      </c>
      <c r="G61" s="113" t="inlineStr">
        <is>
          <t>r</t>
        </is>
      </c>
      <c r="H61" s="113" t="inlineStr">
        <is>
          <t>Energy efficiency</t>
        </is>
      </c>
      <c r="I61" s="113" t="inlineStr">
        <is>
          <t>whole economy</t>
        </is>
      </c>
      <c r="J61" s="113" t="inlineStr">
        <is>
          <t>by 2020 the energy consumption per unit of GDP will be reduced by 15% than 2015</t>
        </is>
      </c>
      <c r="K61" s="113" t="inlineStr">
        <is>
          <t>HL1902.pdf</t>
        </is>
      </c>
      <c r="L61" s="113" t="inlineStr">
        <is>
          <t>Energy/Power</t>
        </is>
      </c>
      <c r="M61" s="113" t="inlineStr">
        <is>
          <t>Reserves</t>
        </is>
      </c>
    </row>
    <row r="62" ht="18" customHeight="1" s="235">
      <c r="A62" s="113" t="n">
        <v>2021</v>
      </c>
      <c r="B62" s="113" t="inlineStr">
        <is>
          <t xml:space="preserve">energy consumption per unit of GDP  </t>
        </is>
      </c>
      <c r="C62" s="113" t="inlineStr">
        <is>
          <t>reduce by</t>
        </is>
      </c>
      <c r="D62" s="113" t="inlineStr">
        <is>
          <t>13.5%</t>
        </is>
      </c>
      <c r="E62" s="113" t="n">
        <v>2020</v>
      </c>
      <c r="F62" s="114" t="inlineStr">
        <is>
          <t>2025</t>
        </is>
      </c>
      <c r="G62" s="113" t="inlineStr">
        <is>
          <t>r</t>
        </is>
      </c>
      <c r="H62" s="113" t="inlineStr">
        <is>
          <t>Energy efficiency</t>
        </is>
      </c>
      <c r="I62" s="113" t="inlineStr">
        <is>
          <t>whole economy</t>
        </is>
      </c>
      <c r="J62" s="113" t="inlineStr">
        <is>
          <t>By 2025, the national energy consumption per unit of GDP will be reduced by 13.5% compared with 2020 levels.</t>
        </is>
      </c>
      <c r="K62" s="113" t="inlineStr">
        <is>
          <t>FYP2107.htm</t>
        </is>
      </c>
      <c r="L62" s="113" t="inlineStr">
        <is>
          <t>Energy/Power</t>
        </is>
      </c>
      <c r="M62" s="113" t="inlineStr">
        <is>
          <t>Reserves</t>
        </is>
      </c>
    </row>
    <row r="63" ht="18" customHeight="1" s="235">
      <c r="A63" s="113" t="n">
        <v>2024</v>
      </c>
      <c r="B63" s="113" t="inlineStr">
        <is>
          <t xml:space="preserve">energy consumption per unit of GDP  </t>
        </is>
      </c>
      <c r="C63" s="113" t="inlineStr">
        <is>
          <t>reduce by</t>
        </is>
      </c>
      <c r="D63" s="113" t="inlineStr">
        <is>
          <t>around 2.5%</t>
        </is>
      </c>
      <c r="E63" s="113" t="n">
        <v>2023</v>
      </c>
      <c r="F63" s="114" t="n">
        <v>2024</v>
      </c>
      <c r="G63" s="113" t="inlineStr">
        <is>
          <t>r</t>
        </is>
      </c>
      <c r="H63" s="113" t="inlineStr">
        <is>
          <t>Energy efficiency</t>
        </is>
      </c>
      <c r="I63" s="113" t="inlineStr">
        <is>
          <t>whole economy</t>
        </is>
      </c>
      <c r="J63" s="113" t="inlineStr">
        <is>
          <t>Unit GDP energy consumption is to be reduced by around 2.5%.</t>
        </is>
      </c>
      <c r="K63" s="113" t="inlineStr">
        <is>
          <t>HL2405.pdf</t>
        </is>
      </c>
      <c r="L63" s="113" t="inlineStr">
        <is>
          <t>Energy/Power</t>
        </is>
      </c>
      <c r="M63" s="113" t="inlineStr">
        <is>
          <t>Reserves</t>
        </is>
      </c>
    </row>
    <row r="64" ht="18" customHeight="1" s="235">
      <c r="A64" s="113" t="n">
        <v>2016</v>
      </c>
      <c r="B64" s="113" t="inlineStr">
        <is>
          <t xml:space="preserve">energy consumption per unit of GDP  </t>
        </is>
      </c>
      <c r="C64" s="113" t="inlineStr">
        <is>
          <t>reduce by</t>
        </is>
      </c>
      <c r="D64" s="113" t="inlineStr">
        <is>
          <t>15%</t>
        </is>
      </c>
      <c r="E64" s="113" t="n">
        <v>2015</v>
      </c>
      <c r="F64" s="114" t="inlineStr">
        <is>
          <t>2020</t>
        </is>
      </c>
      <c r="G64" s="113" t="inlineStr">
        <is>
          <t>n</t>
        </is>
      </c>
      <c r="H64" s="113" t="inlineStr">
        <is>
          <t>Energy efficiency</t>
        </is>
      </c>
      <c r="I64" s="113" t="inlineStr">
        <is>
          <t>whole economy</t>
        </is>
      </c>
      <c r="J64" s="113" t="inlineStr">
        <is>
          <t>By 2020, energy consumption per unit of GDP will drop by 15% compared with 2015.</t>
        </is>
      </c>
      <c r="K64" s="113" t="inlineStr">
        <is>
          <t>FYP1615.htm</t>
        </is>
      </c>
      <c r="L64" s="113" t="inlineStr">
        <is>
          <t>Energy/Power</t>
        </is>
      </c>
      <c r="M64" s="113" t="inlineStr">
        <is>
          <t>Reserves</t>
        </is>
      </c>
    </row>
    <row r="65" ht="18" customHeight="1" s="235">
      <c r="A65" s="113" t="n">
        <v>2005</v>
      </c>
      <c r="B65" s="113" t="inlineStr">
        <is>
          <t>energy consumption per unit of GDP</t>
        </is>
      </c>
      <c r="C65" s="113" t="inlineStr">
        <is>
          <t>reduce by</t>
        </is>
      </c>
      <c r="D65" s="113" t="inlineStr">
        <is>
          <t>more than 18%</t>
        </is>
      </c>
      <c r="E65" s="113" t="n">
        <v>2003</v>
      </c>
      <c r="F65" s="114" t="inlineStr">
        <is>
          <t>2010</t>
        </is>
      </c>
      <c r="G65" s="113" t="inlineStr">
        <is>
          <t>n</t>
        </is>
      </c>
      <c r="H65" s="113" t="inlineStr">
        <is>
          <t>Energy efficiency</t>
        </is>
      </c>
      <c r="I65" s="113" t="inlineStr">
        <is>
          <t>whole economy</t>
        </is>
      </c>
      <c r="J65" s="113" t="inlineStr">
        <is>
          <t>By 2010, China will reduce energy consumption per 10,000 yuan of GDP by more than 18% compared with 2003.</t>
        </is>
      </c>
      <c r="K65" s="113" t="inlineStr">
        <is>
          <t>O0501.htm</t>
        </is>
      </c>
      <c r="L65" s="113" t="inlineStr">
        <is>
          <t>Energy/Power</t>
        </is>
      </c>
      <c r="M65" s="113" t="inlineStr">
        <is>
          <t>Reserves</t>
        </is>
      </c>
    </row>
    <row r="66" ht="18" customHeight="1" s="235">
      <c r="A66" s="113" t="n">
        <v>2004</v>
      </c>
      <c r="B66" s="113" t="inlineStr">
        <is>
          <t>energy consumption per unit of GDP</t>
        </is>
      </c>
      <c r="C66" s="113" t="inlineStr">
        <is>
          <t>reduce to</t>
        </is>
      </c>
      <c r="D66" s="113" t="inlineStr">
        <is>
          <t>2.25 tons of standard coal (calculated at 1990 prices)</t>
        </is>
      </c>
      <c r="E66" s="113" t="n"/>
      <c r="F66" s="114" t="inlineStr">
        <is>
          <t>2010</t>
        </is>
      </c>
      <c r="G66" s="113" t="inlineStr">
        <is>
          <t>n</t>
        </is>
      </c>
      <c r="H66" s="113" t="inlineStr">
        <is>
          <t>Energy efficiency</t>
        </is>
      </c>
      <c r="I66" s="113" t="inlineStr">
        <is>
          <t>whole economy</t>
        </is>
      </c>
      <c r="J66" s="113" t="inlineStr">
        <is>
          <t>By 2010, the energy consumption per 10,000 yuan of GDP (at constant 1990 prices) will drop to 2.25 tons of standard coal from 2.68 tons in 2002.</t>
        </is>
      </c>
      <c r="K66" s="113" t="inlineStr">
        <is>
          <t>MLT0401.htm</t>
        </is>
      </c>
      <c r="L66" s="113" t="inlineStr">
        <is>
          <t>Energy/Power</t>
        </is>
      </c>
      <c r="M66" s="113" t="inlineStr">
        <is>
          <t>Power transmission/Energy transportation</t>
        </is>
      </c>
    </row>
    <row r="67" ht="18" customHeight="1" s="235">
      <c r="A67" s="113" t="n">
        <v>2012</v>
      </c>
      <c r="B67" s="113" t="inlineStr">
        <is>
          <t>energy consumption per unit of GDP</t>
        </is>
      </c>
      <c r="C67" s="113" t="inlineStr">
        <is>
          <t>reduce to</t>
        </is>
      </c>
      <c r="D67" s="113" t="inlineStr">
        <is>
          <t>0.869 tons of standard coal (calculated at 2005 prices)</t>
        </is>
      </c>
      <c r="E67" s="113" t="n"/>
      <c r="F67" s="114" t="inlineStr">
        <is>
          <t>2015</t>
        </is>
      </c>
      <c r="G67" s="113" t="inlineStr">
        <is>
          <t>n</t>
        </is>
      </c>
      <c r="H67" s="113" t="inlineStr">
        <is>
          <t>Energy efficiency</t>
        </is>
      </c>
      <c r="I67" s="113" t="inlineStr">
        <is>
          <t>whole economy</t>
        </is>
      </c>
      <c r="J67" s="113" t="inlineStr">
        <is>
          <t>By 2015, the national energy consumption per 10,000 yuan of GDP will drop to 0.869 tons of standard coal (calculated at 2005 prices).</t>
        </is>
      </c>
      <c r="K67" s="113" t="inlineStr">
        <is>
          <t>FYP1201.htm</t>
        </is>
      </c>
      <c r="L67" s="113" t="inlineStr">
        <is>
          <t>Energy/Power</t>
        </is>
      </c>
      <c r="M67" s="113" t="inlineStr">
        <is>
          <t>Power transmission/Energy transportation</t>
        </is>
      </c>
    </row>
    <row r="68" ht="18" customHeight="1" s="235">
      <c r="A68" s="113" t="n">
        <v>2016</v>
      </c>
      <c r="B68" s="113" t="inlineStr">
        <is>
          <t>energy consumption per unit of GDP</t>
        </is>
      </c>
      <c r="C68" s="113" t="inlineStr">
        <is>
          <t>reduce by</t>
        </is>
      </c>
      <c r="D68" s="113" t="inlineStr">
        <is>
          <t>15%</t>
        </is>
      </c>
      <c r="E68" s="113" t="n">
        <v>2015</v>
      </c>
      <c r="F68" s="114" t="inlineStr">
        <is>
          <t>2020</t>
        </is>
      </c>
      <c r="G68" s="113" t="inlineStr">
        <is>
          <t>n</t>
        </is>
      </c>
      <c r="H68" s="113" t="inlineStr">
        <is>
          <t>Energy efficiency</t>
        </is>
      </c>
      <c r="I68" s="113" t="inlineStr">
        <is>
          <t>whole economy</t>
        </is>
      </c>
      <c r="J68" s="113" t="inlineStr">
        <is>
          <t>By 2020, the national energy consumption per 10,000 yuan of GDP will be reduced by 15% compared with 2015.</t>
        </is>
      </c>
      <c r="K68" s="113" t="inlineStr">
        <is>
          <t>FYP1601.htm</t>
        </is>
      </c>
      <c r="L68" s="113" t="inlineStr">
        <is>
          <t>Energy/Power</t>
        </is>
      </c>
      <c r="M68" s="113" t="inlineStr">
        <is>
          <t>Coal power</t>
        </is>
      </c>
    </row>
    <row r="69" ht="18" customHeight="1" s="235">
      <c r="A69" s="113" t="n">
        <v>2004</v>
      </c>
      <c r="B69" s="113" t="inlineStr">
        <is>
          <t>energy consumption per unit of GDP</t>
        </is>
      </c>
      <c r="C69" s="113" t="inlineStr">
        <is>
          <t>reduce to</t>
        </is>
      </c>
      <c r="D69" s="113" t="inlineStr">
        <is>
          <t>1.54 tce</t>
        </is>
      </c>
      <c r="E69" s="113" t="n"/>
      <c r="F69" s="114" t="inlineStr">
        <is>
          <t>2020</t>
        </is>
      </c>
      <c r="G69" s="113" t="inlineStr">
        <is>
          <t>r</t>
        </is>
      </c>
      <c r="H69" s="113" t="inlineStr">
        <is>
          <t>Energy efficiency</t>
        </is>
      </c>
      <c r="I69" s="113" t="inlineStr">
        <is>
          <t>whole economy</t>
        </is>
      </c>
      <c r="J69" s="113" t="inlineStr">
        <is>
          <t>By 2020, energy consumption per 10,000 yuan of GDP will drop to 1.54 tons of standard coal.</t>
        </is>
      </c>
      <c r="K69" s="113" t="inlineStr">
        <is>
          <t>MLT0401.htm</t>
        </is>
      </c>
      <c r="L69" s="113" t="inlineStr">
        <is>
          <t>Energy/Power</t>
        </is>
      </c>
      <c r="M69" s="113" t="inlineStr">
        <is>
          <t>Coal power</t>
        </is>
      </c>
    </row>
    <row r="70" ht="18" customHeight="1" s="235">
      <c r="A70" s="113" t="n">
        <v>2012</v>
      </c>
      <c r="B70" s="113" t="inlineStr">
        <is>
          <t>energy consumption per unit of GDP</t>
        </is>
      </c>
      <c r="C70" s="113" t="inlineStr">
        <is>
          <t>reduce by</t>
        </is>
      </c>
      <c r="D70" s="113" t="inlineStr">
        <is>
          <t>16%</t>
        </is>
      </c>
      <c r="E70" s="113" t="n">
        <v>2010</v>
      </c>
      <c r="F70" s="114" t="inlineStr">
        <is>
          <t>2015</t>
        </is>
      </c>
      <c r="G70" s="113" t="inlineStr">
        <is>
          <t>r</t>
        </is>
      </c>
      <c r="H70" s="113" t="inlineStr">
        <is>
          <t>Energy efficiency</t>
        </is>
      </c>
      <c r="I70" s="113" t="inlineStr">
        <is>
          <t>whole economy</t>
        </is>
      </c>
      <c r="J70" s="113" t="inlineStr">
        <is>
          <t>By 2015, the national energy consumption per 10,000 yuan of GDP will drop by 16% from 1.034 tons of standard coal in 2010 (a 32% decrease from 1.276 tons of standard coal in 2005).</t>
        </is>
      </c>
      <c r="K70" s="113" t="inlineStr">
        <is>
          <t>FYP1201.htm</t>
        </is>
      </c>
      <c r="L70" s="113" t="inlineStr">
        <is>
          <t>Energy/Power</t>
        </is>
      </c>
      <c r="M70" s="113" t="inlineStr">
        <is>
          <t>Coal power</t>
        </is>
      </c>
    </row>
    <row r="71" ht="18" customHeight="1" s="235">
      <c r="A71" s="113" t="n">
        <v>2004</v>
      </c>
      <c r="B71" s="113" t="inlineStr">
        <is>
          <t>energy consumption per unit of GDP</t>
        </is>
      </c>
      <c r="C71" s="113" t="inlineStr">
        <is>
          <t>reduce to</t>
        </is>
      </c>
      <c r="D71" s="113" t="inlineStr">
        <is>
          <t>1.54 tons of standard coal (calculated at 1990 prices)</t>
        </is>
      </c>
      <c r="E71" s="113" t="n"/>
      <c r="F71" s="114" t="inlineStr">
        <is>
          <t>2020</t>
        </is>
      </c>
      <c r="G71" s="113" t="inlineStr">
        <is>
          <t>n</t>
        </is>
      </c>
      <c r="H71" s="113" t="inlineStr">
        <is>
          <t>Energy efficiency</t>
        </is>
      </c>
      <c r="I71" s="113" t="inlineStr">
        <is>
          <t>whole economy</t>
        </is>
      </c>
      <c r="J71" s="113" t="inlineStr">
        <is>
          <t>Energy consumption per 10,000 Yuan GDP will drop to 1.54 tce in 2020</t>
        </is>
      </c>
      <c r="K71" s="113" t="inlineStr">
        <is>
          <t>MLT0402.pdf</t>
        </is>
      </c>
      <c r="L71" s="113" t="inlineStr">
        <is>
          <t>Energy/Power</t>
        </is>
      </c>
      <c r="M71" s="113" t="inlineStr">
        <is>
          <t>Coal power</t>
        </is>
      </c>
    </row>
    <row r="72" ht="18" customHeight="1" s="235">
      <c r="A72" s="113" t="n">
        <v>2007</v>
      </c>
      <c r="B72" s="113" t="inlineStr">
        <is>
          <t>energy consumption per unit of GDP</t>
        </is>
      </c>
      <c r="C72" s="113" t="inlineStr">
        <is>
          <t>reduce by</t>
        </is>
      </c>
      <c r="D72" s="113" t="inlineStr">
        <is>
          <t>20%</t>
        </is>
      </c>
      <c r="E72" s="113" t="n">
        <v>2005</v>
      </c>
      <c r="F72" s="114" t="inlineStr">
        <is>
          <t>2010</t>
        </is>
      </c>
      <c r="G72" s="113" t="inlineStr">
        <is>
          <t>s/l-POS</t>
        </is>
      </c>
      <c r="H72" s="113" t="inlineStr">
        <is>
          <t>Energy efficiency</t>
        </is>
      </c>
      <c r="I72" s="113" t="inlineStr">
        <is>
          <t>whole economy</t>
        </is>
      </c>
      <c r="J72" s="113" t="inlineStr">
        <is>
          <t>The Chinese Government is active in fulfilling its UNFCCC commitments in achieving the target to reduce energy consumption per unit GDP by 20% by 2010 against the 2005 level.</t>
        </is>
      </c>
      <c r="K72" s="113" t="inlineStr">
        <is>
          <t>AP0702.pdf</t>
        </is>
      </c>
      <c r="L72" s="113" t="inlineStr">
        <is>
          <t>Energy/Power</t>
        </is>
      </c>
      <c r="M72" s="113" t="inlineStr">
        <is>
          <t>Power supply</t>
        </is>
      </c>
    </row>
    <row r="73" ht="18" customHeight="1" s="235">
      <c r="A73" s="113" t="n">
        <v>2008</v>
      </c>
      <c r="B73" s="113" t="inlineStr">
        <is>
          <t>energy consumption per unit of GDP</t>
        </is>
      </c>
      <c r="C73" s="113" t="inlineStr">
        <is>
          <t>reduce by</t>
        </is>
      </c>
      <c r="D73" s="113" t="inlineStr">
        <is>
          <t>about 20%</t>
        </is>
      </c>
      <c r="E73" s="113" t="n"/>
      <c r="F73" s="114" t="inlineStr">
        <is>
          <t>2010</t>
        </is>
      </c>
      <c r="G73" s="113" t="inlineStr">
        <is>
          <t>r</t>
        </is>
      </c>
      <c r="H73" s="113" t="inlineStr">
        <is>
          <t>Energy efficiency</t>
        </is>
      </c>
      <c r="I73" s="113" t="inlineStr">
        <is>
          <t>whole economy</t>
        </is>
      </c>
      <c r="J73" s="113" t="inlineStr">
        <is>
          <t>Through above measures, the energy consumption per-unit GDP is expected to drop by about 20% by 2010 compared to that of 2005, and CO emissions will consequently be reduced.</t>
        </is>
      </c>
      <c r="K73" s="113" t="inlineStr">
        <is>
          <t>HL0801.pdf</t>
        </is>
      </c>
      <c r="L73" s="113" t="inlineStr">
        <is>
          <t>Energy/Power</t>
        </is>
      </c>
      <c r="M73" s="113" t="inlineStr">
        <is>
          <t>Power supply</t>
        </is>
      </c>
    </row>
    <row r="74" ht="18" customHeight="1" s="235">
      <c r="A74" s="113" t="n">
        <v>2010</v>
      </c>
      <c r="B74" s="113" t="inlineStr">
        <is>
          <t>energy consumption per unit of GDP</t>
        </is>
      </c>
      <c r="C74" s="113" t="inlineStr">
        <is>
          <t>reduce by</t>
        </is>
      </c>
      <c r="D74" s="113" t="inlineStr">
        <is>
          <t>around 5.2%</t>
        </is>
      </c>
      <c r="E74" s="113" t="n">
        <v>2009</v>
      </c>
      <c r="F74" s="114" t="n">
        <v>2010</v>
      </c>
      <c r="G74" s="113" t="inlineStr">
        <is>
          <t>n</t>
        </is>
      </c>
      <c r="H74" s="113" t="inlineStr">
        <is>
          <t>Energy efficiency</t>
        </is>
      </c>
      <c r="I74" s="113" t="inlineStr">
        <is>
          <t>whole economy</t>
        </is>
      </c>
      <c r="J74" s="113" t="inlineStr">
        <is>
          <t>To complete the 11th Five-Year Plan energy-saving target, unit GDP energy consumption still needs to fall by 5.2% for the full year.</t>
        </is>
      </c>
      <c r="K74" s="113" t="inlineStr">
        <is>
          <t>HL1004.htm</t>
        </is>
      </c>
      <c r="L74" s="113" t="inlineStr">
        <is>
          <t>Energy/Power</t>
        </is>
      </c>
      <c r="M74" s="113" t="inlineStr">
        <is>
          <t>Power supply</t>
        </is>
      </c>
    </row>
    <row r="75" ht="18" customHeight="1" s="235">
      <c r="A75" s="113" t="n">
        <v>2011</v>
      </c>
      <c r="B75" s="113" t="inlineStr">
        <is>
          <t>energy consumption per unit of GDP</t>
        </is>
      </c>
      <c r="C75" s="113" t="inlineStr">
        <is>
          <t>reduce by</t>
        </is>
      </c>
      <c r="D75" s="113" t="inlineStr">
        <is>
          <t>20%</t>
        </is>
      </c>
      <c r="E75" s="113" t="n">
        <v>2005</v>
      </c>
      <c r="F75" s="114" t="inlineStr">
        <is>
          <t>2010</t>
        </is>
      </c>
      <c r="G75" s="113" t="inlineStr">
        <is>
          <t>r</t>
        </is>
      </c>
      <c r="H75" s="113" t="inlineStr">
        <is>
          <t>Energy efficiency</t>
        </is>
      </c>
      <c r="I75" s="113" t="inlineStr">
        <is>
          <t>whole economy</t>
        </is>
      </c>
      <c r="J75" s="113" t="inlineStr">
        <is>
          <t>In 2006, China proposed a binding target to reduce energy consumption per unit of GDP by about 20% by 2010 compared with 2005.</t>
        </is>
      </c>
      <c r="K75" s="113" t="inlineStr">
        <is>
          <t>HL1101.htm</t>
        </is>
      </c>
      <c r="L75" s="113" t="inlineStr">
        <is>
          <t>Energy/Power</t>
        </is>
      </c>
      <c r="M75" s="113" t="inlineStr">
        <is>
          <t>Power transmission/Energy transportation</t>
        </is>
      </c>
    </row>
    <row r="76" ht="18" customHeight="1" s="235">
      <c r="A76" s="113" t="n">
        <v>2019</v>
      </c>
      <c r="B76" s="113" t="inlineStr">
        <is>
          <t>energy consumption per unit of GDP</t>
        </is>
      </c>
      <c r="C76" s="113" t="inlineStr">
        <is>
          <t>reduce by</t>
        </is>
      </c>
      <c r="D76" s="113" t="inlineStr">
        <is>
          <t>20%</t>
        </is>
      </c>
      <c r="E76" s="113" t="n">
        <v>2005</v>
      </c>
      <c r="F76" s="114" t="inlineStr">
        <is>
          <t>2010</t>
        </is>
      </c>
      <c r="G76" s="113" t="inlineStr">
        <is>
          <t>r</t>
        </is>
      </c>
      <c r="H76" s="113" t="inlineStr">
        <is>
          <t>Energy efficiency</t>
        </is>
      </c>
      <c r="I76" s="113" t="inlineStr">
        <is>
          <t>whole economy</t>
        </is>
      </c>
      <c r="J76" s="113" t="inlineStr">
        <is>
          <t>Since an around 20% reduction in energy consumption per unit of GDP in 2010 from 2005 was set as an obligatory target in the Outline of 11th FYP for the first time</t>
        </is>
      </c>
      <c r="K76" s="113" t="inlineStr">
        <is>
          <t>HL1902.pdf</t>
        </is>
      </c>
      <c r="L76" s="113" t="inlineStr">
        <is>
          <t>Energy/Power</t>
        </is>
      </c>
      <c r="M76" s="113" t="inlineStr">
        <is>
          <t>Coal power</t>
        </is>
      </c>
    </row>
    <row r="77" ht="18" customHeight="1" s="235">
      <c r="A77" s="0" t="n">
        <v>2024</v>
      </c>
      <c r="B77" s="0" t="inlineStr">
        <is>
          <t>energy consumption per unit of GDP</t>
        </is>
      </c>
      <c r="C77" s="0" t="inlineStr">
        <is>
          <t>reduce by</t>
        </is>
      </c>
      <c r="D77" s="0" t="inlineStr">
        <is>
          <t>13.5%</t>
        </is>
      </c>
      <c r="E77" s="0" t="n">
        <v>2020</v>
      </c>
      <c r="F77" s="0" t="inlineStr">
        <is>
          <t>2025</t>
        </is>
      </c>
      <c r="G77" s="0" t="inlineStr">
        <is>
          <t>r</t>
        </is>
      </c>
      <c r="H77" s="0" t="inlineStr">
        <is>
          <t>Energy efficiency</t>
        </is>
      </c>
      <c r="I77" s="0" t="inlineStr">
        <is>
          <t>whole economy</t>
        </is>
      </c>
      <c r="J77" s="0" t="inlineStr">
        <is>
          <t>Notably, it sets quantitative targets to reduce energy consumption per unit of GDP by 13.5% in 2025 compared to 2020</t>
        </is>
      </c>
      <c r="K77" s="0" t="inlineStr">
        <is>
          <t>HL2401.pdf</t>
        </is>
      </c>
      <c r="L77" s="0" t="inlineStr">
        <is>
          <t>Energy/Power</t>
        </is>
      </c>
      <c r="M77" s="0" t="inlineStr">
        <is>
          <t>Power supply</t>
        </is>
      </c>
    </row>
    <row r="78" ht="18" customHeight="1" s="235">
      <c r="A78" s="113" t="n">
        <v>2011</v>
      </c>
      <c r="B78" s="113" t="inlineStr">
        <is>
          <t xml:space="preserve">energy consumption per unit of GDP </t>
        </is>
      </c>
      <c r="C78" s="113" t="inlineStr">
        <is>
          <t>reduce by</t>
        </is>
      </c>
      <c r="D78" s="113" t="inlineStr">
        <is>
          <t>16%</t>
        </is>
      </c>
      <c r="E78" s="113" t="n">
        <v>2010</v>
      </c>
      <c r="F78" s="114" t="inlineStr">
        <is>
          <t>2015</t>
        </is>
      </c>
      <c r="G78" s="113" t="inlineStr">
        <is>
          <t>r</t>
        </is>
      </c>
      <c r="H78" s="113" t="inlineStr">
        <is>
          <t>Energy efficiency</t>
        </is>
      </c>
      <c r="I78" s="113" t="inlineStr">
        <is>
          <t>whole economy</t>
        </is>
      </c>
      <c r="J78" s="113" t="inlineStr">
        <is>
          <t>By 2015, carbon dioxide emission per-unit GDP would be reduced by 17% and energy consumption per-unit GDP by 16% as compared with that in 2010.</t>
        </is>
      </c>
      <c r="K78" s="113" t="inlineStr">
        <is>
          <t>HL1101.pdf</t>
        </is>
      </c>
      <c r="L78" s="113" t="inlineStr">
        <is>
          <t>Energy/Power</t>
        </is>
      </c>
      <c r="M78" s="113" t="inlineStr">
        <is>
          <t>Energy consumption</t>
        </is>
      </c>
    </row>
    <row r="79" ht="18" customHeight="1" s="235">
      <c r="A79" s="113" t="n">
        <v>2014</v>
      </c>
      <c r="B79" s="113" t="inlineStr">
        <is>
          <t xml:space="preserve">energy consumption per unit of GDP  </t>
        </is>
      </c>
      <c r="C79" s="113" t="inlineStr">
        <is>
          <t>reduce by</t>
        </is>
      </c>
      <c r="D79" s="113" t="inlineStr">
        <is>
          <t>3.9%</t>
        </is>
      </c>
      <c r="E79" s="113" t="n">
        <v>2014</v>
      </c>
      <c r="F79" s="114" t="n">
        <v>2015</v>
      </c>
      <c r="G79" s="113" t="inlineStr">
        <is>
          <t>n</t>
        </is>
      </c>
      <c r="H79" s="113" t="inlineStr">
        <is>
          <t>Energy efficiency</t>
        </is>
      </c>
      <c r="I79" s="113" t="inlineStr">
        <is>
          <t>whole economy</t>
        </is>
      </c>
      <c r="J79" s="113" t="inlineStr">
        <is>
          <t>From 2014 to 2015, energy consumption per unit of GDP will decrease by 3.9%.</t>
        </is>
      </c>
      <c r="K79" s="113" t="inlineStr">
        <is>
          <t>AP1404.htm</t>
        </is>
      </c>
      <c r="L79" s="113" t="inlineStr">
        <is>
          <t>Energy/Power</t>
        </is>
      </c>
      <c r="M79" s="113" t="inlineStr">
        <is>
          <t>Energy consumption</t>
        </is>
      </c>
    </row>
    <row r="80" ht="18" customHeight="1" s="235">
      <c r="A80" s="113" t="n">
        <v>2011</v>
      </c>
      <c r="B80" s="113" t="inlineStr">
        <is>
          <t xml:space="preserve">energy consumption per unit of GDP  </t>
        </is>
      </c>
      <c r="C80" s="113" t="inlineStr">
        <is>
          <t>reduce by</t>
        </is>
      </c>
      <c r="D80" s="113" t="inlineStr">
        <is>
          <t>16%</t>
        </is>
      </c>
      <c r="E80" s="113" t="n">
        <v>2010</v>
      </c>
      <c r="F80" s="114" t="inlineStr">
        <is>
          <t>2015</t>
        </is>
      </c>
      <c r="G80" s="113" t="inlineStr">
        <is>
          <t>n</t>
        </is>
      </c>
      <c r="H80" s="113" t="inlineStr">
        <is>
          <t>Energy efficiency</t>
        </is>
      </c>
      <c r="I80" s="113" t="inlineStr">
        <is>
          <t>whole economy</t>
        </is>
      </c>
      <c r="J80" s="113" t="inlineStr">
        <is>
          <t>By 2015, energy consumption per unit of GDP will be reduced by 16% compared with 2010.</t>
        </is>
      </c>
      <c r="K80" s="113" t="inlineStr">
        <is>
          <t>FYP1101.htm</t>
        </is>
      </c>
      <c r="L80" s="113" t="inlineStr">
        <is>
          <t>Energy/Power</t>
        </is>
      </c>
      <c r="M80" s="113" t="inlineStr">
        <is>
          <t>Energy consumption</t>
        </is>
      </c>
    </row>
    <row r="81" ht="18" customHeight="1" s="235">
      <c r="A81" s="113" t="n">
        <v>2013</v>
      </c>
      <c r="B81" s="113" t="inlineStr">
        <is>
          <t xml:space="preserve">energy consumption per unit of GDP  </t>
        </is>
      </c>
      <c r="C81" s="113" t="inlineStr">
        <is>
          <t>reduce by</t>
        </is>
      </c>
      <c r="D81" s="113" t="inlineStr">
        <is>
          <t>16%</t>
        </is>
      </c>
      <c r="E81" s="113" t="n">
        <v>2010</v>
      </c>
      <c r="F81" s="114" t="inlineStr">
        <is>
          <t>2015</t>
        </is>
      </c>
      <c r="G81" s="113" t="inlineStr">
        <is>
          <t>r</t>
        </is>
      </c>
      <c r="H81" s="113" t="inlineStr">
        <is>
          <t>Energy efficiency</t>
        </is>
      </c>
      <c r="I81" s="113" t="inlineStr">
        <is>
          <t>whole economy</t>
        </is>
      </c>
      <c r="J81" s="113" t="inlineStr">
        <is>
          <t>Energy consumption per unit of GDP will drop by 16% by 2015.</t>
        </is>
      </c>
      <c r="K81" s="113" t="inlineStr">
        <is>
          <t>FYP1302.htm</t>
        </is>
      </c>
      <c r="L81" s="113" t="inlineStr">
        <is>
          <t>Energy/Power</t>
        </is>
      </c>
      <c r="M81" s="113" t="inlineStr">
        <is>
          <t>Energy consumption</t>
        </is>
      </c>
    </row>
    <row r="82" ht="18" customHeight="1" s="235">
      <c r="A82" s="113" t="n">
        <v>2021</v>
      </c>
      <c r="B82" s="113" t="inlineStr">
        <is>
          <t xml:space="preserve">energy consumption per unit of GDP  </t>
        </is>
      </c>
      <c r="C82" s="113" t="inlineStr">
        <is>
          <t>reduce by</t>
        </is>
      </c>
      <c r="D82" s="113" t="inlineStr">
        <is>
          <t>13.5%</t>
        </is>
      </c>
      <c r="E82" s="113" t="n">
        <v>2020</v>
      </c>
      <c r="F82" s="114" t="inlineStr">
        <is>
          <t>2025</t>
        </is>
      </c>
      <c r="G82" s="113" t="inlineStr">
        <is>
          <t>r</t>
        </is>
      </c>
      <c r="H82" s="113" t="inlineStr">
        <is>
          <t>Energy efficiency</t>
        </is>
      </c>
      <c r="I82" s="113" t="inlineStr">
        <is>
          <t>whole economy</t>
        </is>
      </c>
      <c r="J82" s="113" t="inlineStr">
        <is>
          <t>By 2025, energy consumption per unit of GDP will decrease by 13.5% compared with 2020.</t>
        </is>
      </c>
      <c r="K82" s="113" t="inlineStr">
        <is>
          <t>HL2101.htm</t>
        </is>
      </c>
      <c r="L82" s="113" t="inlineStr">
        <is>
          <t>Energy/Power</t>
        </is>
      </c>
      <c r="M82" s="113" t="inlineStr">
        <is>
          <t>Coal power</t>
        </is>
      </c>
    </row>
    <row r="83" ht="18" customHeight="1" s="235">
      <c r="A83" s="113" t="n">
        <v>2023</v>
      </c>
      <c r="B83" s="113" t="inlineStr">
        <is>
          <t xml:space="preserve">energy consumption per unit of GDP  </t>
        </is>
      </c>
      <c r="C83" s="113" t="inlineStr">
        <is>
          <t>reduce by</t>
        </is>
      </c>
      <c r="D83" s="113" t="inlineStr">
        <is>
          <t>15%</t>
        </is>
      </c>
      <c r="E83" s="113" t="n">
        <v>2015</v>
      </c>
      <c r="F83" s="114" t="inlineStr">
        <is>
          <t>2020</t>
        </is>
      </c>
      <c r="G83" s="113" t="inlineStr">
        <is>
          <t>r</t>
        </is>
      </c>
      <c r="H83" s="113" t="inlineStr">
        <is>
          <t>Energy efficiency</t>
        </is>
      </c>
      <c r="I83" s="113" t="inlineStr">
        <is>
          <t>whole economy</t>
        </is>
      </c>
      <c r="J83" s="113" t="inlineStr">
        <is>
          <t>by 2020, the energy consumption per unit of GDP will see a decline of 15% compared with 2015</t>
        </is>
      </c>
      <c r="K83" s="113" t="inlineStr">
        <is>
          <t>HL2302.pdf</t>
        </is>
      </c>
      <c r="L83" s="113" t="inlineStr">
        <is>
          <t>Energy/Power</t>
        </is>
      </c>
      <c r="M83" s="113" t="inlineStr">
        <is>
          <t>Coal power</t>
        </is>
      </c>
    </row>
    <row r="84" ht="18" customHeight="1" s="235">
      <c r="A84" s="113" t="n">
        <v>2022</v>
      </c>
      <c r="B84" s="113" t="inlineStr">
        <is>
          <t xml:space="preserve">energy consumption per unit of GDP  </t>
        </is>
      </c>
      <c r="C84" s="113" t="inlineStr">
        <is>
          <t>reduce by</t>
        </is>
      </c>
      <c r="D84" s="113" t="inlineStr">
        <is>
          <t>13.5%</t>
        </is>
      </c>
      <c r="E84" s="113" t="n">
        <v>2020</v>
      </c>
      <c r="F84" s="114" t="inlineStr">
        <is>
          <t>2025</t>
        </is>
      </c>
      <c r="G84" s="113" t="inlineStr">
        <is>
          <t>r</t>
        </is>
      </c>
      <c r="H84" s="113" t="inlineStr">
        <is>
          <t>Energy efficiency</t>
        </is>
      </c>
      <c r="I84" s="113" t="inlineStr">
        <is>
          <t>whole economy</t>
        </is>
      </c>
      <c r="J84" s="113" t="inlineStr">
        <is>
          <t>By 2025, the national energy consumption per unit of GDP will be reduced by 13.5% compared with 2020, the total energy consumption will be reasonably controlled.</t>
        </is>
      </c>
      <c r="K84" s="113" t="inlineStr">
        <is>
          <t>AP2206.pdf</t>
        </is>
      </c>
      <c r="L84" s="113" t="inlineStr">
        <is>
          <t>Energy/Power</t>
        </is>
      </c>
      <c r="M84" s="113" t="inlineStr">
        <is>
          <t>Coal power</t>
        </is>
      </c>
    </row>
    <row r="85" ht="18" customHeight="1" s="235">
      <c r="A85" s="113" t="n">
        <v>2007</v>
      </c>
      <c r="B85" s="113" t="inlineStr">
        <is>
          <t xml:space="preserve">energy consumption per unit of GDP  </t>
        </is>
      </c>
      <c r="C85" s="113" t="inlineStr">
        <is>
          <t>reduce by</t>
        </is>
      </c>
      <c r="D85" s="113" t="inlineStr">
        <is>
          <t>20%</t>
        </is>
      </c>
      <c r="E85" s="113" t="n">
        <v>2005</v>
      </c>
      <c r="F85" s="114" t="inlineStr">
        <is>
          <t>2010</t>
        </is>
      </c>
      <c r="G85" s="113" t="inlineStr">
        <is>
          <t>r</t>
        </is>
      </c>
      <c r="H85" s="113" t="inlineStr">
        <is>
          <t>Energy efficiency</t>
        </is>
      </c>
      <c r="I85" s="113" t="inlineStr">
        <is>
          <t>whole economy</t>
        </is>
      </c>
      <c r="J85" s="113" t="inlineStr">
        <is>
          <t>The Outline of the 11th Five-Year Plan for National Economic and Social Development of the People's Republic of China projects that the per-unit GDP energy consumption by 2010 will have decreased by 20% compared to 2005</t>
        </is>
      </c>
      <c r="K85" s="113" t="inlineStr">
        <is>
          <t>PF0701.htm</t>
        </is>
      </c>
      <c r="L85" s="113" t="inlineStr">
        <is>
          <t>Energy/Power</t>
        </is>
      </c>
      <c r="M85" s="113" t="inlineStr">
        <is>
          <t>Coal power</t>
        </is>
      </c>
    </row>
    <row r="86" ht="18" customHeight="1" s="235">
      <c r="A86" s="113" t="n">
        <v>2026</v>
      </c>
      <c r="B86" s="113" t="inlineStr">
        <is>
          <t xml:space="preserve">energy consumption per unit of GDP  </t>
        </is>
      </c>
      <c r="C86" s="113" t="inlineStr">
        <is>
          <t>reduce by</t>
        </is>
      </c>
      <c r="D86" s="113" t="inlineStr">
        <is>
          <t>around 10%</t>
        </is>
      </c>
      <c r="E86" s="113" t="n"/>
      <c r="F86" s="114" t="inlineStr">
        <is>
          <t>15th FYP</t>
        </is>
      </c>
      <c r="G86" s="113" t="inlineStr">
        <is>
          <t>n</t>
        </is>
      </c>
      <c r="H86" s="113" t="inlineStr">
        <is>
          <t>Energy efficiency</t>
        </is>
      </c>
      <c r="I86" s="113" t="inlineStr">
        <is>
          <t>whole economy</t>
        </is>
      </c>
      <c r="J86" s="113" t="inlineStr">
        <is>
          <t>During the 15th Five-Year Plan period, unit GDP energy consumption will fall by around 10%.</t>
        </is>
      </c>
      <c r="K86" s="113" t="inlineStr">
        <is>
          <t>HL2601.pdf</t>
        </is>
      </c>
      <c r="L86" s="113" t="inlineStr">
        <is>
          <t>Energy/Power</t>
        </is>
      </c>
      <c r="M86" s="113" t="inlineStr">
        <is>
          <t>Coal power</t>
        </is>
      </c>
    </row>
    <row r="87" ht="18" customHeight="1" s="235">
      <c r="A87" s="113" t="n">
        <v>2006</v>
      </c>
      <c r="B87" s="113" t="inlineStr">
        <is>
          <t xml:space="preserve">energy consumption per unit of GDP  </t>
        </is>
      </c>
      <c r="C87" s="113" t="inlineStr">
        <is>
          <t>reduce by</t>
        </is>
      </c>
      <c r="D87" s="113" t="inlineStr">
        <is>
          <t>around 4%</t>
        </is>
      </c>
      <c r="E87" s="113" t="n">
        <v>2005</v>
      </c>
      <c r="F87" s="114" t="n">
        <v>2006</v>
      </c>
      <c r="G87" s="113" t="inlineStr">
        <is>
          <t>n</t>
        </is>
      </c>
      <c r="H87" s="113" t="inlineStr">
        <is>
          <t>Energy efficiency</t>
        </is>
      </c>
      <c r="I87" s="113" t="inlineStr">
        <is>
          <t>whole economy</t>
        </is>
      </c>
      <c r="J87" s="113" t="inlineStr">
        <is>
          <t>Reduce energy consumption per unit of GDP by about 4%</t>
        </is>
      </c>
      <c r="K87" s="113" t="inlineStr">
        <is>
          <t>HL0602.pdf</t>
        </is>
      </c>
      <c r="L87" s="113" t="inlineStr">
        <is>
          <t>Energy/Power</t>
        </is>
      </c>
      <c r="M87" s="113" t="inlineStr">
        <is>
          <t>Coal power</t>
        </is>
      </c>
    </row>
    <row r="88" ht="18" customHeight="1" s="235">
      <c r="A88" s="113" t="n">
        <v>2014</v>
      </c>
      <c r="B88" s="113" t="inlineStr">
        <is>
          <t xml:space="preserve">energy consumption per unit of GDP  </t>
        </is>
      </c>
      <c r="C88" s="113" t="inlineStr">
        <is>
          <t>reduce by</t>
        </is>
      </c>
      <c r="D88" s="113" t="inlineStr">
        <is>
          <t>3.9%</t>
        </is>
      </c>
      <c r="E88" s="113" t="n">
        <v>2013</v>
      </c>
      <c r="F88" s="114" t="n">
        <v>2014</v>
      </c>
      <c r="G88" s="113" t="inlineStr">
        <is>
          <t>n</t>
        </is>
      </c>
      <c r="H88" s="113" t="inlineStr">
        <is>
          <t>Energy efficiency</t>
        </is>
      </c>
      <c r="I88" s="113" t="inlineStr">
        <is>
          <t>whole economy</t>
        </is>
      </c>
      <c r="J88" s="113" t="inlineStr">
        <is>
          <t>Intensify efforts in energy conservation and emission reduction, control the total energy consumption, and reduce energy consumption intensity by more than 3.9% this year.</t>
        </is>
      </c>
      <c r="K88" s="113" t="inlineStr">
        <is>
          <t>HL1403.pdf</t>
        </is>
      </c>
      <c r="L88" s="113" t="inlineStr">
        <is>
          <t>Energy/Power</t>
        </is>
      </c>
      <c r="M88" s="113" t="inlineStr">
        <is>
          <t>Coal power</t>
        </is>
      </c>
    </row>
    <row r="89" ht="18" customHeight="1" s="235">
      <c r="A89" s="113" t="n">
        <v>2015</v>
      </c>
      <c r="B89" s="113" t="inlineStr">
        <is>
          <t xml:space="preserve">energy consumption per unit of GDP  </t>
        </is>
      </c>
      <c r="C89" s="113" t="inlineStr">
        <is>
          <t>reduce by</t>
        </is>
      </c>
      <c r="D89" s="113" t="inlineStr">
        <is>
          <t>more than 3.1%</t>
        </is>
      </c>
      <c r="E89" s="113" t="n">
        <v>2014</v>
      </c>
      <c r="F89" s="114" t="n">
        <v>2015</v>
      </c>
      <c r="G89" s="113" t="inlineStr">
        <is>
          <t>s/l-NEG</t>
        </is>
      </c>
      <c r="H89" s="113" t="inlineStr">
        <is>
          <t>Energy efficiency</t>
        </is>
      </c>
      <c r="I89" s="113" t="inlineStr">
        <is>
          <t>whole economy</t>
        </is>
      </c>
      <c r="J89" s="113" t="inlineStr">
        <is>
          <t>The energy intensity will decrease by more than 3.1%, and the emissions of major pollutants continue to decrease.</t>
        </is>
      </c>
      <c r="K89" s="113" t="inlineStr">
        <is>
          <t>HL1506.pdf</t>
        </is>
      </c>
      <c r="L89" s="113" t="inlineStr">
        <is>
          <t>Energy/Power</t>
        </is>
      </c>
      <c r="M89" s="113" t="inlineStr">
        <is>
          <t>Coal power</t>
        </is>
      </c>
    </row>
    <row r="90" ht="18" customHeight="1" s="235">
      <c r="A90" s="113" t="n">
        <v>2016</v>
      </c>
      <c r="B90" s="113" t="inlineStr">
        <is>
          <t xml:space="preserve">energy consumption per unit of GDP  </t>
        </is>
      </c>
      <c r="C90" s="113" t="inlineStr">
        <is>
          <t>reduce by</t>
        </is>
      </c>
      <c r="D90" s="113" t="inlineStr">
        <is>
          <t>more than 3.4%</t>
        </is>
      </c>
      <c r="E90" s="113" t="n">
        <v>2015</v>
      </c>
      <c r="F90" s="114" t="n">
        <v>2016</v>
      </c>
      <c r="G90" s="113" t="inlineStr">
        <is>
          <t>n</t>
        </is>
      </c>
      <c r="H90" s="113" t="inlineStr">
        <is>
          <t>Energy efficiency</t>
        </is>
      </c>
      <c r="I90" s="113" t="inlineStr">
        <is>
          <t>whole economy</t>
        </is>
      </c>
      <c r="J90" s="113" t="inlineStr">
        <is>
          <t>The energy consumption per unit of GDP will decrease by over 3.4%, and the emissions of major pollutants continue to decrease.</t>
        </is>
      </c>
      <c r="K90" s="113" t="inlineStr">
        <is>
          <t>HL1603.pdf</t>
        </is>
      </c>
      <c r="L90" s="113" t="inlineStr">
        <is>
          <t>Energy/Power</t>
        </is>
      </c>
      <c r="M90" s="113" t="inlineStr">
        <is>
          <t>Coal power</t>
        </is>
      </c>
    </row>
    <row r="91" ht="18" customHeight="1" s="235">
      <c r="A91" s="113" t="n">
        <v>2017</v>
      </c>
      <c r="B91" s="113" t="inlineStr">
        <is>
          <t xml:space="preserve">energy consumption per unit of GDP  </t>
        </is>
      </c>
      <c r="C91" s="113" t="inlineStr">
        <is>
          <t>reduce by</t>
        </is>
      </c>
      <c r="D91" s="113" t="inlineStr">
        <is>
          <t>more than 3.4%</t>
        </is>
      </c>
      <c r="E91" s="113" t="n">
        <v>2016</v>
      </c>
      <c r="F91" s="114" t="n">
        <v>2017</v>
      </c>
      <c r="G91" s="113" t="inlineStr">
        <is>
          <t>n</t>
        </is>
      </c>
      <c r="H91" s="113" t="inlineStr">
        <is>
          <t>Energy efficiency</t>
        </is>
      </c>
      <c r="I91" s="113" t="inlineStr">
        <is>
          <t>whole economy</t>
        </is>
      </c>
      <c r="J91" s="113" t="inlineStr">
        <is>
          <t>The energy consumption per unit of GDP will decrease by over 3.4%, and the emissions of major pollutants continue to decline.</t>
        </is>
      </c>
      <c r="K91" s="113" t="inlineStr">
        <is>
          <t>HL1703.pdf</t>
        </is>
      </c>
      <c r="L91" s="113" t="inlineStr">
        <is>
          <t>Energy/Power</t>
        </is>
      </c>
      <c r="M91" s="113" t="inlineStr">
        <is>
          <t>Energy consumption</t>
        </is>
      </c>
    </row>
    <row r="92" ht="18" customHeight="1" s="235">
      <c r="A92" s="113" t="n">
        <v>2019</v>
      </c>
      <c r="B92" s="113" t="inlineStr">
        <is>
          <t xml:space="preserve">energy consumption per unit of GDP  </t>
        </is>
      </c>
      <c r="C92" s="113" t="inlineStr">
        <is>
          <t>reduce by</t>
        </is>
      </c>
      <c r="D92" s="113" t="inlineStr">
        <is>
          <t>around 3%</t>
        </is>
      </c>
      <c r="E92" s="113" t="n">
        <v>2018</v>
      </c>
      <c r="F92" s="114" t="n">
        <v>2019</v>
      </c>
      <c r="G92" s="113" t="inlineStr">
        <is>
          <t>n</t>
        </is>
      </c>
      <c r="H92" s="113" t="inlineStr">
        <is>
          <t>Energy efficiency</t>
        </is>
      </c>
      <c r="I92" s="113" t="inlineStr">
        <is>
          <t>whole economy</t>
        </is>
      </c>
      <c r="J92" s="113" t="inlineStr">
        <is>
          <t>The energy consumption per unit of GDP will decrease by about 3%</t>
        </is>
      </c>
      <c r="K92" s="113" t="inlineStr">
        <is>
          <t>HL1904.pdf</t>
        </is>
      </c>
      <c r="L92" s="113" t="inlineStr">
        <is>
          <t>Energy/Power</t>
        </is>
      </c>
      <c r="M92" s="113" t="inlineStr">
        <is>
          <t>Energy consumption</t>
        </is>
      </c>
    </row>
    <row r="93" ht="18" customHeight="1" s="235">
      <c r="A93" s="113" t="n">
        <v>2021</v>
      </c>
      <c r="B93" s="113" t="inlineStr">
        <is>
          <t xml:space="preserve">energy consumption per unit of GDP  </t>
        </is>
      </c>
      <c r="C93" s="113" t="inlineStr">
        <is>
          <t>reduce by</t>
        </is>
      </c>
      <c r="D93" s="113" t="inlineStr">
        <is>
          <t>around 3%</t>
        </is>
      </c>
      <c r="E93" s="113" t="n">
        <v>2020</v>
      </c>
      <c r="F93" s="114" t="n">
        <v>2021</v>
      </c>
      <c r="G93" s="113" t="inlineStr">
        <is>
          <t>n</t>
        </is>
      </c>
      <c r="H93" s="113" t="inlineStr">
        <is>
          <t>Energy efficiency</t>
        </is>
      </c>
      <c r="I93" s="113" t="inlineStr">
        <is>
          <t>whole economy</t>
        </is>
      </c>
      <c r="J93" s="113" t="inlineStr">
        <is>
          <t>Unit GDP energy consumption is to be reduced by around 3%.</t>
        </is>
      </c>
      <c r="K93" s="113" t="inlineStr">
        <is>
          <t>HL2108.pdf</t>
        </is>
      </c>
      <c r="L93" s="113" t="inlineStr">
        <is>
          <t>Energy/Power</t>
        </is>
      </c>
      <c r="M93" s="113" t="inlineStr">
        <is>
          <t>Energy consumption</t>
        </is>
      </c>
    </row>
    <row r="94" ht="18" customHeight="1" s="235">
      <c r="A94" s="113" t="n">
        <v>2025</v>
      </c>
      <c r="B94" s="113" t="inlineStr">
        <is>
          <t xml:space="preserve">energy consumption per unit of GDP  </t>
        </is>
      </c>
      <c r="C94" s="113" t="inlineStr">
        <is>
          <t>reduce by</t>
        </is>
      </c>
      <c r="D94" s="113" t="inlineStr">
        <is>
          <t>around 3%</t>
        </is>
      </c>
      <c r="E94" s="113" t="n">
        <v>2024</v>
      </c>
      <c r="F94" s="114" t="n">
        <v>2025</v>
      </c>
      <c r="G94" s="113" t="inlineStr">
        <is>
          <t>n</t>
        </is>
      </c>
      <c r="H94" s="113" t="inlineStr">
        <is>
          <t>Energy efficiency</t>
        </is>
      </c>
      <c r="I94" s="113" t="inlineStr">
        <is>
          <t>whole economy</t>
        </is>
      </c>
      <c r="J94" s="113" t="inlineStr">
        <is>
          <t>The energy consumption per unit of GDP will be reduced by about 3%, and the ecological environment quality will continue to improve.</t>
        </is>
      </c>
      <c r="K94" s="113" t="inlineStr">
        <is>
          <t>HL2501.pdf</t>
        </is>
      </c>
      <c r="L94" s="113" t="inlineStr">
        <is>
          <t>Energy/Power</t>
        </is>
      </c>
      <c r="M94" s="113" t="inlineStr">
        <is>
          <t>Energy consumption</t>
        </is>
      </c>
    </row>
    <row r="95" ht="18" customHeight="1" s="235">
      <c r="A95" s="113" t="n">
        <v>2011</v>
      </c>
      <c r="B95" s="113" t="inlineStr">
        <is>
          <t xml:space="preserve">energy consumption per unit of GDP  </t>
        </is>
      </c>
      <c r="C95" s="113" t="inlineStr">
        <is>
          <t>reduce by</t>
        </is>
      </c>
      <c r="D95" s="113" t="inlineStr">
        <is>
          <t>3.5%</t>
        </is>
      </c>
      <c r="E95" s="113" t="n">
        <v>2010</v>
      </c>
      <c r="F95" s="114" t="n">
        <v>2011</v>
      </c>
      <c r="G95" s="113" t="inlineStr">
        <is>
          <t>n</t>
        </is>
      </c>
      <c r="H95" s="113" t="inlineStr">
        <is>
          <t>Energy efficiency</t>
        </is>
      </c>
      <c r="I95" s="113" t="inlineStr">
        <is>
          <t>whole economy</t>
        </is>
      </c>
      <c r="J95" s="113" t="inlineStr">
        <is>
          <t>Unit GDP energy consumption is to be reduced by 3.5%.</t>
        </is>
      </c>
      <c r="K95" s="113" t="inlineStr">
        <is>
          <t>HL1103.htm</t>
        </is>
      </c>
      <c r="L95" s="113" t="inlineStr">
        <is>
          <t>Energy/Power</t>
        </is>
      </c>
      <c r="M95" s="113" t="inlineStr">
        <is>
          <t>Energy consumption</t>
        </is>
      </c>
    </row>
    <row r="96" ht="18" customHeight="1" s="235">
      <c r="A96" s="113" t="n">
        <v>2012</v>
      </c>
      <c r="B96" s="113" t="inlineStr">
        <is>
          <t xml:space="preserve">energy consumption per unit of GDP  </t>
        </is>
      </c>
      <c r="C96" s="113" t="inlineStr">
        <is>
          <t>reduce by</t>
        </is>
      </c>
      <c r="D96" s="113" t="inlineStr">
        <is>
          <t>around 3.5%</t>
        </is>
      </c>
      <c r="E96" s="113" t="n">
        <v>2011</v>
      </c>
      <c r="F96" s="114" t="n">
        <v>2012</v>
      </c>
      <c r="G96" s="113" t="inlineStr">
        <is>
          <t>n</t>
        </is>
      </c>
      <c r="H96" s="113" t="inlineStr">
        <is>
          <t>Energy efficiency</t>
        </is>
      </c>
      <c r="I96" s="113" t="inlineStr">
        <is>
          <t>whole economy</t>
        </is>
      </c>
      <c r="J96" s="113" t="inlineStr">
        <is>
          <t>Unit GDP energy consumption is to be reduced by around 3.5%, with a larger reduction in carbon dioxide emission intensity.</t>
        </is>
      </c>
      <c r="K96" s="113" t="inlineStr">
        <is>
          <t>HL1204.htm</t>
        </is>
      </c>
      <c r="L96" s="113" t="inlineStr">
        <is>
          <t>Energy/Power</t>
        </is>
      </c>
      <c r="M96" s="113" t="inlineStr">
        <is>
          <t>Energy consumption</t>
        </is>
      </c>
    </row>
    <row r="97" ht="18" customHeight="1" s="235">
      <c r="A97" s="113" t="n">
        <v>2017</v>
      </c>
      <c r="B97" s="113" t="inlineStr">
        <is>
          <t>energy consumption per unit of industrial added value (above scale)</t>
        </is>
      </c>
      <c r="C97" s="113" t="inlineStr">
        <is>
          <t>reduce by</t>
        </is>
      </c>
      <c r="D97" s="113" t="inlineStr">
        <is>
          <t>21%</t>
        </is>
      </c>
      <c r="E97" s="113" t="n">
        <v>2010</v>
      </c>
      <c r="F97" s="114" t="n">
        <v>2015</v>
      </c>
      <c r="G97" s="113" t="inlineStr">
        <is>
          <t>n</t>
        </is>
      </c>
      <c r="H97" s="113" t="inlineStr">
        <is>
          <t>Energy efficiency</t>
        </is>
      </c>
      <c r="I97" s="113" t="inlineStr">
        <is>
          <t>sectors</t>
        </is>
      </c>
      <c r="J97" s="113" t="inlineStr">
        <is>
          <t>In August 2012, the State Council issued the “12th Five-Year Plan for Energy Conservation and Emission Reduction”, further proposing to reduce energy consumption per unit of industrial added value (above scale) by about 21% compared with 2010.</t>
        </is>
      </c>
      <c r="K97" s="113" t="inlineStr">
        <is>
          <t>HL1701.pdf</t>
        </is>
      </c>
      <c r="L97" s="113" t="inlineStr">
        <is>
          <t>Energy/Power</t>
        </is>
      </c>
      <c r="M97" s="113" t="inlineStr">
        <is>
          <t>Energy consumption</t>
        </is>
      </c>
    </row>
    <row r="98" ht="18" customHeight="1" s="235">
      <c r="A98" s="113" t="n">
        <v>2014</v>
      </c>
      <c r="B98" s="113" t="inlineStr">
        <is>
          <t xml:space="preserve">recovery rate of thick coal seams  </t>
        </is>
      </c>
      <c r="C98" s="113" t="inlineStr">
        <is>
          <t>reach</t>
        </is>
      </c>
      <c r="D98" s="113" t="inlineStr">
        <is>
          <t>70%</t>
        </is>
      </c>
      <c r="E98" s="113" t="n"/>
      <c r="F98" s="114" t="inlineStr">
        <is>
          <t>2020</t>
        </is>
      </c>
      <c r="G98" s="113" t="inlineStr">
        <is>
          <t>n</t>
        </is>
      </c>
      <c r="H98" s="113" t="inlineStr">
        <is>
          <t>Coal-related</t>
        </is>
      </c>
      <c r="I98" s="113" t="inlineStr">
        <is>
          <t>unclear</t>
        </is>
      </c>
      <c r="J98" s="113" t="inlineStr">
        <is>
          <t>By 2020, the recovery rate of thick coal seams will reach 70%.</t>
        </is>
      </c>
      <c r="K98" s="113" t="inlineStr">
        <is>
          <t>O1401.htm</t>
        </is>
      </c>
      <c r="L98" s="113" t="inlineStr">
        <is>
          <t>Energy/Power</t>
        </is>
      </c>
      <c r="M98" s="113" t="inlineStr">
        <is>
          <t>Energy consumption</t>
        </is>
      </c>
    </row>
    <row r="99" ht="18" customHeight="1" s="235">
      <c r="A99" s="113" t="n">
        <v>2024</v>
      </c>
      <c r="B99" s="113" t="inlineStr">
        <is>
          <t>crude oil processing capacity</t>
        </is>
      </c>
      <c r="C99" s="113" t="inlineStr">
        <is>
          <t>control within</t>
        </is>
      </c>
      <c r="D99" s="113" t="inlineStr">
        <is>
          <t>1 billion tons</t>
        </is>
      </c>
      <c r="E99" s="113" t="n"/>
      <c r="F99" s="114" t="inlineStr">
        <is>
          <t>2025</t>
        </is>
      </c>
      <c r="G99" s="113" t="inlineStr">
        <is>
          <t>n</t>
        </is>
      </c>
      <c r="H99" s="113" t="inlineStr">
        <is>
          <t>Transitional energy</t>
        </is>
      </c>
      <c r="I99" s="113" t="inlineStr">
        <is>
          <t>sectors</t>
        </is>
      </c>
      <c r="J99" s="113" t="inlineStr">
        <is>
          <t>By the end of 2025, the country's crude oil processing capacity will be controlled within 1 billion tons.</t>
        </is>
      </c>
      <c r="K99" s="113" t="inlineStr">
        <is>
          <t>AP2405.htm</t>
        </is>
      </c>
      <c r="L99" s="113" t="inlineStr">
        <is>
          <t>Energy/Power</t>
        </is>
      </c>
      <c r="M99" s="113" t="inlineStr">
        <is>
          <t>Energy consumption</t>
        </is>
      </c>
    </row>
    <row r="100" ht="18" customHeight="1" s="235">
      <c r="A100" s="113" t="n">
        <v>2021</v>
      </c>
      <c r="B100" s="113" t="inlineStr">
        <is>
          <t>crude oil processing capacity</t>
        </is>
      </c>
      <c r="C100" s="113" t="inlineStr">
        <is>
          <t>keep below</t>
        </is>
      </c>
      <c r="D100" s="113" t="inlineStr">
        <is>
          <t>1 billion metric tons</t>
        </is>
      </c>
      <c r="E100" s="113" t="n"/>
      <c r="F100" s="114" t="inlineStr">
        <is>
          <t>2025</t>
        </is>
      </c>
      <c r="G100" s="113" t="inlineStr">
        <is>
          <t>r</t>
        </is>
      </c>
      <c r="H100" s="113" t="inlineStr">
        <is>
          <t>Transitional energy</t>
        </is>
      </c>
      <c r="I100" s="113" t="inlineStr">
        <is>
          <t>whole economy</t>
        </is>
      </c>
      <c r="J100" s="113" t="inlineStr">
        <is>
          <t>By 2025, domestic capacity for primary refining of crude oil will be kept below 1 billion metric tons</t>
        </is>
      </c>
      <c r="K100" s="113" t="inlineStr">
        <is>
          <t>HL2102.pdf</t>
        </is>
      </c>
      <c r="L100" s="113" t="inlineStr">
        <is>
          <t>Energy/Power</t>
        </is>
      </c>
      <c r="M100" s="113" t="inlineStr">
        <is>
          <t>Energy consumption</t>
        </is>
      </c>
    </row>
    <row r="101" ht="18" customHeight="1" s="235">
      <c r="A101" s="113" t="n">
        <v>2023</v>
      </c>
      <c r="B101" s="113" t="inlineStr">
        <is>
          <t>crude oil processing capacity</t>
        </is>
      </c>
      <c r="C101" s="113" t="inlineStr">
        <is>
          <t>control within</t>
        </is>
      </c>
      <c r="D101" s="113" t="inlineStr">
        <is>
          <t>1 billion tons</t>
        </is>
      </c>
      <c r="E101" s="113" t="n"/>
      <c r="F101" s="114" t="inlineStr">
        <is>
          <t>2025</t>
        </is>
      </c>
      <c r="G101" s="113" t="inlineStr">
        <is>
          <t>r</t>
        </is>
      </c>
      <c r="H101" s="113" t="inlineStr">
        <is>
          <t>Transitional energy</t>
        </is>
      </c>
      <c r="I101" s="113" t="inlineStr">
        <is>
          <t>whole economy</t>
        </is>
      </c>
      <c r="J101" s="113" t="inlineStr">
        <is>
          <t>By 2025, the domestic crude oil primary processing capacity will be controlled within 1 billion tons.</t>
        </is>
      </c>
      <c r="K101" s="113" t="inlineStr">
        <is>
          <t>GO2304.htm</t>
        </is>
      </c>
      <c r="L101" s="113" t="inlineStr">
        <is>
          <t>Energy/Power</t>
        </is>
      </c>
      <c r="M101" s="113" t="inlineStr">
        <is>
          <t>Energy consumption</t>
        </is>
      </c>
    </row>
    <row r="102" ht="18" customHeight="1" s="235">
      <c r="A102" s="113" t="n">
        <v>2016</v>
      </c>
      <c r="B102" s="113" t="inlineStr">
        <is>
          <t>primary oil transportation capacity</t>
        </is>
      </c>
      <c r="C102" s="113" t="inlineStr">
        <is>
          <t>build annually</t>
        </is>
      </c>
      <c r="D102" s="113" t="inlineStr">
        <is>
          <t>120 million tons</t>
        </is>
      </c>
      <c r="E102" s="113" t="n"/>
      <c r="F102" s="114" t="inlineStr">
        <is>
          <t>13th FYP</t>
        </is>
      </c>
      <c r="G102" s="113" t="inlineStr">
        <is>
          <t>n</t>
        </is>
      </c>
      <c r="H102" s="113" t="inlineStr">
        <is>
          <t>Transitional energy</t>
        </is>
      </c>
      <c r="I102" s="113" t="inlineStr">
        <is>
          <t>whole economy</t>
        </is>
      </c>
      <c r="J102" s="113" t="inlineStr">
        <is>
          <t>During the 13th Five-Year Plan period, primary oil transportation capacity of 120 million tons will be built per year.</t>
        </is>
      </c>
      <c r="K102" s="113" t="inlineStr">
        <is>
          <t>FYP1624.pdf</t>
        </is>
      </c>
      <c r="L102" s="113" t="inlineStr">
        <is>
          <t>Energy/Power</t>
        </is>
      </c>
      <c r="M102" s="113" t="inlineStr">
        <is>
          <t>Energy consumption</t>
        </is>
      </c>
    </row>
    <row r="103" ht="18" customHeight="1" s="235">
      <c r="A103" s="113" t="n">
        <v>2013</v>
      </c>
      <c r="B103" s="113" t="inlineStr">
        <is>
          <t>crude oil processing capacity</t>
        </is>
      </c>
      <c r="C103" s="113" t="inlineStr">
        <is>
          <t>reach</t>
        </is>
      </c>
      <c r="D103" s="113" t="inlineStr">
        <is>
          <t>620 million tons</t>
        </is>
      </c>
      <c r="E103" s="113" t="n"/>
      <c r="F103" s="114" t="inlineStr">
        <is>
          <t>2015</t>
        </is>
      </c>
      <c r="G103" s="113" t="inlineStr">
        <is>
          <t>n</t>
        </is>
      </c>
      <c r="H103" s="113" t="inlineStr">
        <is>
          <t>Transitional energy</t>
        </is>
      </c>
      <c r="I103" s="113" t="inlineStr">
        <is>
          <t>sectors</t>
        </is>
      </c>
      <c r="J103" s="113" t="inlineStr">
        <is>
          <t>By 2015, primary crude oil processing capacity will reach 620 million tons.</t>
        </is>
      </c>
      <c r="K103" s="113" t="inlineStr">
        <is>
          <t>FYP1302.htm</t>
        </is>
      </c>
      <c r="L103" s="113" t="inlineStr">
        <is>
          <t>Energy/Power</t>
        </is>
      </c>
      <c r="M103" s="113" t="inlineStr">
        <is>
          <t>Energy consumption</t>
        </is>
      </c>
    </row>
    <row r="104" ht="18" customHeight="1" s="235">
      <c r="A104" s="113" t="n">
        <v>2016</v>
      </c>
      <c r="B104" s="113" t="inlineStr">
        <is>
          <t>crude oil annual output</t>
        </is>
      </c>
      <c r="C104" s="113" t="inlineStr">
        <is>
          <t>reach</t>
        </is>
      </c>
      <c r="D104" s="113" t="inlineStr">
        <is>
          <t>200 million tons</t>
        </is>
      </c>
      <c r="E104" s="113" t="n"/>
      <c r="F104" s="114" t="inlineStr">
        <is>
          <t>13th FYP</t>
        </is>
      </c>
      <c r="G104" s="113" t="inlineStr">
        <is>
          <t>r</t>
        </is>
      </c>
      <c r="H104" s="113" t="inlineStr">
        <is>
          <t>Transitional energy</t>
        </is>
      </c>
      <c r="I104" s="113" t="inlineStr">
        <is>
          <t>whole economy</t>
        </is>
      </c>
      <c r="J104" s="113" t="inlineStr">
        <is>
          <t>During the 13th Five-Year Plan period, the newly discovered oil reserves will be about 5 billion tons, and the annual output will be about 200 million tons.</t>
        </is>
      </c>
      <c r="K104" s="113" t="inlineStr">
        <is>
          <t>FYP1603.pdf</t>
        </is>
      </c>
      <c r="L104" s="113" t="inlineStr">
        <is>
          <t>Energy/Power</t>
        </is>
      </c>
      <c r="M104" s="113" t="inlineStr">
        <is>
          <t>Energy consumption</t>
        </is>
      </c>
    </row>
    <row r="105" ht="18" customHeight="1" s="235">
      <c r="A105" s="113" t="n">
        <v>2013</v>
      </c>
      <c r="B105" s="113" t="inlineStr">
        <is>
          <t>crude oil production capacity</t>
        </is>
      </c>
      <c r="C105" s="113" t="inlineStr">
        <is>
          <t>remain at</t>
        </is>
      </c>
      <c r="D105" s="113" t="inlineStr">
        <is>
          <t>200 million tons</t>
        </is>
      </c>
      <c r="E105" s="113" t="n"/>
      <c r="F105" s="114" t="inlineStr">
        <is>
          <t>2015</t>
        </is>
      </c>
      <c r="G105" s="113" t="inlineStr">
        <is>
          <t>n</t>
        </is>
      </c>
      <c r="H105" s="113" t="inlineStr">
        <is>
          <t>Transitional energy</t>
        </is>
      </c>
      <c r="I105" s="113" t="inlineStr">
        <is>
          <t>sectors</t>
        </is>
      </c>
      <c r="J105" s="113" t="inlineStr">
        <is>
          <t>Crude oil production capacity will remain stable at 200 million tons by 2015.</t>
        </is>
      </c>
      <c r="K105" s="113" t="inlineStr">
        <is>
          <t>FYP1302.htm</t>
        </is>
      </c>
      <c r="L105" s="113" t="inlineStr">
        <is>
          <t>Energy/Power</t>
        </is>
      </c>
      <c r="M105" s="113" t="inlineStr">
        <is>
          <t>Energy consumption</t>
        </is>
      </c>
    </row>
    <row r="106" ht="18" customHeight="1" s="235">
      <c r="A106" s="113" t="n">
        <v>2016</v>
      </c>
      <c r="B106" s="113" t="inlineStr">
        <is>
          <t>crude oil pipelines</t>
        </is>
      </c>
      <c r="C106" s="113" t="inlineStr">
        <is>
          <t>build</t>
        </is>
      </c>
      <c r="D106" s="113" t="inlineStr">
        <is>
          <t>5000  kilometers</t>
        </is>
      </c>
      <c r="E106" s="113" t="n"/>
      <c r="F106" s="114" t="inlineStr">
        <is>
          <t>13th FYP</t>
        </is>
      </c>
      <c r="G106" s="113" t="inlineStr">
        <is>
          <t>n</t>
        </is>
      </c>
      <c r="H106" s="113" t="inlineStr">
        <is>
          <t>Transitional energy</t>
        </is>
      </c>
      <c r="I106" s="113" t="inlineStr">
        <is>
          <t>unclear</t>
        </is>
      </c>
      <c r="J106" s="113" t="inlineStr">
        <is>
          <t>During the 13th Five-Year Plan period, about 5,000 kilometers of crude oil pipelines will be built.</t>
        </is>
      </c>
      <c r="K106" s="113" t="inlineStr">
        <is>
          <t>FYP1624.pdf</t>
        </is>
      </c>
      <c r="L106" s="113" t="inlineStr">
        <is>
          <t>Energy/Power</t>
        </is>
      </c>
      <c r="M106" s="113" t="inlineStr">
        <is>
          <t>Energy consumption</t>
        </is>
      </c>
    </row>
    <row r="107" ht="18" customHeight="1" s="235">
      <c r="A107" s="113" t="n">
        <v>2012</v>
      </c>
      <c r="B107" s="113" t="inlineStr">
        <is>
          <t>raw coal washing rate</t>
        </is>
      </c>
      <c r="C107" s="113" t="inlineStr">
        <is>
          <t>reach</t>
        </is>
      </c>
      <c r="D107" s="113" t="inlineStr">
        <is>
          <t>60%</t>
        </is>
      </c>
      <c r="E107" s="113" t="n"/>
      <c r="F107" s="114" t="inlineStr">
        <is>
          <t>2015</t>
        </is>
      </c>
      <c r="G107" s="113" t="inlineStr">
        <is>
          <t>r</t>
        </is>
      </c>
      <c r="H107" s="113" t="inlineStr">
        <is>
          <t>Coal-related</t>
        </is>
      </c>
      <c r="I107" s="113" t="inlineStr">
        <is>
          <t>sectors</t>
        </is>
      </c>
      <c r="J107" s="113" t="inlineStr">
        <is>
          <t>By 2015, the raw coal washing rate will reach more than 60%.</t>
        </is>
      </c>
      <c r="K107" s="113" t="inlineStr">
        <is>
          <t>FYP1201.htm</t>
        </is>
      </c>
      <c r="L107" s="113" t="inlineStr">
        <is>
          <t>Energy/Power</t>
        </is>
      </c>
      <c r="M107" s="113" t="inlineStr">
        <is>
          <t>Energy consumption</t>
        </is>
      </c>
    </row>
    <row r="108" ht="18" customHeight="1" s="235">
      <c r="A108" s="113" t="n">
        <v>2013</v>
      </c>
      <c r="B108" s="113" t="inlineStr">
        <is>
          <t>raw coal washing rate</t>
        </is>
      </c>
      <c r="C108" s="113" t="inlineStr">
        <is>
          <t>reach</t>
        </is>
      </c>
      <c r="D108" s="113" t="inlineStr">
        <is>
          <t>60%</t>
        </is>
      </c>
      <c r="E108" s="113" t="n"/>
      <c r="F108" s="114" t="inlineStr">
        <is>
          <t>2015</t>
        </is>
      </c>
      <c r="G108" s="113" t="inlineStr">
        <is>
          <t>n</t>
        </is>
      </c>
      <c r="H108" s="113" t="inlineStr">
        <is>
          <t>Coal-related</t>
        </is>
      </c>
      <c r="I108" s="113" t="inlineStr">
        <is>
          <t>sectors</t>
        </is>
      </c>
      <c r="J108" s="113" t="inlineStr">
        <is>
          <t>By 2015, the raw coal washing rate will reach over 60%.</t>
        </is>
      </c>
      <c r="K108" s="113" t="inlineStr">
        <is>
          <t>DP1301.htm</t>
        </is>
      </c>
      <c r="L108" s="113" t="inlineStr">
        <is>
          <t>Energy/Power</t>
        </is>
      </c>
      <c r="M108" s="113" t="inlineStr">
        <is>
          <t>Energy consumption</t>
        </is>
      </c>
    </row>
    <row r="109" ht="18" customHeight="1" s="235">
      <c r="A109" s="113" t="n">
        <v>2013</v>
      </c>
      <c r="B109" s="113" t="inlineStr">
        <is>
          <t>raw coal selection rate</t>
        </is>
      </c>
      <c r="C109" s="113" t="inlineStr">
        <is>
          <t>reach</t>
        </is>
      </c>
      <c r="D109" s="113" t="inlineStr">
        <is>
          <t>more than 70%</t>
        </is>
      </c>
      <c r="E109" s="113" t="n"/>
      <c r="F109" s="114" t="inlineStr">
        <is>
          <t>2017</t>
        </is>
      </c>
      <c r="G109" s="113" t="inlineStr">
        <is>
          <t>n</t>
        </is>
      </c>
      <c r="H109" s="113" t="inlineStr">
        <is>
          <t>Coal-related</t>
        </is>
      </c>
      <c r="I109" s="113" t="inlineStr">
        <is>
          <t>sectors</t>
        </is>
      </c>
      <c r="J109" s="113" t="inlineStr">
        <is>
          <t>To increase the proportion of coal washing, new coal mines should simultaneously build coal washing facilities, and existing coal mines should speed up construction and renovation; by 2017, the raw coal selection rate will reach more than 70%.</t>
        </is>
      </c>
      <c r="K109" s="113" t="inlineStr">
        <is>
          <t>AP1302.htm</t>
        </is>
      </c>
      <c r="L109" s="113" t="inlineStr">
        <is>
          <t>Energy/Power</t>
        </is>
      </c>
      <c r="M109" s="113" t="inlineStr">
        <is>
          <t>Energy consumption</t>
        </is>
      </c>
    </row>
    <row r="110" ht="18" customHeight="1" s="235">
      <c r="A110" s="113" t="n">
        <v>2013</v>
      </c>
      <c r="B110" s="113" t="inlineStr">
        <is>
          <t>raw coal selection rate</t>
        </is>
      </c>
      <c r="C110" s="113" t="inlineStr">
        <is>
          <t>reach</t>
        </is>
      </c>
      <c r="D110" s="113" t="inlineStr">
        <is>
          <t>over 65%</t>
        </is>
      </c>
      <c r="E110" s="113" t="n"/>
      <c r="F110" s="114" t="inlineStr">
        <is>
          <t>2015</t>
        </is>
      </c>
      <c r="G110" s="113" t="inlineStr">
        <is>
          <t>s/l-POS</t>
        </is>
      </c>
      <c r="H110" s="113" t="inlineStr">
        <is>
          <t>Coal-related</t>
        </is>
      </c>
      <c r="I110" s="113" t="inlineStr">
        <is>
          <t>sectors</t>
        </is>
      </c>
      <c r="J110" s="113" t="inlineStr">
        <is>
          <t>By 2015, the raw coal selection rate will reach over 65%.</t>
        </is>
      </c>
      <c r="K110" s="113" t="inlineStr">
        <is>
          <t>FYP1302.htm</t>
        </is>
      </c>
      <c r="L110" s="113" t="inlineStr">
        <is>
          <t>Energy/Power</t>
        </is>
      </c>
      <c r="M110" s="113" t="inlineStr">
        <is>
          <t>Energy consumption</t>
        </is>
      </c>
    </row>
    <row r="111" ht="18" customHeight="1" s="235">
      <c r="A111" s="113" t="n">
        <v>2014</v>
      </c>
      <c r="B111" s="113" t="inlineStr">
        <is>
          <t>raw coal selection rate</t>
        </is>
      </c>
      <c r="C111" s="113" t="inlineStr">
        <is>
          <t>reach</t>
        </is>
      </c>
      <c r="D111" s="113" t="inlineStr">
        <is>
          <t>over 80%</t>
        </is>
      </c>
      <c r="E111" s="113" t="n"/>
      <c r="F111" s="114" t="inlineStr">
        <is>
          <t>2020</t>
        </is>
      </c>
      <c r="G111" s="113" t="inlineStr">
        <is>
          <t>n</t>
        </is>
      </c>
      <c r="H111" s="113" t="inlineStr">
        <is>
          <t>Coal-related</t>
        </is>
      </c>
      <c r="I111" s="113" t="inlineStr">
        <is>
          <t>sectors</t>
        </is>
      </c>
      <c r="J111" s="113" t="inlineStr">
        <is>
          <t>By 2020, the raw coal selection rate is expected to reach over 80%.</t>
        </is>
      </c>
      <c r="K111" s="113" t="inlineStr">
        <is>
          <t>O1401.htm</t>
        </is>
      </c>
      <c r="L111" s="113" t="inlineStr">
        <is>
          <t>Energy/Power</t>
        </is>
      </c>
      <c r="M111" s="113" t="inlineStr">
        <is>
          <t>Energy consumption</t>
        </is>
      </c>
    </row>
    <row r="112" ht="18" customHeight="1" s="235">
      <c r="A112" s="0" t="n">
        <v>2016</v>
      </c>
      <c r="B112" s="0" t="inlineStr">
        <is>
          <t>average level of electricity consumption per unit of added value for industrial enterprises participating in the Special Action Plan for Demand Side Management of Electricity in the Industrial Sector</t>
        </is>
      </c>
      <c r="C112" s="0" t="inlineStr">
        <is>
          <t>reduce by</t>
        </is>
      </c>
      <c r="D112" s="0" t="inlineStr">
        <is>
          <t>10%</t>
        </is>
      </c>
      <c r="E112" s="0" t="n">
        <v>2015</v>
      </c>
      <c r="F112" s="0" t="inlineStr">
        <is>
          <t>2020</t>
        </is>
      </c>
      <c r="G112" s="0" t="inlineStr">
        <is>
          <t>n</t>
        </is>
      </c>
      <c r="H112" s="0" t="inlineStr">
        <is>
          <t>Energy efficiency</t>
        </is>
      </c>
      <c r="I112" s="0" t="inlineStr">
        <is>
          <t>enterprises</t>
        </is>
      </c>
      <c r="J112" s="0" t="inlineStr">
        <is>
          <t>The overall goal is, by 2020, to achieve a more than 10% drop in the average level of electricity consumption per unit of added value for industrial enterprises participating in the Special Action Plan for Demand Side Management of Electricity in the Industrial Sector.</t>
        </is>
      </c>
      <c r="K112" s="0" t="inlineStr">
        <is>
          <t>AP1602.htm</t>
        </is>
      </c>
      <c r="L112" s="0" t="inlineStr">
        <is>
          <t>Energy/Power</t>
        </is>
      </c>
      <c r="M112" s="0" t="inlineStr">
        <is>
          <t>Energy consumption</t>
        </is>
      </c>
    </row>
    <row r="113" ht="18" customHeight="1" s="235">
      <c r="A113" s="113" t="n">
        <v>2024</v>
      </c>
      <c r="B113" s="113" t="inlineStr">
        <is>
          <t>utilization of renewable energy non-electricity</t>
        </is>
      </c>
      <c r="C113" s="113" t="inlineStr">
        <is>
          <t>exceed</t>
        </is>
      </c>
      <c r="D113" s="113" t="inlineStr">
        <is>
          <t>60 million tce</t>
        </is>
      </c>
      <c r="E113" s="113" t="n"/>
      <c r="F113" s="114" t="inlineStr">
        <is>
          <t>2024</t>
        </is>
      </c>
      <c r="G113" s="113" t="inlineStr">
        <is>
          <t>n</t>
        </is>
      </c>
      <c r="H113" s="113" t="inlineStr">
        <is>
          <t>Renewable energy</t>
        </is>
      </c>
      <c r="I113" s="113" t="inlineStr">
        <is>
          <t>unclear</t>
        </is>
      </c>
      <c r="J113" s="113" t="inlineStr">
        <is>
          <t>In 2024, the national non-hydropower renewable energy electricity consumption responsibility weight will reach about 18%, and the scale of renewable energy non-electricity utilization will exceed 60 million tons of standard coal.</t>
        </is>
      </c>
      <c r="K113" s="113" t="inlineStr">
        <is>
          <t>HL2401.pdf</t>
        </is>
      </c>
      <c r="L113" s="113" t="inlineStr">
        <is>
          <t>Energy/Power</t>
        </is>
      </c>
      <c r="M113" s="113" t="inlineStr">
        <is>
          <t>Energy consumption</t>
        </is>
      </c>
    </row>
    <row r="114" ht="18" customHeight="1" s="235">
      <c r="A114" s="113" t="n">
        <v>2024</v>
      </c>
      <c r="B114" s="113" t="inlineStr">
        <is>
          <t>demand response capacity of the maximum power load of each region</t>
        </is>
      </c>
      <c r="C114" s="113" t="inlineStr">
        <is>
          <t>reach</t>
        </is>
      </c>
      <c r="D114" s="113" t="inlineStr">
        <is>
          <t>3%-5%</t>
        </is>
      </c>
      <c r="E114" s="113" t="n"/>
      <c r="F114" s="114" t="inlineStr">
        <is>
          <t>2025</t>
        </is>
      </c>
      <c r="G114" s="113" t="inlineStr">
        <is>
          <t>n</t>
        </is>
      </c>
      <c r="H114" s="113" t="inlineStr">
        <is>
          <t>Renewable energy</t>
        </is>
      </c>
      <c r="I114" s="113" t="inlineStr">
        <is>
          <t>areas</t>
        </is>
      </c>
      <c r="J114" s="113" t="inlineStr">
        <is>
          <t>By the end of 2025, the demand response capacity of each region should generally reach 3%-5% of the maximum power load</t>
        </is>
      </c>
      <c r="K114" s="113" t="inlineStr">
        <is>
          <t>AP2405.htm</t>
        </is>
      </c>
      <c r="L114" s="113" t="inlineStr">
        <is>
          <t>Energy/Power</t>
        </is>
      </c>
      <c r="M114" s="113" t="inlineStr">
        <is>
          <t>Energy consumption</t>
        </is>
      </c>
    </row>
    <row r="115" ht="18" customHeight="1" s="235">
      <c r="A115" s="113" t="n">
        <v>2021</v>
      </c>
      <c r="B115" s="113" t="inlineStr">
        <is>
          <t>energy consumption per unit of turnover of national railways</t>
        </is>
      </c>
      <c r="C115" s="113" t="inlineStr">
        <is>
          <t>reduce by</t>
        </is>
      </c>
      <c r="D115" s="113" t="inlineStr">
        <is>
          <t>10%</t>
        </is>
      </c>
      <c r="E115" s="113" t="n">
        <v>2020</v>
      </c>
      <c r="F115" s="114" t="inlineStr">
        <is>
          <t>2030</t>
        </is>
      </c>
      <c r="G115" s="113" t="inlineStr">
        <is>
          <t>r</t>
        </is>
      </c>
      <c r="H115" s="113" t="inlineStr">
        <is>
          <t>Energy efficiency</t>
        </is>
      </c>
      <c r="I115" s="113" t="inlineStr">
        <is>
          <t>whole economy</t>
        </is>
      </c>
      <c r="J115" s="113" t="inlineStr">
        <is>
          <t>By 2030, comprehensive energy consumption per unit of converted turnover of railways will drop by 10% from 2020 level, and oil consumption by land transportation strives to peak.</t>
        </is>
      </c>
      <c r="K115" s="113" t="inlineStr">
        <is>
          <t>HL2104.pdf</t>
        </is>
      </c>
      <c r="L115" s="113" t="inlineStr">
        <is>
          <t>Energy/Power</t>
        </is>
      </c>
      <c r="M115" s="113" t="inlineStr">
        <is>
          <t>Energy consumption</t>
        </is>
      </c>
    </row>
    <row r="116" ht="18" customHeight="1" s="235">
      <c r="A116" s="113" t="n">
        <v>2021</v>
      </c>
      <c r="B116" s="113" t="inlineStr">
        <is>
          <t>energy consumption per unit of turnover of national railways</t>
        </is>
      </c>
      <c r="C116" s="113" t="inlineStr">
        <is>
          <t>reduce by</t>
        </is>
      </c>
      <c r="D116" s="113" t="inlineStr">
        <is>
          <t>10%</t>
        </is>
      </c>
      <c r="E116" s="113" t="n">
        <v>2020</v>
      </c>
      <c r="F116" s="114" t="n">
        <v>2030</v>
      </c>
      <c r="G116" s="113" t="inlineStr">
        <is>
          <t>n</t>
        </is>
      </c>
      <c r="H116" s="113" t="inlineStr">
        <is>
          <t>Energy efficiency</t>
        </is>
      </c>
      <c r="I116" s="113" t="inlineStr">
        <is>
          <t>sectors</t>
        </is>
      </c>
      <c r="J116" s="113" t="inlineStr">
        <is>
          <t>By 2030, comprehensive energy  consumption of the national railways per unit of converted turnover will be cut by 10% compared with 2020.</t>
        </is>
      </c>
      <c r="K116" s="113" t="inlineStr">
        <is>
          <t>HL2102.pdf</t>
        </is>
      </c>
      <c r="L116" s="113" t="inlineStr">
        <is>
          <t>Energy/Power</t>
        </is>
      </c>
      <c r="M116" s="113" t="inlineStr">
        <is>
          <t>Energy consumption</t>
        </is>
      </c>
    </row>
    <row r="117" ht="18" customHeight="1" s="235">
      <c r="A117" s="113" t="n">
        <v>2024</v>
      </c>
      <c r="B117" s="113" t="inlineStr">
        <is>
          <t>energy consumption per unit of turnover of national railways</t>
        </is>
      </c>
      <c r="C117" s="113" t="inlineStr">
        <is>
          <t>reduce by</t>
        </is>
      </c>
      <c r="D117" s="113" t="inlineStr">
        <is>
          <t>4.5%</t>
        </is>
      </c>
      <c r="E117" s="113" t="n">
        <v>2020</v>
      </c>
      <c r="F117" s="114" t="inlineStr">
        <is>
          <t>2025</t>
        </is>
      </c>
      <c r="G117" s="113" t="inlineStr">
        <is>
          <t>n</t>
        </is>
      </c>
      <c r="H117" s="113" t="inlineStr">
        <is>
          <t>Energy efficiency</t>
        </is>
      </c>
      <c r="I117" s="113" t="inlineStr">
        <is>
          <t>sectors</t>
        </is>
      </c>
      <c r="J117" s="113" t="inlineStr">
        <is>
          <t>By the end of 2025, the comprehensive energy consumption per unit of railway turnover will be reduced by 4.5% compared with 2020.</t>
        </is>
      </c>
      <c r="K117" s="113" t="inlineStr">
        <is>
          <t>AP2405.htm</t>
        </is>
      </c>
      <c r="L117" s="113" t="inlineStr">
        <is>
          <t>Energy/Power</t>
        </is>
      </c>
      <c r="M117" s="113" t="inlineStr">
        <is>
          <t>Energy consumption</t>
        </is>
      </c>
    </row>
    <row r="118" ht="18" customHeight="1" s="235">
      <c r="A118" s="113" t="n">
        <v>2023</v>
      </c>
      <c r="B118" s="113" t="inlineStr">
        <is>
          <t>energy consumption per unit of turnover of national railways</t>
        </is>
      </c>
      <c r="C118" s="113" t="inlineStr">
        <is>
          <t>reduce by</t>
        </is>
      </c>
      <c r="D118" s="113" t="inlineStr">
        <is>
          <t>10%</t>
        </is>
      </c>
      <c r="E118" s="113" t="n">
        <v>2020</v>
      </c>
      <c r="F118" s="114" t="inlineStr">
        <is>
          <t>2030</t>
        </is>
      </c>
      <c r="G118" s="113" t="inlineStr">
        <is>
          <t>r</t>
        </is>
      </c>
      <c r="H118" s="113" t="inlineStr">
        <is>
          <t>Energy efficiency</t>
        </is>
      </c>
      <c r="I118" s="113" t="inlineStr">
        <is>
          <t>whole economy</t>
        </is>
      </c>
      <c r="J118" s="113" t="inlineStr">
        <is>
          <t>By 2030, energy consumption of rail transport per unit of turnover will decrease by 10% from the 2020 level.</t>
        </is>
      </c>
      <c r="K118" s="113" t="inlineStr">
        <is>
          <t>HL2302.pdf</t>
        </is>
      </c>
      <c r="L118" s="113" t="inlineStr">
        <is>
          <t>Energy/Power</t>
        </is>
      </c>
      <c r="M118" s="113" t="inlineStr">
        <is>
          <t>Energy consumption</t>
        </is>
      </c>
    </row>
    <row r="119" ht="18" customHeight="1" s="235">
      <c r="A119" s="113" t="n">
        <v>2019</v>
      </c>
      <c r="B119" s="113" t="inlineStr">
        <is>
          <t>utilization of geothermal energy</t>
        </is>
      </c>
      <c r="C119" s="113" t="inlineStr">
        <is>
          <t>increase to</t>
        </is>
      </c>
      <c r="D119" s="113" t="inlineStr">
        <is>
          <t>more than 70 million tce</t>
        </is>
      </c>
      <c r="E119" s="113" t="n"/>
      <c r="F119" s="114" t="inlineStr">
        <is>
          <t>2020</t>
        </is>
      </c>
      <c r="G119" s="113" t="inlineStr">
        <is>
          <t>n</t>
        </is>
      </c>
      <c r="H119" s="113" t="inlineStr">
        <is>
          <t>Renewable energy</t>
        </is>
      </c>
      <c r="I119" s="113" t="inlineStr">
        <is>
          <t>unclear</t>
        </is>
      </c>
      <c r="J119" s="113" t="inlineStr">
        <is>
          <t>By 2020, China strives to increase utilization of geothermal energy to more than 70 Mtce.</t>
        </is>
      </c>
      <c r="K119" s="113" t="inlineStr">
        <is>
          <t>HL1902.pdf</t>
        </is>
      </c>
      <c r="L119" s="113" t="inlineStr">
        <is>
          <t>Energy/Power</t>
        </is>
      </c>
      <c r="M119" s="113" t="inlineStr">
        <is>
          <t>Energy consumption</t>
        </is>
      </c>
    </row>
    <row r="120" ht="18" customHeight="1" s="235">
      <c r="A120" s="113" t="n">
        <v>2014</v>
      </c>
      <c r="B120" s="113" t="inlineStr">
        <is>
          <t xml:space="preserve">utilization of geothermal energy </t>
        </is>
      </c>
      <c r="C120" s="113" t="inlineStr">
        <is>
          <t>reach</t>
        </is>
      </c>
      <c r="D120" s="113" t="inlineStr">
        <is>
          <t>50 million tce</t>
        </is>
      </c>
      <c r="E120" s="113" t="n"/>
      <c r="F120" s="114" t="inlineStr">
        <is>
          <t>2020</t>
        </is>
      </c>
      <c r="G120" s="113" t="inlineStr">
        <is>
          <t>n</t>
        </is>
      </c>
      <c r="H120" s="113" t="inlineStr">
        <is>
          <t>Renewable energy</t>
        </is>
      </c>
      <c r="I120" s="113" t="inlineStr">
        <is>
          <t>unclear</t>
        </is>
      </c>
      <c r="J120" s="113" t="inlineStr">
        <is>
          <t>By 2020, the scale of geothermal energy utilization will reach 50 million tons of standard coal.</t>
        </is>
      </c>
      <c r="K120" s="113" t="inlineStr">
        <is>
          <t>AP1401.htm</t>
        </is>
      </c>
      <c r="L120" s="113" t="inlineStr">
        <is>
          <t>Energy/Power</t>
        </is>
      </c>
      <c r="M120" s="113" t="inlineStr">
        <is>
          <t>Energy consumption</t>
        </is>
      </c>
    </row>
    <row r="121" ht="18" customHeight="1" s="235">
      <c r="A121" s="113" t="n">
        <v>2004</v>
      </c>
      <c r="B121" s="113" t="inlineStr">
        <is>
          <t>utilization of gas from ground coalbed methane and gas extraction</t>
        </is>
      </c>
      <c r="C121" s="113" t="inlineStr">
        <is>
          <t>reach</t>
        </is>
      </c>
      <c r="D121" s="113" t="inlineStr">
        <is>
          <t>1 billion cubic meters</t>
        </is>
      </c>
      <c r="E121" s="113" t="n"/>
      <c r="F121" s="114" t="inlineStr">
        <is>
          <t>11th FYP</t>
        </is>
      </c>
      <c r="G121" s="113" t="inlineStr">
        <is>
          <t>n</t>
        </is>
      </c>
      <c r="H121" s="113" t="inlineStr">
        <is>
          <t>Transitional energy</t>
        </is>
      </c>
      <c r="I121" s="113" t="inlineStr">
        <is>
          <t>unclear</t>
        </is>
      </c>
      <c r="J121" s="113" t="inlineStr">
        <is>
          <t>During the 11th Five-Year Plan period, the annual utilization of gas from ground coalbed methane and gas extraction will reach 1 billion cubic meters, equivalent to a saving of 1.35 million tons of standard coal.</t>
        </is>
      </c>
      <c r="K121" s="113" t="inlineStr">
        <is>
          <t>MLT0401.htm</t>
        </is>
      </c>
      <c r="L121" s="113" t="inlineStr">
        <is>
          <t>Energy/Power</t>
        </is>
      </c>
      <c r="M121" s="113" t="inlineStr">
        <is>
          <t>Energy consumption</t>
        </is>
      </c>
    </row>
    <row r="122" ht="18" customHeight="1" s="235">
      <c r="A122" s="113" t="n">
        <v>2013</v>
      </c>
      <c r="B122" s="113" t="inlineStr">
        <is>
          <t>installed capacity of urban domestic waste power generation</t>
        </is>
      </c>
      <c r="C122" s="113" t="inlineStr">
        <is>
          <t>reach</t>
        </is>
      </c>
      <c r="D122" s="113" t="inlineStr">
        <is>
          <t>3 million kilowatts</t>
        </is>
      </c>
      <c r="E122" s="113" t="n"/>
      <c r="F122" s="114" t="inlineStr">
        <is>
          <t>2015</t>
        </is>
      </c>
      <c r="G122" s="113" t="inlineStr">
        <is>
          <t>n</t>
        </is>
      </c>
      <c r="H122" s="113" t="inlineStr">
        <is>
          <t>Renewable energy</t>
        </is>
      </c>
      <c r="I122" s="113" t="inlineStr">
        <is>
          <t>whole economy</t>
        </is>
      </c>
      <c r="J122" s="113" t="inlineStr">
        <is>
          <t>By 2015, installed capacity of urban domestic waste power will reach 3 million kilowatts.</t>
        </is>
      </c>
      <c r="K122" s="113" t="inlineStr">
        <is>
          <t>FYP1302.htm</t>
        </is>
      </c>
      <c r="L122" s="113" t="inlineStr">
        <is>
          <t>Energy/Power</t>
        </is>
      </c>
      <c r="M122" s="113" t="inlineStr">
        <is>
          <t>Energy consumption</t>
        </is>
      </c>
    </row>
    <row r="123" ht="18" customHeight="1" s="235">
      <c r="A123" s="113" t="n">
        <v>2014</v>
      </c>
      <c r="B123" s="113" t="inlineStr">
        <is>
          <t>proportion of the output of large coal bases of the country's total</t>
        </is>
      </c>
      <c r="C123" s="113" t="inlineStr">
        <is>
          <t>account for</t>
        </is>
      </c>
      <c r="D123" s="113" t="inlineStr">
        <is>
          <t>95%</t>
        </is>
      </c>
      <c r="E123" s="113" t="n"/>
      <c r="F123" s="114" t="inlineStr">
        <is>
          <t>2020</t>
        </is>
      </c>
      <c r="G123" s="113" t="inlineStr">
        <is>
          <t>n</t>
        </is>
      </c>
      <c r="H123" s="113" t="inlineStr">
        <is>
          <t>Coal-related</t>
        </is>
      </c>
      <c r="I123" s="113" t="inlineStr">
        <is>
          <t>whole economy</t>
        </is>
      </c>
      <c r="J123" s="113" t="inlineStr">
        <is>
          <t>By 2020, the output of large coal and electricity bases will account for 95% of the country's total.</t>
        </is>
      </c>
      <c r="K123" s="113" t="inlineStr">
        <is>
          <t>AP1401.htm</t>
        </is>
      </c>
      <c r="L123" s="113" t="inlineStr">
        <is>
          <t>Energy/Power</t>
        </is>
      </c>
      <c r="M123" s="113" t="inlineStr">
        <is>
          <t>Energy consumption</t>
        </is>
      </c>
    </row>
    <row r="124" ht="18" customHeight="1" s="235">
      <c r="A124" s="113" t="n">
        <v>2007</v>
      </c>
      <c r="B124" s="113" t="inlineStr">
        <is>
          <t>installed capacity of newly built gangue power plants in large coal bases and major coal mining areas</t>
        </is>
      </c>
      <c r="C124" s="113" t="inlineStr">
        <is>
          <t>reach</t>
        </is>
      </c>
      <c r="D124" s="113" t="inlineStr">
        <is>
          <t>135000  kilowatts</t>
        </is>
      </c>
      <c r="E124" s="113" t="n"/>
      <c r="F124" s="114" t="inlineStr">
        <is>
          <t>11th FYP</t>
        </is>
      </c>
      <c r="G124" s="113" t="inlineStr">
        <is>
          <t>n</t>
        </is>
      </c>
      <c r="H124" s="113" t="inlineStr">
        <is>
          <t>Coal-related</t>
        </is>
      </c>
      <c r="I124" s="113" t="inlineStr">
        <is>
          <t>whole economy</t>
        </is>
      </c>
      <c r="J124" s="113" t="inlineStr">
        <is>
          <t>During the 11th Five-Year Plan period, in large coal bases and major coal mining areas, we will build a number of gangue power plants with a capacity of 135,000 kilowatts and above.</t>
        </is>
      </c>
      <c r="K124" s="113" t="inlineStr">
        <is>
          <t>FYP0701.htm</t>
        </is>
      </c>
      <c r="L124" s="113" t="inlineStr">
        <is>
          <t>Energy/Power</t>
        </is>
      </c>
      <c r="M124" s="113" t="inlineStr">
        <is>
          <t>Energy consumption</t>
        </is>
      </c>
    </row>
    <row r="125" ht="18" customHeight="1" s="235">
      <c r="A125" s="113" t="n">
        <v>2014</v>
      </c>
      <c r="B125" s="113" t="inlineStr">
        <is>
          <t>proportion of the output of large coal bases of the country's total</t>
        </is>
      </c>
      <c r="C125" s="113" t="inlineStr">
        <is>
          <t>account for</t>
        </is>
      </c>
      <c r="D125" s="113" t="inlineStr">
        <is>
          <t>about 95%</t>
        </is>
      </c>
      <c r="E125" s="113" t="n"/>
      <c r="F125" s="114" t="inlineStr">
        <is>
          <t>2020</t>
        </is>
      </c>
      <c r="G125" s="113" t="inlineStr">
        <is>
          <t>r</t>
        </is>
      </c>
      <c r="H125" s="113" t="inlineStr">
        <is>
          <t>Coal-related</t>
        </is>
      </c>
      <c r="I125" s="113" t="inlineStr">
        <is>
          <t>sectors</t>
        </is>
      </c>
      <c r="J125" s="113" t="inlineStr">
        <is>
          <t>By 2020, the coal production capacity of large coal bases will account for about 95% of the country's total production capacity.</t>
        </is>
      </c>
      <c r="K125" s="113" t="inlineStr">
        <is>
          <t>O1401.htm</t>
        </is>
      </c>
      <c r="L125" s="113" t="inlineStr">
        <is>
          <t>Energy/Power</t>
        </is>
      </c>
      <c r="M125" s="113" t="inlineStr">
        <is>
          <t>Energy consumption</t>
        </is>
      </c>
    </row>
    <row r="126" ht="18" customHeight="1" s="235">
      <c r="A126" s="113" t="n">
        <v>2016</v>
      </c>
      <c r="B126" s="113" t="inlineStr">
        <is>
          <t>mileage of natural gas trunk pipelines</t>
        </is>
      </c>
      <c r="C126" s="113" t="inlineStr">
        <is>
          <t>reach</t>
        </is>
      </c>
      <c r="D126" s="113" t="inlineStr">
        <is>
          <t>104000  kilometers</t>
        </is>
      </c>
      <c r="E126" s="113" t="n"/>
      <c r="F126" s="114" t="inlineStr">
        <is>
          <t>2020</t>
        </is>
      </c>
      <c r="G126" s="113" t="inlineStr">
        <is>
          <t>s/l-UNC</t>
        </is>
      </c>
      <c r="H126" s="113" t="inlineStr">
        <is>
          <t>Transitional energy</t>
        </is>
      </c>
      <c r="I126" s="113" t="inlineStr">
        <is>
          <t>whole economy</t>
        </is>
      </c>
      <c r="J126" s="113" t="inlineStr">
        <is>
          <t>The total mileage of new natural gas trunk and supporting pipelines will reach 104,000 kilometers by 2020.</t>
        </is>
      </c>
      <c r="K126" s="113" t="inlineStr">
        <is>
          <t>FYP1625.pdf</t>
        </is>
      </c>
      <c r="L126" s="113" t="inlineStr">
        <is>
          <t>Energy/Power</t>
        </is>
      </c>
      <c r="M126" s="113" t="inlineStr">
        <is>
          <t>Energy consumption</t>
        </is>
      </c>
    </row>
    <row r="127" ht="18" customHeight="1" s="235">
      <c r="A127" s="113" t="n">
        <v>2014</v>
      </c>
      <c r="B127" s="113" t="inlineStr">
        <is>
          <t>mileage of natural gas trunk pipelines</t>
        </is>
      </c>
      <c r="C127" s="113" t="inlineStr">
        <is>
          <t>reach</t>
        </is>
      </c>
      <c r="D127" s="113" t="inlineStr">
        <is>
          <t>120000  kilometers</t>
        </is>
      </c>
      <c r="E127" s="113" t="n"/>
      <c r="F127" s="114" t="inlineStr">
        <is>
          <t>2020</t>
        </is>
      </c>
      <c r="G127" s="113" t="inlineStr">
        <is>
          <t>n</t>
        </is>
      </c>
      <c r="H127" s="113" t="inlineStr">
        <is>
          <t>Transitional energy</t>
        </is>
      </c>
      <c r="I127" s="113" t="inlineStr">
        <is>
          <t>whole economy</t>
        </is>
      </c>
      <c r="J127" s="113" t="inlineStr">
        <is>
          <t>By 2020, the mileage of natural gas trunk pipelines will reach more than 120,000 kilometers.</t>
        </is>
      </c>
      <c r="K127" s="113" t="inlineStr">
        <is>
          <t>AP1401.htm</t>
        </is>
      </c>
      <c r="L127" s="113" t="inlineStr">
        <is>
          <t>Energy/Power</t>
        </is>
      </c>
      <c r="M127" s="113" t="inlineStr">
        <is>
          <t>Energy consumption</t>
        </is>
      </c>
    </row>
    <row r="128" ht="18" customHeight="1" s="235">
      <c r="A128" s="113" t="n">
        <v>2013</v>
      </c>
      <c r="B128" s="113" t="inlineStr">
        <is>
          <t>people using natural gas</t>
        </is>
      </c>
      <c r="C128" s="113" t="inlineStr">
        <is>
          <t>increase to</t>
        </is>
      </c>
      <c r="D128" s="113" t="inlineStr">
        <is>
          <t>250 million people</t>
        </is>
      </c>
      <c r="E128" s="113" t="n"/>
      <c r="F128" s="114" t="inlineStr">
        <is>
          <t>2015</t>
        </is>
      </c>
      <c r="G128" s="113" t="inlineStr">
        <is>
          <t>n</t>
        </is>
      </c>
      <c r="H128" s="113" t="inlineStr">
        <is>
          <t>Transitional energy</t>
        </is>
      </c>
      <c r="I128" s="113" t="inlineStr">
        <is>
          <t>whole economy</t>
        </is>
      </c>
      <c r="J128" s="113" t="inlineStr">
        <is>
          <t>The number of people using natural gas will rise to 250 million by 2015.</t>
        </is>
      </c>
      <c r="K128" s="113" t="inlineStr">
        <is>
          <t>FYP1302.htm</t>
        </is>
      </c>
      <c r="L128" s="113" t="inlineStr">
        <is>
          <t>Energy/Power</t>
        </is>
      </c>
      <c r="M128" s="113" t="inlineStr">
        <is>
          <t>Energy consumption</t>
        </is>
      </c>
    </row>
    <row r="129" ht="18" customHeight="1" s="235">
      <c r="A129" s="113" t="n">
        <v>2014</v>
      </c>
      <c r="B129" s="113" t="inlineStr">
        <is>
          <t>proportion of natural gas in primary energy consumption</t>
        </is>
      </c>
      <c r="C129" s="113" t="inlineStr">
        <is>
          <t>increase by</t>
        </is>
      </c>
      <c r="D129" s="113" t="inlineStr">
        <is>
          <t>10%</t>
        </is>
      </c>
      <c r="E129" s="113" t="n"/>
      <c r="F129" s="114" t="inlineStr">
        <is>
          <t>2020</t>
        </is>
      </c>
      <c r="G129" s="113" t="inlineStr">
        <is>
          <t>r</t>
        </is>
      </c>
      <c r="H129" s="113" t="inlineStr">
        <is>
          <t>Transitional energy</t>
        </is>
      </c>
      <c r="I129" s="113" t="inlineStr">
        <is>
          <t>whole economy</t>
        </is>
      </c>
      <c r="J129" s="113" t="inlineStr">
        <is>
          <t>By 2020, the proportion of natural gas in primary energy consumption will increase to more than 10%.</t>
        </is>
      </c>
      <c r="K129" s="113" t="inlineStr">
        <is>
          <t>AP1401.htm</t>
        </is>
      </c>
      <c r="L129" s="113" t="inlineStr">
        <is>
          <t>Energy/Power</t>
        </is>
      </c>
      <c r="M129" s="113" t="inlineStr">
        <is>
          <t>Energy consumption</t>
        </is>
      </c>
    </row>
    <row r="130" ht="18" customHeight="1" s="235">
      <c r="A130" s="113" t="n">
        <v>2016</v>
      </c>
      <c r="B130" s="113" t="inlineStr">
        <is>
          <t>proportion of natural gas in primary energy consumption</t>
        </is>
      </c>
      <c r="C130" s="113" t="inlineStr">
        <is>
          <t>develop</t>
        </is>
      </c>
      <c r="D130" s="113" t="inlineStr">
        <is>
          <t>10%</t>
        </is>
      </c>
      <c r="E130" s="113" t="n"/>
      <c r="F130" s="114" t="inlineStr">
        <is>
          <t>2020</t>
        </is>
      </c>
      <c r="G130" s="113" t="inlineStr">
        <is>
          <t>r</t>
        </is>
      </c>
      <c r="H130" s="113" t="inlineStr">
        <is>
          <t>Transitional energy</t>
        </is>
      </c>
      <c r="I130" s="113" t="inlineStr">
        <is>
          <t>whole economy</t>
        </is>
      </c>
      <c r="J130" s="113" t="inlineStr">
        <is>
          <t>Actively develop and utilize natural gas, coalbed methane, and shale gas, strengthen the recovery and utilization of vented natural gas and associated gas from oil fields, and increase the proportion of natural gas in total energy consumption to about 10% by 2020.</t>
        </is>
      </c>
      <c r="K130" s="113" t="inlineStr">
        <is>
          <t>FYP1615.htm</t>
        </is>
      </c>
      <c r="L130" s="113" t="inlineStr">
        <is>
          <t>Energy/Power</t>
        </is>
      </c>
      <c r="M130" s="113" t="inlineStr">
        <is>
          <t>Energy consumption</t>
        </is>
      </c>
    </row>
    <row r="131" ht="18" customHeight="1" s="235">
      <c r="A131" s="113" t="n">
        <v>2013</v>
      </c>
      <c r="B131" s="113" t="inlineStr">
        <is>
          <t>proportion of natural gas in primary energy consumption</t>
        </is>
      </c>
      <c r="C131" s="113" t="inlineStr">
        <is>
          <t>account for</t>
        </is>
      </c>
      <c r="D131" s="113" t="inlineStr">
        <is>
          <t>7.5%</t>
        </is>
      </c>
      <c r="E131" s="113" t="n"/>
      <c r="F131" s="114" t="inlineStr">
        <is>
          <t>2015</t>
        </is>
      </c>
      <c r="G131" s="113" t="inlineStr">
        <is>
          <t>n</t>
        </is>
      </c>
      <c r="H131" s="113" t="inlineStr">
        <is>
          <t>Transitional energy</t>
        </is>
      </c>
      <c r="I131" s="113" t="inlineStr">
        <is>
          <t>whole economy</t>
        </is>
      </c>
      <c r="J131" s="113" t="inlineStr">
        <is>
          <t>Natural gas will account for 7.5% of primary energy consumption by 2015.</t>
        </is>
      </c>
      <c r="K131" s="113" t="inlineStr">
        <is>
          <t>FYP1302.htm</t>
        </is>
      </c>
      <c r="L131" s="113" t="inlineStr">
        <is>
          <t>Energy/Power</t>
        </is>
      </c>
      <c r="M131" s="113" t="inlineStr">
        <is>
          <t>Energy consumption</t>
        </is>
      </c>
    </row>
    <row r="132" ht="18" customHeight="1" s="235">
      <c r="A132" s="113" t="n">
        <v>2014</v>
      </c>
      <c r="B132" s="113" t="inlineStr">
        <is>
          <t>proportion of natural gas in primary energy consumption</t>
        </is>
      </c>
      <c r="C132" s="113" t="inlineStr">
        <is>
          <t>reach</t>
        </is>
      </c>
      <c r="D132" s="113" t="inlineStr">
        <is>
          <t>10%</t>
        </is>
      </c>
      <c r="E132" s="113" t="n"/>
      <c r="F132" s="114" t="inlineStr">
        <is>
          <t>2020</t>
        </is>
      </c>
      <c r="G132" s="113" t="inlineStr">
        <is>
          <t>n</t>
        </is>
      </c>
      <c r="H132" s="113" t="inlineStr">
        <is>
          <t>Transitional energy</t>
        </is>
      </c>
      <c r="I132" s="113" t="inlineStr">
        <is>
          <t>whole economy</t>
        </is>
      </c>
      <c r="J132" s="113" t="inlineStr">
        <is>
          <t>By 2020, the proportion of natural gas will reach more than 10%.</t>
        </is>
      </c>
      <c r="K132" s="113" t="inlineStr">
        <is>
          <t>AP1401.htm</t>
        </is>
      </c>
      <c r="L132" s="113" t="inlineStr">
        <is>
          <t>Energy/Power</t>
        </is>
      </c>
      <c r="M132" s="113" t="inlineStr">
        <is>
          <t>Energy consumption</t>
        </is>
      </c>
    </row>
    <row r="133" ht="18" customHeight="1" s="235">
      <c r="A133" s="113" t="n">
        <v>2013</v>
      </c>
      <c r="B133" s="113" t="inlineStr">
        <is>
          <t>installed capacity of gas-fired power generation</t>
        </is>
      </c>
      <c r="C133" s="113" t="inlineStr">
        <is>
          <t>increase to</t>
        </is>
      </c>
      <c r="D133" s="113" t="inlineStr">
        <is>
          <t>56 million kilowatts</t>
        </is>
      </c>
      <c r="E133" s="113" t="n"/>
      <c r="F133" s="114" t="inlineStr">
        <is>
          <t>2015</t>
        </is>
      </c>
      <c r="G133" s="113" t="inlineStr">
        <is>
          <t>n</t>
        </is>
      </c>
      <c r="H133" s="113" t="inlineStr">
        <is>
          <t>Transitional energy</t>
        </is>
      </c>
      <c r="I133" s="113" t="inlineStr">
        <is>
          <t>whole economy</t>
        </is>
      </c>
      <c r="J133" s="113" t="inlineStr">
        <is>
          <t>Installed gas power capacity will expand to 56 million kW by 2015.</t>
        </is>
      </c>
      <c r="K133" s="113" t="inlineStr">
        <is>
          <t>FYP1302.htm</t>
        </is>
      </c>
      <c r="L133" s="113" t="inlineStr">
        <is>
          <t>Energy/Power</t>
        </is>
      </c>
      <c r="M133" s="113" t="inlineStr">
        <is>
          <t>Energy consumption</t>
        </is>
      </c>
    </row>
    <row r="134" ht="18" customHeight="1" s="235">
      <c r="A134" s="113" t="n">
        <v>2019</v>
      </c>
      <c r="B134" s="113" t="inlineStr">
        <is>
          <t>proportion of natural gas in primary energy consumption</t>
        </is>
      </c>
      <c r="C134" s="113" t="inlineStr">
        <is>
          <t>reach</t>
        </is>
      </c>
      <c r="D134" s="113" t="inlineStr">
        <is>
          <t>10%</t>
        </is>
      </c>
      <c r="E134" s="113" t="n"/>
      <c r="F134" s="114" t="inlineStr">
        <is>
          <t>2020</t>
        </is>
      </c>
      <c r="G134" s="113" t="inlineStr">
        <is>
          <t>r</t>
        </is>
      </c>
      <c r="H134" s="113" t="inlineStr">
        <is>
          <t>Transitional energy</t>
        </is>
      </c>
      <c r="I134" s="113" t="inlineStr">
        <is>
          <t>whole economy</t>
        </is>
      </c>
      <c r="J134" s="113" t="inlineStr">
        <is>
          <t>China aims to have natural gas account for 10% of total energy consumption by 2020</t>
        </is>
      </c>
      <c r="K134" s="113" t="inlineStr">
        <is>
          <t>HL1902.pdf</t>
        </is>
      </c>
      <c r="L134" s="113" t="inlineStr">
        <is>
          <t>Energy/Power</t>
        </is>
      </c>
      <c r="M134" s="113" t="inlineStr">
        <is>
          <t>Energy consumption</t>
        </is>
      </c>
    </row>
    <row r="135" ht="18" customHeight="1" s="235">
      <c r="A135" s="113" t="n">
        <v>2012</v>
      </c>
      <c r="B135" s="113" t="inlineStr">
        <is>
          <t>proportion of natural gas in primary energy consumption</t>
        </is>
      </c>
      <c r="C135" s="113" t="inlineStr">
        <is>
          <t>account for</t>
        </is>
      </c>
      <c r="D135" s="113" t="inlineStr">
        <is>
          <t>5.3%</t>
        </is>
      </c>
      <c r="E135" s="113" t="n"/>
      <c r="F135" s="114" t="inlineStr">
        <is>
          <t>2010</t>
        </is>
      </c>
      <c r="G135" s="113" t="inlineStr">
        <is>
          <t>n</t>
        </is>
      </c>
      <c r="H135" s="113" t="inlineStr">
        <is>
          <t>Transitional energy</t>
        </is>
      </c>
      <c r="I135" s="113" t="inlineStr">
        <is>
          <t>whole economy</t>
        </is>
      </c>
      <c r="J135" s="113" t="inlineStr">
        <is>
          <t>As proposed in the 11th Five-Year Plan for Energy Development, the target was to make the natural gas account for 5.3% of total primary energy consumption by 2010.</t>
        </is>
      </c>
      <c r="K135" s="113" t="inlineStr">
        <is>
          <t>HL1201.pdf</t>
        </is>
      </c>
      <c r="L135" s="113" t="inlineStr">
        <is>
          <t>Energy/Power</t>
        </is>
      </c>
      <c r="M135" s="113" t="inlineStr">
        <is>
          <t>Energy consumption</t>
        </is>
      </c>
    </row>
    <row r="136" ht="18" customHeight="1" s="235">
      <c r="A136" s="113" t="n">
        <v>2016</v>
      </c>
      <c r="B136" s="113" t="inlineStr">
        <is>
          <t>proportion of natural gas in primary energy consumption</t>
        </is>
      </c>
      <c r="C136" s="113" t="inlineStr">
        <is>
          <t>increase to</t>
        </is>
      </c>
      <c r="D136" s="113" t="inlineStr">
        <is>
          <t>about 10%</t>
        </is>
      </c>
      <c r="E136" s="113" t="n"/>
      <c r="F136" s="114" t="inlineStr">
        <is>
          <t>2020</t>
        </is>
      </c>
      <c r="G136" s="113" t="inlineStr">
        <is>
          <t>r</t>
        </is>
      </c>
      <c r="H136" s="113" t="inlineStr">
        <is>
          <t>Transitional energy</t>
        </is>
      </c>
      <c r="I136" s="113" t="inlineStr">
        <is>
          <t>whole economy</t>
        </is>
      </c>
      <c r="J136" s="113" t="inlineStr">
        <is>
          <t>By 2020, the proportion of natural gas consumption will increase to about 10%.</t>
        </is>
      </c>
      <c r="K136" s="113" t="inlineStr">
        <is>
          <t>FYP1601.htm</t>
        </is>
      </c>
      <c r="L136" s="113" t="inlineStr">
        <is>
          <t>Energy/Power</t>
        </is>
      </c>
      <c r="M136" s="113" t="inlineStr">
        <is>
          <t>Energy consumption</t>
        </is>
      </c>
    </row>
    <row r="137" ht="18" customHeight="1" s="235">
      <c r="A137" s="113" t="n">
        <v>2014</v>
      </c>
      <c r="B137" s="113" t="inlineStr">
        <is>
          <t>natural gas annual output</t>
        </is>
      </c>
      <c r="C137" s="113" t="inlineStr">
        <is>
          <t>reach</t>
        </is>
      </c>
      <c r="D137" s="113" t="inlineStr">
        <is>
          <t>185 billion cubic meters</t>
        </is>
      </c>
      <c r="E137" s="113" t="n"/>
      <c r="F137" s="114" t="inlineStr">
        <is>
          <t>2020</t>
        </is>
      </c>
      <c r="G137" s="113" t="inlineStr">
        <is>
          <t>n</t>
        </is>
      </c>
      <c r="H137" s="113" t="inlineStr">
        <is>
          <t>Transitional energy</t>
        </is>
      </c>
      <c r="I137" s="113" t="inlineStr">
        <is>
          <t>whole economy</t>
        </is>
      </c>
      <c r="J137" s="113" t="inlineStr">
        <is>
          <t>By 2020, the annual output of conventional natural gas will reach 185 billion cubic meters.</t>
        </is>
      </c>
      <c r="K137" s="113" t="inlineStr">
        <is>
          <t>AP1401.htm</t>
        </is>
      </c>
      <c r="L137" s="113" t="inlineStr">
        <is>
          <t>Energy/Power</t>
        </is>
      </c>
      <c r="M137" s="113" t="inlineStr">
        <is>
          <t>Energy consumption</t>
        </is>
      </c>
    </row>
    <row r="138" ht="18" customHeight="1" s="235">
      <c r="A138" s="113" t="n">
        <v>2013</v>
      </c>
      <c r="B138" s="113" t="inlineStr">
        <is>
          <t>natural gas annual output</t>
        </is>
      </c>
      <c r="C138" s="113" t="inlineStr">
        <is>
          <t>exceed</t>
        </is>
      </c>
      <c r="D138" s="113" t="inlineStr">
        <is>
          <t>130 billion cubic meters</t>
        </is>
      </c>
      <c r="E138" s="113" t="n"/>
      <c r="F138" s="114" t="inlineStr">
        <is>
          <t>2015</t>
        </is>
      </c>
      <c r="G138" s="113" t="inlineStr">
        <is>
          <t>n</t>
        </is>
      </c>
      <c r="H138" s="113" t="inlineStr">
        <is>
          <t>Transitional energy</t>
        </is>
      </c>
      <c r="I138" s="113" t="inlineStr">
        <is>
          <t>whole economy</t>
        </is>
      </c>
      <c r="J138" s="113" t="inlineStr">
        <is>
          <t>By 2015, production of conventional natural gas will exceed 130 billion cubic meters.</t>
        </is>
      </c>
      <c r="K138" s="113" t="inlineStr">
        <is>
          <t>FYP1302.htm</t>
        </is>
      </c>
      <c r="L138" s="113" t="inlineStr">
        <is>
          <t>Energy/Power</t>
        </is>
      </c>
      <c r="M138" s="113" t="inlineStr">
        <is>
          <t>Energy consumption</t>
        </is>
      </c>
    </row>
    <row r="139" ht="18" customHeight="1" s="235">
      <c r="A139" s="113" t="n">
        <v>2013</v>
      </c>
      <c r="B139" s="113" t="inlineStr">
        <is>
          <t>natural gas production capacity</t>
        </is>
      </c>
      <c r="C139" s="113" t="inlineStr">
        <is>
          <t>increase to</t>
        </is>
      </c>
      <c r="D139" s="113" t="inlineStr">
        <is>
          <t>156.5 billion cubic meters</t>
        </is>
      </c>
      <c r="E139" s="113" t="n"/>
      <c r="F139" s="114" t="inlineStr">
        <is>
          <t>2015</t>
        </is>
      </c>
      <c r="G139" s="113" t="inlineStr">
        <is>
          <t>n</t>
        </is>
      </c>
      <c r="H139" s="113" t="inlineStr">
        <is>
          <t>Transitional energy</t>
        </is>
      </c>
      <c r="I139" s="113" t="inlineStr">
        <is>
          <t>sectors</t>
        </is>
      </c>
      <c r="J139" s="113" t="inlineStr">
        <is>
          <t>Natural gas production capacity will rise to 156.5 billion cubic meters by 2015.</t>
        </is>
      </c>
      <c r="K139" s="113" t="inlineStr">
        <is>
          <t>FYP1302.htm</t>
        </is>
      </c>
      <c r="L139" s="113" t="inlineStr">
        <is>
          <t>Energy/Power</t>
        </is>
      </c>
      <c r="M139" s="113" t="inlineStr">
        <is>
          <t>Energy consumption</t>
        </is>
      </c>
    </row>
    <row r="140" ht="18" customHeight="1" s="235">
      <c r="A140" s="113" t="n">
        <v>2019</v>
      </c>
      <c r="B140" s="113" t="inlineStr">
        <is>
          <t>installed capacity of solar power generation from photovoltaic power stations</t>
        </is>
      </c>
      <c r="C140" s="113" t="inlineStr">
        <is>
          <t>increase to</t>
        </is>
      </c>
      <c r="D140" s="113" t="inlineStr">
        <is>
          <t>45 gigawatts</t>
        </is>
      </c>
      <c r="E140" s="113" t="n"/>
      <c r="F140" s="114" t="inlineStr">
        <is>
          <t>2020</t>
        </is>
      </c>
      <c r="G140" s="113" t="inlineStr">
        <is>
          <t>n</t>
        </is>
      </c>
      <c r="H140" s="113" t="inlineStr">
        <is>
          <t>Renewable energy</t>
        </is>
      </c>
      <c r="I140" s="113" t="inlineStr">
        <is>
          <t>whole economy</t>
        </is>
      </c>
      <c r="J140" s="113" t="inlineStr">
        <is>
          <t>By 2020, China strives to increase installed capacity to 45 gigawatts from photovoltaic power stations</t>
        </is>
      </c>
      <c r="K140" s="113" t="inlineStr">
        <is>
          <t>HL1902.pdf</t>
        </is>
      </c>
      <c r="L140" s="113" t="inlineStr">
        <is>
          <t>Energy/Power</t>
        </is>
      </c>
      <c r="M140" s="113" t="inlineStr">
        <is>
          <t>Energy consumption</t>
        </is>
      </c>
    </row>
    <row r="141" ht="18" customHeight="1" s="235">
      <c r="A141" s="113" t="n">
        <v>2014</v>
      </c>
      <c r="B141" s="113" t="inlineStr">
        <is>
          <t>installed capacity of solar power generation</t>
        </is>
      </c>
      <c r="C141" s="113" t="inlineStr">
        <is>
          <t>reach</t>
        </is>
      </c>
      <c r="D141" s="113" t="inlineStr">
        <is>
          <t>100 million kilowatts</t>
        </is>
      </c>
      <c r="E141" s="113" t="n"/>
      <c r="F141" s="114" t="inlineStr">
        <is>
          <t>2020</t>
        </is>
      </c>
      <c r="G141" s="113" t="inlineStr">
        <is>
          <t>n</t>
        </is>
      </c>
      <c r="H141" s="113" t="inlineStr">
        <is>
          <t>Renewable energy</t>
        </is>
      </c>
      <c r="I141" s="113" t="inlineStr">
        <is>
          <t>whole economy</t>
        </is>
      </c>
      <c r="J141" s="113" t="inlineStr">
        <is>
          <t>By 2020, the installed capacity of photovoltaic power generation will reach about 100 million kilowatts, and the price of photovoltaic power generation will be comparable to the electricity sold by the power grid.</t>
        </is>
      </c>
      <c r="K141" s="113" t="inlineStr">
        <is>
          <t>AP1401.htm</t>
        </is>
      </c>
      <c r="L141" s="113" t="inlineStr">
        <is>
          <t>Energy/Power</t>
        </is>
      </c>
      <c r="M141" s="113" t="inlineStr">
        <is>
          <t>Energy consumption</t>
        </is>
      </c>
    </row>
    <row r="142" ht="18" customHeight="1" s="235">
      <c r="A142" s="113" t="n">
        <v>2013</v>
      </c>
      <c r="B142" s="113" t="inlineStr">
        <is>
          <t>installed capacity of solar power generation</t>
        </is>
      </c>
      <c r="C142" s="113" t="inlineStr">
        <is>
          <t>increase to</t>
        </is>
      </c>
      <c r="D142" s="113" t="inlineStr">
        <is>
          <t>21 million kilowatts</t>
        </is>
      </c>
      <c r="E142" s="113" t="n"/>
      <c r="F142" s="114" t="inlineStr">
        <is>
          <t>2015</t>
        </is>
      </c>
      <c r="G142" s="113" t="inlineStr">
        <is>
          <t>n</t>
        </is>
      </c>
      <c r="H142" s="113" t="inlineStr">
        <is>
          <t>Renewable energy</t>
        </is>
      </c>
      <c r="I142" s="113" t="inlineStr">
        <is>
          <t>whole economy</t>
        </is>
      </c>
      <c r="J142" s="113" t="inlineStr">
        <is>
          <t>Installed solar power capacity will soar to 21 million kW by 2015.</t>
        </is>
      </c>
      <c r="K142" s="113" t="inlineStr">
        <is>
          <t>FYP1302.htm</t>
        </is>
      </c>
      <c r="L142" s="113" t="inlineStr">
        <is>
          <t>Energy/Power</t>
        </is>
      </c>
      <c r="M142" s="113" t="inlineStr">
        <is>
          <t>Energy consumption</t>
        </is>
      </c>
    </row>
    <row r="143" ht="18" customHeight="1" s="235">
      <c r="A143" s="113" t="n">
        <v>2016</v>
      </c>
      <c r="B143" s="113" t="inlineStr">
        <is>
          <t>installed capacity of solar power generation</t>
        </is>
      </c>
      <c r="C143" s="113" t="inlineStr">
        <is>
          <t>achieve</t>
        </is>
      </c>
      <c r="D143" s="113" t="inlineStr">
        <is>
          <t>100 million kilowatts</t>
        </is>
      </c>
      <c r="E143" s="113" t="n"/>
      <c r="F143" s="114" t="inlineStr">
        <is>
          <t>2020</t>
        </is>
      </c>
      <c r="G143" s="113" t="inlineStr">
        <is>
          <t>r</t>
        </is>
      </c>
      <c r="H143" s="113" t="inlineStr">
        <is>
          <t>Renewable energy</t>
        </is>
      </c>
      <c r="I143" s="113" t="inlineStr">
        <is>
          <t>whole economy</t>
        </is>
      </c>
      <c r="J143" s="113" t="inlineStr">
        <is>
          <t>By 2020, China aimed to achieve 100 million kilowatts of photovoltaic (solar) installed capacity.</t>
        </is>
      </c>
      <c r="K143" s="113" t="inlineStr">
        <is>
          <t>FYP1615.htm</t>
        </is>
      </c>
      <c r="L143" s="113" t="inlineStr">
        <is>
          <t>Energy/Power</t>
        </is>
      </c>
      <c r="M143" s="113" t="inlineStr">
        <is>
          <t>Energy consumption</t>
        </is>
      </c>
    </row>
    <row r="144" ht="18" customHeight="1" s="235">
      <c r="A144" s="113" t="n">
        <v>2019</v>
      </c>
      <c r="B144" s="113" t="inlineStr">
        <is>
          <t>installed capacity of solar power generation</t>
        </is>
      </c>
      <c r="C144" s="113" t="inlineStr">
        <is>
          <t>increase to</t>
        </is>
      </c>
      <c r="D144" s="113" t="inlineStr">
        <is>
          <t>more than 110 million kilowatts</t>
        </is>
      </c>
      <c r="E144" s="113" t="n"/>
      <c r="F144" s="114" t="inlineStr">
        <is>
          <t>2020</t>
        </is>
      </c>
      <c r="G144" s="113" t="inlineStr">
        <is>
          <t>r</t>
        </is>
      </c>
      <c r="H144" s="113" t="inlineStr">
        <is>
          <t>Renewable energy</t>
        </is>
      </c>
      <c r="I144" s="113" t="inlineStr">
        <is>
          <t>whole economy</t>
        </is>
      </c>
      <c r="J144" s="113" t="inlineStr">
        <is>
          <t>By 2020, increase installed capacity of solar power generation to more than 110 gigawatts</t>
        </is>
      </c>
      <c r="K144" s="113" t="inlineStr">
        <is>
          <t>HL1902.pdf</t>
        </is>
      </c>
      <c r="L144" s="113" t="inlineStr">
        <is>
          <t>Energy/Power</t>
        </is>
      </c>
      <c r="M144" s="113" t="inlineStr">
        <is>
          <t>Energy consumption</t>
        </is>
      </c>
    </row>
    <row r="145" ht="18" customHeight="1" s="235">
      <c r="A145" s="113" t="n">
        <v>2019</v>
      </c>
      <c r="B145" s="113" t="inlineStr">
        <is>
          <t>installed capacity of solar power generation from distributed photovoltaic power generation</t>
        </is>
      </c>
      <c r="C145" s="113" t="inlineStr">
        <is>
          <t>increase to</t>
        </is>
      </c>
      <c r="D145" s="113" t="inlineStr">
        <is>
          <t>60 gigawatts</t>
        </is>
      </c>
      <c r="E145" s="113" t="n"/>
      <c r="F145" s="114" t="inlineStr">
        <is>
          <t>2020</t>
        </is>
      </c>
      <c r="G145" s="113" t="inlineStr">
        <is>
          <t>n</t>
        </is>
      </c>
      <c r="H145" s="113" t="inlineStr">
        <is>
          <t>Renewable energy</t>
        </is>
      </c>
      <c r="I145" s="113" t="inlineStr">
        <is>
          <t>whole economy</t>
        </is>
      </c>
      <c r="J145" s="113" t="inlineStr">
        <is>
          <t>By 2020, China strives to increase installed capacity to 60 gigawatts from distributed photovoltaic power</t>
        </is>
      </c>
      <c r="K145" s="113" t="inlineStr">
        <is>
          <t>HL1902.pdf</t>
        </is>
      </c>
      <c r="L145" s="113" t="inlineStr">
        <is>
          <t>Energy/Power</t>
        </is>
      </c>
      <c r="M145" s="113" t="inlineStr">
        <is>
          <t>Energy consumption</t>
        </is>
      </c>
    </row>
    <row r="146" ht="18" customHeight="1" s="235">
      <c r="A146" s="113" t="n">
        <v>2016</v>
      </c>
      <c r="B146" s="113" t="inlineStr">
        <is>
          <t>installed capacity of solar power generation</t>
        </is>
      </c>
      <c r="C146" s="113" t="inlineStr">
        <is>
          <t>reach</t>
        </is>
      </c>
      <c r="D146" s="113" t="inlineStr">
        <is>
          <t>more than 110 million kilowatts</t>
        </is>
      </c>
      <c r="E146" s="113" t="n"/>
      <c r="F146" s="114" t="inlineStr">
        <is>
          <t>2020</t>
        </is>
      </c>
      <c r="G146" s="113" t="inlineStr">
        <is>
          <t>n</t>
        </is>
      </c>
      <c r="H146" s="113" t="inlineStr">
        <is>
          <t>Renewable energy</t>
        </is>
      </c>
      <c r="I146" s="113" t="inlineStr">
        <is>
          <t>whole economy</t>
        </is>
      </c>
      <c r="J146" s="113" t="inlineStr">
        <is>
          <t>By 2020, the installed capacity of solar power generation will reach more than 110 million kilowatts, and we will strive to achieve grid parity on the user side.</t>
        </is>
      </c>
      <c r="K146" s="113" t="inlineStr">
        <is>
          <t>FYP1613.htm</t>
        </is>
      </c>
      <c r="L146" s="113" t="inlineStr">
        <is>
          <t>Energy/Power</t>
        </is>
      </c>
      <c r="M146" s="113" t="inlineStr">
        <is>
          <t>Energy consumption</t>
        </is>
      </c>
    </row>
    <row r="147" ht="18" customHeight="1" s="235">
      <c r="A147" s="113" t="n">
        <v>2019</v>
      </c>
      <c r="B147" s="113" t="inlineStr">
        <is>
          <t>installed capacity of solar thermal power generation</t>
        </is>
      </c>
      <c r="C147" s="113" t="inlineStr">
        <is>
          <t>increase to</t>
        </is>
      </c>
      <c r="D147" s="113" t="inlineStr">
        <is>
          <t>5 gigawatts</t>
        </is>
      </c>
      <c r="E147" s="113" t="n"/>
      <c r="F147" s="114" t="inlineStr">
        <is>
          <t>2020</t>
        </is>
      </c>
      <c r="G147" s="113" t="inlineStr">
        <is>
          <t>n</t>
        </is>
      </c>
      <c r="H147" s="113" t="inlineStr">
        <is>
          <t>Renewable energy</t>
        </is>
      </c>
      <c r="I147" s="113" t="inlineStr">
        <is>
          <t>whole economy</t>
        </is>
      </c>
      <c r="J147" s="113" t="inlineStr">
        <is>
          <t>By 2020, China strives to increase installed capacity to 5 gigawatts from solar thermal power</t>
        </is>
      </c>
      <c r="K147" s="113" t="inlineStr">
        <is>
          <t>HL1902.pdf</t>
        </is>
      </c>
      <c r="L147" s="113" t="inlineStr">
        <is>
          <t>Energy/Power</t>
        </is>
      </c>
      <c r="M147" s="113" t="inlineStr">
        <is>
          <t>Energy consumption</t>
        </is>
      </c>
    </row>
    <row r="148" ht="18" customHeight="1" s="235">
      <c r="A148" s="113" t="n">
        <v>2018</v>
      </c>
      <c r="B148" s="113" t="inlineStr">
        <is>
          <t>installed capacity of solar thermal power generation</t>
        </is>
      </c>
      <c r="C148" s="113" t="inlineStr">
        <is>
          <t>reach</t>
        </is>
      </c>
      <c r="D148" s="113" t="inlineStr">
        <is>
          <t>5 million kilowatts</t>
        </is>
      </c>
      <c r="E148" s="113" t="n"/>
      <c r="F148" s="114" t="inlineStr">
        <is>
          <t>13th FYP</t>
        </is>
      </c>
      <c r="G148" s="113" t="inlineStr">
        <is>
          <t>r</t>
        </is>
      </c>
      <c r="H148" s="113" t="inlineStr">
        <is>
          <t>Renewable energy</t>
        </is>
      </c>
      <c r="I148" s="113" t="inlineStr">
        <is>
          <t>whole economy</t>
        </is>
      </c>
      <c r="J148" s="113" t="inlineStr">
        <is>
          <t>During the 13th Five-Year Plan period, the installed capacity of solar thermal power generation will strive to reach 5 million kilowatts.</t>
        </is>
      </c>
      <c r="K148" s="113" t="inlineStr">
        <is>
          <t>GO1801.htm</t>
        </is>
      </c>
      <c r="L148" s="113" t="inlineStr">
        <is>
          <t>Energy/Power</t>
        </is>
      </c>
      <c r="M148" s="113" t="inlineStr">
        <is>
          <t>Energy consumption</t>
        </is>
      </c>
    </row>
    <row r="149" ht="18" customHeight="1" s="235">
      <c r="A149" s="113" t="n">
        <v>2013</v>
      </c>
      <c r="B149" s="113" t="inlineStr">
        <is>
          <t>solar energy demonstration villages</t>
        </is>
      </c>
      <c r="C149" s="113" t="inlineStr">
        <is>
          <t>establish</t>
        </is>
      </c>
      <c r="D149" s="113" t="inlineStr">
        <is>
          <t>1000 demonstration villages</t>
        </is>
      </c>
      <c r="E149" s="113" t="n"/>
      <c r="F149" s="114" t="inlineStr">
        <is>
          <t>2015</t>
        </is>
      </c>
      <c r="G149" s="113" t="inlineStr">
        <is>
          <t>n</t>
        </is>
      </c>
      <c r="H149" s="113" t="inlineStr">
        <is>
          <t>Renewable energy</t>
        </is>
      </c>
      <c r="I149" s="113" t="inlineStr">
        <is>
          <t>whole economy</t>
        </is>
      </c>
      <c r="J149" s="113" t="inlineStr">
        <is>
          <t>By 2015, 1,000 solar energy demonstration villages will be established.</t>
        </is>
      </c>
      <c r="K149" s="113" t="inlineStr">
        <is>
          <t>FYP1302.htm</t>
        </is>
      </c>
      <c r="L149" s="113" t="inlineStr">
        <is>
          <t>Energy/Power</t>
        </is>
      </c>
      <c r="M149" s="113" t="inlineStr">
        <is>
          <t>Energy consumption</t>
        </is>
      </c>
    </row>
    <row r="150" ht="18" customHeight="1" s="235">
      <c r="A150" s="113" t="n">
        <v>2012</v>
      </c>
      <c r="B150" s="113" t="inlineStr">
        <is>
          <t>solar energy demonstration villages</t>
        </is>
      </c>
      <c r="C150" s="113" t="inlineStr">
        <is>
          <t>develop</t>
        </is>
      </c>
      <c r="D150" s="113" t="inlineStr">
        <is>
          <t>1000 demonstration villages</t>
        </is>
      </c>
      <c r="E150" s="113" t="n"/>
      <c r="F150" s="114" t="inlineStr">
        <is>
          <t>2015</t>
        </is>
      </c>
      <c r="G150" s="113" t="inlineStr">
        <is>
          <t>r</t>
        </is>
      </c>
      <c r="H150" s="113" t="inlineStr">
        <is>
          <t>Renewable energy</t>
        </is>
      </c>
      <c r="I150" s="113" t="inlineStr">
        <is>
          <t>whole economy</t>
        </is>
      </c>
      <c r="J150" s="113" t="inlineStr">
        <is>
          <t>Vigorously develop renewable energy in rural areas, carry out green energy demonstration projects according to local conditions, and build 200 green energy demonstration counties and 1,000 solar energy demonstration villages by 2015.</t>
        </is>
      </c>
      <c r="K150" s="113" t="inlineStr">
        <is>
          <t>WP1201.htm</t>
        </is>
      </c>
      <c r="L150" s="113" t="inlineStr">
        <is>
          <t>Energy/Power</t>
        </is>
      </c>
      <c r="M150" s="113" t="inlineStr">
        <is>
          <t>Energy consumption</t>
        </is>
      </c>
    </row>
    <row r="151" ht="18" customHeight="1" s="235">
      <c r="A151" s="113" t="n">
        <v>2012</v>
      </c>
      <c r="B151" s="113" t="inlineStr">
        <is>
          <t>China's solar thermal collection area</t>
        </is>
      </c>
      <c r="C151" s="113" t="inlineStr">
        <is>
          <t>reach</t>
        </is>
      </c>
      <c r="D151" s="113" t="inlineStr">
        <is>
          <t>400 million square meters</t>
        </is>
      </c>
      <c r="E151" s="113" t="n"/>
      <c r="F151" s="114" t="inlineStr">
        <is>
          <t>2015</t>
        </is>
      </c>
      <c r="G151" s="113" t="inlineStr">
        <is>
          <t>n</t>
        </is>
      </c>
      <c r="H151" s="113" t="inlineStr">
        <is>
          <t>Renewable energy</t>
        </is>
      </c>
      <c r="I151" s="113" t="inlineStr">
        <is>
          <t>areas</t>
        </is>
      </c>
      <c r="J151" s="113" t="inlineStr">
        <is>
          <t>By 2015, China will have built a solar power generation capacity of more than 21 million kilowatts and a solar thermal collection area of ​​400 million square meters.</t>
        </is>
      </c>
      <c r="K151" s="113" t="inlineStr">
        <is>
          <t>WP1201.htm</t>
        </is>
      </c>
      <c r="L151" s="113" t="inlineStr">
        <is>
          <t>Energy/Power</t>
        </is>
      </c>
      <c r="M151" s="113" t="inlineStr">
        <is>
          <t>Energy consumption</t>
        </is>
      </c>
    </row>
    <row r="152" ht="18" customHeight="1" s="235">
      <c r="A152" s="113" t="n">
        <v>2021</v>
      </c>
      <c r="B152" s="113" t="inlineStr">
        <is>
          <t>transformation of existing coal-fired power generation units</t>
        </is>
      </c>
      <c r="C152" s="113" t="inlineStr">
        <is>
          <t>reach</t>
        </is>
      </c>
      <c r="D152" s="113" t="inlineStr">
        <is>
          <t>50 million kilowatts</t>
        </is>
      </c>
      <c r="E152" s="113" t="n"/>
      <c r="F152" s="114" t="inlineStr">
        <is>
          <t>14th FYP</t>
        </is>
      </c>
      <c r="G152" s="113" t="inlineStr">
        <is>
          <t>n</t>
        </is>
      </c>
      <c r="H152" s="113" t="inlineStr">
        <is>
          <t>Coal-related</t>
        </is>
      </c>
      <c r="I152" s="113" t="inlineStr">
        <is>
          <t>sectors</t>
        </is>
      </c>
      <c r="J152" s="113" t="inlineStr">
        <is>
          <t>Existing coal-fired power generation units are encouraged to replace heating, small boilers for heating and industrial steam supply are actively shut down, and pure condensing units that meet the heating conditions are transformed into heating units. Under the premise of meeting the heat load demand, the scale of transformation will strive to reach 50 million kilowatts during the 14th Five-Year Plan period.</t>
        </is>
      </c>
      <c r="K152" s="113" t="inlineStr">
        <is>
          <t>IP2107.pdf</t>
        </is>
      </c>
      <c r="L152" s="113" t="inlineStr">
        <is>
          <t>Energy/Power</t>
        </is>
      </c>
      <c r="M152" s="113" t="inlineStr">
        <is>
          <t>Energy consumption</t>
        </is>
      </c>
    </row>
    <row r="153" ht="18" customHeight="1" s="235">
      <c r="A153" s="113" t="n">
        <v>2021</v>
      </c>
      <c r="B153" s="113" t="inlineStr">
        <is>
          <t xml:space="preserve">transmission capacity of existing channels    </t>
        </is>
      </c>
      <c r="C153" s="113" t="inlineStr">
        <is>
          <t>increase by</t>
        </is>
      </c>
      <c r="D153" s="113" t="inlineStr">
        <is>
          <t>40 million kilowatts</t>
        </is>
      </c>
      <c r="E153" s="113" t="n"/>
      <c r="F153" s="114" t="inlineStr">
        <is>
          <t>14th FYP</t>
        </is>
      </c>
      <c r="G153" s="113" t="inlineStr">
        <is>
          <t>n</t>
        </is>
      </c>
      <c r="H153" s="113" t="inlineStr">
        <is>
          <t>Renewable energy</t>
        </is>
      </c>
      <c r="I153" s="113" t="inlineStr">
        <is>
          <t>unclear</t>
        </is>
      </c>
      <c r="J153" s="113" t="inlineStr">
        <is>
          <t>During the 14th Five-Year Plan period, the transmission capacity of existing channels will be increased by more than 40 million kilowatts.</t>
        </is>
      </c>
      <c r="K153" s="113" t="inlineStr">
        <is>
          <t>FYP2105.pdf</t>
        </is>
      </c>
      <c r="L153" s="113" t="inlineStr">
        <is>
          <t>Energy/Power</t>
        </is>
      </c>
      <c r="M153" s="113" t="inlineStr">
        <is>
          <t>Energy consumption</t>
        </is>
      </c>
    </row>
    <row r="154" ht="18" customHeight="1" s="235">
      <c r="A154" s="0" t="n">
        <v>2013</v>
      </c>
      <c r="B154" s="0" t="inlineStr">
        <is>
          <t>output from safe and efficient coal mines</t>
        </is>
      </c>
      <c r="C154" s="0" t="inlineStr">
        <is>
          <t>reach</t>
        </is>
      </c>
      <c r="D154" s="0" t="inlineStr">
        <is>
          <t>2.5 billion tons</t>
        </is>
      </c>
      <c r="F154" s="0" t="inlineStr">
        <is>
          <t>2015</t>
        </is>
      </c>
      <c r="G154" s="0" t="inlineStr">
        <is>
          <t>n</t>
        </is>
      </c>
      <c r="H154" s="0" t="inlineStr">
        <is>
          <t>Coal-related</t>
        </is>
      </c>
      <c r="I154" s="0" t="inlineStr">
        <is>
          <t>sectors</t>
        </is>
      </c>
      <c r="J154" s="0" t="inlineStr">
        <is>
          <t>By 2015, output from safe and efficient coal mines will reach 2.5 billion tons, accounting for over 60% of national production.</t>
        </is>
      </c>
      <c r="K154" s="0" t="inlineStr">
        <is>
          <t>FYP1302.htm</t>
        </is>
      </c>
      <c r="L154" s="0" t="inlineStr">
        <is>
          <t>Energy/Power</t>
        </is>
      </c>
      <c r="M154" s="0" t="inlineStr">
        <is>
          <t>Energy consumption</t>
        </is>
      </c>
    </row>
    <row r="155" ht="18" customHeight="1" s="235">
      <c r="A155" s="0" t="n">
        <v>2007</v>
      </c>
      <c r="B155" s="0" t="inlineStr">
        <is>
          <t>coal production capacity increase through transformation of small coal mines into large and medium-sized coal mines</t>
        </is>
      </c>
      <c r="C155" s="0" t="inlineStr">
        <is>
          <t>increase by</t>
        </is>
      </c>
      <c r="D155" s="0" t="inlineStr">
        <is>
          <t>10 million tons</t>
        </is>
      </c>
      <c r="F155" s="0" t="inlineStr">
        <is>
          <t>11th FYP</t>
        </is>
      </c>
      <c r="G155" s="0" t="inlineStr">
        <is>
          <t>n</t>
        </is>
      </c>
      <c r="H155" s="0" t="inlineStr">
        <is>
          <t>Coal-related</t>
        </is>
      </c>
      <c r="I155" s="0" t="inlineStr">
        <is>
          <t>sectors</t>
        </is>
      </c>
      <c r="J155" s="0" t="inlineStr">
        <is>
          <t>By 2010, the production capacity of small coal mines integrated and transformed into large and medium-sized coal mines will increase by 10 million tons.</t>
        </is>
      </c>
      <c r="K155" s="0" t="inlineStr">
        <is>
          <t>FYP0701.htm</t>
        </is>
      </c>
      <c r="L155" s="0" t="inlineStr">
        <is>
          <t>Energy/Power</t>
        </is>
      </c>
      <c r="M155" s="0" t="inlineStr">
        <is>
          <t>Energy consumption</t>
        </is>
      </c>
    </row>
    <row r="156" ht="18" customHeight="1" s="235">
      <c r="A156" s="113" t="n">
        <v>2007</v>
      </c>
      <c r="B156" s="113" t="inlineStr">
        <is>
          <t>coal production capacity increase through transformation of small coal mines into large and medium-sized coal mines</t>
        </is>
      </c>
      <c r="C156" s="113" t="inlineStr">
        <is>
          <t>increase by</t>
        </is>
      </c>
      <c r="D156" s="113" t="inlineStr">
        <is>
          <t>200 million tons</t>
        </is>
      </c>
      <c r="E156" s="113" t="n"/>
      <c r="F156" s="114" t="inlineStr">
        <is>
          <t>11th FYP</t>
        </is>
      </c>
      <c r="G156" s="113" t="inlineStr">
        <is>
          <t>n</t>
        </is>
      </c>
      <c r="H156" s="113" t="inlineStr">
        <is>
          <t>Coal-related</t>
        </is>
      </c>
      <c r="I156" s="113" t="inlineStr">
        <is>
          <t>sectors</t>
        </is>
      </c>
      <c r="J156" s="113" t="inlineStr">
        <is>
          <t>During the 11th Five-Year Plan period, small coal mines will be integrated and transformed into large and medium-sized coal mines, increasing production capacity by 200 million tons.</t>
        </is>
      </c>
      <c r="K156" s="113" t="inlineStr">
        <is>
          <t>FYP0701.htm</t>
        </is>
      </c>
      <c r="L156" s="113" t="inlineStr">
        <is>
          <t>Energy/Power</t>
        </is>
      </c>
      <c r="M156" s="113" t="inlineStr">
        <is>
          <t>Energy consumption</t>
        </is>
      </c>
    </row>
    <row r="157" ht="18" customHeight="1" s="235">
      <c r="A157" s="113" t="n">
        <v>2016</v>
      </c>
      <c r="B157" s="113" t="inlineStr">
        <is>
          <t xml:space="preserve">cumulative proven geological reserves of conventional natural gas  </t>
        </is>
      </c>
      <c r="C157" s="113" t="inlineStr">
        <is>
          <t>reach</t>
        </is>
      </c>
      <c r="D157" s="113" t="inlineStr">
        <is>
          <t>16 trillion cubic meters</t>
        </is>
      </c>
      <c r="E157" s="113" t="n"/>
      <c r="F157" s="114" t="inlineStr">
        <is>
          <t>2020</t>
        </is>
      </c>
      <c r="G157" s="113" t="inlineStr">
        <is>
          <t>s/l-UNC</t>
        </is>
      </c>
      <c r="H157" s="113" t="inlineStr">
        <is>
          <t>Transitional energy</t>
        </is>
      </c>
      <c r="I157" s="113" t="inlineStr">
        <is>
          <t>whole economy</t>
        </is>
      </c>
      <c r="J157" s="113" t="inlineStr">
        <is>
          <t>By 2020, the cumulative proven geological reserves of conventional gas will reach 16 trillion cubic meters.</t>
        </is>
      </c>
      <c r="K157" s="113" t="inlineStr">
        <is>
          <t>FYP1625.pdf</t>
        </is>
      </c>
      <c r="L157" s="113" t="inlineStr">
        <is>
          <t>Energy/Power</t>
        </is>
      </c>
      <c r="M157" s="113" t="inlineStr">
        <is>
          <t>Energy consumption</t>
        </is>
      </c>
    </row>
    <row r="158" ht="18" customHeight="1" s="235">
      <c r="A158" s="113" t="n">
        <v>2014</v>
      </c>
      <c r="B158" s="113" t="inlineStr">
        <is>
          <t xml:space="preserve">cumulative proven geological reserves of conventional natural gas  </t>
        </is>
      </c>
      <c r="C158" s="113" t="inlineStr">
        <is>
          <t>reach</t>
        </is>
      </c>
      <c r="D158" s="113" t="inlineStr">
        <is>
          <t>5.5 trillion cubic meters</t>
        </is>
      </c>
      <c r="E158" s="113" t="n"/>
      <c r="F158" s="114" t="inlineStr">
        <is>
          <t>2020</t>
        </is>
      </c>
      <c r="G158" s="113" t="inlineStr">
        <is>
          <t>n</t>
        </is>
      </c>
      <c r="H158" s="113" t="inlineStr">
        <is>
          <t>Transitional energy</t>
        </is>
      </c>
      <c r="I158" s="113" t="inlineStr">
        <is>
          <t>whole economy</t>
        </is>
      </c>
      <c r="J158" s="113" t="inlineStr">
        <is>
          <t>By 2020, the cumulative proven geological reserves of conventional natural gas will reach 5.5 trillion cubic meters.</t>
        </is>
      </c>
      <c r="K158" s="113" t="inlineStr">
        <is>
          <t>AP1401.htm</t>
        </is>
      </c>
      <c r="L158" s="113" t="inlineStr">
        <is>
          <t>Energy/Power</t>
        </is>
      </c>
      <c r="M158" s="113" t="inlineStr">
        <is>
          <t>Energy consumption</t>
        </is>
      </c>
    </row>
    <row r="159" ht="18" customHeight="1" s="235">
      <c r="A159" s="113" t="n">
        <v>2016</v>
      </c>
      <c r="B159" s="113" t="inlineStr">
        <is>
          <t>installed capacity of new hydropower</t>
        </is>
      </c>
      <c r="C159" s="113" t="inlineStr">
        <is>
          <t>start construction</t>
        </is>
      </c>
      <c r="D159" s="113" t="inlineStr">
        <is>
          <t>60 million kilowatts</t>
        </is>
      </c>
      <c r="E159" s="113" t="n"/>
      <c r="F159" s="114" t="inlineStr">
        <is>
          <t>13th FYP</t>
        </is>
      </c>
      <c r="G159" s="113" t="inlineStr">
        <is>
          <t>n</t>
        </is>
      </c>
      <c r="H159" s="113" t="inlineStr">
        <is>
          <t>Renewable energy</t>
        </is>
      </c>
      <c r="I159" s="113" t="inlineStr">
        <is>
          <t>whole economy</t>
        </is>
      </c>
      <c r="J159" s="113" t="inlineStr">
        <is>
          <t>During the 13th Five-Year Plan period, about 40 million kilowatts of conventional hydropower will be newly put into operation across the country, and more than 60 million kilowatts will be started, of which about 5 million kilowatts will be small hydropower.</t>
        </is>
      </c>
      <c r="K159" s="113" t="inlineStr">
        <is>
          <t>FYP1607.pdf</t>
        </is>
      </c>
      <c r="L159" s="113" t="inlineStr">
        <is>
          <t>Energy/Power</t>
        </is>
      </c>
      <c r="M159" s="113" t="inlineStr">
        <is>
          <t>Energy consumption</t>
        </is>
      </c>
    </row>
    <row r="160" ht="18" customHeight="1" s="235">
      <c r="A160" s="113" t="n">
        <v>2016</v>
      </c>
      <c r="B160" s="113" t="inlineStr">
        <is>
          <t>average annual increase in proven geological petroleum reserves</t>
        </is>
      </c>
      <c r="C160" s="113" t="inlineStr">
        <is>
          <t>reach</t>
        </is>
      </c>
      <c r="D160" s="113" t="inlineStr">
        <is>
          <t>1 billion tons</t>
        </is>
      </c>
      <c r="E160" s="113" t="n"/>
      <c r="F160" s="114" t="inlineStr">
        <is>
          <t>13th FYP</t>
        </is>
      </c>
      <c r="G160" s="113" t="inlineStr">
        <is>
          <t>n</t>
        </is>
      </c>
      <c r="H160" s="113" t="inlineStr">
        <is>
          <t>Transitional energy</t>
        </is>
      </c>
      <c r="I160" s="113" t="inlineStr">
        <is>
          <t>unclear</t>
        </is>
      </c>
      <c r="J160" s="113" t="inlineStr">
        <is>
          <t>During the 13th Five-Year Plan period, the average annual increase in proven geological petroleum reserves is about 1 billion tons.</t>
        </is>
      </c>
      <c r="K160" s="113" t="inlineStr">
        <is>
          <t>FYP1624.pdf</t>
        </is>
      </c>
      <c r="L160" s="113" t="inlineStr">
        <is>
          <t>Energy/Power</t>
        </is>
      </c>
      <c r="M160" s="113" t="inlineStr">
        <is>
          <t>Energy consumption</t>
        </is>
      </c>
    </row>
    <row r="161" ht="18" customHeight="1" s="235">
      <c r="A161" s="113" t="n">
        <v>2004</v>
      </c>
      <c r="B161" s="113" t="inlineStr">
        <is>
          <t>average annual energy-saving rate</t>
        </is>
      </c>
      <c r="C161" s="113" t="inlineStr">
        <is>
          <t>achieve</t>
        </is>
      </c>
      <c r="D161" s="113" t="inlineStr">
        <is>
          <t>3%</t>
        </is>
      </c>
      <c r="E161" s="113" t="n">
        <v>2003</v>
      </c>
      <c r="F161" s="114" t="inlineStr">
        <is>
          <t>2020</t>
        </is>
      </c>
      <c r="G161" s="113" t="inlineStr">
        <is>
          <t>n</t>
        </is>
      </c>
      <c r="H161" s="113" t="inlineStr">
        <is>
          <t>Energy saving</t>
        </is>
      </c>
      <c r="I161" s="113" t="inlineStr">
        <is>
          <t>unclear</t>
        </is>
      </c>
      <c r="J161" s="113" t="inlineStr">
        <is>
          <t>We expect an annual average energy conservation rate of 3% from 2003 to 2020.</t>
        </is>
      </c>
      <c r="K161" s="113" t="inlineStr">
        <is>
          <t>MLT0402.pdf</t>
        </is>
      </c>
      <c r="L161" s="113" t="inlineStr">
        <is>
          <t>Energy/Power</t>
        </is>
      </c>
      <c r="M161" s="113" t="inlineStr">
        <is>
          <t>Coal power</t>
        </is>
      </c>
    </row>
    <row r="162" ht="18" customHeight="1" s="235">
      <c r="A162" s="113" t="n">
        <v>2004</v>
      </c>
      <c r="B162" s="113" t="inlineStr">
        <is>
          <t>average annual energy-saving rate</t>
        </is>
      </c>
      <c r="C162" s="113" t="inlineStr">
        <is>
          <t>achieve</t>
        </is>
      </c>
      <c r="D162" s="113" t="inlineStr">
        <is>
          <t>2.2%</t>
        </is>
      </c>
      <c r="E162" s="113" t="n"/>
      <c r="F162" s="114" t="inlineStr">
        <is>
          <t>2003-2010</t>
        </is>
      </c>
      <c r="G162" s="113" t="inlineStr">
        <is>
          <t>r</t>
        </is>
      </c>
      <c r="H162" s="113" t="inlineStr">
        <is>
          <t>Energy saving</t>
        </is>
      </c>
      <c r="I162" s="113" t="inlineStr">
        <is>
          <t>unclear</t>
        </is>
      </c>
      <c r="J162" s="113" t="inlineStr">
        <is>
          <t>From 2003 to 2010, the average annual energy conservation rate will be 2.2%.</t>
        </is>
      </c>
      <c r="K162" s="113" t="inlineStr">
        <is>
          <t>MLT0401.htm</t>
        </is>
      </c>
      <c r="L162" s="113" t="inlineStr">
        <is>
          <t>Energy/Power</t>
        </is>
      </c>
      <c r="M162" s="113" t="inlineStr">
        <is>
          <t>Coal power</t>
        </is>
      </c>
    </row>
    <row r="163" ht="18" customHeight="1" s="235">
      <c r="A163" s="113" t="n">
        <v>2004</v>
      </c>
      <c r="B163" s="113" t="inlineStr">
        <is>
          <t>average annual energy-saving rate</t>
        </is>
      </c>
      <c r="C163" s="113" t="inlineStr">
        <is>
          <t>achieve</t>
        </is>
      </c>
      <c r="D163" s="113" t="inlineStr">
        <is>
          <t>3%</t>
        </is>
      </c>
      <c r="E163" s="113" t="n"/>
      <c r="F163" s="114" t="inlineStr">
        <is>
          <t>2003-2020</t>
        </is>
      </c>
      <c r="G163" s="113" t="inlineStr">
        <is>
          <t>r</t>
        </is>
      </c>
      <c r="H163" s="113" t="inlineStr">
        <is>
          <t>Energy saving</t>
        </is>
      </c>
      <c r="I163" s="113" t="inlineStr">
        <is>
          <t>unclear</t>
        </is>
      </c>
      <c r="J163" s="113" t="inlineStr">
        <is>
          <t>From 2003 to 2020, the average annual energy saving rate will be 3%.</t>
        </is>
      </c>
      <c r="K163" s="113" t="inlineStr">
        <is>
          <t>MLT0401.htm</t>
        </is>
      </c>
      <c r="L163" s="113" t="inlineStr">
        <is>
          <t>Energy/Power</t>
        </is>
      </c>
      <c r="M163" s="113" t="inlineStr">
        <is>
          <t>Coal power</t>
        </is>
      </c>
    </row>
    <row r="164" ht="18" customHeight="1" s="235">
      <c r="A164" s="113" t="n">
        <v>2004</v>
      </c>
      <c r="B164" s="113" t="inlineStr">
        <is>
          <t>average annual energy-saving rate</t>
        </is>
      </c>
      <c r="C164" s="113" t="inlineStr">
        <is>
          <t>achieve</t>
        </is>
      </c>
      <c r="D164" s="113" t="inlineStr">
        <is>
          <t>2.2%</t>
        </is>
      </c>
      <c r="E164" s="113" t="n">
        <v>2003</v>
      </c>
      <c r="F164" s="114" t="inlineStr">
        <is>
          <t>2010</t>
        </is>
      </c>
      <c r="G164" s="113" t="inlineStr">
        <is>
          <t>n</t>
        </is>
      </c>
      <c r="H164" s="113" t="inlineStr">
        <is>
          <t>Energy saving</t>
        </is>
      </c>
      <c r="I164" s="113" t="inlineStr">
        <is>
          <t>unclear</t>
        </is>
      </c>
      <c r="J164" s="113" t="inlineStr">
        <is>
          <t>We expect an annual average energy conservation rate of 2.2% from 2003 to 2010.</t>
        </is>
      </c>
      <c r="K164" s="113" t="inlineStr">
        <is>
          <t>MLT0402.pdf</t>
        </is>
      </c>
      <c r="L164" s="113" t="inlineStr">
        <is>
          <t>Energy/Power</t>
        </is>
      </c>
      <c r="M164" s="113" t="inlineStr">
        <is>
          <t>Energy consumption</t>
        </is>
      </c>
    </row>
    <row r="165" ht="18" customHeight="1" s="235">
      <c r="A165" s="113" t="n">
        <v>2024</v>
      </c>
      <c r="B165" s="113" t="inlineStr">
        <is>
          <t>demand response capacity of the maximum power load of each region where the annual maximum power load peak-to-valley difference rate exceeds 40%</t>
        </is>
      </c>
      <c r="C165" s="113" t="inlineStr">
        <is>
          <t>reach</t>
        </is>
      </c>
      <c r="D165" s="113" t="inlineStr">
        <is>
          <t>more than 5%</t>
        </is>
      </c>
      <c r="E165" s="113" t="n"/>
      <c r="F165" s="114" t="inlineStr">
        <is>
          <t>2025</t>
        </is>
      </c>
      <c r="G165" s="113" t="inlineStr">
        <is>
          <t>n</t>
        </is>
      </c>
      <c r="H165" s="113" t="inlineStr">
        <is>
          <t>Renewable energy</t>
        </is>
      </c>
      <c r="I165" s="113" t="inlineStr">
        <is>
          <t>areas</t>
        </is>
      </c>
      <c r="J165" s="113" t="inlineStr">
        <is>
          <t>By the end of 2025, the demand response capacity of regions where the annual maximum power load peak-to-valley difference rate exceeds 40% should reach more than 5% of the maximum power load.</t>
        </is>
      </c>
      <c r="K165" s="113" t="inlineStr">
        <is>
          <t>AP2405.htm</t>
        </is>
      </c>
      <c r="L165" s="113" t="inlineStr">
        <is>
          <t>Energy/Power</t>
        </is>
      </c>
      <c r="M165" s="113" t="inlineStr">
        <is>
          <t>Energy consumption</t>
        </is>
      </c>
    </row>
    <row r="166" ht="18" customHeight="1" s="235">
      <c r="A166" s="0" t="n">
        <v>2013</v>
      </c>
      <c r="B166" s="0" t="inlineStr">
        <is>
          <t>annual coal output</t>
        </is>
      </c>
      <c r="C166" s="0" t="inlineStr">
        <is>
          <t>control within</t>
        </is>
      </c>
      <c r="D166" s="0" t="inlineStr">
        <is>
          <t>3.9 billion tons</t>
        </is>
      </c>
      <c r="F166" s="0" t="inlineStr">
        <is>
          <t>2015</t>
        </is>
      </c>
      <c r="G166" s="0" t="inlineStr">
        <is>
          <t>n</t>
        </is>
      </c>
      <c r="H166" s="0" t="inlineStr">
        <is>
          <t>Coal-related</t>
        </is>
      </c>
      <c r="I166" s="0" t="inlineStr">
        <is>
          <t>sectors</t>
        </is>
      </c>
      <c r="J166" s="0" t="inlineStr">
        <is>
          <t>By 2015, coal output will be controlled within 3.9 billion tons.</t>
        </is>
      </c>
      <c r="K166" s="0" t="inlineStr">
        <is>
          <t>FYP1302.htm</t>
        </is>
      </c>
      <c r="L166" s="0" t="inlineStr">
        <is>
          <t>Energy/Power</t>
        </is>
      </c>
      <c r="M166" s="0" t="inlineStr">
        <is>
          <t>Power supply</t>
        </is>
      </c>
    </row>
    <row r="167" ht="18" customHeight="1" s="235">
      <c r="A167" s="113" t="n">
        <v>2013</v>
      </c>
      <c r="B167" s="113" t="inlineStr">
        <is>
          <t>annual coal production capacity</t>
        </is>
      </c>
      <c r="C167" s="113" t="inlineStr">
        <is>
          <t>increase to</t>
        </is>
      </c>
      <c r="D167" s="113" t="inlineStr">
        <is>
          <t>4.1 billion tons</t>
        </is>
      </c>
      <c r="E167" s="113" t="n"/>
      <c r="F167" s="114" t="inlineStr">
        <is>
          <t>2015</t>
        </is>
      </c>
      <c r="G167" s="113" t="inlineStr">
        <is>
          <t>n</t>
        </is>
      </c>
      <c r="H167" s="113" t="inlineStr">
        <is>
          <t>Coal-related</t>
        </is>
      </c>
      <c r="I167" s="113" t="inlineStr">
        <is>
          <t>sectors</t>
        </is>
      </c>
      <c r="J167" s="113" t="inlineStr">
        <is>
          <t>Coal production capacity will grow to 4.1 billion tons by 2015.</t>
        </is>
      </c>
      <c r="K167" s="113" t="inlineStr">
        <is>
          <t>FYP1302.htm</t>
        </is>
      </c>
      <c r="L167" s="113" t="inlineStr">
        <is>
          <t>Energy/Power</t>
        </is>
      </c>
      <c r="M167" s="113" t="inlineStr">
        <is>
          <t>Power supply</t>
        </is>
      </c>
    </row>
    <row r="168" ht="18" customHeight="1" s="235">
      <c r="A168" s="0" t="n">
        <v>2007</v>
      </c>
      <c r="B168" s="0" t="inlineStr">
        <is>
          <t>annual coal mine gas generated</t>
        </is>
      </c>
      <c r="C168" s="0" t="inlineStr">
        <is>
          <t>increase to</t>
        </is>
      </c>
      <c r="D168" s="0" t="inlineStr">
        <is>
          <t>17.7 billion cubic meters</t>
        </is>
      </c>
      <c r="F168" s="0" t="n">
        <v>2010</v>
      </c>
      <c r="G168" s="0" t="inlineStr">
        <is>
          <t>n</t>
        </is>
      </c>
      <c r="H168" s="0" t="inlineStr">
        <is>
          <t>Coal-related</t>
        </is>
      </c>
      <c r="I168" s="0" t="inlineStr">
        <is>
          <t>sectors</t>
        </is>
      </c>
      <c r="J168" s="0" t="inlineStr">
        <is>
          <t>The amount of coal mine gas generated will increase from 15 billion cubic meters in 2005 to 17.7 billion cubic meters in 2010.</t>
        </is>
      </c>
      <c r="K168" s="0" t="inlineStr">
        <is>
          <t>FYP0701.htm</t>
        </is>
      </c>
      <c r="L168" s="0" t="inlineStr">
        <is>
          <t>Energy/Power</t>
        </is>
      </c>
      <c r="M168" s="0" t="inlineStr">
        <is>
          <t>Power supply</t>
        </is>
      </c>
    </row>
    <row r="169" ht="18" customHeight="1" s="235">
      <c r="A169" s="113" t="n">
        <v>2007</v>
      </c>
      <c r="B169" s="113" t="inlineStr">
        <is>
          <t>annual coal mine gas captured</t>
        </is>
      </c>
      <c r="C169" s="113" t="inlineStr">
        <is>
          <t>increase to</t>
        </is>
      </c>
      <c r="D169" s="113" t="inlineStr">
        <is>
          <t>6.8 billion cubic meters</t>
        </is>
      </c>
      <c r="E169" s="113" t="n"/>
      <c r="F169" s="114" t="n">
        <v>2010</v>
      </c>
      <c r="G169" s="113" t="inlineStr">
        <is>
          <t>n</t>
        </is>
      </c>
      <c r="H169" s="113" t="inlineStr">
        <is>
          <t>Coal-related</t>
        </is>
      </c>
      <c r="I169" s="113" t="inlineStr">
        <is>
          <t>sectors</t>
        </is>
      </c>
      <c r="J169" s="113" t="inlineStr">
        <is>
          <t>The amount of coal mine gas captured will increase from 5.1 billion cubic meters in 2005 to 6.8 billion cubic meters in 2010.</t>
        </is>
      </c>
      <c r="K169" s="113" t="inlineStr">
        <is>
          <t>FYP0701.htm</t>
        </is>
      </c>
      <c r="L169" s="113" t="inlineStr">
        <is>
          <t>Energy/Power</t>
        </is>
      </c>
      <c r="M169" s="113" t="inlineStr">
        <is>
          <t>Coal power</t>
        </is>
      </c>
    </row>
    <row r="170" ht="18" customHeight="1" s="235">
      <c r="A170" s="113" t="n">
        <v>2007</v>
      </c>
      <c r="B170" s="113" t="inlineStr">
        <is>
          <t>total energy savings</t>
        </is>
      </c>
      <c r="C170" s="113" t="inlineStr">
        <is>
          <t>achieve</t>
        </is>
      </c>
      <c r="D170" s="113" t="inlineStr">
        <is>
          <t>118 million tons of standard coal</t>
        </is>
      </c>
      <c r="E170" s="113" t="n"/>
      <c r="F170" s="114" t="inlineStr">
        <is>
          <t>11th FYP</t>
        </is>
      </c>
      <c r="G170" s="113" t="inlineStr">
        <is>
          <t>n</t>
        </is>
      </c>
      <c r="H170" s="113" t="inlineStr">
        <is>
          <t>Energy saving</t>
        </is>
      </c>
      <c r="I170" s="113" t="inlineStr">
        <is>
          <t>unclear</t>
        </is>
      </c>
      <c r="J170" s="113" t="inlineStr">
        <is>
          <t>Total energy savings of 118 million tons of standard coal will be achieved during the 11th Five-Year Plan period.</t>
        </is>
      </c>
      <c r="K170" s="113" t="inlineStr">
        <is>
          <t>WOP0701.htm</t>
        </is>
      </c>
      <c r="L170" s="113" t="inlineStr">
        <is>
          <t>Energy/Power</t>
        </is>
      </c>
      <c r="M170" s="113" t="inlineStr">
        <is>
          <t>Coal power</t>
        </is>
      </c>
    </row>
    <row r="171" ht="18" customHeight="1" s="235">
      <c r="A171" s="113" t="n">
        <v>2012</v>
      </c>
      <c r="B171" s="113" t="inlineStr">
        <is>
          <t>total energy savings</t>
        </is>
      </c>
      <c r="C171" s="113" t="inlineStr">
        <is>
          <t>achieve</t>
        </is>
      </c>
      <c r="D171" s="113" t="inlineStr">
        <is>
          <t>670 million tons of standard coal</t>
        </is>
      </c>
      <c r="E171" s="113" t="n"/>
      <c r="F171" s="114" t="inlineStr">
        <is>
          <t>12th FYP</t>
        </is>
      </c>
      <c r="G171" s="113" t="inlineStr">
        <is>
          <t>n</t>
        </is>
      </c>
      <c r="H171" s="113" t="inlineStr">
        <is>
          <t>Energy saving</t>
        </is>
      </c>
      <c r="I171" s="113" t="inlineStr">
        <is>
          <t>unclear</t>
        </is>
      </c>
      <c r="J171" s="113" t="inlineStr">
        <is>
          <t>During the 12th Five-Year Plan period, energy savings of 670 million tons of standard coal will be achieved.</t>
        </is>
      </c>
      <c r="K171" s="113" t="inlineStr">
        <is>
          <t>FYP1201.htm</t>
        </is>
      </c>
      <c r="L171" s="113" t="inlineStr">
        <is>
          <t>Energy/Power</t>
        </is>
      </c>
      <c r="M171" s="113" t="inlineStr">
        <is>
          <t>Coal power</t>
        </is>
      </c>
    </row>
    <row r="172" ht="18" customHeight="1" s="235">
      <c r="A172" s="113" t="n">
        <v>2013</v>
      </c>
      <c r="B172" s="113" t="inlineStr">
        <is>
          <t>refined oil annual output</t>
        </is>
      </c>
      <c r="C172" s="113" t="inlineStr">
        <is>
          <t>reach</t>
        </is>
      </c>
      <c r="D172" s="113" t="inlineStr">
        <is>
          <t>330 million tons</t>
        </is>
      </c>
      <c r="E172" s="113" t="n"/>
      <c r="F172" s="114" t="inlineStr">
        <is>
          <t>2015</t>
        </is>
      </c>
      <c r="G172" s="113" t="inlineStr">
        <is>
          <t>n</t>
        </is>
      </c>
      <c r="H172" s="113" t="inlineStr">
        <is>
          <t>Transitional energy</t>
        </is>
      </c>
      <c r="I172" s="113" t="inlineStr">
        <is>
          <t>sectors</t>
        </is>
      </c>
      <c r="J172" s="113" t="inlineStr">
        <is>
          <t>By 2015, refined oil output will reach 330 million tons.</t>
        </is>
      </c>
      <c r="K172" s="113" t="inlineStr">
        <is>
          <t>FYP1302.htm</t>
        </is>
      </c>
      <c r="L172" s="113" t="inlineStr">
        <is>
          <t>Energy/Power</t>
        </is>
      </c>
      <c r="M172" s="113" t="inlineStr">
        <is>
          <t>Coal power</t>
        </is>
      </c>
    </row>
    <row r="173" ht="18" customHeight="1" s="235">
      <c r="A173" s="113" t="n">
        <v>2016</v>
      </c>
      <c r="B173" s="113" t="inlineStr">
        <is>
          <t>construction of new capacity of pumped-storage power stations</t>
        </is>
      </c>
      <c r="C173" s="113" t="inlineStr">
        <is>
          <t>complete</t>
        </is>
      </c>
      <c r="D173" s="113" t="inlineStr">
        <is>
          <t>about 60 million kilowatts</t>
        </is>
      </c>
      <c r="E173" s="113" t="n"/>
      <c r="F173" s="114" t="inlineStr">
        <is>
          <t>13th FYP</t>
        </is>
      </c>
      <c r="G173" s="113" t="inlineStr">
        <is>
          <t>n</t>
        </is>
      </c>
      <c r="H173" s="113" t="inlineStr">
        <is>
          <t>Renewable energy</t>
        </is>
      </c>
      <c r="I173" s="113" t="inlineStr">
        <is>
          <t>whole economy</t>
        </is>
      </c>
      <c r="J173" s="113" t="inlineStr">
        <is>
          <t>During the 13th Five-Year Plan period, about 60 million kilowatts of pumped-storage power stations will be put into construction.</t>
        </is>
      </c>
      <c r="K173" s="113" t="inlineStr">
        <is>
          <t>FYP1607.pdf</t>
        </is>
      </c>
      <c r="L173" s="113" t="inlineStr">
        <is>
          <t>Energy/Power</t>
        </is>
      </c>
      <c r="M173" s="113" t="inlineStr">
        <is>
          <t>Energy consumption</t>
        </is>
      </c>
    </row>
    <row r="174" ht="18" customHeight="1" s="235">
      <c r="A174" s="113" t="n">
        <v>2026</v>
      </c>
      <c r="B174" s="113" t="inlineStr">
        <is>
          <t>new capacity of pumped storage power stations</t>
        </is>
      </c>
      <c r="C174" s="113" t="inlineStr">
        <is>
          <t>complete</t>
        </is>
      </c>
      <c r="D174" s="113" t="inlineStr">
        <is>
          <t>around 100 gigawatts</t>
        </is>
      </c>
      <c r="E174" s="113" t="n"/>
      <c r="F174" s="114" t="inlineStr">
        <is>
          <t>15th FYP</t>
        </is>
      </c>
      <c r="G174" s="113" t="inlineStr">
        <is>
          <t>n</t>
        </is>
      </c>
      <c r="H174" s="113" t="inlineStr">
        <is>
          <t>Renewable energy</t>
        </is>
      </c>
      <c r="I174" s="113" t="inlineStr">
        <is>
          <t>whole economy</t>
        </is>
      </c>
      <c r="J174" s="113" t="inlineStr">
        <is>
          <t>In areas with good resource conditions and load-regulation demand, a batch of pumped-storage power stations will be built, adding around 100 gigawatts of newly commissioned installed capacity.</t>
        </is>
      </c>
      <c r="K174" s="113" t="inlineStr">
        <is>
          <t>HL2601.pdf</t>
        </is>
      </c>
      <c r="L174" s="113" t="inlineStr">
        <is>
          <t>Energy/Power</t>
        </is>
      </c>
      <c r="M174" s="113" t="inlineStr">
        <is>
          <t>Energy consumption</t>
        </is>
      </c>
    </row>
    <row r="175" ht="18" customHeight="1" s="235">
      <c r="A175" s="113" t="n">
        <v>2017</v>
      </c>
      <c r="B175" s="113" t="inlineStr">
        <is>
          <t>construction of new capacity of pumped-storage power stations</t>
        </is>
      </c>
      <c r="C175" s="113" t="inlineStr">
        <is>
          <t>complete</t>
        </is>
      </c>
      <c r="D175" s="113" t="inlineStr">
        <is>
          <t>60 million kilowatts</t>
        </is>
      </c>
      <c r="E175" s="113" t="n"/>
      <c r="F175" s="114" t="inlineStr">
        <is>
          <t>13th FYP</t>
        </is>
      </c>
      <c r="G175" s="113" t="inlineStr">
        <is>
          <t>r</t>
        </is>
      </c>
      <c r="H175" s="113" t="inlineStr">
        <is>
          <t>Renewable energy</t>
        </is>
      </c>
      <c r="I175" s="113" t="inlineStr">
        <is>
          <t>whole economy</t>
        </is>
      </c>
      <c r="J175" s="113" t="inlineStr">
        <is>
          <t>In accordance with the principles of economic and technical rationality, a total of about 60 million kilowatts of pumped-storage power stations will be put into construction during the 13th Five-Year Plan period.</t>
        </is>
      </c>
      <c r="K175" s="113" t="inlineStr">
        <is>
          <t>IP1702.pdf</t>
        </is>
      </c>
      <c r="L175" s="113" t="inlineStr">
        <is>
          <t>Energy/Power</t>
        </is>
      </c>
      <c r="M175" s="113" t="inlineStr">
        <is>
          <t>Energy consumption</t>
        </is>
      </c>
    </row>
    <row r="176" ht="18" customHeight="1" s="235">
      <c r="A176" s="0" t="n">
        <v>2016</v>
      </c>
      <c r="B176" s="0" t="inlineStr">
        <is>
          <t>new capacity of pumped storage power stations</t>
        </is>
      </c>
      <c r="C176" s="0" t="inlineStr">
        <is>
          <t>complete</t>
        </is>
      </c>
      <c r="D176" s="0" t="inlineStr">
        <is>
          <t>about 17 million kilowatts</t>
        </is>
      </c>
      <c r="F176" s="0" t="inlineStr">
        <is>
          <t>13th FYP</t>
        </is>
      </c>
      <c r="G176" s="0" t="inlineStr">
        <is>
          <t>n</t>
        </is>
      </c>
      <c r="H176" s="0" t="inlineStr">
        <is>
          <t>Renewable energy</t>
        </is>
      </c>
      <c r="I176" s="0" t="inlineStr">
        <is>
          <t>whole economy</t>
        </is>
      </c>
      <c r="J176" s="0" t="inlineStr">
        <is>
          <t>During the 13th Five-Year Plan period, about 17 million kilowatts of new pumped storage power stations will be put into operation.</t>
        </is>
      </c>
      <c r="K176" s="0" t="inlineStr">
        <is>
          <t>FYP1607.pdf</t>
        </is>
      </c>
      <c r="L176" s="0" t="inlineStr">
        <is>
          <t>Energy/Power</t>
        </is>
      </c>
      <c r="M176" s="0" t="inlineStr">
        <is>
          <t>Power supply</t>
        </is>
      </c>
    </row>
    <row r="177" ht="18" customHeight="1" s="235">
      <c r="A177" s="113" t="n">
        <v>2016</v>
      </c>
      <c r="B177" s="113" t="inlineStr">
        <is>
          <t>construction of new capacity of pumped-storage power stations</t>
        </is>
      </c>
      <c r="C177" s="113" t="inlineStr">
        <is>
          <t>complete</t>
        </is>
      </c>
      <c r="D177" s="113" t="inlineStr">
        <is>
          <t>60 million kilowatts</t>
        </is>
      </c>
      <c r="E177" s="113" t="n"/>
      <c r="F177" s="114" t="inlineStr">
        <is>
          <t>13th FYP</t>
        </is>
      </c>
      <c r="G177" s="113" t="inlineStr">
        <is>
          <t>r</t>
        </is>
      </c>
      <c r="H177" s="113" t="inlineStr">
        <is>
          <t>Renewable energy</t>
        </is>
      </c>
      <c r="I177" s="113" t="inlineStr">
        <is>
          <t>whole economy</t>
        </is>
      </c>
      <c r="J177" s="113" t="inlineStr">
        <is>
          <t>During the 13th Five-Year Plan period, approximately 60 million kilowatts of new pumped-storage power stations will be started, and the installed capacity of pumped-storage power stations will reach 40 million kilowatts.</t>
        </is>
      </c>
      <c r="K177" s="113" t="inlineStr">
        <is>
          <t>FYP1610.pdf</t>
        </is>
      </c>
      <c r="L177" s="113" t="inlineStr">
        <is>
          <t>Energy/Power</t>
        </is>
      </c>
      <c r="M177" s="113" t="inlineStr">
        <is>
          <t>Coal power</t>
        </is>
      </c>
    </row>
    <row r="178" ht="18" customHeight="1" s="235">
      <c r="A178" s="0" t="n">
        <v>2013</v>
      </c>
      <c r="B178" s="0" t="inlineStr">
        <is>
          <t>installed capacity of pumped-storage power stations</t>
        </is>
      </c>
      <c r="C178" s="0" t="inlineStr">
        <is>
          <t>reach</t>
        </is>
      </c>
      <c r="D178" s="0" t="inlineStr">
        <is>
          <t>30 million kilowatts</t>
        </is>
      </c>
      <c r="F178" s="0" t="inlineStr">
        <is>
          <t>2015</t>
        </is>
      </c>
      <c r="G178" s="0" t="inlineStr">
        <is>
          <t>n</t>
        </is>
      </c>
      <c r="H178" s="0" t="inlineStr">
        <is>
          <t>Renewable energy</t>
        </is>
      </c>
      <c r="I178" s="0" t="inlineStr">
        <is>
          <t>whole economy</t>
        </is>
      </c>
      <c r="J178" s="0" t="inlineStr">
        <is>
          <t>By 2015, pumped-storage power station capacity will reach 30 million kilowatts.</t>
        </is>
      </c>
      <c r="K178" s="0" t="inlineStr">
        <is>
          <t>FYP1302.htm</t>
        </is>
      </c>
      <c r="L178" s="0" t="inlineStr">
        <is>
          <t>Energy/Power</t>
        </is>
      </c>
      <c r="M178" s="0" t="inlineStr">
        <is>
          <t>Coal power</t>
        </is>
      </c>
    </row>
    <row r="179" ht="18" customHeight="1" s="235">
      <c r="A179" s="113" t="n">
        <v>2024</v>
      </c>
      <c r="B179" s="113" t="inlineStr">
        <is>
          <t>installed capacity of pumped energy storage</t>
        </is>
      </c>
      <c r="C179" s="113" t="inlineStr">
        <is>
          <t>exceed</t>
        </is>
      </c>
      <c r="D179" s="113" t="inlineStr">
        <is>
          <t>62 million kilowatts</t>
        </is>
      </c>
      <c r="E179" s="113" t="n"/>
      <c r="F179" s="114" t="inlineStr">
        <is>
          <t>2025</t>
        </is>
      </c>
      <c r="G179" s="113" t="inlineStr">
        <is>
          <t>n</t>
        </is>
      </c>
      <c r="H179" s="113" t="inlineStr">
        <is>
          <t>Renewable energy</t>
        </is>
      </c>
      <c r="I179" s="113" t="inlineStr">
        <is>
          <t>whole economy</t>
        </is>
      </c>
      <c r="J179" s="113" t="inlineStr">
        <is>
          <t>By the end of 2025, the installed capacity of pumped storage in the country will exceed 62 million kilowatts.</t>
        </is>
      </c>
      <c r="K179" s="113" t="inlineStr">
        <is>
          <t>AP2405.htm</t>
        </is>
      </c>
      <c r="L179" s="113" t="inlineStr">
        <is>
          <t>Energy/Power</t>
        </is>
      </c>
      <c r="M179" s="113" t="inlineStr">
        <is>
          <t>Power supply</t>
        </is>
      </c>
    </row>
    <row r="180" ht="18" customHeight="1" s="235">
      <c r="A180" s="113" t="n">
        <v>2024</v>
      </c>
      <c r="B180" s="113" t="inlineStr">
        <is>
          <t>installed capacity of pumped energy storage</t>
        </is>
      </c>
      <c r="C180" s="113" t="inlineStr">
        <is>
          <t>exceed</t>
        </is>
      </c>
      <c r="D180" s="113" t="inlineStr">
        <is>
          <t>120 million kilowatts</t>
        </is>
      </c>
      <c r="E180" s="113" t="n"/>
      <c r="F180" s="114" t="inlineStr">
        <is>
          <t>2030</t>
        </is>
      </c>
      <c r="G180" s="113" t="inlineStr">
        <is>
          <t>n</t>
        </is>
      </c>
      <c r="H180" s="113" t="inlineStr">
        <is>
          <t>Renewable energy</t>
        </is>
      </c>
      <c r="I180" s="113" t="inlineStr">
        <is>
          <t>whole economy</t>
        </is>
      </c>
      <c r="J180" s="113" t="inlineStr">
        <is>
          <t>By 2030, the installed capacity of pumped storage power generation will exceed 120 million kilowatts.</t>
        </is>
      </c>
      <c r="K180" s="113" t="inlineStr">
        <is>
          <t>O2407.htm</t>
        </is>
      </c>
      <c r="L180" s="113" t="inlineStr">
        <is>
          <t>Energy/Power</t>
        </is>
      </c>
      <c r="M180" s="113" t="inlineStr">
        <is>
          <t>Power supply</t>
        </is>
      </c>
    </row>
    <row r="181" ht="18" customHeight="1" s="235">
      <c r="A181" s="113" t="n">
        <v>2018</v>
      </c>
      <c r="B181" s="113" t="inlineStr">
        <is>
          <t>installed capacity of pumped energy storage</t>
        </is>
      </c>
      <c r="C181" s="113" t="inlineStr">
        <is>
          <t>reach</t>
        </is>
      </c>
      <c r="D181" s="113" t="inlineStr">
        <is>
          <t>40 million kilowatts</t>
        </is>
      </c>
      <c r="E181" s="113" t="n"/>
      <c r="F181" s="114" t="inlineStr">
        <is>
          <t>2020</t>
        </is>
      </c>
      <c r="G181" s="113" t="inlineStr">
        <is>
          <t>r</t>
        </is>
      </c>
      <c r="H181" s="113" t="inlineStr">
        <is>
          <t>Renewable energy</t>
        </is>
      </c>
      <c r="I181" s="113" t="inlineStr">
        <is>
          <t>whole economy</t>
        </is>
      </c>
      <c r="J181" s="113" t="inlineStr">
        <is>
          <t>By 2020, the installed capacity of pumped-storage power stations will reach 40 million kilowatts (including 11.4 million kilowatts in the "Three Norths" region), effectively improving the regulation capacity of the power system.</t>
        </is>
      </c>
      <c r="K181" s="113" t="inlineStr">
        <is>
          <t>GO1801.htm</t>
        </is>
      </c>
      <c r="L181" s="113" t="inlineStr">
        <is>
          <t>Energy/Power</t>
        </is>
      </c>
      <c r="M181" s="113" t="inlineStr">
        <is>
          <t>Power supply</t>
        </is>
      </c>
    </row>
    <row r="182" ht="18" customHeight="1" s="235">
      <c r="A182" s="113" t="n">
        <v>2016</v>
      </c>
      <c r="B182" s="113" t="inlineStr">
        <is>
          <t>installed capacity of pumped energy storage</t>
        </is>
      </c>
      <c r="C182" s="113" t="inlineStr">
        <is>
          <t>reach</t>
        </is>
      </c>
      <c r="D182" s="113" t="inlineStr">
        <is>
          <t>40 million kilowatts</t>
        </is>
      </c>
      <c r="E182" s="113" t="n"/>
      <c r="F182" s="114" t="inlineStr">
        <is>
          <t>13th FYP</t>
        </is>
      </c>
      <c r="G182" s="113" t="inlineStr">
        <is>
          <t>r</t>
        </is>
      </c>
      <c r="H182" s="113" t="inlineStr">
        <is>
          <t>Renewable energy</t>
        </is>
      </c>
      <c r="I182" s="113" t="inlineStr">
        <is>
          <t>whole economy</t>
        </is>
      </c>
      <c r="J182" s="113" t="inlineStr">
        <is>
          <t>During the 13th Five-Year Plan period, the installed capacity of pumped-storage power stations will reach 40 million kilowatts.</t>
        </is>
      </c>
      <c r="K182" s="113" t="inlineStr">
        <is>
          <t>FYP1616.pdf</t>
        </is>
      </c>
      <c r="L182" s="113" t="inlineStr">
        <is>
          <t>Energy/Power</t>
        </is>
      </c>
      <c r="M182" s="113" t="inlineStr">
        <is>
          <t>Power supply</t>
        </is>
      </c>
    </row>
    <row r="183" ht="18" customHeight="1" s="235">
      <c r="A183" s="0" t="n">
        <v>2021</v>
      </c>
      <c r="B183" s="0" t="inlineStr">
        <is>
          <t>installed capacity of pumped energy storage</t>
        </is>
      </c>
      <c r="C183" s="0" t="inlineStr">
        <is>
          <t>reach</t>
        </is>
      </c>
      <c r="D183" s="0" t="inlineStr">
        <is>
          <t>approximately 120 gigawatts</t>
        </is>
      </c>
      <c r="F183" s="0" t="inlineStr">
        <is>
          <t>2030</t>
        </is>
      </c>
      <c r="G183" s="0" t="inlineStr">
        <is>
          <t>r</t>
        </is>
      </c>
      <c r="H183" s="0" t="inlineStr">
        <is>
          <t>Renewable energy</t>
        </is>
      </c>
      <c r="I183" s="0" t="inlineStr">
        <is>
          <t>whole economy</t>
        </is>
      </c>
      <c r="J183" s="0" t="inlineStr">
        <is>
          <t>By 2030, installed pumped-storage hydro power capacity will reach approximately 120 gigawatts</t>
        </is>
      </c>
      <c r="K183" s="0" t="inlineStr">
        <is>
          <t>HL2102.pdf</t>
        </is>
      </c>
      <c r="L183" s="0" t="inlineStr">
        <is>
          <t>Energy/Power</t>
        </is>
      </c>
      <c r="M183" s="0" t="inlineStr">
        <is>
          <t>Power supply</t>
        </is>
      </c>
    </row>
    <row r="184" ht="18" customHeight="1" s="235">
      <c r="A184" s="113" t="n">
        <v>2016</v>
      </c>
      <c r="B184" s="113" t="inlineStr">
        <is>
          <t>installed capacity of pumped energy storage</t>
        </is>
      </c>
      <c r="C184" s="113" t="inlineStr">
        <is>
          <t>reach</t>
        </is>
      </c>
      <c r="D184" s="113" t="inlineStr">
        <is>
          <t>40 million kilowatts</t>
        </is>
      </c>
      <c r="E184" s="113" t="n"/>
      <c r="F184" s="114" t="inlineStr">
        <is>
          <t>2020</t>
        </is>
      </c>
      <c r="G184" s="113" t="inlineStr">
        <is>
          <t>n</t>
        </is>
      </c>
      <c r="H184" s="113" t="inlineStr">
        <is>
          <t>Renewable energy</t>
        </is>
      </c>
      <c r="I184" s="113" t="inlineStr">
        <is>
          <t>whole economy</t>
        </is>
      </c>
      <c r="J184" s="113" t="inlineStr">
        <is>
          <t>By 2020, the newly installed capacity of pumped storage power stations will increase by about 17 million kilowatts, reaching about 40 million kilowatts.</t>
        </is>
      </c>
      <c r="K184" s="113" t="inlineStr">
        <is>
          <t>FYP1607.pdf</t>
        </is>
      </c>
      <c r="L184" s="113" t="inlineStr">
        <is>
          <t>Energy/Power</t>
        </is>
      </c>
      <c r="M184" s="113" t="inlineStr">
        <is>
          <t>Power supply</t>
        </is>
      </c>
    </row>
    <row r="185" ht="18" customHeight="1" s="235">
      <c r="A185" s="113" t="n">
        <v>2024</v>
      </c>
      <c r="B185" s="113" t="inlineStr">
        <is>
          <t>installed capacity of new energy storage</t>
        </is>
      </c>
      <c r="C185" s="113" t="inlineStr">
        <is>
          <t>exceed</t>
        </is>
      </c>
      <c r="D185" s="113" t="inlineStr">
        <is>
          <t>40 million kilowatts</t>
        </is>
      </c>
      <c r="E185" s="113" t="n"/>
      <c r="F185" s="114" t="inlineStr">
        <is>
          <t>2025</t>
        </is>
      </c>
      <c r="G185" s="113" t="inlineStr">
        <is>
          <t>s/l-POS</t>
        </is>
      </c>
      <c r="H185" s="113" t="inlineStr">
        <is>
          <t>Renewable energy</t>
        </is>
      </c>
      <c r="I185" s="113" t="inlineStr">
        <is>
          <t>whole economy</t>
        </is>
      </c>
      <c r="J185" s="113" t="inlineStr">
        <is>
          <t>By the end of 2025, the installed capacity of new energy storage in the country will exceed 40 million kilowatts.</t>
        </is>
      </c>
      <c r="K185" s="113" t="inlineStr">
        <is>
          <t>AP2405.htm</t>
        </is>
      </c>
      <c r="L185" s="113" t="inlineStr">
        <is>
          <t>Energy/Power</t>
        </is>
      </c>
      <c r="M185" s="113" t="inlineStr">
        <is>
          <t>Power supply</t>
        </is>
      </c>
    </row>
    <row r="186" ht="18" customHeight="1" s="235">
      <c r="A186" s="113" t="n">
        <v>2021</v>
      </c>
      <c r="B186" s="113" t="inlineStr">
        <is>
          <t>installed capacity of new energy storage</t>
        </is>
      </c>
      <c r="C186" s="113" t="inlineStr">
        <is>
          <t>reach</t>
        </is>
      </c>
      <c r="D186" s="113" t="inlineStr">
        <is>
          <t>30 million kilowatts or more</t>
        </is>
      </c>
      <c r="E186" s="113" t="n"/>
      <c r="F186" s="114" t="inlineStr">
        <is>
          <t>2025</t>
        </is>
      </c>
      <c r="G186" s="113" t="inlineStr">
        <is>
          <t>n</t>
        </is>
      </c>
      <c r="H186" s="113" t="inlineStr">
        <is>
          <t>Renewable energy</t>
        </is>
      </c>
      <c r="I186" s="113" t="inlineStr">
        <is>
          <t>whole economy</t>
        </is>
      </c>
      <c r="J186" s="113" t="inlineStr">
        <is>
          <t>By 2025, installed capacity of new types of energy storage will reach 30 gigawatts or more.</t>
        </is>
      </c>
      <c r="K186" s="113" t="inlineStr">
        <is>
          <t>HL2102.pdf</t>
        </is>
      </c>
      <c r="L186" s="113" t="inlineStr">
        <is>
          <t>Energy/Power</t>
        </is>
      </c>
      <c r="M186" s="113" t="inlineStr">
        <is>
          <t>Coal power</t>
        </is>
      </c>
    </row>
    <row r="187" ht="18" customHeight="1" s="235">
      <c r="A187" s="113" t="n">
        <v>2025</v>
      </c>
      <c r="B187" s="113" t="inlineStr">
        <is>
          <t>installed capacity of new energy storage</t>
        </is>
      </c>
      <c r="C187" s="113" t="inlineStr">
        <is>
          <t>exceed</t>
        </is>
      </c>
      <c r="D187" s="113" t="inlineStr">
        <is>
          <t>180 million kilowatts</t>
        </is>
      </c>
      <c r="E187" s="113" t="n"/>
      <c r="F187" s="114" t="n">
        <v>2027</v>
      </c>
      <c r="G187" s="113" t="inlineStr">
        <is>
          <t>n</t>
        </is>
      </c>
      <c r="H187" s="113" t="inlineStr">
        <is>
          <t>Renewable energy</t>
        </is>
      </c>
      <c r="I187" s="113" t="inlineStr">
        <is>
          <t>whole economy</t>
        </is>
      </c>
      <c r="J187" s="113" t="inlineStr">
        <is>
          <t>By 2027, China’s total installed capacity of new-type energy storage will exceed 180 gigawatts</t>
        </is>
      </c>
      <c r="K187" s="113" t="inlineStr">
        <is>
          <t>AP2503.pdf</t>
        </is>
      </c>
      <c r="L187" s="113" t="inlineStr">
        <is>
          <t>Energy/Power</t>
        </is>
      </c>
      <c r="M187" s="113" t="inlineStr">
        <is>
          <t>Coal power</t>
        </is>
      </c>
    </row>
    <row r="188" ht="18" customHeight="1" s="235">
      <c r="A188" s="113" t="n">
        <v>2012</v>
      </c>
      <c r="B188" s="113" t="inlineStr">
        <is>
          <t>energy-saving capacity through new waste heat and waste pressure power generation</t>
        </is>
      </c>
      <c r="C188" s="113" t="inlineStr">
        <is>
          <t>achieve</t>
        </is>
      </c>
      <c r="D188" s="113" t="inlineStr">
        <is>
          <t>57 million tons of standard coal</t>
        </is>
      </c>
      <c r="E188" s="113" t="n"/>
      <c r="F188" s="114" t="inlineStr">
        <is>
          <t>12th FYP</t>
        </is>
      </c>
      <c r="G188" s="113" t="inlineStr">
        <is>
          <t>n</t>
        </is>
      </c>
      <c r="H188" s="113" t="inlineStr">
        <is>
          <t>Energy saving</t>
        </is>
      </c>
      <c r="I188" s="113" t="inlineStr">
        <is>
          <t>unclear</t>
        </is>
      </c>
      <c r="J188" s="113" t="inlineStr">
        <is>
          <t>During the 12th Five-Year Plan period, energy-saving capacity of 57 million tons of standard coal will be achieved through new waste heat and wast pressure power generation.</t>
        </is>
      </c>
      <c r="K188" s="113" t="inlineStr">
        <is>
          <t>FYP1201.htm</t>
        </is>
      </c>
      <c r="L188" s="113" t="inlineStr">
        <is>
          <t>Energy/Power</t>
        </is>
      </c>
      <c r="M188" s="113" t="inlineStr">
        <is>
          <t>Coal power</t>
        </is>
      </c>
    </row>
    <row r="189" ht="18" customHeight="1" s="235">
      <c r="A189" s="0" t="n">
        <v>2012</v>
      </c>
      <c r="B189" s="0" t="inlineStr">
        <is>
          <t>installed capacity of new waste heat and waste pressure power generation</t>
        </is>
      </c>
      <c r="C189" s="0" t="inlineStr">
        <is>
          <t>reach</t>
        </is>
      </c>
      <c r="D189" s="0" t="inlineStr">
        <is>
          <t>20 million kilowatts</t>
        </is>
      </c>
      <c r="F189" s="0" t="inlineStr">
        <is>
          <t>2015</t>
        </is>
      </c>
      <c r="G189" s="0" t="inlineStr">
        <is>
          <t>n</t>
        </is>
      </c>
      <c r="H189" s="0" t="inlineStr">
        <is>
          <t>Energy efficiency</t>
        </is>
      </c>
      <c r="I189" s="0" t="inlineStr">
        <is>
          <t>whole economy</t>
        </is>
      </c>
      <c r="J189" s="0" t="inlineStr">
        <is>
          <t>By 2015, the new waste heat and waste pressure power generation capacity will be 20 million kilowatts.</t>
        </is>
      </c>
      <c r="K189" s="0" t="inlineStr">
        <is>
          <t>FYP1201.htm</t>
        </is>
      </c>
      <c r="L189" s="0" t="inlineStr">
        <is>
          <t>Energy/Power</t>
        </is>
      </c>
      <c r="M189" s="0" t="inlineStr">
        <is>
          <t>Power supply</t>
        </is>
      </c>
    </row>
    <row r="190" ht="18" customHeight="1" s="235">
      <c r="A190" s="0" t="n">
        <v>2012</v>
      </c>
      <c r="B190" s="0" t="inlineStr">
        <is>
          <t xml:space="preserve">installed capacity of solar power through new photovoltaic power systems  </t>
        </is>
      </c>
      <c r="C190" s="0" t="inlineStr">
        <is>
          <t>reach</t>
        </is>
      </c>
      <c r="D190" s="0" t="inlineStr">
        <is>
          <t>2.5 gigawatts</t>
        </is>
      </c>
      <c r="F190" s="0" t="n">
        <v>2015</v>
      </c>
      <c r="G190" s="0" t="inlineStr">
        <is>
          <t>n</t>
        </is>
      </c>
      <c r="H190" s="0" t="inlineStr">
        <is>
          <t>Renewable energy</t>
        </is>
      </c>
      <c r="I190" s="0" t="inlineStr">
        <is>
          <t>whole economy</t>
        </is>
      </c>
      <c r="J190" s="0" t="inlineStr">
        <is>
          <t>By 2015, the newly installed capacity of PV power systems will be 2.5 gigawatts and the annual output value of PV power will reach RMB 20 billion Yuan in the domestic market.</t>
        </is>
      </c>
      <c r="K190" s="0" t="inlineStr">
        <is>
          <t>HL1201.pdf</t>
        </is>
      </c>
      <c r="L190" s="0" t="inlineStr">
        <is>
          <t>Energy/Power</t>
        </is>
      </c>
      <c r="M190" s="0" t="inlineStr">
        <is>
          <t>Power supply</t>
        </is>
      </c>
    </row>
    <row r="191" ht="18" customHeight="1" s="235">
      <c r="A191" s="0" t="n">
        <v>2013</v>
      </c>
      <c r="B191" s="0" t="inlineStr">
        <is>
          <t>transmission capacity of new natural gas trunk pipelines</t>
        </is>
      </c>
      <c r="C191" s="0" t="inlineStr">
        <is>
          <t>exceed</t>
        </is>
      </c>
      <c r="D191" s="0" t="inlineStr">
        <is>
          <t>150 billion cubic meters</t>
        </is>
      </c>
      <c r="F191" s="0" t="inlineStr">
        <is>
          <t>2015</t>
        </is>
      </c>
      <c r="G191" s="0" t="inlineStr">
        <is>
          <t>n</t>
        </is>
      </c>
      <c r="H191" s="0" t="inlineStr">
        <is>
          <t>Transitional energy</t>
        </is>
      </c>
      <c r="I191" s="0" t="inlineStr">
        <is>
          <t>unclear</t>
        </is>
      </c>
      <c r="J191" s="0" t="inlineStr">
        <is>
          <t>By 2015, the new natural gas trunk pipeline transmission capacity will exceed 150 billion cubic meters, covering the Beijing-Tianjin-Hebei, Yangtze River Delta, Pearl River Delta and other regions.</t>
        </is>
      </c>
      <c r="K191" s="0" t="inlineStr">
        <is>
          <t>AP1302.htm</t>
        </is>
      </c>
      <c r="L191" s="0" t="inlineStr">
        <is>
          <t>Energy/Power</t>
        </is>
      </c>
      <c r="M191" s="0" t="inlineStr">
        <is>
          <t>Power supply</t>
        </is>
      </c>
    </row>
    <row r="192" ht="18" customHeight="1" s="235">
      <c r="A192" s="0" t="n">
        <v>2022</v>
      </c>
      <c r="B192" s="0" t="inlineStr">
        <is>
          <t>installed capacity of new solar power generation</t>
        </is>
      </c>
      <c r="C192" s="0" t="inlineStr">
        <is>
          <t>install</t>
        </is>
      </c>
      <c r="D192" s="0" t="inlineStr">
        <is>
          <t>50 million kilowatts</t>
        </is>
      </c>
      <c r="F192" s="0" t="inlineStr">
        <is>
          <t>14th FYP</t>
        </is>
      </c>
      <c r="G192" s="0" t="inlineStr">
        <is>
          <t>n</t>
        </is>
      </c>
      <c r="H192" s="0" t="inlineStr">
        <is>
          <t>Renewable energy</t>
        </is>
      </c>
      <c r="I192" s="0" t="inlineStr">
        <is>
          <t>whole economy</t>
        </is>
      </c>
      <c r="J192" s="0" t="inlineStr">
        <is>
          <t>During the 14th Five-Year Plan period, the cumulative new installed capacity of building solar photovoltaic power generation will be 50 million kilowatts.</t>
        </is>
      </c>
      <c r="K192" s="0" t="inlineStr">
        <is>
          <t>FYP2206.pdf</t>
        </is>
      </c>
      <c r="L192" s="0" t="inlineStr">
        <is>
          <t>Energy/Power</t>
        </is>
      </c>
      <c r="M192" s="0" t="inlineStr">
        <is>
          <t>Power supply</t>
        </is>
      </c>
    </row>
    <row r="193" ht="18" customHeight="1" s="235">
      <c r="A193" s="113" t="n">
        <v>2012</v>
      </c>
      <c r="B193" s="113" t="inlineStr">
        <is>
          <t>installed capacity of new solar power generation</t>
        </is>
      </c>
      <c r="C193" s="113" t="inlineStr">
        <is>
          <t>reach</t>
        </is>
      </c>
      <c r="D193" s="113" t="inlineStr">
        <is>
          <t>21 million kilowatts</t>
        </is>
      </c>
      <c r="E193" s="113" t="n"/>
      <c r="F193" s="114" t="inlineStr">
        <is>
          <t>2015</t>
        </is>
      </c>
      <c r="G193" s="113" t="inlineStr">
        <is>
          <t>n</t>
        </is>
      </c>
      <c r="H193" s="113" t="inlineStr">
        <is>
          <t>Renewable energy</t>
        </is>
      </c>
      <c r="I193" s="113" t="inlineStr">
        <is>
          <t>whole economy</t>
        </is>
      </c>
      <c r="J193" s="113" t="inlineStr">
        <is>
          <t>By 2015, China will have built a solar power generation capacity of more than 21 million kilowatts and a solar thermal collection area of ​​400 million square meters.</t>
        </is>
      </c>
      <c r="K193" s="113" t="inlineStr">
        <is>
          <t>WP1201.htm</t>
        </is>
      </c>
      <c r="L193" s="113" t="inlineStr">
        <is>
          <t>Energy/Power</t>
        </is>
      </c>
      <c r="M193" s="113" t="inlineStr">
        <is>
          <t>Power supply</t>
        </is>
      </c>
    </row>
    <row r="194" ht="18" customHeight="1" s="235">
      <c r="A194" s="113" t="n">
        <v>2016</v>
      </c>
      <c r="B194" s="113" t="inlineStr">
        <is>
          <t>installed capacity of new solar power generation</t>
        </is>
      </c>
      <c r="C194" s="113" t="inlineStr">
        <is>
          <t>put into operation</t>
        </is>
      </c>
      <c r="D194" s="113" t="inlineStr">
        <is>
          <t>68 million kilowatts</t>
        </is>
      </c>
      <c r="E194" s="113" t="n"/>
      <c r="F194" s="114" t="inlineStr">
        <is>
          <t>13th FYP</t>
        </is>
      </c>
      <c r="G194" s="113" t="inlineStr">
        <is>
          <t>n</t>
        </is>
      </c>
      <c r="H194" s="113" t="inlineStr">
        <is>
          <t>Renewable energy</t>
        </is>
      </c>
      <c r="I194" s="113" t="inlineStr">
        <is>
          <t>whole economy</t>
        </is>
      </c>
      <c r="J194" s="113" t="inlineStr">
        <is>
          <t>During the 13th Five-Year Plan period, more than 68 million kilowatts of solar power will be put into operation.</t>
        </is>
      </c>
      <c r="K194" s="113" t="inlineStr">
        <is>
          <t>FYP1607.pdf</t>
        </is>
      </c>
      <c r="L194" s="113" t="inlineStr">
        <is>
          <t>Energy/Power</t>
        </is>
      </c>
      <c r="M194" s="113" t="inlineStr">
        <is>
          <t>Power supply</t>
        </is>
      </c>
    </row>
    <row r="195" ht="18" customHeight="1" s="235">
      <c r="A195" s="113" t="n">
        <v>2016</v>
      </c>
      <c r="B195" s="113" t="inlineStr">
        <is>
          <t>installed capacity of hydropower from new small hydropower stations</t>
        </is>
      </c>
      <c r="C195" s="113" t="inlineStr">
        <is>
          <t>start construction</t>
        </is>
      </c>
      <c r="D195" s="113" t="inlineStr">
        <is>
          <t>5 million kilowatts</t>
        </is>
      </c>
      <c r="E195" s="113" t="n"/>
      <c r="F195" s="114" t="inlineStr">
        <is>
          <t>13th FYP</t>
        </is>
      </c>
      <c r="G195" s="113" t="inlineStr">
        <is>
          <t>n</t>
        </is>
      </c>
      <c r="H195" s="113" t="inlineStr">
        <is>
          <t>Renewable energy</t>
        </is>
      </c>
      <c r="I195" s="113" t="inlineStr">
        <is>
          <t>whole economy</t>
        </is>
      </c>
      <c r="J195" s="113" t="inlineStr">
        <is>
          <t>During the 13th Five-Year Plan period, the country plans to start construction of about 5 million kilowatts of small hydropower.</t>
        </is>
      </c>
      <c r="K195" s="113" t="inlineStr">
        <is>
          <t>FYP1610.pdf</t>
        </is>
      </c>
      <c r="L195" s="113" t="inlineStr">
        <is>
          <t>Energy/Power</t>
        </is>
      </c>
      <c r="M195" s="113" t="inlineStr">
        <is>
          <t>Power supply</t>
        </is>
      </c>
    </row>
    <row r="196" ht="18" customHeight="1" s="235">
      <c r="A196" s="113" t="n">
        <v>2013</v>
      </c>
      <c r="B196" s="113" t="inlineStr">
        <is>
          <t xml:space="preserve">cumulative proven geological reserves of conventional natural gas  </t>
        </is>
      </c>
      <c r="C196" s="113" t="inlineStr">
        <is>
          <t>reach</t>
        </is>
      </c>
      <c r="D196" s="113" t="inlineStr">
        <is>
          <t>3.5 trillion cubic meters</t>
        </is>
      </c>
      <c r="E196" s="113" t="n"/>
      <c r="F196" s="114" t="inlineStr">
        <is>
          <t>2015</t>
        </is>
      </c>
      <c r="G196" s="113" t="inlineStr">
        <is>
          <t>n</t>
        </is>
      </c>
      <c r="H196" s="113" t="inlineStr">
        <is>
          <t>Transitional energy</t>
        </is>
      </c>
      <c r="I196" s="113" t="inlineStr">
        <is>
          <t>sectors</t>
        </is>
      </c>
      <c r="J196" s="113" t="inlineStr">
        <is>
          <t>By 2015, geological reserves of conventional natural gas will reach 3.5 trillion cubic meters.</t>
        </is>
      </c>
      <c r="K196" s="113" t="inlineStr">
        <is>
          <t>FYP1302.htm</t>
        </is>
      </c>
      <c r="L196" s="113" t="inlineStr">
        <is>
          <t>Energy/Power</t>
        </is>
      </c>
      <c r="M196" s="113" t="inlineStr">
        <is>
          <t>Power supply</t>
        </is>
      </c>
    </row>
    <row r="197" ht="18" customHeight="1" s="235">
      <c r="A197" s="113" t="n">
        <v>2016</v>
      </c>
      <c r="B197" s="113" t="inlineStr">
        <is>
          <t>newly proven geological reserves of oil and gas reserves</t>
        </is>
      </c>
      <c r="C197" s="113" t="inlineStr">
        <is>
          <t>discover</t>
        </is>
      </c>
      <c r="D197" s="113" t="inlineStr">
        <is>
          <t>1.2 billion tons</t>
        </is>
      </c>
      <c r="E197" s="113" t="n"/>
      <c r="F197" s="114" t="inlineStr">
        <is>
          <t>13th FYP</t>
        </is>
      </c>
      <c r="G197" s="113" t="inlineStr">
        <is>
          <t>n</t>
        </is>
      </c>
      <c r="H197" s="113" t="inlineStr">
        <is>
          <t>Transitional energy</t>
        </is>
      </c>
      <c r="I197" s="113" t="inlineStr">
        <is>
          <t>sectors</t>
        </is>
      </c>
      <c r="J197" s="113" t="inlineStr">
        <is>
          <t>Accelerate marine oil and gas exploration, and discover approximately 1.2 billion tons of proven geological reserves during the 13th Five-Year Plan period.</t>
        </is>
      </c>
      <c r="K197" s="113" t="inlineStr">
        <is>
          <t>FYP1624.pdf</t>
        </is>
      </c>
      <c r="L197" s="113" t="inlineStr">
        <is>
          <t>Energy/Power</t>
        </is>
      </c>
      <c r="M197" s="113" t="inlineStr">
        <is>
          <t>Power supply</t>
        </is>
      </c>
    </row>
    <row r="198" ht="18" customHeight="1" s="235">
      <c r="A198" s="113" t="n">
        <v>2016</v>
      </c>
      <c r="B198" s="113" t="inlineStr">
        <is>
          <t>newly proven geological reserves of oil</t>
        </is>
      </c>
      <c r="C198" s="113" t="inlineStr">
        <is>
          <t>achieve</t>
        </is>
      </c>
      <c r="D198" s="113" t="inlineStr">
        <is>
          <t>5 billion tons</t>
        </is>
      </c>
      <c r="E198" s="113" t="n"/>
      <c r="F198" s="114" t="inlineStr">
        <is>
          <t>13th FYP</t>
        </is>
      </c>
      <c r="G198" s="113" t="inlineStr">
        <is>
          <t>r</t>
        </is>
      </c>
      <c r="H198" s="113" t="inlineStr">
        <is>
          <t>Transitional energy</t>
        </is>
      </c>
      <c r="I198" s="113" t="inlineStr">
        <is>
          <t>whole economy</t>
        </is>
      </c>
      <c r="J198" s="113" t="inlineStr">
        <is>
          <t>During the 13th Five-Year Plan period, oil companies should achieve an increase of about 5 billion tons of proven geological reserves.</t>
        </is>
      </c>
      <c r="K198" s="113" t="inlineStr">
        <is>
          <t>FYP1624.pdf</t>
        </is>
      </c>
      <c r="L198" s="113" t="inlineStr">
        <is>
          <t>Energy/Power</t>
        </is>
      </c>
      <c r="M198" s="113" t="inlineStr">
        <is>
          <t>Power supply</t>
        </is>
      </c>
    </row>
    <row r="199" ht="18" customHeight="1" s="235">
      <c r="A199" s="113" t="n">
        <v>2016</v>
      </c>
      <c r="B199" s="113" t="inlineStr">
        <is>
          <t>installed capacity of new nuclear power stations</t>
        </is>
      </c>
      <c r="C199" s="113" t="inlineStr">
        <is>
          <t>put into operation</t>
        </is>
      </c>
      <c r="D199" s="113" t="inlineStr">
        <is>
          <t>30 million kilowatts</t>
        </is>
      </c>
      <c r="E199" s="113" t="n"/>
      <c r="F199" s="114" t="inlineStr">
        <is>
          <t>13th FYP</t>
        </is>
      </c>
      <c r="G199" s="113" t="inlineStr">
        <is>
          <t>n</t>
        </is>
      </c>
      <c r="H199" s="113" t="inlineStr">
        <is>
          <t>Transitional energy</t>
        </is>
      </c>
      <c r="I199" s="113" t="inlineStr">
        <is>
          <t>whole economy</t>
        </is>
      </c>
      <c r="J199" s="113" t="inlineStr">
        <is>
          <t>During the 13th Five-Year Plan period, about 30 million kilowatts of nuclear power will be put into operation nationwide, and more than 30 million kilowatts will be started.</t>
        </is>
      </c>
      <c r="K199" s="113" t="inlineStr">
        <is>
          <t>FYP1607.pdf</t>
        </is>
      </c>
      <c r="L199" s="113" t="inlineStr">
        <is>
          <t>Energy/Power</t>
        </is>
      </c>
      <c r="M199" s="113" t="inlineStr">
        <is>
          <t>Power supply</t>
        </is>
      </c>
    </row>
    <row r="200" ht="18" customHeight="1" s="235">
      <c r="A200" s="113" t="n">
        <v>2016</v>
      </c>
      <c r="B200" s="113" t="inlineStr">
        <is>
          <t>installed capacity of new hydropower</t>
        </is>
      </c>
      <c r="C200" s="113" t="inlineStr">
        <is>
          <t>put into operation</t>
        </is>
      </c>
      <c r="D200" s="113" t="inlineStr">
        <is>
          <t>40 million kilowatts</t>
        </is>
      </c>
      <c r="E200" s="113" t="n"/>
      <c r="F200" s="114" t="inlineStr">
        <is>
          <t>13th FYP</t>
        </is>
      </c>
      <c r="G200" s="113" t="inlineStr">
        <is>
          <t>n</t>
        </is>
      </c>
      <c r="H200" s="113" t="inlineStr">
        <is>
          <t>Renewable energy</t>
        </is>
      </c>
      <c r="I200" s="113" t="inlineStr">
        <is>
          <t>whole economy</t>
        </is>
      </c>
      <c r="J200" s="113" t="inlineStr">
        <is>
          <t>During the 13th Five-Year Plan period, about 40 million kilowatts of conventional hydropower will be put into operation nationwide.</t>
        </is>
      </c>
      <c r="K200" s="113" t="inlineStr">
        <is>
          <t>FYP1607.pdf</t>
        </is>
      </c>
      <c r="L200" s="113" t="inlineStr">
        <is>
          <t>Energy/Power</t>
        </is>
      </c>
      <c r="M200" s="113" t="inlineStr">
        <is>
          <t>Power supply</t>
        </is>
      </c>
    </row>
    <row r="201" ht="18" customHeight="1" s="235">
      <c r="A201" s="113" t="n">
        <v>2016</v>
      </c>
      <c r="B201" s="113" t="inlineStr">
        <is>
          <t>newly proven geological reserves of coalbed methane</t>
        </is>
      </c>
      <c r="C201" s="113" t="inlineStr">
        <is>
          <t>discover</t>
        </is>
      </c>
      <c r="D201" s="113" t="inlineStr">
        <is>
          <t>420 billion cubic meters</t>
        </is>
      </c>
      <c r="E201" s="113" t="n"/>
      <c r="F201" s="114" t="inlineStr">
        <is>
          <t>13th FYP</t>
        </is>
      </c>
      <c r="G201" s="113" t="inlineStr">
        <is>
          <t>r</t>
        </is>
      </c>
      <c r="H201" s="113" t="inlineStr">
        <is>
          <t>Transitional energy</t>
        </is>
      </c>
      <c r="I201" s="113" t="inlineStr">
        <is>
          <t>sectors</t>
        </is>
      </c>
      <c r="J201" s="113" t="inlineStr">
        <is>
          <t>During the 13th Five-Year Plan period, 420 billion cubic meters of new proven coalbed methane geological reserves will be discovered, and 2-3 coalbed methane industrialization bases will be built.</t>
        </is>
      </c>
      <c r="K201" s="113" t="inlineStr">
        <is>
          <t>FYP1605.pdf</t>
        </is>
      </c>
      <c r="L201" s="113" t="inlineStr">
        <is>
          <t>Energy/Power</t>
        </is>
      </c>
      <c r="M201" s="113" t="inlineStr">
        <is>
          <t>Power supply</t>
        </is>
      </c>
    </row>
    <row r="202" ht="18" customHeight="1" s="235">
      <c r="A202" s="113" t="n">
        <v>2011</v>
      </c>
      <c r="B202" s="113" t="inlineStr">
        <is>
          <t>newly proven geological reserves of coalbed methane</t>
        </is>
      </c>
      <c r="C202" s="113" t="inlineStr">
        <is>
          <t>increase by</t>
        </is>
      </c>
      <c r="D202" s="113" t="inlineStr">
        <is>
          <t>1 trillion cubic meters</t>
        </is>
      </c>
      <c r="E202" s="113" t="n">
        <v>2010</v>
      </c>
      <c r="F202" s="114" t="inlineStr">
        <is>
          <t>2015</t>
        </is>
      </c>
      <c r="G202" s="113" t="inlineStr">
        <is>
          <t>n</t>
        </is>
      </c>
      <c r="H202" s="113" t="inlineStr">
        <is>
          <t>Transitional energy</t>
        </is>
      </c>
      <c r="I202" s="113" t="inlineStr">
        <is>
          <t>sectors</t>
        </is>
      </c>
      <c r="J202" s="113" t="inlineStr">
        <is>
          <t>By 2015, the newly proven geological reserves of coalbed methane will reach 1 trillion cubic meters.</t>
        </is>
      </c>
      <c r="K202" s="113" t="inlineStr">
        <is>
          <t>FYP1103.htm</t>
        </is>
      </c>
      <c r="L202" s="113" t="inlineStr">
        <is>
          <t>Energy/Power</t>
        </is>
      </c>
      <c r="M202" s="113" t="inlineStr">
        <is>
          <t>Power supply</t>
        </is>
      </c>
    </row>
    <row r="203" ht="18" customHeight="1" s="235">
      <c r="A203" s="113" t="n">
        <v>2008</v>
      </c>
      <c r="B203" s="113" t="inlineStr">
        <is>
          <t>new coal mining production capacity</t>
        </is>
      </c>
      <c r="C203" s="113" t="inlineStr">
        <is>
          <t>build</t>
        </is>
      </c>
      <c r="D203" s="113" t="inlineStr">
        <is>
          <t>1.6 billion cubic meters</t>
        </is>
      </c>
      <c r="E203" s="113" t="n"/>
      <c r="F203" s="114" t="inlineStr">
        <is>
          <t>11th FYP</t>
        </is>
      </c>
      <c r="G203" s="113" t="inlineStr">
        <is>
          <t>n</t>
        </is>
      </c>
      <c r="H203" s="113" t="inlineStr">
        <is>
          <t>Coal-related</t>
        </is>
      </c>
      <c r="I203" s="113" t="inlineStr">
        <is>
          <t>sectors</t>
        </is>
      </c>
      <c r="J203" s="113" t="inlineStr">
        <is>
          <t>During the 11th Five-Year Plan period, a coal mining production capacity of 1.6 billion cubic meters will be built.</t>
        </is>
      </c>
      <c r="K203" s="113" t="inlineStr">
        <is>
          <t>FYP0801.htm</t>
        </is>
      </c>
      <c r="L203" s="113" t="inlineStr">
        <is>
          <t>Energy/Power</t>
        </is>
      </c>
      <c r="M203" s="113" t="inlineStr">
        <is>
          <t>Power supply</t>
        </is>
      </c>
    </row>
    <row r="204" ht="18" customHeight="1" s="235">
      <c r="A204" s="113" t="n">
        <v>2004</v>
      </c>
      <c r="B204" s="113" t="inlineStr">
        <is>
          <t>new coal-fired combined heat and power (CHP) units</t>
        </is>
      </c>
      <c r="C204" s="113" t="inlineStr">
        <is>
          <t>install</t>
        </is>
      </c>
      <c r="D204" s="113" t="inlineStr">
        <is>
          <t>40 million kilowatts</t>
        </is>
      </c>
      <c r="E204" s="113" t="n"/>
      <c r="F204" s="114" t="inlineStr">
        <is>
          <t>2004-2010</t>
        </is>
      </c>
      <c r="G204" s="113" t="inlineStr">
        <is>
          <t>n</t>
        </is>
      </c>
      <c r="H204" s="113" t="inlineStr">
        <is>
          <t>Coal-related</t>
        </is>
      </c>
      <c r="I204" s="113" t="inlineStr">
        <is>
          <t>unclear</t>
        </is>
      </c>
      <c r="J204" s="113" t="inlineStr">
        <is>
          <t>By 2010, 40 million kilowatts of new cogeneration units for heating will be installed, saving 35 million tons of standard coal annually.</t>
        </is>
      </c>
      <c r="K204" s="113" t="inlineStr">
        <is>
          <t>MLT0401.htm</t>
        </is>
      </c>
      <c r="L204" s="113" t="inlineStr">
        <is>
          <t>Energy/Power</t>
        </is>
      </c>
      <c r="M204" s="113" t="inlineStr">
        <is>
          <t>Power supply</t>
        </is>
      </c>
    </row>
    <row r="205" ht="18" customHeight="1" s="235">
      <c r="A205" s="113" t="n">
        <v>2013</v>
      </c>
      <c r="B205" s="113" t="inlineStr">
        <is>
          <t>newly proven geological reserves of oil</t>
        </is>
      </c>
      <c r="C205" s="113" t="inlineStr">
        <is>
          <t>exceed</t>
        </is>
      </c>
      <c r="D205" s="113" t="inlineStr">
        <is>
          <t>6.5 billion tons</t>
        </is>
      </c>
      <c r="E205" s="113" t="n"/>
      <c r="F205" s="114" t="inlineStr">
        <is>
          <t>2015</t>
        </is>
      </c>
      <c r="G205" s="113" t="inlineStr">
        <is>
          <t>n</t>
        </is>
      </c>
      <c r="H205" s="113" t="inlineStr">
        <is>
          <t>Transitional energy</t>
        </is>
      </c>
      <c r="I205" s="113" t="inlineStr">
        <is>
          <t>sectors</t>
        </is>
      </c>
      <c r="J205" s="113" t="inlineStr">
        <is>
          <t>By 2015, newly discovered geological reserves of oil will exceed 6.5 billion tons.</t>
        </is>
      </c>
      <c r="K205" s="113" t="inlineStr">
        <is>
          <t>FYP1302.htm</t>
        </is>
      </c>
      <c r="L205" s="113" t="inlineStr">
        <is>
          <t>Energy/Power</t>
        </is>
      </c>
      <c r="M205" s="113" t="inlineStr">
        <is>
          <t>Power supply</t>
        </is>
      </c>
    </row>
    <row r="206" ht="18" customHeight="1" s="235">
      <c r="A206" s="113" t="n">
        <v>2018</v>
      </c>
      <c r="B206" s="113" t="inlineStr">
        <is>
          <t>installed capacity of new peak-shaving gas-fired power</t>
        </is>
      </c>
      <c r="C206" s="113" t="inlineStr">
        <is>
          <t>add</t>
        </is>
      </c>
      <c r="D206" s="113" t="inlineStr">
        <is>
          <t>5 million kilowatts</t>
        </is>
      </c>
      <c r="E206" s="113" t="n"/>
      <c r="F206" s="114" t="inlineStr">
        <is>
          <t>13th FYP</t>
        </is>
      </c>
      <c r="G206" s="113" t="inlineStr">
        <is>
          <t>n</t>
        </is>
      </c>
      <c r="H206" s="113" t="inlineStr">
        <is>
          <t>Transitional energy</t>
        </is>
      </c>
      <c r="I206" s="113" t="inlineStr">
        <is>
          <t>whole economy</t>
        </is>
      </c>
      <c r="J206" s="113" t="inlineStr">
        <is>
          <t>During the 13th Five-Year Plan period, 5 million kilowatts of new peak-shaving gas-fired power will be added.</t>
        </is>
      </c>
      <c r="K206" s="113" t="inlineStr">
        <is>
          <t>GO1801.htm</t>
        </is>
      </c>
      <c r="L206" s="113" t="inlineStr">
        <is>
          <t>Energy/Power</t>
        </is>
      </c>
      <c r="M206" s="113" t="inlineStr">
        <is>
          <t>Power supply</t>
        </is>
      </c>
    </row>
    <row r="207" ht="18" customHeight="1" s="235">
      <c r="A207" s="113" t="n">
        <v>2012</v>
      </c>
      <c r="B207" s="113" t="inlineStr">
        <is>
          <t>new onshore wind power bases</t>
        </is>
      </c>
      <c r="C207" s="113" t="inlineStr">
        <is>
          <t>build</t>
        </is>
      </c>
      <c r="D207" s="113" t="inlineStr">
        <is>
          <t>6 bases</t>
        </is>
      </c>
      <c r="E207" s="113" t="n"/>
      <c r="F207" s="114" t="inlineStr">
        <is>
          <t>12th FYP</t>
        </is>
      </c>
      <c r="G207" s="113" t="inlineStr">
        <is>
          <t>n</t>
        </is>
      </c>
      <c r="H207" s="113" t="inlineStr">
        <is>
          <t>Renewable energy</t>
        </is>
      </c>
      <c r="I207" s="113" t="inlineStr">
        <is>
          <t>unclear</t>
        </is>
      </c>
      <c r="J207" s="113" t="inlineStr">
        <is>
          <t xml:space="preserve">During the 12th Five-Year Plan period, China plans to build 6 onshore and 2 offshore and coastal wind power bases. </t>
        </is>
      </c>
      <c r="K207" s="113" t="inlineStr">
        <is>
          <t>FYP1206.pdf</t>
        </is>
      </c>
      <c r="L207" s="113" t="inlineStr">
        <is>
          <t>Energy/Power</t>
        </is>
      </c>
      <c r="M207" s="113" t="inlineStr">
        <is>
          <t>Power supply</t>
        </is>
      </c>
    </row>
    <row r="208" ht="18" customHeight="1" s="235">
      <c r="A208" s="113" t="n">
        <v>2016</v>
      </c>
      <c r="B208" s="113" t="inlineStr">
        <is>
          <t xml:space="preserve">newly proven geological reserves of shale gas    </t>
        </is>
      </c>
      <c r="C208" s="113" t="inlineStr">
        <is>
          <t>add</t>
        </is>
      </c>
      <c r="D208" s="113" t="inlineStr">
        <is>
          <t>1 trillion cubic meters</t>
        </is>
      </c>
      <c r="E208" s="113" t="n"/>
      <c r="F208" s="114" t="inlineStr">
        <is>
          <t>13th FYP</t>
        </is>
      </c>
      <c r="G208" s="113" t="inlineStr">
        <is>
          <t>r</t>
        </is>
      </c>
      <c r="H208" s="113" t="inlineStr">
        <is>
          <t>Transitional energy</t>
        </is>
      </c>
      <c r="I208" s="113" t="inlineStr">
        <is>
          <t>sectors</t>
        </is>
      </c>
      <c r="J208" s="113" t="inlineStr">
        <is>
          <t>During the 13th Five-Year Plan period, 1 trillion cubic meters of newly discovered geological reserves of shale gas will be added</t>
        </is>
      </c>
      <c r="K208" s="113" t="inlineStr">
        <is>
          <t>FYP1625.pdf</t>
        </is>
      </c>
      <c r="L208" s="113" t="inlineStr">
        <is>
          <t>Energy/Power</t>
        </is>
      </c>
      <c r="M208" s="113" t="inlineStr">
        <is>
          <t>Power supply</t>
        </is>
      </c>
    </row>
    <row r="209" ht="18" customHeight="1" s="235">
      <c r="A209" s="113" t="n">
        <v>2007</v>
      </c>
      <c r="B209" s="113" t="inlineStr">
        <is>
          <t>new coal mines (new construction and expansion)</t>
        </is>
      </c>
      <c r="C209" s="113" t="inlineStr">
        <is>
          <t>start construction</t>
        </is>
      </c>
      <c r="D209" s="113" t="inlineStr">
        <is>
          <t>450 million tons</t>
        </is>
      </c>
      <c r="E209" s="113" t="n"/>
      <c r="F209" s="114" t="inlineStr">
        <is>
          <t>11th FYP</t>
        </is>
      </c>
      <c r="G209" s="113" t="inlineStr">
        <is>
          <t>n</t>
        </is>
      </c>
      <c r="H209" s="113" t="inlineStr">
        <is>
          <t>Coal-related</t>
        </is>
      </c>
      <c r="I209" s="113" t="inlineStr">
        <is>
          <t>sectors</t>
        </is>
      </c>
      <c r="J209" s="113" t="inlineStr">
        <is>
          <t>During the 11th Five-Year Plan period, new coal mines (new construction and expansion) with a scale of 450 million tons will be started.</t>
        </is>
      </c>
      <c r="K209" s="113" t="inlineStr">
        <is>
          <t>FYP0701.htm</t>
        </is>
      </c>
      <c r="L209" s="113" t="inlineStr">
        <is>
          <t>Energy/Power</t>
        </is>
      </c>
      <c r="M209" s="113" t="inlineStr">
        <is>
          <t>Power supply</t>
        </is>
      </c>
    </row>
    <row r="210" ht="18" customHeight="1" s="235">
      <c r="A210" s="113" t="n">
        <v>2024</v>
      </c>
      <c r="B210" s="113" t="inlineStr">
        <is>
          <t>rate of crude oil being processed into fuel in new big oil refining and chemical plants</t>
        </is>
      </c>
      <c r="C210" s="113" t="inlineStr">
        <is>
          <t>reduce below</t>
        </is>
      </c>
      <c r="D210" s="113" t="inlineStr">
        <is>
          <t>40%</t>
        </is>
      </c>
      <c r="E210" s="113" t="n"/>
      <c r="F210" s="114" t="inlineStr">
        <is>
          <t>2025</t>
        </is>
      </c>
      <c r="G210" s="113" t="inlineStr">
        <is>
          <t>n</t>
        </is>
      </c>
      <c r="H210" s="113" t="inlineStr">
        <is>
          <t>Transitional energy</t>
        </is>
      </c>
      <c r="I210" s="113" t="inlineStr">
        <is>
          <t>unclear</t>
        </is>
      </c>
      <c r="J210" s="113" t="inlineStr">
        <is>
          <t>By 2025, for new big oil refining and chemical plants, less than 40% of the crude oil processed will become fuel</t>
        </is>
      </c>
      <c r="K210" s="113" t="inlineStr">
        <is>
          <t>HL2401.pdf</t>
        </is>
      </c>
      <c r="L210" s="113" t="inlineStr">
        <is>
          <t>Energy/Power</t>
        </is>
      </c>
      <c r="M210" s="113" t="inlineStr">
        <is>
          <t>Power supply</t>
        </is>
      </c>
    </row>
    <row r="211" ht="18" customHeight="1" s="235">
      <c r="A211" s="113" t="n">
        <v>2016</v>
      </c>
      <c r="B211" s="113" t="inlineStr">
        <is>
          <t>new natural gas trunk and supporting pipelines</t>
        </is>
      </c>
      <c r="C211" s="113" t="inlineStr">
        <is>
          <t>build</t>
        </is>
      </c>
      <c r="D211" s="113" t="inlineStr">
        <is>
          <t>40000  kilometers</t>
        </is>
      </c>
      <c r="E211" s="113" t="n"/>
      <c r="F211" s="114" t="inlineStr">
        <is>
          <t>13th FYP</t>
        </is>
      </c>
      <c r="G211" s="113" t="inlineStr">
        <is>
          <t>n</t>
        </is>
      </c>
      <c r="H211" s="113" t="inlineStr">
        <is>
          <t>Transitional energy</t>
        </is>
      </c>
      <c r="I211" s="113" t="inlineStr">
        <is>
          <t>unclear</t>
        </is>
      </c>
      <c r="J211" s="113" t="inlineStr">
        <is>
          <t>During the 13th Five-Year Plan period, 40,000 kilometers of new natural gas trunk and supporting pipelines will be built.</t>
        </is>
      </c>
      <c r="K211" s="113" t="inlineStr">
        <is>
          <t>FYP1625.pdf</t>
        </is>
      </c>
      <c r="L211" s="113" t="inlineStr">
        <is>
          <t>Energy/Power</t>
        </is>
      </c>
      <c r="M211" s="113" t="inlineStr">
        <is>
          <t>Power supply</t>
        </is>
      </c>
    </row>
    <row r="212" ht="18" customHeight="1" s="235">
      <c r="A212" s="113" t="n">
        <v>2016</v>
      </c>
      <c r="B212" s="113" t="inlineStr">
        <is>
          <t>installed capacity of new nuclear power stations</t>
        </is>
      </c>
      <c r="C212" s="113" t="inlineStr">
        <is>
          <t>reach</t>
        </is>
      </c>
      <c r="D212" s="113" t="inlineStr">
        <is>
          <t>30 million kilowatts</t>
        </is>
      </c>
      <c r="E212" s="113" t="n"/>
      <c r="F212" s="114" t="inlineStr">
        <is>
          <t>2020</t>
        </is>
      </c>
      <c r="G212" s="113" t="inlineStr">
        <is>
          <t>r</t>
        </is>
      </c>
      <c r="H212" s="113" t="inlineStr">
        <is>
          <t>Transitional energy</t>
        </is>
      </c>
      <c r="I212" s="113" t="inlineStr">
        <is>
          <t>whole economy</t>
        </is>
      </c>
      <c r="J212" s="113" t="inlineStr">
        <is>
          <t>By 2020, the capacity of nuclear power under construction will reach 30 million kilowatts, forming an internationally advanced nuclear power full industry chain development capability integrating technology development, design, equipment manufacturing, and operation services.</t>
        </is>
      </c>
      <c r="K212" s="113" t="inlineStr">
        <is>
          <t>FYP1613.htm</t>
        </is>
      </c>
      <c r="L212" s="113" t="inlineStr">
        <is>
          <t>Energy/Power</t>
        </is>
      </c>
      <c r="M212" s="113" t="inlineStr">
        <is>
          <t>Power supply</t>
        </is>
      </c>
    </row>
    <row r="213" ht="18" customHeight="1" s="235">
      <c r="A213" s="113" t="n">
        <v>2012</v>
      </c>
      <c r="B213" s="113" t="inlineStr">
        <is>
          <t>new offshore and coastal wind power bases</t>
        </is>
      </c>
      <c r="C213" s="113" t="inlineStr">
        <is>
          <t>build</t>
        </is>
      </c>
      <c r="D213" s="113" t="inlineStr">
        <is>
          <t>2 bases</t>
        </is>
      </c>
      <c r="E213" s="113" t="n"/>
      <c r="F213" s="114" t="inlineStr">
        <is>
          <t>12th FYP</t>
        </is>
      </c>
      <c r="G213" s="113" t="inlineStr">
        <is>
          <t>n</t>
        </is>
      </c>
      <c r="H213" s="113" t="inlineStr">
        <is>
          <t>Renewable energy</t>
        </is>
      </c>
      <c r="I213" s="113" t="inlineStr">
        <is>
          <t>unclear</t>
        </is>
      </c>
      <c r="J213" s="113" t="inlineStr">
        <is>
          <t xml:space="preserve">During the 12th Five-Year Plan period, China plans to build 6 onshore and 2 offshore and coastal wind power bases. </t>
        </is>
      </c>
      <c r="K213" s="113" t="inlineStr">
        <is>
          <t>FYP1206.pdf</t>
        </is>
      </c>
      <c r="L213" s="113" t="inlineStr">
        <is>
          <t>Energy/Power</t>
        </is>
      </c>
      <c r="M213" s="113" t="inlineStr">
        <is>
          <t>Power supply</t>
        </is>
      </c>
    </row>
    <row r="214" ht="18" customHeight="1" s="235">
      <c r="A214" s="113" t="n">
        <v>2007</v>
      </c>
      <c r="B214" s="113" t="inlineStr">
        <is>
          <t>total gas transmission capacity of newly built coalbed methane pipelines</t>
        </is>
      </c>
      <c r="C214" s="113" t="inlineStr">
        <is>
          <t>reach</t>
        </is>
      </c>
      <c r="D214" s="113" t="inlineStr">
        <is>
          <t>6.5 billion cubic meters</t>
        </is>
      </c>
      <c r="E214" s="113" t="n"/>
      <c r="F214" s="114" t="inlineStr">
        <is>
          <t>11th FYP</t>
        </is>
      </c>
      <c r="G214" s="113" t="inlineStr">
        <is>
          <t>n</t>
        </is>
      </c>
      <c r="H214" s="113" t="inlineStr">
        <is>
          <t>Transitional energy</t>
        </is>
      </c>
      <c r="I214" s="113" t="inlineStr">
        <is>
          <t>unclear</t>
        </is>
      </c>
      <c r="J214" s="113" t="inlineStr">
        <is>
          <t>During the 11th Five-Year Plan period, it is planned to build 10 major coalbed methane pipelines with a total length of 1,441 kilometers and a designed total gas transmission capacity of 6.5 billion cubic meters.</t>
        </is>
      </c>
      <c r="K214" s="113" t="inlineStr">
        <is>
          <t>FYP0701.htm</t>
        </is>
      </c>
      <c r="L214" s="113" t="inlineStr">
        <is>
          <t>Energy/Power</t>
        </is>
      </c>
      <c r="M214" s="113" t="inlineStr">
        <is>
          <t>Power supply</t>
        </is>
      </c>
    </row>
    <row r="215" ht="18" customHeight="1" s="235">
      <c r="A215" s="113" t="n">
        <v>2007</v>
      </c>
      <c r="B215" s="113" t="inlineStr">
        <is>
          <t>installed capacity of newly built gangue power plants</t>
        </is>
      </c>
      <c r="C215" s="113" t="inlineStr">
        <is>
          <t>start construction</t>
        </is>
      </c>
      <c r="D215" s="113" t="inlineStr">
        <is>
          <t>5 million kilowatts</t>
        </is>
      </c>
      <c r="E215" s="113" t="n"/>
      <c r="F215" s="114" t="inlineStr">
        <is>
          <t>2010</t>
        </is>
      </c>
      <c r="G215" s="113" t="inlineStr">
        <is>
          <t>n</t>
        </is>
      </c>
      <c r="H215" s="113" t="inlineStr">
        <is>
          <t>Coal-related</t>
        </is>
      </c>
      <c r="I215" s="113" t="inlineStr">
        <is>
          <t>whole economy</t>
        </is>
      </c>
      <c r="J215" s="113" t="inlineStr">
        <is>
          <t>In 2010, construction of 5 million kilowatts of coal gangue comprehensive utilization power plants will be started.</t>
        </is>
      </c>
      <c r="K215" s="113" t="inlineStr">
        <is>
          <t>WOP0701.htm</t>
        </is>
      </c>
      <c r="L215" s="113" t="inlineStr">
        <is>
          <t>Energy/Power</t>
        </is>
      </c>
      <c r="M215" s="113" t="inlineStr">
        <is>
          <t>Power supply</t>
        </is>
      </c>
    </row>
    <row r="216" ht="18" customHeight="1" s="235">
      <c r="A216" s="0" t="n">
        <v>2007</v>
      </c>
      <c r="B216" s="0" t="inlineStr">
        <is>
          <t>installed capacity of newly built gangue power plants</t>
        </is>
      </c>
      <c r="C216" s="0" t="inlineStr">
        <is>
          <t>build</t>
        </is>
      </c>
      <c r="D216" s="0" t="inlineStr">
        <is>
          <t>20 million kilowatts</t>
        </is>
      </c>
      <c r="F216" s="0" t="inlineStr">
        <is>
          <t>11th FYP</t>
        </is>
      </c>
      <c r="G216" s="0" t="inlineStr">
        <is>
          <t>n</t>
        </is>
      </c>
      <c r="H216" s="0" t="inlineStr">
        <is>
          <t>Coal-related</t>
        </is>
      </c>
      <c r="I216" s="0" t="inlineStr">
        <is>
          <t>whole economy</t>
        </is>
      </c>
      <c r="J216" s="0" t="inlineStr">
        <is>
          <t>20 million kilowatts of coal gangue comprehensive utilization power plants will be built during the 11th Five-Year Plan period.</t>
        </is>
      </c>
      <c r="K216" s="0" t="inlineStr">
        <is>
          <t>WOP0701.htm</t>
        </is>
      </c>
      <c r="L216" s="0" t="inlineStr">
        <is>
          <t>Energy/Power</t>
        </is>
      </c>
      <c r="M216" s="0" t="inlineStr">
        <is>
          <t>Power supply</t>
        </is>
      </c>
    </row>
    <row r="217" ht="18" customHeight="1" s="235">
      <c r="A217" s="0" t="n">
        <v>2021</v>
      </c>
      <c r="B217" s="0" t="inlineStr">
        <is>
          <t>suspension or deceleration of construction of coal-fired power capacity</t>
        </is>
      </c>
      <c r="C217" s="0" t="inlineStr">
        <is>
          <t>reach</t>
        </is>
      </c>
      <c r="D217" s="0" t="inlineStr">
        <is>
          <t>150 million kilowatts</t>
        </is>
      </c>
      <c r="F217" s="0" t="inlineStr">
        <is>
          <t>14th FYP</t>
        </is>
      </c>
      <c r="G217" s="0" t="inlineStr">
        <is>
          <t>r</t>
        </is>
      </c>
      <c r="H217" s="0" t="inlineStr">
        <is>
          <t>Coal-related</t>
        </is>
      </c>
      <c r="I217" s="0" t="inlineStr">
        <is>
          <t>unclear</t>
        </is>
      </c>
      <c r="J217" s="0" t="inlineStr">
        <is>
          <t>During the 14th Five-Year Plan period, the flexible manufacturing scale of coal-fired power units will reach 150 million kilowatts.</t>
        </is>
      </c>
      <c r="K217" s="0" t="inlineStr">
        <is>
          <t>IP2107.pdf</t>
        </is>
      </c>
      <c r="L217" s="0" t="inlineStr">
        <is>
          <t>Energy/Power</t>
        </is>
      </c>
      <c r="M217" s="0" t="inlineStr">
        <is>
          <t>Power supply</t>
        </is>
      </c>
    </row>
    <row r="218" ht="18" customHeight="1" s="235">
      <c r="A218" s="0" t="n">
        <v>2016</v>
      </c>
      <c r="B218" s="0" t="inlineStr">
        <is>
          <t>industrial output value of nuclear power, wind power, solar energy, biomass energy, etc.</t>
        </is>
      </c>
      <c r="C218" s="0" t="inlineStr">
        <is>
          <t>exceed</t>
        </is>
      </c>
      <c r="D218" s="0" t="inlineStr">
        <is>
          <t>1.5 trillion yuan</t>
        </is>
      </c>
      <c r="F218" s="0" t="inlineStr">
        <is>
          <t>2020</t>
        </is>
      </c>
      <c r="G218" s="0" t="inlineStr">
        <is>
          <t>n</t>
        </is>
      </c>
      <c r="H218" s="0" t="inlineStr">
        <is>
          <t>Renewable energy</t>
        </is>
      </c>
      <c r="I218" s="0" t="inlineStr">
        <is>
          <t>sectors</t>
        </is>
      </c>
      <c r="J218" s="0" t="inlineStr">
        <is>
          <t>By 2020, the industrial output value of nuclear power, wind power, solar energy, biomass energy, etc. will exceed 1.5 trillion yuan, creating a world-leading new energy industry.</t>
        </is>
      </c>
      <c r="K218" s="0" t="inlineStr">
        <is>
          <t>FYP1613.htm</t>
        </is>
      </c>
      <c r="L218" s="0" t="inlineStr">
        <is>
          <t>Energy/Power</t>
        </is>
      </c>
      <c r="M218" s="0" t="inlineStr">
        <is>
          <t>Power supply</t>
        </is>
      </c>
    </row>
    <row r="219" ht="18" customHeight="1" s="235">
      <c r="A219" s="113" t="n">
        <v>2016</v>
      </c>
      <c r="B219" s="113" t="inlineStr">
        <is>
          <t>proportion of nuclear power, wind power, solar energy, biomass energy, etc. in total energy consumption (excluding hydro)</t>
        </is>
      </c>
      <c r="C219" s="113" t="inlineStr">
        <is>
          <t>account for</t>
        </is>
      </c>
      <c r="D219" s="113" t="inlineStr">
        <is>
          <t>8%</t>
        </is>
      </c>
      <c r="E219" s="113" t="n"/>
      <c r="F219" s="114" t="inlineStr">
        <is>
          <t>2020</t>
        </is>
      </c>
      <c r="G219" s="113" t="inlineStr">
        <is>
          <t>n</t>
        </is>
      </c>
      <c r="H219" s="113" t="inlineStr">
        <is>
          <t>Renewable energy</t>
        </is>
      </c>
      <c r="I219" s="113" t="inlineStr">
        <is>
          <t>whole economy</t>
        </is>
      </c>
      <c r="J219" s="113" t="inlineStr">
        <is>
          <t>By 2020, nuclear power, wind power, solar energy, biomass energy, etc. will account for more than 8% of total energy consumption.</t>
        </is>
      </c>
      <c r="K219" s="113" t="inlineStr">
        <is>
          <t>FYP1613.htm</t>
        </is>
      </c>
      <c r="L219" s="113" t="inlineStr">
        <is>
          <t>Energy/Power</t>
        </is>
      </c>
      <c r="M219" s="113" t="inlineStr">
        <is>
          <t>Power supply</t>
        </is>
      </c>
    </row>
    <row r="220" ht="18" customHeight="1" s="235">
      <c r="A220" s="113" t="n">
        <v>2012</v>
      </c>
      <c r="B220" s="113" t="inlineStr">
        <is>
          <t>installed capacity of nuclear power generation</t>
        </is>
      </c>
      <c r="C220" s="113" t="inlineStr">
        <is>
          <t>reach</t>
        </is>
      </c>
      <c r="D220" s="113" t="inlineStr">
        <is>
          <t>40 million kilowatts</t>
        </is>
      </c>
      <c r="E220" s="113" t="n"/>
      <c r="F220" s="114" t="inlineStr">
        <is>
          <t>2015</t>
        </is>
      </c>
      <c r="G220" s="113" t="inlineStr">
        <is>
          <t>n</t>
        </is>
      </c>
      <c r="H220" s="113" t="inlineStr">
        <is>
          <t>Transitional energy</t>
        </is>
      </c>
      <c r="I220" s="113" t="inlineStr">
        <is>
          <t>whole economy</t>
        </is>
      </c>
      <c r="J220" s="113" t="inlineStr">
        <is>
          <t>By 2015, China's operating nuclear power installed capacity will reach 40 million kilowatts.</t>
        </is>
      </c>
      <c r="K220" s="113" t="inlineStr">
        <is>
          <t>WP1201.htm</t>
        </is>
      </c>
      <c r="L220" s="113" t="inlineStr">
        <is>
          <t>Energy/Power</t>
        </is>
      </c>
      <c r="M220" s="113" t="inlineStr">
        <is>
          <t>Power supply</t>
        </is>
      </c>
    </row>
    <row r="221" ht="18" customHeight="1" s="235">
      <c r="A221" s="113" t="n">
        <v>2012</v>
      </c>
      <c r="B221" s="113" t="inlineStr">
        <is>
          <t>installed capacity of nuclear power generation</t>
        </is>
      </c>
      <c r="C221" s="113" t="inlineStr">
        <is>
          <t>reach</t>
        </is>
      </c>
      <c r="D221" s="113" t="inlineStr">
        <is>
          <t>40 million kilowatts</t>
        </is>
      </c>
      <c r="E221" s="113" t="n"/>
      <c r="F221" s="114" t="inlineStr">
        <is>
          <t>2015</t>
        </is>
      </c>
      <c r="G221" s="113" t="inlineStr">
        <is>
          <t>r</t>
        </is>
      </c>
      <c r="H221" s="113" t="inlineStr">
        <is>
          <t>Transitional energy</t>
        </is>
      </c>
      <c r="I221" s="113" t="inlineStr">
        <is>
          <t>whole economy</t>
        </is>
      </c>
      <c r="J221" s="113" t="inlineStr">
        <is>
          <t>By 2015, the operating installed capacity of nuclear power will reach 40 million kilowatts.</t>
        </is>
      </c>
      <c r="K221" s="113" t="inlineStr">
        <is>
          <t>FYP1203.htm</t>
        </is>
      </c>
      <c r="L221" s="113" t="inlineStr">
        <is>
          <t>Energy/Power</t>
        </is>
      </c>
      <c r="M221" s="113" t="inlineStr">
        <is>
          <t>Power supply</t>
        </is>
      </c>
    </row>
    <row r="222" ht="18" customHeight="1" s="235">
      <c r="A222" s="113" t="n">
        <v>2013</v>
      </c>
      <c r="B222" s="113" t="inlineStr">
        <is>
          <t>installed capacity of nuclear power generation</t>
        </is>
      </c>
      <c r="C222" s="113" t="inlineStr">
        <is>
          <t>reach</t>
        </is>
      </c>
      <c r="D222" s="113" t="inlineStr">
        <is>
          <t>50 million kilowatts</t>
        </is>
      </c>
      <c r="E222" s="113" t="n"/>
      <c r="F222" s="114" t="inlineStr">
        <is>
          <t>2017</t>
        </is>
      </c>
      <c r="G222" s="113" t="inlineStr">
        <is>
          <t>n</t>
        </is>
      </c>
      <c r="H222" s="113" t="inlineStr">
        <is>
          <t>Transitional energy</t>
        </is>
      </c>
      <c r="I222" s="113" t="inlineStr">
        <is>
          <t>whole economy</t>
        </is>
      </c>
      <c r="J222" s="113" t="inlineStr">
        <is>
          <t>By 2017, the installed capacity of nuclear power plants in operation will reach 50 million kilowatts.</t>
        </is>
      </c>
      <c r="K222" s="113" t="inlineStr">
        <is>
          <t>AP1302.htm</t>
        </is>
      </c>
      <c r="L222" s="113" t="inlineStr">
        <is>
          <t>Energy/Power</t>
        </is>
      </c>
      <c r="M222" s="113" t="inlineStr">
        <is>
          <t>Power supply</t>
        </is>
      </c>
    </row>
    <row r="223" ht="18" customHeight="1" s="235">
      <c r="A223" s="113" t="n">
        <v>2016</v>
      </c>
      <c r="B223" s="113" t="inlineStr">
        <is>
          <t>installed capacity of nuclear power generation</t>
        </is>
      </c>
      <c r="C223" s="113" t="inlineStr">
        <is>
          <t>reach</t>
        </is>
      </c>
      <c r="D223" s="113" t="inlineStr">
        <is>
          <t>58 million kilowatts</t>
        </is>
      </c>
      <c r="E223" s="113" t="n"/>
      <c r="F223" s="114" t="inlineStr">
        <is>
          <t>2020</t>
        </is>
      </c>
      <c r="G223" s="113" t="inlineStr">
        <is>
          <t>r</t>
        </is>
      </c>
      <c r="H223" s="113" t="inlineStr">
        <is>
          <t>Transitional energy</t>
        </is>
      </c>
      <c r="I223" s="113" t="inlineStr">
        <is>
          <t>whole economy</t>
        </is>
      </c>
      <c r="J223" s="113" t="inlineStr">
        <is>
          <t>During the 13th Five-Year Plan period, the national installed capacity of nuclear power will reach 58 million kilowatts in 2020.</t>
        </is>
      </c>
      <c r="K223" s="113" t="inlineStr">
        <is>
          <t>FYP1607.pdf</t>
        </is>
      </c>
      <c r="L223" s="113" t="inlineStr">
        <is>
          <t>Energy/Power</t>
        </is>
      </c>
      <c r="M223" s="113" t="inlineStr">
        <is>
          <t>Power supply</t>
        </is>
      </c>
    </row>
    <row r="224" ht="18" customHeight="1" s="235">
      <c r="A224" s="113" t="n">
        <v>2013</v>
      </c>
      <c r="B224" s="113" t="inlineStr">
        <is>
          <t>installed capacity of nuclear power generation</t>
        </is>
      </c>
      <c r="C224" s="113" t="inlineStr">
        <is>
          <t>increase to</t>
        </is>
      </c>
      <c r="D224" s="113" t="inlineStr">
        <is>
          <t>40 million kilowatts</t>
        </is>
      </c>
      <c r="E224" s="113" t="n"/>
      <c r="F224" s="114" t="inlineStr">
        <is>
          <t>2015</t>
        </is>
      </c>
      <c r="G224" s="113" t="inlineStr">
        <is>
          <t>r</t>
        </is>
      </c>
      <c r="H224" s="113" t="inlineStr">
        <is>
          <t>Transitional energy</t>
        </is>
      </c>
      <c r="I224" s="113" t="inlineStr">
        <is>
          <t>whole economy</t>
        </is>
      </c>
      <c r="J224" s="113" t="inlineStr">
        <is>
          <t>Installed nuclear power capacity will increase to 40 million kW by 2015.</t>
        </is>
      </c>
      <c r="K224" s="113" t="inlineStr">
        <is>
          <t>FYP1302.htm</t>
        </is>
      </c>
      <c r="L224" s="113" t="inlineStr">
        <is>
          <t>Energy/Power</t>
        </is>
      </c>
      <c r="M224" s="113" t="inlineStr">
        <is>
          <t>Power supply</t>
        </is>
      </c>
    </row>
    <row r="225" ht="18" customHeight="1" s="235">
      <c r="A225" s="113" t="n">
        <v>2016</v>
      </c>
      <c r="B225" s="113" t="inlineStr">
        <is>
          <t>installed capacity of nuclear power generation</t>
        </is>
      </c>
      <c r="C225" s="113" t="inlineStr">
        <is>
          <t>achieve</t>
        </is>
      </c>
      <c r="D225" s="113" t="inlineStr">
        <is>
          <t>58 million kilowatts</t>
        </is>
      </c>
      <c r="E225" s="113" t="n"/>
      <c r="F225" s="114" t="inlineStr">
        <is>
          <t>2020</t>
        </is>
      </c>
      <c r="G225" s="113" t="inlineStr">
        <is>
          <t>r</t>
        </is>
      </c>
      <c r="H225" s="113" t="inlineStr">
        <is>
          <t>Transitional energy</t>
        </is>
      </c>
      <c r="I225" s="113" t="inlineStr">
        <is>
          <t>whole economy</t>
        </is>
      </c>
      <c r="J225" s="113" t="inlineStr">
        <is>
          <t>By 2020, China aimed to achieve 58 million kilowatts of nuclear power installed capacity.</t>
        </is>
      </c>
      <c r="K225" s="113" t="inlineStr">
        <is>
          <t>FYP1615.htm</t>
        </is>
      </c>
      <c r="L225" s="113" t="inlineStr">
        <is>
          <t>Energy/Power</t>
        </is>
      </c>
      <c r="M225" s="113" t="inlineStr">
        <is>
          <t>Power supply</t>
        </is>
      </c>
    </row>
    <row r="226" ht="18" customHeight="1" s="235">
      <c r="A226" s="113" t="n">
        <v>2016</v>
      </c>
      <c r="B226" s="113" t="inlineStr">
        <is>
          <t>installed capacity of nuclear power generation</t>
        </is>
      </c>
      <c r="C226" s="113" t="inlineStr">
        <is>
          <t>reach</t>
        </is>
      </c>
      <c r="D226" s="113" t="inlineStr">
        <is>
          <t>58 million kilowatts</t>
        </is>
      </c>
      <c r="E226" s="113" t="n"/>
      <c r="F226" s="114" t="inlineStr">
        <is>
          <t>2020</t>
        </is>
      </c>
      <c r="G226" s="113" t="inlineStr">
        <is>
          <t>n</t>
        </is>
      </c>
      <c r="H226" s="113" t="inlineStr">
        <is>
          <t>Transitional energy</t>
        </is>
      </c>
      <c r="I226" s="113" t="inlineStr">
        <is>
          <t>whole economy</t>
        </is>
      </c>
      <c r="J226" s="113" t="inlineStr">
        <is>
          <t>By 2020, the installed capacity of nuclear power will reach 58 million kilowatts.</t>
        </is>
      </c>
      <c r="K226" s="113" t="inlineStr">
        <is>
          <t>FYP1613.htm</t>
        </is>
      </c>
      <c r="L226" s="113" t="inlineStr">
        <is>
          <t>Energy/Power</t>
        </is>
      </c>
      <c r="M226" s="113" t="inlineStr">
        <is>
          <t>Power supply</t>
        </is>
      </c>
    </row>
    <row r="227" ht="18" customHeight="1" s="235">
      <c r="A227" s="113" t="n">
        <v>2026</v>
      </c>
      <c r="B227" s="113" t="inlineStr">
        <is>
          <t>operating nuclear power capacity</t>
        </is>
      </c>
      <c r="C227" s="113" t="inlineStr">
        <is>
          <t>reach</t>
        </is>
      </c>
      <c r="D227" s="113" t="inlineStr">
        <is>
          <t>around 110 gigawatts</t>
        </is>
      </c>
      <c r="E227" s="113" t="n"/>
      <c r="F227" s="114" t="n">
        <v>2030</v>
      </c>
      <c r="G227" s="113" t="inlineStr">
        <is>
          <t>n</t>
        </is>
      </c>
      <c r="H227" s="113" t="inlineStr">
        <is>
          <t>Transitional energy</t>
        </is>
      </c>
      <c r="I227" s="113" t="inlineStr">
        <is>
          <t>whole economy</t>
        </is>
      </c>
      <c r="J227" s="113" t="inlineStr">
        <is>
          <t>Coastal nuclear power will be advanced safely and in an orderly manner, with operating nuclear power capacity reaching around 110 gigawatts.</t>
        </is>
      </c>
      <c r="K227" s="113" t="inlineStr">
        <is>
          <t>HL2601.pdf</t>
        </is>
      </c>
      <c r="L227" s="113" t="inlineStr">
        <is>
          <t>Energy/Power</t>
        </is>
      </c>
      <c r="M227" s="113" t="inlineStr">
        <is>
          <t>Power supply</t>
        </is>
      </c>
    </row>
    <row r="228" ht="18" customHeight="1" s="235">
      <c r="A228" s="113" t="n">
        <v>2018</v>
      </c>
      <c r="B228" s="113" t="inlineStr">
        <is>
          <t>coal-fired boilers with a capacity of less than 35 tons of steam per hour</t>
        </is>
      </c>
      <c r="C228" s="113" t="inlineStr">
        <is>
          <t>eliminate totally</t>
        </is>
      </c>
      <c r="D228" s="113" t="inlineStr">
        <is>
          <t>basically eliminated</t>
        </is>
      </c>
      <c r="E228" s="113" t="n"/>
      <c r="F228" s="114" t="inlineStr">
        <is>
          <t>2020</t>
        </is>
      </c>
      <c r="G228" s="113" t="inlineStr">
        <is>
          <t>n</t>
        </is>
      </c>
      <c r="H228" s="113" t="inlineStr">
        <is>
          <t>Coal-related</t>
        </is>
      </c>
      <c r="I228" s="113" t="inlineStr">
        <is>
          <t>sectors</t>
        </is>
      </c>
      <c r="J228" s="113" t="inlineStr">
        <is>
          <t>By 2020, coal-fired boilers with a capacity of less than 35 tons of steam per hour will have been basically eliminated in key areas.</t>
        </is>
      </c>
      <c r="K228" s="113" t="inlineStr">
        <is>
          <t>O1802.htm</t>
        </is>
      </c>
      <c r="L228" s="113" t="inlineStr">
        <is>
          <t>Energy/Power</t>
        </is>
      </c>
      <c r="M228" s="113" t="inlineStr">
        <is>
          <t>Power supply</t>
        </is>
      </c>
    </row>
    <row r="229" ht="18" customHeight="1" s="235">
      <c r="A229" s="113" t="n">
        <v>2017</v>
      </c>
      <c r="B229" s="113" t="inlineStr">
        <is>
          <t>energy consumption per ton-kilometer of civil aviation transport</t>
        </is>
      </c>
      <c r="C229" s="113" t="inlineStr">
        <is>
          <t>reduce by</t>
        </is>
      </c>
      <c r="D229" s="113" t="inlineStr">
        <is>
          <t>3%</t>
        </is>
      </c>
      <c r="E229" s="113" t="n"/>
      <c r="F229" s="114" t="inlineStr">
        <is>
          <t>12th FYP</t>
        </is>
      </c>
      <c r="G229" s="113" t="inlineStr">
        <is>
          <t>n</t>
        </is>
      </c>
      <c r="H229" s="113" t="inlineStr">
        <is>
          <t>Energy efficiency</t>
        </is>
      </c>
      <c r="I229" s="113" t="inlineStr">
        <is>
          <t>sectors</t>
        </is>
      </c>
      <c r="J229" s="113" t="inlineStr">
        <is>
          <t>In 2011, the Ministry of Transport issued the “12th Five-Year Development Plan for Transportation”, proposing that the energy consumption per ton-kilometer of civil aviation transport would be reduced by more than 3% during the “12th Five-Year Plan” period.</t>
        </is>
      </c>
      <c r="K229" s="113" t="inlineStr">
        <is>
          <t>HL1701.pdf</t>
        </is>
      </c>
      <c r="L229" s="113" t="inlineStr">
        <is>
          <t>Energy/Power</t>
        </is>
      </c>
      <c r="M229" s="113" t="inlineStr">
        <is>
          <t>Power supply</t>
        </is>
      </c>
    </row>
    <row r="230" ht="18" customHeight="1" s="235">
      <c r="A230" s="0" t="n">
        <v>2016</v>
      </c>
      <c r="B230" s="0" t="inlineStr">
        <is>
          <t>installed capacity of gas-fired power generation</t>
        </is>
      </c>
      <c r="C230" s="0" t="inlineStr">
        <is>
          <t>reach</t>
        </is>
      </c>
      <c r="D230" s="0" t="inlineStr">
        <is>
          <t>110 million kilowatts</t>
        </is>
      </c>
      <c r="F230" s="0" t="inlineStr">
        <is>
          <t>2020</t>
        </is>
      </c>
      <c r="G230" s="0" t="inlineStr">
        <is>
          <t>n</t>
        </is>
      </c>
      <c r="H230" s="0" t="inlineStr">
        <is>
          <t>Transitional energy</t>
        </is>
      </c>
      <c r="I230" s="0" t="inlineStr">
        <is>
          <t>whole economy</t>
        </is>
      </c>
      <c r="J230" s="0" t="inlineStr">
        <is>
          <t>The country's gas-fired power generation capacity will reach more than 110 million kilowatts in 2020, including 15 million kilowatts of combined heat, power and cooling.</t>
        </is>
      </c>
      <c r="K230" s="0" t="inlineStr">
        <is>
          <t>FYP1607.pdf</t>
        </is>
      </c>
      <c r="L230" s="0" t="inlineStr">
        <is>
          <t>Energy/Power</t>
        </is>
      </c>
      <c r="M230" s="0" t="inlineStr">
        <is>
          <t>Power supply</t>
        </is>
      </c>
    </row>
    <row r="231" ht="18" customHeight="1" s="235">
      <c r="A231" s="0" t="n">
        <v>2016</v>
      </c>
      <c r="B231" s="0" t="inlineStr">
        <is>
          <t>installed capacity of gas-fired power generation</t>
        </is>
      </c>
      <c r="C231" s="0" t="inlineStr">
        <is>
          <t>increase by</t>
        </is>
      </c>
      <c r="D231" s="0" t="inlineStr">
        <is>
          <t>50 million kilowatts</t>
        </is>
      </c>
      <c r="F231" s="0" t="inlineStr">
        <is>
          <t>13th FYP</t>
        </is>
      </c>
      <c r="G231" s="0" t="inlineStr">
        <is>
          <t>n</t>
        </is>
      </c>
      <c r="H231" s="0" t="inlineStr">
        <is>
          <t>Transitional energy</t>
        </is>
      </c>
      <c r="I231" s="0" t="inlineStr">
        <is>
          <t>whole economy</t>
        </is>
      </c>
      <c r="J231" s="0" t="inlineStr">
        <is>
          <t>During the 13th Five-Year Plan period, the country's gas-fired power generation capacity will increase by 50 million kilowatts.</t>
        </is>
      </c>
      <c r="K231" s="0" t="inlineStr">
        <is>
          <t>FYP1607.pdf</t>
        </is>
      </c>
      <c r="L231" s="0" t="inlineStr">
        <is>
          <t>Energy/Power</t>
        </is>
      </c>
      <c r="M231" s="0" t="inlineStr">
        <is>
          <t>Power supply</t>
        </is>
      </c>
    </row>
    <row r="232" ht="18" customHeight="1" s="235">
      <c r="A232" s="113" t="n">
        <v>2012</v>
      </c>
      <c r="B232" s="113" t="inlineStr">
        <is>
          <t>proportion of pure low-temperature waste heat power generation from cement</t>
        </is>
      </c>
      <c r="C232" s="113" t="inlineStr">
        <is>
          <t>increase to</t>
        </is>
      </c>
      <c r="D232" s="113" t="inlineStr">
        <is>
          <t>more than 70%</t>
        </is>
      </c>
      <c r="E232" s="113" t="n"/>
      <c r="F232" s="114" t="inlineStr">
        <is>
          <t>2015</t>
        </is>
      </c>
      <c r="G232" s="113" t="inlineStr">
        <is>
          <t>n</t>
        </is>
      </c>
      <c r="H232" s="113" t="inlineStr">
        <is>
          <t>Energy efficiency</t>
        </is>
      </c>
      <c r="I232" s="113" t="inlineStr">
        <is>
          <t>whole economy</t>
        </is>
      </c>
      <c r="J232" s="113" t="inlineStr">
        <is>
          <t>Popularize pure low-temperature waste heat power generation technology, and increase the proportion of pure low-temperature waste heat power generation from cement to more than 70% by 2015.</t>
        </is>
      </c>
      <c r="K232" s="113" t="inlineStr">
        <is>
          <t>FYP1201.htm</t>
        </is>
      </c>
      <c r="L232" s="113" t="inlineStr">
        <is>
          <t>Energy/Power</t>
        </is>
      </c>
      <c r="M232" s="113" t="inlineStr">
        <is>
          <t>Power supply</t>
        </is>
      </c>
    </row>
    <row r="233" ht="18" customHeight="1" s="235">
      <c r="A233" s="113" t="n">
        <v>2017</v>
      </c>
      <c r="B233" s="113" t="inlineStr">
        <is>
          <t>proportion of hydropower in total power generation</t>
        </is>
      </c>
      <c r="C233" s="113" t="inlineStr">
        <is>
          <t>increase by</t>
        </is>
      </c>
      <c r="D233" s="113" t="inlineStr">
        <is>
          <t>3.5  percentage points</t>
        </is>
      </c>
      <c r="E233" s="113" t="n">
        <v>2005</v>
      </c>
      <c r="F233" s="114" t="inlineStr">
        <is>
          <t>2020</t>
        </is>
      </c>
      <c r="G233" s="113" t="inlineStr">
        <is>
          <t>n</t>
        </is>
      </c>
      <c r="H233" s="113" t="inlineStr">
        <is>
          <t>Renewable energy</t>
        </is>
      </c>
      <c r="I233" s="113" t="inlineStr">
        <is>
          <t>whole economy</t>
        </is>
      </c>
      <c r="J233" s="113" t="inlineStr">
        <is>
          <t>By 2020, strive to reach an increase of 3.5 percentage points over the total hydropower generation in 2005-2020.</t>
        </is>
      </c>
      <c r="K233" s="113" t="inlineStr">
        <is>
          <t>HL1701.pdf</t>
        </is>
      </c>
      <c r="L233" s="113" t="inlineStr">
        <is>
          <t>Energy/Power</t>
        </is>
      </c>
      <c r="M233" s="113" t="inlineStr">
        <is>
          <t>Power supply</t>
        </is>
      </c>
    </row>
    <row r="234" ht="18" customHeight="1" s="235">
      <c r="A234" s="0" t="n">
        <v>2017</v>
      </c>
      <c r="B234" s="0" t="inlineStr">
        <is>
          <t>proportion of hydropower in total power generation</t>
        </is>
      </c>
      <c r="C234" s="0" t="inlineStr">
        <is>
          <t>account for</t>
        </is>
      </c>
      <c r="D234" s="0" t="inlineStr">
        <is>
          <t>19.4%</t>
        </is>
      </c>
      <c r="F234" s="0" t="inlineStr">
        <is>
          <t>2020</t>
        </is>
      </c>
      <c r="G234" s="0" t="inlineStr">
        <is>
          <t>n</t>
        </is>
      </c>
      <c r="H234" s="0" t="inlineStr">
        <is>
          <t>Renewable energy</t>
        </is>
      </c>
      <c r="I234" s="0" t="inlineStr">
        <is>
          <t>whole economy</t>
        </is>
      </c>
      <c r="J234" s="0" t="inlineStr">
        <is>
          <t>By 2020, strive to have conventional hydropower accounting for 19.4% of total power generation.</t>
        </is>
      </c>
      <c r="K234" s="0" t="inlineStr">
        <is>
          <t>HL1701.pdf</t>
        </is>
      </c>
      <c r="L234" s="0" t="inlineStr">
        <is>
          <t>Energy/Power</t>
        </is>
      </c>
      <c r="M234" s="0" t="inlineStr">
        <is>
          <t>Power supply</t>
        </is>
      </c>
    </row>
    <row r="235" ht="18" customHeight="1" s="235">
      <c r="A235" s="113" t="n">
        <v>2014</v>
      </c>
      <c r="B235" s="113" t="inlineStr">
        <is>
          <t>installed capacity of hydropower</t>
        </is>
      </c>
      <c r="C235" s="113" t="inlineStr">
        <is>
          <t>achieve</t>
        </is>
      </c>
      <c r="D235" s="113" t="inlineStr">
        <is>
          <t>350 million kilowatts</t>
        </is>
      </c>
      <c r="E235" s="113" t="n"/>
      <c r="F235" s="114" t="inlineStr">
        <is>
          <t>2020</t>
        </is>
      </c>
      <c r="G235" s="113" t="inlineStr">
        <is>
          <t>n</t>
        </is>
      </c>
      <c r="H235" s="113" t="inlineStr">
        <is>
          <t>Renewable energy</t>
        </is>
      </c>
      <c r="I235" s="113" t="inlineStr">
        <is>
          <t>whole economy</t>
        </is>
      </c>
      <c r="J235" s="113" t="inlineStr">
        <is>
          <t>By 2020, we will strive to achieve conventional hydropower installed capacity of about 350 million kilowatts.</t>
        </is>
      </c>
      <c r="K235" s="113" t="inlineStr">
        <is>
          <t>AP1401.htm</t>
        </is>
      </c>
      <c r="L235" s="113" t="inlineStr">
        <is>
          <t>Energy/Power</t>
        </is>
      </c>
      <c r="M235" s="113" t="inlineStr">
        <is>
          <t>Coal power</t>
        </is>
      </c>
    </row>
    <row r="236" ht="18" customHeight="1" s="235">
      <c r="A236" s="113" t="n">
        <v>2019</v>
      </c>
      <c r="B236" s="113" t="inlineStr">
        <is>
          <t>installed capacity of hydropower</t>
        </is>
      </c>
      <c r="C236" s="113" t="inlineStr">
        <is>
          <t>increase to</t>
        </is>
      </c>
      <c r="D236" s="113" t="inlineStr">
        <is>
          <t>340 million kilowatts</t>
        </is>
      </c>
      <c r="E236" s="113" t="n"/>
      <c r="F236" s="114" t="inlineStr">
        <is>
          <t>2020</t>
        </is>
      </c>
      <c r="G236" s="113" t="inlineStr">
        <is>
          <t>s/l-NEG</t>
        </is>
      </c>
      <c r="H236" s="113" t="inlineStr">
        <is>
          <t>Renewable energy</t>
        </is>
      </c>
      <c r="I236" s="113" t="inlineStr">
        <is>
          <t>whole economy</t>
        </is>
      </c>
      <c r="J236" s="113" t="inlineStr">
        <is>
          <t>By 2020, China strives to increase installed capacity of conventional hydropower to 340 gigawatts</t>
        </is>
      </c>
      <c r="K236" s="113" t="inlineStr">
        <is>
          <t>HL1902.pdf</t>
        </is>
      </c>
      <c r="L236" s="113" t="inlineStr">
        <is>
          <t>Energy/Power</t>
        </is>
      </c>
      <c r="M236" s="113" t="inlineStr">
        <is>
          <t>Power supply</t>
        </is>
      </c>
    </row>
    <row r="237" ht="18" customHeight="1" s="235">
      <c r="A237" s="113" t="n">
        <v>2013</v>
      </c>
      <c r="B237" s="113" t="inlineStr">
        <is>
          <t>installed capacity of hydropower</t>
        </is>
      </c>
      <c r="C237" s="113" t="inlineStr">
        <is>
          <t>increase to</t>
        </is>
      </c>
      <c r="D237" s="113" t="inlineStr">
        <is>
          <t>290 million kilowatts</t>
        </is>
      </c>
      <c r="E237" s="113" t="n"/>
      <c r="F237" s="114" t="inlineStr">
        <is>
          <t>2015</t>
        </is>
      </c>
      <c r="G237" s="113" t="inlineStr">
        <is>
          <t>n</t>
        </is>
      </c>
      <c r="H237" s="113" t="inlineStr">
        <is>
          <t>Renewable energy</t>
        </is>
      </c>
      <c r="I237" s="113" t="inlineStr">
        <is>
          <t>whole economy</t>
        </is>
      </c>
      <c r="J237" s="113" t="inlineStr">
        <is>
          <t>Installed hydropower capacity will rise to 290 million kW by 2015.</t>
        </is>
      </c>
      <c r="K237" s="113" t="inlineStr">
        <is>
          <t>FYP1302.htm</t>
        </is>
      </c>
      <c r="L237" s="113" t="inlineStr">
        <is>
          <t>Energy/Power</t>
        </is>
      </c>
      <c r="M237" s="113" t="inlineStr">
        <is>
          <t>Power supply</t>
        </is>
      </c>
    </row>
    <row r="238" ht="18" customHeight="1" s="235">
      <c r="A238" s="113" t="n">
        <v>2016</v>
      </c>
      <c r="B238" s="113" t="inlineStr">
        <is>
          <t>installed capacity of hydropower</t>
        </is>
      </c>
      <c r="C238" s="113" t="inlineStr">
        <is>
          <t>achieve</t>
        </is>
      </c>
      <c r="D238" s="113" t="inlineStr">
        <is>
          <t>340 million kilowatts</t>
        </is>
      </c>
      <c r="E238" s="113" t="n"/>
      <c r="F238" s="114" t="inlineStr">
        <is>
          <t>2020</t>
        </is>
      </c>
      <c r="G238" s="113" t="inlineStr">
        <is>
          <t>r</t>
        </is>
      </c>
      <c r="H238" s="113" t="inlineStr">
        <is>
          <t>Renewable energy</t>
        </is>
      </c>
      <c r="I238" s="113" t="inlineStr">
        <is>
          <t>whole economy</t>
        </is>
      </c>
      <c r="J238" s="113" t="inlineStr">
        <is>
          <t>By 2020, China aimed to achieve 340 million kilowatts of conventional hydropower installed capacity.</t>
        </is>
      </c>
      <c r="K238" s="113" t="inlineStr">
        <is>
          <t>FYP1615.htm</t>
        </is>
      </c>
      <c r="L238" s="113" t="inlineStr">
        <is>
          <t>Energy/Power</t>
        </is>
      </c>
      <c r="M238" s="113" t="inlineStr">
        <is>
          <t>Power supply</t>
        </is>
      </c>
    </row>
    <row r="239" ht="18" customHeight="1" s="235">
      <c r="A239" s="113" t="n">
        <v>2017</v>
      </c>
      <c r="B239" s="113" t="inlineStr">
        <is>
          <t>installed capacity of hydropower</t>
        </is>
      </c>
      <c r="C239" s="113" t="inlineStr">
        <is>
          <t>reach</t>
        </is>
      </c>
      <c r="D239" s="113" t="inlineStr">
        <is>
          <t>350 million kilowatts</t>
        </is>
      </c>
      <c r="E239" s="113" t="n"/>
      <c r="F239" s="114" t="inlineStr">
        <is>
          <t>2020</t>
        </is>
      </c>
      <c r="G239" s="113" t="inlineStr">
        <is>
          <t>r</t>
        </is>
      </c>
      <c r="H239" s="113" t="inlineStr">
        <is>
          <t>Renewable energy</t>
        </is>
      </c>
      <c r="I239" s="113" t="inlineStr">
        <is>
          <t>whole economy</t>
        </is>
      </c>
      <c r="J239" s="113" t="inlineStr">
        <is>
          <t>By 2020, strive to have conventional hydropower installed capacity reach 350 million kilowatts.</t>
        </is>
      </c>
      <c r="K239" s="113" t="inlineStr">
        <is>
          <t>HL1701.pdf</t>
        </is>
      </c>
      <c r="L239" s="113" t="inlineStr">
        <is>
          <t>Energy/Power</t>
        </is>
      </c>
      <c r="M239" s="113" t="inlineStr">
        <is>
          <t>Power supply</t>
        </is>
      </c>
    </row>
    <row r="240" ht="18" customHeight="1" s="235">
      <c r="A240" s="113" t="n">
        <v>2012</v>
      </c>
      <c r="B240" s="113" t="inlineStr">
        <is>
          <t>installed capacity of hydropower</t>
        </is>
      </c>
      <c r="C240" s="113" t="inlineStr">
        <is>
          <t>reach</t>
        </is>
      </c>
      <c r="D240" s="113" t="inlineStr">
        <is>
          <t>290 million kilowatts</t>
        </is>
      </c>
      <c r="E240" s="113" t="n"/>
      <c r="F240" s="114" t="inlineStr">
        <is>
          <t>2015</t>
        </is>
      </c>
      <c r="G240" s="113" t="inlineStr">
        <is>
          <t>r</t>
        </is>
      </c>
      <c r="H240" s="113" t="inlineStr">
        <is>
          <t>Renewable energy</t>
        </is>
      </c>
      <c r="I240" s="113" t="inlineStr">
        <is>
          <t>whole economy</t>
        </is>
      </c>
      <c r="J240" s="113" t="inlineStr">
        <is>
          <t>By 2015, China's hydropower installed capacity will reach 290 million kilowatts.</t>
        </is>
      </c>
      <c r="K240" s="113" t="inlineStr">
        <is>
          <t>WP1201.htm</t>
        </is>
      </c>
      <c r="L240" s="113" t="inlineStr">
        <is>
          <t>Energy/Power</t>
        </is>
      </c>
      <c r="M240" s="113" t="inlineStr">
        <is>
          <t>Power supply</t>
        </is>
      </c>
    </row>
    <row r="241" ht="18" customHeight="1" s="235">
      <c r="A241" s="113" t="n">
        <v>2026</v>
      </c>
      <c r="B241" s="113" t="inlineStr">
        <is>
          <t>cumulative grid-connected offshore wind power capacity</t>
        </is>
      </c>
      <c r="C241" s="113" t="inlineStr">
        <is>
          <t>reach</t>
        </is>
      </c>
      <c r="D241" s="113" t="inlineStr">
        <is>
          <t>100 gigawatts or above</t>
        </is>
      </c>
      <c r="E241" s="113" t="n"/>
      <c r="F241" s="114" t="n">
        <v>2030</v>
      </c>
      <c r="G241" s="113" t="inlineStr">
        <is>
          <t>n</t>
        </is>
      </c>
      <c r="H241" s="113" t="inlineStr">
        <is>
          <t>Renewable energy</t>
        </is>
      </c>
      <c r="I241" s="113" t="inlineStr">
        <is>
          <t>whole economy</t>
        </is>
      </c>
      <c r="J241" s="113" t="inlineStr">
        <is>
          <t>Offshore wind bases will be built in the Bohai Sea, Yellow Sea, East China Sea and South China Sea, with cumulative grid-connected offshore wind capacity reaching 100 gigawatts or above.</t>
        </is>
      </c>
      <c r="K241" s="113" t="inlineStr">
        <is>
          <t>HL2601.pdf</t>
        </is>
      </c>
      <c r="L241" s="113" t="inlineStr">
        <is>
          <t>Energy/Power</t>
        </is>
      </c>
      <c r="M241" s="113" t="inlineStr">
        <is>
          <t>Power supply</t>
        </is>
      </c>
    </row>
    <row r="242" ht="18" customHeight="1" s="235">
      <c r="A242" s="0" t="n">
        <v>2025</v>
      </c>
      <c r="B242" s="0" t="inlineStr">
        <is>
          <t>installed capacity of ocean energy</t>
        </is>
      </c>
      <c r="C242" s="0" t="inlineStr">
        <is>
          <t>achieve</t>
        </is>
      </c>
      <c r="D242" s="0" t="inlineStr">
        <is>
          <t>400000  kilowatts</t>
        </is>
      </c>
      <c r="F242" s="0" t="inlineStr">
        <is>
          <t>2030</t>
        </is>
      </c>
      <c r="G242" s="0" t="inlineStr">
        <is>
          <t>n</t>
        </is>
      </c>
      <c r="H242" s="0" t="inlineStr">
        <is>
          <t>Renewable energy</t>
        </is>
      </c>
      <c r="I242" s="0" t="inlineStr">
        <is>
          <t>whole economy</t>
        </is>
      </c>
      <c r="J242" s="0" t="inlineStr">
        <is>
          <t>We will strive to achieve an installed capacity of 400,000 kilowatts of ocean energy by 2030, build a number of island multi-energy complementary power systems and large-scale ocean energy demonstration projects, continuously expand and enrich the application scenarios of ocean energy, form a series of efficient, stable and economical ocean energy technology and equipment products, further improve the legal, policy, standard system and market environment for the large-scale industrial development of ocean energy, and cultivate a number of large-scale ocean energy development and utilization enterprises with strong technical research and development capabilities and global competitiveness.</t>
        </is>
      </c>
      <c r="K242" s="0" t="inlineStr">
        <is>
          <t>GO2504.htm</t>
        </is>
      </c>
      <c r="L242" s="0" t="inlineStr">
        <is>
          <t>Energy/Power</t>
        </is>
      </c>
      <c r="M242" s="0" t="inlineStr">
        <is>
          <t>Power supply</t>
        </is>
      </c>
    </row>
    <row r="243" ht="18" customHeight="1" s="235">
      <c r="A243" s="0" t="n">
        <v>2016</v>
      </c>
      <c r="B243" s="0" t="inlineStr">
        <is>
          <t>installed capacity of ocean energy</t>
        </is>
      </c>
      <c r="C243" s="0" t="inlineStr">
        <is>
          <t>exceed</t>
        </is>
      </c>
      <c r="D243" s="0" t="inlineStr">
        <is>
          <t>50000  kilowatts</t>
        </is>
      </c>
      <c r="F243" s="0" t="inlineStr">
        <is>
          <t>2020</t>
        </is>
      </c>
      <c r="G243" s="0" t="inlineStr">
        <is>
          <t>n</t>
        </is>
      </c>
      <c r="H243" s="0" t="inlineStr">
        <is>
          <t>Renewable energy</t>
        </is>
      </c>
      <c r="I243" s="0" t="inlineStr">
        <is>
          <t>whole economy</t>
        </is>
      </c>
      <c r="J243" s="0" t="inlineStr">
        <is>
          <t>By 2020, the total installed capacity of ocean energy in the country will exceed 50,000 kilowatts.</t>
        </is>
      </c>
      <c r="K243" s="0" t="inlineStr">
        <is>
          <t>FYP1620.pdf</t>
        </is>
      </c>
      <c r="L243" s="0" t="inlineStr">
        <is>
          <t>Energy/Power</t>
        </is>
      </c>
      <c r="M243" s="0" t="inlineStr">
        <is>
          <t>Power supply</t>
        </is>
      </c>
    </row>
    <row r="244" ht="18" customHeight="1" s="235">
      <c r="A244" s="0" t="n">
        <v>2024</v>
      </c>
      <c r="B244" s="0" t="inlineStr">
        <is>
          <t>elimination of coal-fired boilers of 35 tons of steam per hour or less</t>
        </is>
      </c>
      <c r="C244" s="0" t="inlineStr">
        <is>
          <t>eliminate</t>
        </is>
      </c>
      <c r="D244" s="0" t="inlineStr">
        <is>
          <t>nearly 100%</t>
        </is>
      </c>
      <c r="F244" s="0" t="inlineStr">
        <is>
          <t>2025</t>
        </is>
      </c>
      <c r="G244" s="0" t="inlineStr">
        <is>
          <t>r</t>
        </is>
      </c>
      <c r="H244" s="0" t="inlineStr">
        <is>
          <t>Coal-related</t>
        </is>
      </c>
      <c r="I244" s="0" t="inlineStr">
        <is>
          <t>sectors</t>
        </is>
      </c>
      <c r="J244" s="0" t="inlineStr">
        <is>
          <t>By the end of 2025, coal-fired boilers of 35 tons of steam per hour or less and all types of coal-fired facilities will be basically eliminated.</t>
        </is>
      </c>
      <c r="K244" s="0" t="inlineStr">
        <is>
          <t>AP2405.htm</t>
        </is>
      </c>
      <c r="L244" s="0" t="inlineStr">
        <is>
          <t>Energy/Power</t>
        </is>
      </c>
      <c r="M244" s="0" t="inlineStr">
        <is>
          <t>Power supply</t>
        </is>
      </c>
    </row>
    <row r="245" ht="18" customHeight="1" s="235">
      <c r="A245" s="0" t="n">
        <v>2016</v>
      </c>
      <c r="B245" s="0" t="inlineStr">
        <is>
          <t>cancellation or postponement of coal-fired power construction projects</t>
        </is>
      </c>
      <c r="C245" s="0" t="inlineStr">
        <is>
          <t>cancel or postpone</t>
        </is>
      </c>
      <c r="D245" s="0" t="inlineStr">
        <is>
          <t>150 million kilowatts</t>
        </is>
      </c>
      <c r="F245" s="0" t="inlineStr">
        <is>
          <t>13th FYP</t>
        </is>
      </c>
      <c r="G245" s="0" t="inlineStr">
        <is>
          <t>n</t>
        </is>
      </c>
      <c r="H245" s="0" t="inlineStr">
        <is>
          <t>Coal-related</t>
        </is>
      </c>
      <c r="I245" s="0" t="inlineStr">
        <is>
          <t>sectors</t>
        </is>
      </c>
      <c r="J245" s="0" t="inlineStr">
        <is>
          <t>During the 13th Five-Year Plan period, more than 150 million kilowatts of coal-fired power construction projects will be canceled or postponed.</t>
        </is>
      </c>
      <c r="K245" s="0" t="inlineStr">
        <is>
          <t>FYP1607.pdf</t>
        </is>
      </c>
      <c r="L245" s="0" t="inlineStr">
        <is>
          <t>Energy/Power</t>
        </is>
      </c>
      <c r="M245" s="0" t="inlineStr">
        <is>
          <t>Power supply</t>
        </is>
      </c>
    </row>
    <row r="246" ht="18" customHeight="1" s="235">
      <c r="A246" s="113" t="n">
        <v>2013</v>
      </c>
      <c r="B246" s="113" t="inlineStr">
        <is>
          <t>elimination of coal-fired boilers with a capacity of 10 tons of steam per hour or less</t>
        </is>
      </c>
      <c r="C246" s="113" t="inlineStr">
        <is>
          <t>eliminate</t>
        </is>
      </c>
      <c r="D246" s="113" t="n"/>
      <c r="E246" s="113" t="n"/>
      <c r="F246" s="114" t="inlineStr">
        <is>
          <t>2017</t>
        </is>
      </c>
      <c r="G246" s="113" t="inlineStr">
        <is>
          <t>r</t>
        </is>
      </c>
      <c r="H246" s="113" t="inlineStr">
        <is>
          <t>Coal-related</t>
        </is>
      </c>
      <c r="I246" s="113" t="inlineStr">
        <is>
          <t>sectors</t>
        </is>
      </c>
      <c r="J246" s="113" t="inlineStr">
        <is>
          <t>By 2017, except for those that must be retained, coal-fired boilers with a capacity of 10 tons of steam per hour or less will be basically eliminated in the built-up areas of cities at or above the prefecture level.</t>
        </is>
      </c>
      <c r="K246" s="113" t="inlineStr">
        <is>
          <t>AP1302.htm</t>
        </is>
      </c>
      <c r="L246" s="113" t="inlineStr">
        <is>
          <t>Energy/Power</t>
        </is>
      </c>
      <c r="M246" s="113" t="inlineStr">
        <is>
          <t>Power supply</t>
        </is>
      </c>
    </row>
    <row r="247" ht="18" customHeight="1" s="235">
      <c r="A247" s="113" t="n">
        <v>2013</v>
      </c>
      <c r="B247" s="113" t="inlineStr">
        <is>
          <t>elimination of new coal-fired boilers with a capacity of less than 10 tons of steam per hour</t>
        </is>
      </c>
      <c r="C247" s="113" t="inlineStr">
        <is>
          <t>eliminate</t>
        </is>
      </c>
      <c r="D247" s="113" t="n"/>
      <c r="E247" s="113" t="n"/>
      <c r="F247" s="114" t="inlineStr">
        <is>
          <t>2017</t>
        </is>
      </c>
      <c r="G247" s="113" t="inlineStr">
        <is>
          <t>r</t>
        </is>
      </c>
      <c r="H247" s="113" t="inlineStr">
        <is>
          <t>Coal-related</t>
        </is>
      </c>
      <c r="I247" s="113" t="inlineStr">
        <is>
          <t>sectors</t>
        </is>
      </c>
      <c r="J247" s="113" t="inlineStr">
        <is>
          <t>By 2017, in principle, no new coal-fired boilers with a capacity of less than 10 tons of steam per hour will be built in other areas.</t>
        </is>
      </c>
      <c r="K247" s="113" t="inlineStr">
        <is>
          <t>AP1302.htm</t>
        </is>
      </c>
      <c r="L247" s="113" t="inlineStr">
        <is>
          <t>Energy/Power</t>
        </is>
      </c>
      <c r="M247" s="113" t="inlineStr">
        <is>
          <t>Power supply</t>
        </is>
      </c>
    </row>
    <row r="248" ht="18" customHeight="1" s="235">
      <c r="A248" s="113" t="n">
        <v>2017</v>
      </c>
      <c r="B248" s="113" t="inlineStr">
        <is>
          <t>elimination of obsolete capacity of coal-fired power capacity</t>
        </is>
      </c>
      <c r="C248" s="113" t="inlineStr">
        <is>
          <t>eliminate</t>
        </is>
      </c>
      <c r="D248" s="113" t="inlineStr">
        <is>
          <t>20 million kilowatts</t>
        </is>
      </c>
      <c r="E248" s="113" t="n"/>
      <c r="F248" s="114" t="inlineStr">
        <is>
          <t>13th FYP</t>
        </is>
      </c>
      <c r="G248" s="113" t="inlineStr">
        <is>
          <t>r</t>
        </is>
      </c>
      <c r="H248" s="113" t="inlineStr">
        <is>
          <t>Coal-related</t>
        </is>
      </c>
      <c r="I248" s="113" t="inlineStr">
        <is>
          <t>sectors</t>
        </is>
      </c>
      <c r="J248" s="113" t="inlineStr">
        <is>
          <t>During the 13th Five-Year Plan period, the country will eliminate more than 20 million kilowatts of obsolete capacity of coal-fired power capacity.</t>
        </is>
      </c>
      <c r="K248" s="113" t="inlineStr">
        <is>
          <t>O1703.pdf</t>
        </is>
      </c>
      <c r="L248" s="113" t="inlineStr">
        <is>
          <t>Energy/Power</t>
        </is>
      </c>
      <c r="M248" s="113" t="inlineStr">
        <is>
          <t>Power supply</t>
        </is>
      </c>
    </row>
    <row r="249" ht="18" customHeight="1" s="235">
      <c r="A249" s="113" t="n">
        <v>2016</v>
      </c>
      <c r="B249" s="113" t="inlineStr">
        <is>
          <t>elimination of obsolete production capacity of coal-fired power plants</t>
        </is>
      </c>
      <c r="C249" s="113" t="inlineStr">
        <is>
          <t>eliminate</t>
        </is>
      </c>
      <c r="D249" s="113" t="inlineStr">
        <is>
          <t>20 million kilowatts</t>
        </is>
      </c>
      <c r="E249" s="113" t="n"/>
      <c r="F249" s="114" t="n"/>
      <c r="G249" s="113" t="inlineStr">
        <is>
          <t>r</t>
        </is>
      </c>
      <c r="H249" s="113" t="inlineStr">
        <is>
          <t>Coal-related</t>
        </is>
      </c>
      <c r="I249" s="113" t="inlineStr">
        <is>
          <t>sectors</t>
        </is>
      </c>
      <c r="J249" s="113" t="inlineStr">
        <is>
          <t>Eliminate 20 million kilowatts of obsolete production capacity of coal-fired power plants and units that do not meet relevant mandatory standards within a specified period of time.</t>
        </is>
      </c>
      <c r="K249" s="113" t="inlineStr">
        <is>
          <t>FYP1601.htm</t>
        </is>
      </c>
      <c r="L249" s="113" t="inlineStr">
        <is>
          <t>Energy/Power</t>
        </is>
      </c>
      <c r="M249" s="113" t="inlineStr">
        <is>
          <t>Power supply</t>
        </is>
      </c>
    </row>
    <row r="250" ht="18" customHeight="1" s="235">
      <c r="A250" s="113" t="n">
        <v>2015</v>
      </c>
      <c r="B250" s="113" t="inlineStr">
        <is>
          <t>elimination of obsolete thermal power units</t>
        </is>
      </c>
      <c r="C250" s="113" t="inlineStr">
        <is>
          <t>eliminate</t>
        </is>
      </c>
      <c r="D250" s="113" t="inlineStr">
        <is>
          <t>20 million kilowatts</t>
        </is>
      </c>
      <c r="E250" s="113" t="n"/>
      <c r="F250" s="114" t="inlineStr">
        <is>
          <t>13th FYP</t>
        </is>
      </c>
      <c r="G250" s="113" t="inlineStr">
        <is>
          <t>r</t>
        </is>
      </c>
      <c r="H250" s="113" t="inlineStr">
        <is>
          <t>Coal-related</t>
        </is>
      </c>
      <c r="I250" s="113" t="inlineStr">
        <is>
          <t>sectors</t>
        </is>
      </c>
      <c r="J250" s="113" t="inlineStr">
        <is>
          <t>We will strive to eliminate more than 20 million kilowatts of obsolete thermal power units during the 13th Five-Year Plan period.</t>
        </is>
      </c>
      <c r="K250" s="113" t="inlineStr">
        <is>
          <t>WOP1501.pdf</t>
        </is>
      </c>
      <c r="L250" s="113" t="inlineStr">
        <is>
          <t>Energy/Power</t>
        </is>
      </c>
      <c r="M250" s="113" t="inlineStr">
        <is>
          <t>Power supply</t>
        </is>
      </c>
    </row>
    <row r="251" ht="18" customHeight="1" s="235">
      <c r="A251" s="113" t="n">
        <v>2017</v>
      </c>
      <c r="B251" s="113" t="inlineStr">
        <is>
          <t>energy consumption per unit throughput of port production</t>
        </is>
      </c>
      <c r="C251" s="113" t="inlineStr">
        <is>
          <t>reduce by</t>
        </is>
      </c>
      <c r="D251" s="113" t="inlineStr">
        <is>
          <t>2%</t>
        </is>
      </c>
      <c r="E251" s="113" t="n">
        <v>2015</v>
      </c>
      <c r="F251" s="114" t="inlineStr">
        <is>
          <t>2020</t>
        </is>
      </c>
      <c r="G251" s="113" t="inlineStr">
        <is>
          <t>n</t>
        </is>
      </c>
      <c r="H251" s="113" t="inlineStr">
        <is>
          <t>Energy efficiency</t>
        </is>
      </c>
      <c r="I251" s="113" t="inlineStr">
        <is>
          <t>ports</t>
        </is>
      </c>
      <c r="J251" s="113" t="inlineStr">
        <is>
          <t>By 2020, the energy consumption per unit throughput of port production will decrease by 2% compared with 2015.</t>
        </is>
      </c>
      <c r="K251" s="113" t="inlineStr">
        <is>
          <t>IP1701.htm</t>
        </is>
      </c>
      <c r="L251" s="113" t="inlineStr">
        <is>
          <t>Energy/Power</t>
        </is>
      </c>
      <c r="M251" s="113" t="inlineStr">
        <is>
          <t>Power supply</t>
        </is>
      </c>
    </row>
    <row r="252" ht="18" customHeight="1" s="235">
      <c r="A252" s="113" t="n">
        <v>2013</v>
      </c>
      <c r="B252" s="113" t="inlineStr">
        <is>
          <t xml:space="preserve">average coal consumption of thermal power generation  </t>
        </is>
      </c>
      <c r="C252" s="113" t="inlineStr">
        <is>
          <t>reduce to</t>
        </is>
      </c>
      <c r="D252" s="113" t="inlineStr">
        <is>
          <t>323 grams of standard coal per kilowatt-hour</t>
        </is>
      </c>
      <c r="E252" s="113" t="n"/>
      <c r="F252" s="114" t="inlineStr">
        <is>
          <t>2015</t>
        </is>
      </c>
      <c r="G252" s="113" t="inlineStr">
        <is>
          <t>s/l-POS</t>
        </is>
      </c>
      <c r="H252" s="113" t="inlineStr">
        <is>
          <t>Coal-related</t>
        </is>
      </c>
      <c r="I252" s="113" t="inlineStr">
        <is>
          <t>sectors</t>
        </is>
      </c>
      <c r="J252" s="113" t="inlineStr">
        <is>
          <t>Standard coal consumption per kWh in thermal power generation will decrease to 323 grams by 2015.</t>
        </is>
      </c>
      <c r="K252" s="113" t="inlineStr">
        <is>
          <t>FYP1302.htm</t>
        </is>
      </c>
      <c r="L252" s="113" t="inlineStr">
        <is>
          <t>Energy/Power</t>
        </is>
      </c>
      <c r="M252" s="113" t="inlineStr">
        <is>
          <t>Power supply</t>
        </is>
      </c>
    </row>
    <row r="253" ht="18" customHeight="1" s="235">
      <c r="A253" s="113" t="n">
        <v>2013</v>
      </c>
      <c r="B253" s="113" t="inlineStr">
        <is>
          <t xml:space="preserve">average coal consumption of thermal power generation  </t>
        </is>
      </c>
      <c r="C253" s="113" t="inlineStr">
        <is>
          <t>reduce to</t>
        </is>
      </c>
      <c r="D253" s="113" t="inlineStr">
        <is>
          <t>325 grams of standard coal per kilowatt-hour</t>
        </is>
      </c>
      <c r="E253" s="113" t="n"/>
      <c r="F253" s="114" t="inlineStr">
        <is>
          <t>2015</t>
        </is>
      </c>
      <c r="G253" s="113" t="inlineStr">
        <is>
          <t>n</t>
        </is>
      </c>
      <c r="H253" s="113" t="inlineStr">
        <is>
          <t>Coal-related</t>
        </is>
      </c>
      <c r="I253" s="113" t="inlineStr">
        <is>
          <t>sectors</t>
        </is>
      </c>
      <c r="J253" s="113" t="inlineStr">
        <is>
          <t>By 2015, the average coal consumption of thermal power generation will drop to 325 grams of standard coal per kilowatt-hour.</t>
        </is>
      </c>
      <c r="K253" s="113" t="inlineStr">
        <is>
          <t>DP1301.htm</t>
        </is>
      </c>
      <c r="L253" s="113" t="inlineStr">
        <is>
          <t>Energy/Power</t>
        </is>
      </c>
      <c r="M253" s="113" t="inlineStr">
        <is>
          <t>Power supply</t>
        </is>
      </c>
    </row>
    <row r="254" ht="18" customHeight="1" s="235">
      <c r="A254" s="113" t="n">
        <v>2018</v>
      </c>
      <c r="B254" s="113" t="inlineStr">
        <is>
          <t>flexibility transformation of thermal power units</t>
        </is>
      </c>
      <c r="C254" s="113" t="inlineStr">
        <is>
          <t>complete</t>
        </is>
      </c>
      <c r="D254" s="113" t="inlineStr">
        <is>
          <t>220 million kilowatts</t>
        </is>
      </c>
      <c r="E254" s="113" t="n"/>
      <c r="F254" s="114" t="inlineStr">
        <is>
          <t>13th FYP</t>
        </is>
      </c>
      <c r="G254" s="113" t="inlineStr">
        <is>
          <t>r</t>
        </is>
      </c>
      <c r="H254" s="113" t="inlineStr">
        <is>
          <t>Coal-related</t>
        </is>
      </c>
      <c r="I254" s="113" t="inlineStr">
        <is>
          <t>sectors</t>
        </is>
      </c>
      <c r="J254" s="113" t="inlineStr">
        <is>
          <t>During the 13th Five-Year Plan period, we will strive to complete the flexibility transformation of 220 million kilowatts of thermal power units.</t>
        </is>
      </c>
      <c r="K254" s="113" t="inlineStr">
        <is>
          <t>GO1801.htm</t>
        </is>
      </c>
      <c r="L254" s="113" t="inlineStr">
        <is>
          <t>Energy/Power</t>
        </is>
      </c>
      <c r="M254" s="113" t="inlineStr">
        <is>
          <t>Power supply</t>
        </is>
      </c>
    </row>
    <row r="255" ht="18" customHeight="1" s="235">
      <c r="A255" s="113" t="n">
        <v>2023</v>
      </c>
      <c r="B255" s="113" t="inlineStr">
        <is>
          <t>oil refining capacity over benchmark energy efficiency standard</t>
        </is>
      </c>
      <c r="C255" s="113" t="inlineStr">
        <is>
          <t>exceed</t>
        </is>
      </c>
      <c r="D255" s="113" t="inlineStr">
        <is>
          <t>30%</t>
        </is>
      </c>
      <c r="E255" s="113" t="n"/>
      <c r="F255" s="114" t="inlineStr">
        <is>
          <t>2025</t>
        </is>
      </c>
      <c r="G255" s="113" t="inlineStr">
        <is>
          <t>n</t>
        </is>
      </c>
      <c r="H255" s="113" t="inlineStr">
        <is>
          <t>Energy efficiency</t>
        </is>
      </c>
      <c r="I255" s="113" t="inlineStr">
        <is>
          <t>sectors</t>
        </is>
      </c>
      <c r="J255" s="113" t="inlineStr">
        <is>
          <t>By 2025, more than 30% of China's refining capacity should exceed the top-level benchmark energy efficiency standard</t>
        </is>
      </c>
      <c r="K255" s="113" t="inlineStr">
        <is>
          <t>GO2304.htm</t>
        </is>
      </c>
      <c r="L255" s="113" t="inlineStr">
        <is>
          <t>Energy/Power</t>
        </is>
      </c>
      <c r="M255" s="113" t="inlineStr">
        <is>
          <t>Power supply</t>
        </is>
      </c>
    </row>
    <row r="256" ht="18" customHeight="1" s="235">
      <c r="A256" s="113" t="n">
        <v>2013</v>
      </c>
      <c r="B256" s="113" t="inlineStr">
        <is>
          <t>comprehensive energy consumption in oil refining</t>
        </is>
      </c>
      <c r="C256" s="113" t="inlineStr">
        <is>
          <t>reduce to</t>
        </is>
      </c>
      <c r="D256" s="113" t="inlineStr">
        <is>
          <t>63 kg of standard oil per ton</t>
        </is>
      </c>
      <c r="E256" s="113" t="n"/>
      <c r="F256" s="114" t="inlineStr">
        <is>
          <t>2015</t>
        </is>
      </c>
      <c r="G256" s="113" t="inlineStr">
        <is>
          <t>n</t>
        </is>
      </c>
      <c r="H256" s="113" t="inlineStr">
        <is>
          <t>Energy saving</t>
        </is>
      </c>
      <c r="I256" s="113" t="inlineStr">
        <is>
          <t>sectors</t>
        </is>
      </c>
      <c r="J256" s="113" t="inlineStr">
        <is>
          <t>The comprehensive energy consumption in oil refining will be reduced to 63 kg of standard oil per ton by 2015.</t>
        </is>
      </c>
      <c r="K256" s="113" t="inlineStr">
        <is>
          <t>FYP1302.htm</t>
        </is>
      </c>
      <c r="L256" s="113" t="inlineStr">
        <is>
          <t>Energy/Power</t>
        </is>
      </c>
      <c r="M256" s="113" t="inlineStr">
        <is>
          <t>Power supply</t>
        </is>
      </c>
    </row>
    <row r="257" ht="18" customHeight="1" s="235">
      <c r="A257" s="113" t="n">
        <v>2013</v>
      </c>
      <c r="B257" s="113" t="inlineStr">
        <is>
          <t>extraction and utilization rate of coalbed methane (gas)</t>
        </is>
      </c>
      <c r="C257" s="113" t="inlineStr">
        <is>
          <t>reach</t>
        </is>
      </c>
      <c r="D257" s="113" t="inlineStr">
        <is>
          <t>60%</t>
        </is>
      </c>
      <c r="E257" s="113" t="n"/>
      <c r="F257" s="114" t="inlineStr">
        <is>
          <t>2015</t>
        </is>
      </c>
      <c r="G257" s="113" t="inlineStr">
        <is>
          <t>n</t>
        </is>
      </c>
      <c r="H257" s="113" t="inlineStr">
        <is>
          <t>Transitional energy</t>
        </is>
      </c>
      <c r="I257" s="113" t="inlineStr">
        <is>
          <t>sectors</t>
        </is>
      </c>
      <c r="J257" s="113" t="inlineStr">
        <is>
          <t>By 2015, the coalbed methane (gas) extraction and utilization rate will reach 60%.</t>
        </is>
      </c>
      <c r="K257" s="113" t="inlineStr">
        <is>
          <t>DP1301.htm</t>
        </is>
      </c>
      <c r="L257" s="113" t="inlineStr">
        <is>
          <t>Energy/Power</t>
        </is>
      </c>
      <c r="M257" s="113" t="inlineStr">
        <is>
          <t>Power supply</t>
        </is>
      </c>
    </row>
    <row r="258" ht="18" customHeight="1" s="235">
      <c r="A258" s="113" t="n">
        <v>2016</v>
      </c>
      <c r="B258" s="113" t="inlineStr">
        <is>
          <t>coalbed methane industrialization bases</t>
        </is>
      </c>
      <c r="C258" s="113" t="inlineStr">
        <is>
          <t>build</t>
        </is>
      </c>
      <c r="D258" s="113" t="inlineStr">
        <is>
          <t>2 to 3 bases</t>
        </is>
      </c>
      <c r="E258" s="113" t="n"/>
      <c r="F258" s="114" t="inlineStr">
        <is>
          <t>13th FYP</t>
        </is>
      </c>
      <c r="G258" s="113" t="inlineStr">
        <is>
          <t>n</t>
        </is>
      </c>
      <c r="H258" s="113" t="inlineStr">
        <is>
          <t>Transitional energy</t>
        </is>
      </c>
      <c r="I258" s="113" t="inlineStr">
        <is>
          <t>sectors</t>
        </is>
      </c>
      <c r="J258" s="113" t="inlineStr">
        <is>
          <t>During the 13th Five-Year Plan period, 2-3 coalbed methane industrialization bases will be built.</t>
        </is>
      </c>
      <c r="K258" s="113" t="inlineStr">
        <is>
          <t>FYP1605.pdf</t>
        </is>
      </c>
      <c r="L258" s="113" t="inlineStr">
        <is>
          <t>Energy/Power</t>
        </is>
      </c>
      <c r="M258" s="113" t="inlineStr">
        <is>
          <t>Power supply</t>
        </is>
      </c>
    </row>
    <row r="259" ht="18" customHeight="1" s="235">
      <c r="A259" s="0" t="n">
        <v>2014</v>
      </c>
      <c r="B259" s="0" t="inlineStr">
        <is>
          <t>coalbed methane production</t>
        </is>
      </c>
      <c r="C259" s="0" t="inlineStr">
        <is>
          <t>reach</t>
        </is>
      </c>
      <c r="D259" s="0" t="inlineStr">
        <is>
          <t>30 billion cubic meters</t>
        </is>
      </c>
      <c r="F259" s="0" t="inlineStr">
        <is>
          <t>2020</t>
        </is>
      </c>
      <c r="G259" s="0" t="inlineStr">
        <is>
          <t>n</t>
        </is>
      </c>
      <c r="H259" s="0" t="inlineStr">
        <is>
          <t>Transitional energy</t>
        </is>
      </c>
      <c r="I259" s="0" t="inlineStr">
        <is>
          <t>sectors</t>
        </is>
      </c>
      <c r="J259" s="0" t="inlineStr">
        <is>
          <t>By 2020, the coalbed methane production will strive to reach 30 billion cubic meters.</t>
        </is>
      </c>
      <c r="K259" s="0" t="inlineStr">
        <is>
          <t>AP1401.htm</t>
        </is>
      </c>
      <c r="L259" s="0" t="inlineStr">
        <is>
          <t>Energy/Power</t>
        </is>
      </c>
      <c r="M259" s="0" t="inlineStr">
        <is>
          <t>Power supply</t>
        </is>
      </c>
    </row>
    <row r="260" ht="18" customHeight="1" s="235">
      <c r="A260" s="0" t="n">
        <v>2013</v>
      </c>
      <c r="B260" s="0" t="inlineStr">
        <is>
          <t>installed capacity of coalbed methane power generation</t>
        </is>
      </c>
      <c r="C260" s="0" t="inlineStr">
        <is>
          <t>exceed</t>
        </is>
      </c>
      <c r="D260" s="0" t="inlineStr">
        <is>
          <t>2.85 million kilowatts</t>
        </is>
      </c>
      <c r="F260" s="0" t="inlineStr">
        <is>
          <t>2015</t>
        </is>
      </c>
      <c r="G260" s="0" t="inlineStr">
        <is>
          <t>n</t>
        </is>
      </c>
      <c r="H260" s="0" t="inlineStr">
        <is>
          <t>Transitional energy</t>
        </is>
      </c>
      <c r="I260" s="0" t="inlineStr">
        <is>
          <t>whole economy</t>
        </is>
      </c>
      <c r="J260" s="0" t="inlineStr">
        <is>
          <t>By 2015, the installed capacity of coalbed methane power generation will exceed 2.85 million kilowatts.</t>
        </is>
      </c>
      <c r="K260" s="0" t="inlineStr">
        <is>
          <t>DP1301.htm</t>
        </is>
      </c>
      <c r="L260" s="0" t="inlineStr">
        <is>
          <t>Energy/Power</t>
        </is>
      </c>
      <c r="M260" s="0" t="inlineStr">
        <is>
          <t>Power supply</t>
        </is>
      </c>
    </row>
    <row r="261" ht="18" customHeight="1" s="235">
      <c r="A261" s="113" t="n">
        <v>2012</v>
      </c>
      <c r="B261" s="113" t="inlineStr">
        <is>
          <t>installed capacity of coalbed methane power generation</t>
        </is>
      </c>
      <c r="C261" s="113" t="inlineStr">
        <is>
          <t>reach</t>
        </is>
      </c>
      <c r="D261" s="113" t="inlineStr">
        <is>
          <t>2.85 million kilowatts</t>
        </is>
      </c>
      <c r="E261" s="113" t="n"/>
      <c r="F261" s="114" t="inlineStr">
        <is>
          <t>2015</t>
        </is>
      </c>
      <c r="G261" s="113" t="inlineStr">
        <is>
          <t>r</t>
        </is>
      </c>
      <c r="H261" s="113" t="inlineStr">
        <is>
          <t>Transitional energy</t>
        </is>
      </c>
      <c r="I261" s="113" t="inlineStr">
        <is>
          <t>whole economy</t>
        </is>
      </c>
      <c r="J261" s="113" t="inlineStr">
        <is>
          <t>by 2015; other projected development targets are that installed coal bed methane (CBM) power capacity will reach 2.85 million kw</t>
        </is>
      </c>
      <c r="K261" s="113" t="inlineStr">
        <is>
          <t>HL1202.pdf</t>
        </is>
      </c>
      <c r="L261" s="113" t="inlineStr">
        <is>
          <t>Energy/Power</t>
        </is>
      </c>
      <c r="M261" s="113" t="inlineStr">
        <is>
          <t>Power supply</t>
        </is>
      </c>
    </row>
    <row r="262" ht="18" customHeight="1" s="235">
      <c r="A262" s="113" t="n">
        <v>2013</v>
      </c>
      <c r="B262" s="113" t="inlineStr">
        <is>
          <t>coalbed methane production</t>
        </is>
      </c>
      <c r="C262" s="113" t="inlineStr">
        <is>
          <t>reach</t>
        </is>
      </c>
      <c r="D262" s="113" t="inlineStr">
        <is>
          <t>20 billion cubic meters</t>
        </is>
      </c>
      <c r="E262" s="113" t="n"/>
      <c r="F262" s="114" t="inlineStr">
        <is>
          <t>2015</t>
        </is>
      </c>
      <c r="G262" s="113" t="inlineStr">
        <is>
          <t>n</t>
        </is>
      </c>
      <c r="H262" s="113" t="inlineStr">
        <is>
          <t>Transitional energy</t>
        </is>
      </c>
      <c r="I262" s="113" t="inlineStr">
        <is>
          <t>sectors</t>
        </is>
      </c>
      <c r="J262" s="113" t="inlineStr">
        <is>
          <t>By 2015, commercial volumes of coalbed methane will reach 20 billion cubic meters.</t>
        </is>
      </c>
      <c r="K262" s="113" t="inlineStr">
        <is>
          <t>FYP1302.htm</t>
        </is>
      </c>
      <c r="L262" s="113" t="inlineStr">
        <is>
          <t>Energy/Power</t>
        </is>
      </c>
      <c r="M262" s="113" t="inlineStr">
        <is>
          <t>Power supply</t>
        </is>
      </c>
    </row>
    <row r="263" ht="18" customHeight="1" s="235">
      <c r="A263" s="113" t="n">
        <v>2008</v>
      </c>
      <c r="B263" s="113" t="inlineStr">
        <is>
          <t>coalbed methane extraction</t>
        </is>
      </c>
      <c r="C263" s="113" t="inlineStr">
        <is>
          <t>increase to</t>
        </is>
      </c>
      <c r="D263" s="113" t="inlineStr">
        <is>
          <t>10 billion cubic meters</t>
        </is>
      </c>
      <c r="E263" s="113" t="n"/>
      <c r="F263" s="114" t="inlineStr">
        <is>
          <t>2010</t>
        </is>
      </c>
      <c r="G263" s="113" t="inlineStr">
        <is>
          <t>n</t>
        </is>
      </c>
      <c r="H263" s="113" t="inlineStr">
        <is>
          <t>Transitional energy</t>
        </is>
      </c>
      <c r="I263" s="113" t="inlineStr">
        <is>
          <t>sectors</t>
        </is>
      </c>
      <c r="J263" s="113" t="inlineStr">
        <is>
          <t>The target by 2010 is to raise the extraction of coal-bed mine methane up to 10 billion m3.</t>
        </is>
      </c>
      <c r="K263" s="113" t="inlineStr">
        <is>
          <t>HL0801.pdf</t>
        </is>
      </c>
      <c r="L263" s="113" t="inlineStr">
        <is>
          <t>Energy/Power</t>
        </is>
      </c>
      <c r="M263" s="113" t="inlineStr">
        <is>
          <t>Power supply</t>
        </is>
      </c>
    </row>
    <row r="264" ht="18" customHeight="1" s="235">
      <c r="A264" s="113" t="n">
        <v>2016</v>
      </c>
      <c r="B264" s="113" t="inlineStr">
        <is>
          <t>newly proven geological reserves of coalbed methane</t>
        </is>
      </c>
      <c r="C264" s="113" t="inlineStr">
        <is>
          <t>discover</t>
        </is>
      </c>
      <c r="D264" s="113" t="inlineStr">
        <is>
          <t>420 billion cubic meters</t>
        </is>
      </c>
      <c r="E264" s="113" t="n"/>
      <c r="F264" s="114" t="inlineStr">
        <is>
          <t>13th FYP</t>
        </is>
      </c>
      <c r="G264" s="113" t="inlineStr">
        <is>
          <t>n</t>
        </is>
      </c>
      <c r="H264" s="113" t="inlineStr">
        <is>
          <t>Transitional energy</t>
        </is>
      </c>
      <c r="I264" s="113" t="inlineStr">
        <is>
          <t>sectors</t>
        </is>
      </c>
      <c r="J264" s="113" t="inlineStr">
        <is>
          <t>During the 13th Five-Year Plan period, 420 billion cubic meters of new proven geological reserves of coal bed methane will be discovered.</t>
        </is>
      </c>
      <c r="K264" s="113" t="inlineStr">
        <is>
          <t>FYP1625.pdf</t>
        </is>
      </c>
      <c r="L264" s="113" t="inlineStr">
        <is>
          <t>Energy/Power</t>
        </is>
      </c>
      <c r="M264" s="113" t="inlineStr">
        <is>
          <t>Power supply</t>
        </is>
      </c>
    </row>
    <row r="265" ht="18" customHeight="1" s="235">
      <c r="A265" s="113" t="n">
        <v>2013</v>
      </c>
      <c r="B265" s="113" t="inlineStr">
        <is>
          <t>newly proven geological reserves of coalbed methane</t>
        </is>
      </c>
      <c r="C265" s="113" t="inlineStr">
        <is>
          <t>increase by</t>
        </is>
      </c>
      <c r="D265" s="113" t="inlineStr">
        <is>
          <t>1 trillion cubic meters</t>
        </is>
      </c>
      <c r="E265" s="113" t="n">
        <v>2010</v>
      </c>
      <c r="F265" s="114" t="n">
        <v>2015</v>
      </c>
      <c r="G265" s="113" t="inlineStr">
        <is>
          <t>r</t>
        </is>
      </c>
      <c r="H265" s="113" t="inlineStr">
        <is>
          <t>Transitional energy</t>
        </is>
      </c>
      <c r="I265" s="113" t="inlineStr">
        <is>
          <t>sectors</t>
        </is>
      </c>
      <c r="J265" s="113" t="inlineStr">
        <is>
          <t>By 2015, proven geological reserves of coalbed methane will increase by 1 trillion cubic meters.</t>
        </is>
      </c>
      <c r="K265" s="113" t="inlineStr">
        <is>
          <t>FYP1302.htm</t>
        </is>
      </c>
      <c r="L265" s="113" t="inlineStr">
        <is>
          <t>Energy/Power</t>
        </is>
      </c>
      <c r="M265" s="113" t="inlineStr">
        <is>
          <t>Power supply</t>
        </is>
      </c>
    </row>
    <row r="266" ht="18" customHeight="1" s="235">
      <c r="A266" s="113" t="n">
        <v>2016</v>
      </c>
      <c r="B266" s="113" t="inlineStr">
        <is>
          <t>cumulative proven geological reserves of coalbed methane</t>
        </is>
      </c>
      <c r="C266" s="113" t="inlineStr">
        <is>
          <t>exceed</t>
        </is>
      </c>
      <c r="D266" s="113" t="inlineStr">
        <is>
          <t>1 trillion cubic meters</t>
        </is>
      </c>
      <c r="E266" s="113" t="n"/>
      <c r="F266" s="114" t="inlineStr">
        <is>
          <t>2020</t>
        </is>
      </c>
      <c r="G266" s="113" t="inlineStr">
        <is>
          <t>r</t>
        </is>
      </c>
      <c r="H266" s="113" t="inlineStr">
        <is>
          <t>Transitional energy</t>
        </is>
      </c>
      <c r="I266" s="113" t="inlineStr">
        <is>
          <t>sectors</t>
        </is>
      </c>
      <c r="J266" s="113" t="inlineStr">
        <is>
          <t>By 2020, the cumulative proven geological reserves of coal bed methane will exceed 1 trillion cubic meters.</t>
        </is>
      </c>
      <c r="K266" s="113" t="inlineStr">
        <is>
          <t>FYP1625.pdf</t>
        </is>
      </c>
      <c r="L266" s="113" t="inlineStr">
        <is>
          <t>Energy/Power</t>
        </is>
      </c>
      <c r="M266" s="113" t="inlineStr">
        <is>
          <t>Power supply</t>
        </is>
      </c>
    </row>
    <row r="267" ht="18" customHeight="1" s="235">
      <c r="A267" s="113" t="n">
        <v>2019</v>
      </c>
      <c r="B267" s="113" t="inlineStr">
        <is>
          <t>proportion of coal in primary energy consumption</t>
        </is>
      </c>
      <c r="C267" s="113" t="inlineStr">
        <is>
          <t>reduce to</t>
        </is>
      </c>
      <c r="D267" s="113" t="inlineStr">
        <is>
          <t>lower than 58%</t>
        </is>
      </c>
      <c r="E267" s="113" t="n"/>
      <c r="F267" s="114" t="inlineStr">
        <is>
          <t>2020</t>
        </is>
      </c>
      <c r="G267" s="113" t="inlineStr">
        <is>
          <t>r</t>
        </is>
      </c>
      <c r="H267" s="113" t="inlineStr">
        <is>
          <t>Coal-related</t>
        </is>
      </c>
      <c r="I267" s="113" t="inlineStr">
        <is>
          <t>whole economy</t>
        </is>
      </c>
      <c r="J267" s="113" t="inlineStr">
        <is>
          <t>China aims to reduce coal consumption to lower than 58% by 2020</t>
        </is>
      </c>
      <c r="K267" s="113" t="inlineStr">
        <is>
          <t>HL1902.pdf</t>
        </is>
      </c>
      <c r="L267" s="113" t="inlineStr">
        <is>
          <t>Energy/Power</t>
        </is>
      </c>
      <c r="M267" s="113" t="inlineStr">
        <is>
          <t>Power supply</t>
        </is>
      </c>
    </row>
    <row r="268" ht="18" customHeight="1" s="235">
      <c r="A268" s="113" t="n">
        <v>2018</v>
      </c>
      <c r="B268" s="113" t="inlineStr">
        <is>
          <t>proportion of coal in primary energy consumption</t>
        </is>
      </c>
      <c r="C268" s="113" t="inlineStr">
        <is>
          <t>reduce below</t>
        </is>
      </c>
      <c r="D268" s="113" t="inlineStr">
        <is>
          <t>58%</t>
        </is>
      </c>
      <c r="E268" s="113" t="n"/>
      <c r="F268" s="114" t="inlineStr">
        <is>
          <t>2020</t>
        </is>
      </c>
      <c r="G268" s="113" t="inlineStr">
        <is>
          <t>r</t>
        </is>
      </c>
      <c r="H268" s="113" t="inlineStr">
        <is>
          <t>Coal-related</t>
        </is>
      </c>
      <c r="I268" s="113" t="inlineStr">
        <is>
          <t>whole economy</t>
        </is>
      </c>
      <c r="J268" s="113" t="inlineStr">
        <is>
          <t>By 2020, the proportion of coal in total energy consumption in the country will drop below 58%.</t>
        </is>
      </c>
      <c r="K268" s="113" t="inlineStr">
        <is>
          <t>AP1802.htm</t>
        </is>
      </c>
      <c r="L268" s="113" t="inlineStr">
        <is>
          <t>Energy/Power</t>
        </is>
      </c>
      <c r="M268" s="113" t="inlineStr">
        <is>
          <t>Power supply</t>
        </is>
      </c>
    </row>
    <row r="269" ht="18" customHeight="1" s="235">
      <c r="A269" s="113" t="n">
        <v>2014</v>
      </c>
      <c r="B269" s="113" t="inlineStr">
        <is>
          <t>proportion of coal in primary energy consumption</t>
        </is>
      </c>
      <c r="C269" s="113" t="inlineStr">
        <is>
          <t>reduce below</t>
        </is>
      </c>
      <c r="D269" s="113" t="inlineStr">
        <is>
          <t>62%</t>
        </is>
      </c>
      <c r="E269" s="113" t="n"/>
      <c r="F269" s="114" t="inlineStr">
        <is>
          <t>2020</t>
        </is>
      </c>
      <c r="G269" s="113" t="inlineStr">
        <is>
          <t>r</t>
        </is>
      </c>
      <c r="H269" s="113" t="inlineStr">
        <is>
          <t>Coal-related</t>
        </is>
      </c>
      <c r="I269" s="113" t="inlineStr">
        <is>
          <t>whole economy</t>
        </is>
      </c>
      <c r="J269" s="113" t="inlineStr">
        <is>
          <t>On the premise of implementing stricter energy efficiency and environmental protection standards, by 2020, we will strive to reduce the proportion of coal in primary energy consumption to less than 62%.</t>
        </is>
      </c>
      <c r="K269" s="113" t="inlineStr">
        <is>
          <t>AP1403.htm</t>
        </is>
      </c>
      <c r="L269" s="113" t="inlineStr">
        <is>
          <t>Energy/Power</t>
        </is>
      </c>
      <c r="M269" s="113" t="inlineStr">
        <is>
          <t>Power supply</t>
        </is>
      </c>
    </row>
    <row r="270" ht="18" customHeight="1" s="235">
      <c r="A270" s="113" t="n">
        <v>2014</v>
      </c>
      <c r="B270" s="113" t="inlineStr">
        <is>
          <t>proportion of coal in primary energy consumption</t>
        </is>
      </c>
      <c r="C270" s="113" t="inlineStr">
        <is>
          <t>control within</t>
        </is>
      </c>
      <c r="D270" s="113" t="inlineStr">
        <is>
          <t>62%</t>
        </is>
      </c>
      <c r="E270" s="113" t="n"/>
      <c r="F270" s="114" t="inlineStr">
        <is>
          <t>2020</t>
        </is>
      </c>
      <c r="G270" s="113" t="inlineStr">
        <is>
          <t>r</t>
        </is>
      </c>
      <c r="H270" s="113" t="inlineStr">
        <is>
          <t>Coal-related</t>
        </is>
      </c>
      <c r="I270" s="113" t="inlineStr">
        <is>
          <t>whole economy</t>
        </is>
      </c>
      <c r="J270" s="113" t="inlineStr">
        <is>
          <t>By 2020, the proportion of coal in primary energy consumption will be controlled within 62%.</t>
        </is>
      </c>
      <c r="K270" s="113" t="inlineStr">
        <is>
          <t>O1401.htm</t>
        </is>
      </c>
      <c r="L270" s="113" t="inlineStr">
        <is>
          <t>Energy/Power</t>
        </is>
      </c>
      <c r="M270" s="113" t="inlineStr">
        <is>
          <t>Power supply</t>
        </is>
      </c>
    </row>
    <row r="271" ht="18" customHeight="1" s="235">
      <c r="A271" s="113" t="n">
        <v>2013</v>
      </c>
      <c r="B271" s="113" t="inlineStr">
        <is>
          <t>proportion of coal in primary energy consumption</t>
        </is>
      </c>
      <c r="C271" s="113" t="inlineStr">
        <is>
          <t>reduce to</t>
        </is>
      </c>
      <c r="D271" s="113" t="inlineStr">
        <is>
          <t>around 65%</t>
        </is>
      </c>
      <c r="E271" s="113" t="n"/>
      <c r="F271" s="114" t="inlineStr">
        <is>
          <t>2015</t>
        </is>
      </c>
      <c r="G271" s="113" t="inlineStr">
        <is>
          <t>n</t>
        </is>
      </c>
      <c r="H271" s="113" t="inlineStr">
        <is>
          <t>Coal-related</t>
        </is>
      </c>
      <c r="I271" s="113" t="inlineStr">
        <is>
          <t>whole economy</t>
        </is>
      </c>
      <c r="J271" s="113" t="inlineStr">
        <is>
          <t>Coal’s share in primary energy consumption will be reduced to around 65% by 2015.</t>
        </is>
      </c>
      <c r="K271" s="113" t="inlineStr">
        <is>
          <t>FYP1302.htm</t>
        </is>
      </c>
      <c r="L271" s="113" t="inlineStr">
        <is>
          <t>Energy/Power</t>
        </is>
      </c>
      <c r="M271" s="113" t="inlineStr">
        <is>
          <t>Power supply</t>
        </is>
      </c>
    </row>
    <row r="272" ht="18" customHeight="1" s="235">
      <c r="A272" s="113" t="n">
        <v>2013</v>
      </c>
      <c r="B272" s="113" t="inlineStr">
        <is>
          <t>proportion of coal in primary energy consumption</t>
        </is>
      </c>
      <c r="C272" s="113" t="inlineStr">
        <is>
          <t>reduce to</t>
        </is>
      </c>
      <c r="D272" s="113" t="inlineStr">
        <is>
          <t>below 65%</t>
        </is>
      </c>
      <c r="E272" s="113" t="n"/>
      <c r="F272" s="114" t="inlineStr">
        <is>
          <t>2017</t>
        </is>
      </c>
      <c r="G272" s="113" t="inlineStr">
        <is>
          <t>n</t>
        </is>
      </c>
      <c r="H272" s="113" t="inlineStr">
        <is>
          <t>Coal-related</t>
        </is>
      </c>
      <c r="I272" s="113" t="inlineStr">
        <is>
          <t>whole economy</t>
        </is>
      </c>
      <c r="J272" s="113" t="inlineStr">
        <is>
          <t>By 2017, the proportion of coal in total energy consumption will be reduced to below 65%.</t>
        </is>
      </c>
      <c r="K272" s="113" t="inlineStr">
        <is>
          <t>AP1302.htm</t>
        </is>
      </c>
      <c r="L272" s="113" t="inlineStr">
        <is>
          <t>Energy/Power</t>
        </is>
      </c>
      <c r="M272" s="113" t="inlineStr">
        <is>
          <t>Power supply</t>
        </is>
      </c>
    </row>
    <row r="273" ht="18" customHeight="1" s="235">
      <c r="A273" s="113" t="n">
        <v>2014</v>
      </c>
      <c r="B273" s="113" t="inlineStr">
        <is>
          <t>proportion of coal in primary energy consumption</t>
        </is>
      </c>
      <c r="C273" s="113" t="inlineStr">
        <is>
          <t>control within</t>
        </is>
      </c>
      <c r="D273" s="113" t="inlineStr">
        <is>
          <t>62%</t>
        </is>
      </c>
      <c r="E273" s="113" t="n"/>
      <c r="F273" s="114" t="inlineStr">
        <is>
          <t>2020</t>
        </is>
      </c>
      <c r="G273" s="113" t="inlineStr">
        <is>
          <t>n</t>
        </is>
      </c>
      <c r="H273" s="113" t="inlineStr">
        <is>
          <t>Coal-related</t>
        </is>
      </c>
      <c r="I273" s="113" t="inlineStr">
        <is>
          <t>whole economy</t>
        </is>
      </c>
      <c r="J273" s="113" t="inlineStr">
        <is>
          <t>By 2020, the proportion of coal consumption will be controlled within 62%.</t>
        </is>
      </c>
      <c r="K273" s="113" t="inlineStr">
        <is>
          <t>AP1401.htm</t>
        </is>
      </c>
      <c r="L273" s="113" t="inlineStr">
        <is>
          <t>Energy/Power</t>
        </is>
      </c>
      <c r="M273" s="113" t="inlineStr">
        <is>
          <t>Power supply</t>
        </is>
      </c>
    </row>
    <row r="274" ht="18" customHeight="1" s="235">
      <c r="A274" s="113" t="n">
        <v>2016</v>
      </c>
      <c r="B274" s="113" t="inlineStr">
        <is>
          <t>proportion of coal in primary energy consumption</t>
        </is>
      </c>
      <c r="C274" s="113" t="inlineStr">
        <is>
          <t>reduce to</t>
        </is>
      </c>
      <c r="D274" s="113" t="inlineStr">
        <is>
          <t>below 58%</t>
        </is>
      </c>
      <c r="E274" s="113" t="n"/>
      <c r="F274" s="114" t="inlineStr">
        <is>
          <t>2020</t>
        </is>
      </c>
      <c r="G274" s="113" t="inlineStr">
        <is>
          <t>s/l-POS</t>
        </is>
      </c>
      <c r="H274" s="113" t="inlineStr">
        <is>
          <t>Coal-related</t>
        </is>
      </c>
      <c r="I274" s="113" t="inlineStr">
        <is>
          <t>whole economy</t>
        </is>
      </c>
      <c r="J274" s="113" t="inlineStr">
        <is>
          <t>By 2020, the proportion of coal in total energy consumption will drop to below 58%.</t>
        </is>
      </c>
      <c r="K274" s="113" t="inlineStr">
        <is>
          <t>FYP1601.htm</t>
        </is>
      </c>
      <c r="L274" s="113" t="inlineStr">
        <is>
          <t>Energy/Power</t>
        </is>
      </c>
      <c r="M274" s="113" t="inlineStr">
        <is>
          <t>Power supply</t>
        </is>
      </c>
    </row>
    <row r="275" ht="18" customHeight="1" s="235">
      <c r="A275" s="113" t="n">
        <v>2014</v>
      </c>
      <c r="B275" s="113" t="inlineStr">
        <is>
          <t>total coal consumption</t>
        </is>
      </c>
      <c r="C275" s="113" t="inlineStr">
        <is>
          <t>control within</t>
        </is>
      </c>
      <c r="D275" s="113" t="inlineStr">
        <is>
          <t>4.2 billion tons</t>
        </is>
      </c>
      <c r="E275" s="113" t="n"/>
      <c r="F275" s="114" t="inlineStr">
        <is>
          <t>2020</t>
        </is>
      </c>
      <c r="G275" s="113" t="inlineStr">
        <is>
          <t>n</t>
        </is>
      </c>
      <c r="H275" s="113" t="inlineStr">
        <is>
          <t>Coal-related</t>
        </is>
      </c>
      <c r="I275" s="113" t="inlineStr">
        <is>
          <t>whole economy</t>
        </is>
      </c>
      <c r="J275" s="113" t="inlineStr">
        <is>
          <t>By 2020, the total coal consumption will be controlled at around 4.2 billion tons.</t>
        </is>
      </c>
      <c r="K275" s="113" t="inlineStr">
        <is>
          <t>AP1401.htm</t>
        </is>
      </c>
      <c r="L275" s="113" t="inlineStr">
        <is>
          <t>Energy/Power</t>
        </is>
      </c>
      <c r="M275" s="113" t="inlineStr">
        <is>
          <t>Power supply</t>
        </is>
      </c>
    </row>
    <row r="276" ht="18" customHeight="1" s="235">
      <c r="A276" s="113" t="n">
        <v>2026</v>
      </c>
      <c r="B276" s="113" t="inlineStr">
        <is>
          <t>total coal consumption</t>
        </is>
      </c>
      <c r="C276" s="113" t="inlineStr">
        <is>
          <t>peak</t>
        </is>
      </c>
      <c r="D276" s="113" t="n"/>
      <c r="E276" s="113" t="n"/>
      <c r="F276" s="114" t="inlineStr">
        <is>
          <t>15th FYP</t>
        </is>
      </c>
      <c r="G276" s="113" t="inlineStr">
        <is>
          <t>n</t>
        </is>
      </c>
      <c r="H276" s="113" t="inlineStr">
        <is>
          <t>Coal-related</t>
        </is>
      </c>
      <c r="I276" s="113" t="inlineStr">
        <is>
          <t>whole economy</t>
        </is>
      </c>
      <c r="J276" s="113" t="inlineStr">
        <is>
          <t>The plan will deepen energy-saving and carbon-reduction retrofits and coal control, and promote the peaking of coal and oil consumption.</t>
        </is>
      </c>
      <c r="K276" s="113" t="inlineStr">
        <is>
          <t>HL2601.pdf</t>
        </is>
      </c>
      <c r="L276" s="113" t="inlineStr">
        <is>
          <t>Energy/Power</t>
        </is>
      </c>
      <c r="M276" s="113" t="inlineStr">
        <is>
          <t>Power supply</t>
        </is>
      </c>
    </row>
    <row r="277" ht="18" customHeight="1" s="235">
      <c r="A277" s="113" t="n">
        <v>2019</v>
      </c>
      <c r="B277" s="113" t="inlineStr">
        <is>
          <t>proportion of total coal consumption that is used specifically for power generation</t>
        </is>
      </c>
      <c r="C277" s="113" t="inlineStr">
        <is>
          <t>reach</t>
        </is>
      </c>
      <c r="D277" s="113" t="inlineStr">
        <is>
          <t>55%</t>
        </is>
      </c>
      <c r="E277" s="113" t="n"/>
      <c r="F277" s="114" t="inlineStr">
        <is>
          <t>2020</t>
        </is>
      </c>
      <c r="G277" s="113" t="inlineStr">
        <is>
          <t>r</t>
        </is>
      </c>
      <c r="H277" s="113" t="inlineStr">
        <is>
          <t>Coal-related</t>
        </is>
      </c>
      <c r="I277" s="113" t="inlineStr">
        <is>
          <t>sectors</t>
        </is>
      </c>
      <c r="J277" s="113" t="inlineStr">
        <is>
          <t>Besides, new coal- consuming projects are subject to coal consumption reduction and substitution, and the proportion of coal for power generation in the total coal consumption should reach over 55% by 2020.</t>
        </is>
      </c>
      <c r="K277" s="113" t="inlineStr">
        <is>
          <t>HL1903.pdf</t>
        </is>
      </c>
      <c r="L277" s="113" t="inlineStr">
        <is>
          <t>Energy/Power</t>
        </is>
      </c>
      <c r="M277" s="113" t="inlineStr">
        <is>
          <t>Power supply</t>
        </is>
      </c>
    </row>
    <row r="278" ht="18" customHeight="1" s="235">
      <c r="A278" s="113" t="n">
        <v>2026</v>
      </c>
      <c r="B278" s="113" t="inlineStr">
        <is>
          <t>coal consumption replaced through clean substitution</t>
        </is>
      </c>
      <c r="C278" s="113" t="inlineStr">
        <is>
          <t>reach</t>
        </is>
      </c>
      <c r="D278" s="113" t="inlineStr">
        <is>
          <t>30 million tonnes per year</t>
        </is>
      </c>
      <c r="E278" s="113" t="n"/>
      <c r="F278" s="114" t="inlineStr">
        <is>
          <t>15th FYP</t>
        </is>
      </c>
      <c r="G278" s="113" t="inlineStr">
        <is>
          <t>n</t>
        </is>
      </c>
      <c r="H278" s="113" t="inlineStr">
        <is>
          <t>Renewable energy</t>
        </is>
      </c>
      <c r="I278" s="113" t="inlineStr">
        <is>
          <t>sectors</t>
        </is>
      </c>
      <c r="J278" s="113" t="inlineStr">
        <is>
          <t>The plan will promote clean substitution of coal consumption in food, textiles, papermaking and other sectors, with coal-consumption substitution reaching 30 million tonnes per year.</t>
        </is>
      </c>
      <c r="K278" s="113" t="inlineStr">
        <is>
          <t>HL2601.pdf</t>
        </is>
      </c>
      <c r="L278" s="113" t="inlineStr">
        <is>
          <t>Energy/Power</t>
        </is>
      </c>
      <c r="M278" s="113" t="inlineStr">
        <is>
          <t>Power supply</t>
        </is>
      </c>
    </row>
    <row r="279" ht="18" customHeight="1" s="235">
      <c r="A279" s="113" t="n">
        <v>2013</v>
      </c>
      <c r="B279" s="113" t="inlineStr">
        <is>
          <t>coal mining mechanization rate</t>
        </is>
      </c>
      <c r="C279" s="113" t="inlineStr">
        <is>
          <t>reach</t>
        </is>
      </c>
      <c r="D279" s="113" t="inlineStr">
        <is>
          <t>75%</t>
        </is>
      </c>
      <c r="E279" s="113" t="n"/>
      <c r="F279" s="114" t="inlineStr">
        <is>
          <t>2015</t>
        </is>
      </c>
      <c r="G279" s="113" t="inlineStr">
        <is>
          <t>n</t>
        </is>
      </c>
      <c r="H279" s="113" t="inlineStr">
        <is>
          <t>Coal-related</t>
        </is>
      </c>
      <c r="I279" s="113" t="inlineStr">
        <is>
          <t>sectors</t>
        </is>
      </c>
      <c r="J279" s="113" t="inlineStr">
        <is>
          <t>By 2015, coal mining mechanization will reach over 75%.</t>
        </is>
      </c>
      <c r="K279" s="113" t="inlineStr">
        <is>
          <t>FYP1302.htm</t>
        </is>
      </c>
      <c r="L279" s="113" t="inlineStr">
        <is>
          <t>Energy/Power</t>
        </is>
      </c>
      <c r="M279" s="113" t="inlineStr">
        <is>
          <t>Power supply</t>
        </is>
      </c>
    </row>
    <row r="280" ht="18" customHeight="1" s="235">
      <c r="A280" s="113" t="n">
        <v>2017</v>
      </c>
      <c r="B280" s="113" t="inlineStr">
        <is>
          <t>suspension or deceleration of construction of coal-fired power capacity</t>
        </is>
      </c>
      <c r="C280" s="113" t="inlineStr">
        <is>
          <t>suspend or slow down</t>
        </is>
      </c>
      <c r="D280" s="113" t="inlineStr">
        <is>
          <t>150 million kilowatts</t>
        </is>
      </c>
      <c r="E280" s="113" t="n"/>
      <c r="F280" s="114" t="inlineStr">
        <is>
          <t>13th FYP</t>
        </is>
      </c>
      <c r="G280" s="113" t="inlineStr">
        <is>
          <t>r</t>
        </is>
      </c>
      <c r="H280" s="113" t="inlineStr">
        <is>
          <t>Coal-related</t>
        </is>
      </c>
      <c r="I280" s="113" t="inlineStr">
        <is>
          <t>sectors</t>
        </is>
      </c>
      <c r="J280" s="113" t="inlineStr">
        <is>
          <t>During the 13th Five-Year Plan period, the country will suspend or slow down the construction of 150 million kilowatts of coal-fired power capacity.</t>
        </is>
      </c>
      <c r="K280" s="113" t="inlineStr">
        <is>
          <t>O1703.pdf</t>
        </is>
      </c>
      <c r="L280" s="113" t="inlineStr">
        <is>
          <t>Energy/Power</t>
        </is>
      </c>
      <c r="M280" s="113" t="inlineStr">
        <is>
          <t>Power supply</t>
        </is>
      </c>
    </row>
    <row r="281" ht="18" customHeight="1" s="235">
      <c r="A281" s="113" t="n">
        <v>2021</v>
      </c>
      <c r="B281" s="113" t="inlineStr">
        <is>
          <t>emergency standby capacity of coal-fired power units</t>
        </is>
      </c>
      <c r="C281" s="113" t="inlineStr">
        <is>
          <t>create and maintain</t>
        </is>
      </c>
      <c r="D281" s="113" t="inlineStr">
        <is>
          <t>15 million kilowatts</t>
        </is>
      </c>
      <c r="E281" s="113" t="n"/>
      <c r="F281" s="114" t="inlineStr">
        <is>
          <t>14th FYP</t>
        </is>
      </c>
      <c r="G281" s="113" t="inlineStr">
        <is>
          <t>n</t>
        </is>
      </c>
      <c r="H281" s="113" t="inlineStr">
        <is>
          <t>Coal-related</t>
        </is>
      </c>
      <c r="I281" s="113" t="inlineStr">
        <is>
          <t>areas</t>
        </is>
      </c>
      <c r="J281" s="113" t="inlineStr">
        <is>
          <t>During the 14th Five-Year Plan period, an emergency standby capacity of 15 million kilowatts of coal-fired power units will be created and maintained.</t>
        </is>
      </c>
      <c r="K281" s="113" t="inlineStr">
        <is>
          <t>IP2107.pdf</t>
        </is>
      </c>
      <c r="L281" s="113" t="inlineStr">
        <is>
          <t>Energy/Power</t>
        </is>
      </c>
      <c r="M281" s="113" t="inlineStr">
        <is>
          <t>Power transmission/Energy transportation</t>
        </is>
      </c>
    </row>
    <row r="282" ht="18" customHeight="1" s="235">
      <c r="A282" s="113" t="n">
        <v>2014</v>
      </c>
      <c r="B282" s="113" t="inlineStr">
        <is>
          <t>transformation of coal power units</t>
        </is>
      </c>
      <c r="C282" s="113" t="inlineStr">
        <is>
          <t>complete</t>
        </is>
      </c>
      <c r="D282" s="113" t="inlineStr">
        <is>
          <t>150 million kilowatts</t>
        </is>
      </c>
      <c r="E282" s="113" t="n"/>
      <c r="F282" s="114" t="inlineStr">
        <is>
          <t>2014-2015</t>
        </is>
      </c>
      <c r="G282" s="113" t="inlineStr">
        <is>
          <t>n</t>
        </is>
      </c>
      <c r="H282" s="113" t="inlineStr">
        <is>
          <t>Coal-related</t>
        </is>
      </c>
      <c r="I282" s="113" t="inlineStr">
        <is>
          <t>sectors</t>
        </is>
      </c>
      <c r="J282" s="113" t="inlineStr">
        <is>
          <t>We will strive to complete the transformation of 150 million kilowatts of generating coal power units by 2015.</t>
        </is>
      </c>
      <c r="K282" s="113" t="inlineStr">
        <is>
          <t>AP1403.htm</t>
        </is>
      </c>
      <c r="L282" s="113" t="inlineStr">
        <is>
          <t>Energy/Power</t>
        </is>
      </c>
      <c r="M282" s="113" t="inlineStr">
        <is>
          <t>Power transmission/Energy transportation</t>
        </is>
      </c>
    </row>
    <row r="283" ht="18" customHeight="1" s="235">
      <c r="A283" s="113" t="n">
        <v>2014</v>
      </c>
      <c r="B283" s="113" t="inlineStr">
        <is>
          <t>transformation of coal power units</t>
        </is>
      </c>
      <c r="C283" s="113" t="inlineStr">
        <is>
          <t>complete</t>
        </is>
      </c>
      <c r="D283" s="113" t="inlineStr">
        <is>
          <t>350 million kilowatts</t>
        </is>
      </c>
      <c r="E283" s="113" t="n"/>
      <c r="F283" s="114" t="inlineStr">
        <is>
          <t>13th FYP</t>
        </is>
      </c>
      <c r="G283" s="113" t="inlineStr">
        <is>
          <t>n</t>
        </is>
      </c>
      <c r="H283" s="113" t="inlineStr">
        <is>
          <t>Coal-related</t>
        </is>
      </c>
      <c r="I283" s="113" t="inlineStr">
        <is>
          <t>sectors</t>
        </is>
      </c>
      <c r="J283" s="113" t="inlineStr">
        <is>
          <t>We will strive to complete the transformation of 350 million kilowatts during the 13th Five-Year Plan period.</t>
        </is>
      </c>
      <c r="K283" s="113" t="inlineStr">
        <is>
          <t>AP1403.htm</t>
        </is>
      </c>
      <c r="L283" s="113" t="inlineStr">
        <is>
          <t>Energy/Power</t>
        </is>
      </c>
      <c r="M283" s="113" t="inlineStr">
        <is>
          <t>Power transmission/Energy transportation</t>
        </is>
      </c>
    </row>
    <row r="284" ht="18" customHeight="1" s="235">
      <c r="A284" s="113" t="n">
        <v>2021</v>
      </c>
      <c r="B284" s="113" t="inlineStr">
        <is>
          <t>transformation of coal-fired power plants</t>
        </is>
      </c>
      <c r="C284" s="113" t="inlineStr">
        <is>
          <t>reach</t>
        </is>
      </c>
      <c r="D284" s="113" t="inlineStr">
        <is>
          <t>350 million kilowatts</t>
        </is>
      </c>
      <c r="E284" s="113" t="n"/>
      <c r="F284" s="114" t="inlineStr">
        <is>
          <t>14th FYP</t>
        </is>
      </c>
      <c r="G284" s="113" t="inlineStr">
        <is>
          <t>n</t>
        </is>
      </c>
      <c r="H284" s="113" t="inlineStr">
        <is>
          <t>Coal-related</t>
        </is>
      </c>
      <c r="I284" s="113" t="inlineStr">
        <is>
          <t>sectors</t>
        </is>
      </c>
      <c r="J284" s="113" t="inlineStr">
        <is>
          <t>During the 14th Five-Year Plan period, the scale of transformation of coal-fired power plants will be no less than 350 million kilowatts.</t>
        </is>
      </c>
      <c r="K284" s="113" t="inlineStr">
        <is>
          <t>IP2107.pdf</t>
        </is>
      </c>
      <c r="L284" s="113" t="inlineStr">
        <is>
          <t>Energy/Power</t>
        </is>
      </c>
      <c r="M284" s="113" t="inlineStr">
        <is>
          <t>Power supply</t>
        </is>
      </c>
    </row>
    <row r="285" ht="18" customHeight="1" s="235">
      <c r="A285" s="113" t="n">
        <v>2017</v>
      </c>
      <c r="B285" s="113" t="inlineStr">
        <is>
          <t>flexibility transformation of thermal power units</t>
        </is>
      </c>
      <c r="C285" s="113" t="inlineStr">
        <is>
          <t>implement</t>
        </is>
      </c>
      <c r="D285" s="113" t="inlineStr">
        <is>
          <t>220 million kilowatts</t>
        </is>
      </c>
      <c r="E285" s="113" t="n"/>
      <c r="F285" s="114" t="inlineStr">
        <is>
          <t>13th FYP</t>
        </is>
      </c>
      <c r="G285" s="113" t="inlineStr">
        <is>
          <t>n</t>
        </is>
      </c>
      <c r="H285" s="113" t="inlineStr">
        <is>
          <t>Coal-related</t>
        </is>
      </c>
      <c r="I285" s="113" t="inlineStr">
        <is>
          <t>sectors</t>
        </is>
      </c>
      <c r="J285" s="113" t="inlineStr">
        <is>
          <t>During the 13th Five-Year Plan period, the country will implement flexibility transformation of 220 million kilowatts of coal-fired power capacity.</t>
        </is>
      </c>
      <c r="K285" s="113" t="inlineStr">
        <is>
          <t>O1703.pdf</t>
        </is>
      </c>
      <c r="L285" s="113" t="inlineStr">
        <is>
          <t>Energy/Power</t>
        </is>
      </c>
      <c r="M285" s="113" t="inlineStr">
        <is>
          <t>Power transmission/Energy transportation</t>
        </is>
      </c>
    </row>
    <row r="286" ht="18" customHeight="1" s="235">
      <c r="A286" s="113" t="n">
        <v>2016</v>
      </c>
      <c r="B286" s="113" t="inlineStr">
        <is>
          <t>energy-saving transformation of coal-fired power</t>
        </is>
      </c>
      <c r="C286" s="113" t="inlineStr">
        <is>
          <t>implement</t>
        </is>
      </c>
      <c r="D286" s="113" t="inlineStr">
        <is>
          <t>340 million kilowatts</t>
        </is>
      </c>
      <c r="E286" s="113" t="n"/>
      <c r="F286" s="114" t="inlineStr">
        <is>
          <t>13th FYP</t>
        </is>
      </c>
      <c r="G286" s="113" t="inlineStr">
        <is>
          <t>n</t>
        </is>
      </c>
      <c r="H286" s="113" t="inlineStr">
        <is>
          <t>Coal-related</t>
        </is>
      </c>
      <c r="I286" s="113" t="inlineStr">
        <is>
          <t>sectors</t>
        </is>
      </c>
      <c r="J286" s="113" t="inlineStr">
        <is>
          <t>During the 13th Five-Year Plan period, the country will implement energy-saving transformation of about 340 million kilowatts of coal-fired power.</t>
        </is>
      </c>
      <c r="K286" s="113" t="inlineStr">
        <is>
          <t>FYP1607.pdf</t>
        </is>
      </c>
      <c r="L286" s="113" t="inlineStr">
        <is>
          <t>Energy/Power</t>
        </is>
      </c>
      <c r="M286" s="113" t="inlineStr">
        <is>
          <t>Power transmission/Energy transportation</t>
        </is>
      </c>
    </row>
    <row r="287" ht="18" customHeight="1" s="235">
      <c r="A287" s="0" t="n">
        <v>2017</v>
      </c>
      <c r="B287" s="0" t="inlineStr">
        <is>
          <t>transformation of coal-fired power units into ultra-low emissions</t>
        </is>
      </c>
      <c r="C287" s="0" t="inlineStr">
        <is>
          <t>implement</t>
        </is>
      </c>
      <c r="D287" s="0" t="inlineStr">
        <is>
          <t>420 million kilowatts</t>
        </is>
      </c>
      <c r="F287" s="0" t="inlineStr">
        <is>
          <t>13th FYP</t>
        </is>
      </c>
      <c r="G287" s="0" t="inlineStr">
        <is>
          <t>r</t>
        </is>
      </c>
      <c r="H287" s="0" t="inlineStr">
        <is>
          <t>Coal-related</t>
        </is>
      </c>
      <c r="I287" s="0" t="inlineStr">
        <is>
          <t>sectors</t>
        </is>
      </c>
      <c r="J287" s="0" t="inlineStr">
        <is>
          <t>During the 13th Five-Year Plan period, the country will implement ultra-low emission transformation of 420 million kilowatts of coal-fired power.</t>
        </is>
      </c>
      <c r="K287" s="0" t="inlineStr">
        <is>
          <t>O1703.pdf</t>
        </is>
      </c>
      <c r="L287" s="0" t="inlineStr">
        <is>
          <t>Energy/Power</t>
        </is>
      </c>
      <c r="M287" s="0" t="inlineStr">
        <is>
          <t>Coal power</t>
        </is>
      </c>
    </row>
    <row r="288" ht="18" customHeight="1" s="235">
      <c r="A288" s="0" t="n">
        <v>2016</v>
      </c>
      <c r="B288" s="0" t="inlineStr">
        <is>
          <t>transformation of coal-fired power units into ultra-low emissions</t>
        </is>
      </c>
      <c r="C288" s="0" t="inlineStr">
        <is>
          <t>implement</t>
        </is>
      </c>
      <c r="D288" s="0" t="inlineStr">
        <is>
          <t>420 million kilowatts</t>
        </is>
      </c>
      <c r="F288" s="0" t="inlineStr">
        <is>
          <t>13th FYP</t>
        </is>
      </c>
      <c r="G288" s="0" t="inlineStr">
        <is>
          <t>n</t>
        </is>
      </c>
      <c r="H288" s="0" t="inlineStr">
        <is>
          <t>Coal-related</t>
        </is>
      </c>
      <c r="I288" s="0" t="inlineStr">
        <is>
          <t>sectors</t>
        </is>
      </c>
      <c r="J288" s="0" t="inlineStr">
        <is>
          <t>During the 13th Five-Year Plan period, the country will implement ultra-low emission transformation of about 420 million kilowatts of coal-fired power.</t>
        </is>
      </c>
      <c r="K288" s="0" t="inlineStr">
        <is>
          <t>FYP1607.pdf</t>
        </is>
      </c>
      <c r="L288" s="0" t="inlineStr">
        <is>
          <t>Energy/Power</t>
        </is>
      </c>
      <c r="M288" s="0" t="inlineStr">
        <is>
          <t>Coal power</t>
        </is>
      </c>
    </row>
    <row r="289" ht="18" customHeight="1" s="235">
      <c r="A289" s="0" t="n">
        <v>2017</v>
      </c>
      <c r="B289" s="0" t="inlineStr">
        <is>
          <t>energy-saving transformation of coal-fired power</t>
        </is>
      </c>
      <c r="C289" s="0" t="inlineStr">
        <is>
          <t>implement</t>
        </is>
      </c>
      <c r="D289" s="0" t="inlineStr">
        <is>
          <t>340 million kilowatts</t>
        </is>
      </c>
      <c r="F289" s="0" t="inlineStr">
        <is>
          <t>13th FYP</t>
        </is>
      </c>
      <c r="G289" s="0" t="inlineStr">
        <is>
          <t>r</t>
        </is>
      </c>
      <c r="H289" s="0" t="inlineStr">
        <is>
          <t>Coal-related</t>
        </is>
      </c>
      <c r="I289" s="0" t="inlineStr">
        <is>
          <t>sectors</t>
        </is>
      </c>
      <c r="J289" s="0" t="inlineStr">
        <is>
          <t>During the 13th Five-Year Plan period, the country will implement energy-saving transformation of 340 million kilowatts of coal-fired power capacity.</t>
        </is>
      </c>
      <c r="K289" s="0" t="inlineStr">
        <is>
          <t>O1703.pdf</t>
        </is>
      </c>
      <c r="L289" s="0" t="inlineStr">
        <is>
          <t>Energy/Power</t>
        </is>
      </c>
      <c r="M289" s="0" t="inlineStr">
        <is>
          <t>Power supply</t>
        </is>
      </c>
    </row>
    <row r="290" ht="18" customHeight="1" s="235">
      <c r="A290" s="0" t="n">
        <v>2021</v>
      </c>
      <c r="B290" s="0" t="inlineStr">
        <is>
          <t>energy-saving transformation of coal-fired power</t>
        </is>
      </c>
      <c r="C290" s="0" t="inlineStr">
        <is>
          <t>reach</t>
        </is>
      </c>
      <c r="D290" s="0" t="inlineStr">
        <is>
          <t>350 million kilowatts</t>
        </is>
      </c>
      <c r="F290" s="0" t="inlineStr">
        <is>
          <t>14th FYP</t>
        </is>
      </c>
      <c r="G290" s="0" t="inlineStr">
        <is>
          <t>r</t>
        </is>
      </c>
      <c r="H290" s="0" t="inlineStr">
        <is>
          <t>Coal-related</t>
        </is>
      </c>
      <c r="I290" s="0" t="inlineStr">
        <is>
          <t>sectors</t>
        </is>
      </c>
      <c r="J290" s="0" t="inlineStr">
        <is>
          <t>During the 14th Five-Year Plan period, the scale of energy-saving transformation of coal-fired power generation will be no less than 350 million kilowatts.</t>
        </is>
      </c>
      <c r="K290" s="0" t="inlineStr">
        <is>
          <t>FYP2105.pdf</t>
        </is>
      </c>
      <c r="L290" s="0" t="inlineStr">
        <is>
          <t>Energy/Power</t>
        </is>
      </c>
      <c r="M290" s="0" t="inlineStr">
        <is>
          <t>Power supply</t>
        </is>
      </c>
    </row>
    <row r="291" ht="18" customHeight="1" s="235">
      <c r="A291" s="113" t="n">
        <v>2021</v>
      </c>
      <c r="B291" s="113" t="inlineStr">
        <is>
          <t>obsolete coal-fired power production capacity</t>
        </is>
      </c>
      <c r="C291" s="113" t="inlineStr">
        <is>
          <t>eliminate</t>
        </is>
      </c>
      <c r="D291" s="113" t="inlineStr">
        <is>
          <t>30 million kilowatts</t>
        </is>
      </c>
      <c r="E291" s="113" t="n"/>
      <c r="F291" s="114" t="inlineStr">
        <is>
          <t>14th FYP</t>
        </is>
      </c>
      <c r="G291" s="113" t="inlineStr">
        <is>
          <t>n</t>
        </is>
      </c>
      <c r="H291" s="113" t="inlineStr">
        <is>
          <t>Coal-related</t>
        </is>
      </c>
      <c r="I291" s="113" t="inlineStr">
        <is>
          <t>sectors</t>
        </is>
      </c>
      <c r="J291" s="113" t="inlineStr">
        <is>
          <t>Eliminate 30 million kilowatts of obsolete coal-fired power production capacity (including units retired due to expiration) during the 14th Five-Year Plan period.</t>
        </is>
      </c>
      <c r="K291" s="113" t="inlineStr">
        <is>
          <t>FYP2105.pdf</t>
        </is>
      </c>
      <c r="L291" s="113" t="inlineStr">
        <is>
          <t>Energy/Power</t>
        </is>
      </c>
      <c r="M291" s="113" t="inlineStr">
        <is>
          <t>Power supply</t>
        </is>
      </c>
    </row>
    <row r="292" ht="18" customHeight="1" s="235">
      <c r="A292" s="113" t="n">
        <v>2013</v>
      </c>
      <c r="B292" s="113" t="inlineStr">
        <is>
          <t>installed capacity of coal-fired power generation</t>
        </is>
      </c>
      <c r="C292" s="113" t="inlineStr">
        <is>
          <t>increase to</t>
        </is>
      </c>
      <c r="D292" s="113" t="inlineStr">
        <is>
          <t>960 million kilowatts</t>
        </is>
      </c>
      <c r="E292" s="113" t="n"/>
      <c r="F292" s="114" t="inlineStr">
        <is>
          <t>2015</t>
        </is>
      </c>
      <c r="G292" s="113" t="inlineStr">
        <is>
          <t>n</t>
        </is>
      </c>
      <c r="H292" s="113" t="inlineStr">
        <is>
          <t>Coal-related</t>
        </is>
      </c>
      <c r="I292" s="113" t="inlineStr">
        <is>
          <t>whole economy</t>
        </is>
      </c>
      <c r="J292" s="113" t="inlineStr">
        <is>
          <t>Installed coal power capacity will grow to 960 million kW by 2015.</t>
        </is>
      </c>
      <c r="K292" s="113" t="inlineStr">
        <is>
          <t>FYP1302.htm</t>
        </is>
      </c>
      <c r="L292" s="113" t="inlineStr">
        <is>
          <t>Energy/Power</t>
        </is>
      </c>
      <c r="M292" s="113" t="inlineStr">
        <is>
          <t>Power supply</t>
        </is>
      </c>
    </row>
    <row r="293" ht="18" customHeight="1" s="235">
      <c r="A293" s="113" t="n">
        <v>2017</v>
      </c>
      <c r="B293" s="113" t="inlineStr">
        <is>
          <t>installed capacity of coal-fired power generation</t>
        </is>
      </c>
      <c r="C293" s="113" t="inlineStr">
        <is>
          <t>control within</t>
        </is>
      </c>
      <c r="D293" s="113" t="inlineStr">
        <is>
          <t>1.1 billion kilowatts</t>
        </is>
      </c>
      <c r="E293" s="113" t="n"/>
      <c r="F293" s="114" t="inlineStr">
        <is>
          <t>2020</t>
        </is>
      </c>
      <c r="G293" s="113" t="inlineStr">
        <is>
          <t>n</t>
        </is>
      </c>
      <c r="H293" s="113" t="inlineStr">
        <is>
          <t>Coal-related</t>
        </is>
      </c>
      <c r="I293" s="113" t="inlineStr">
        <is>
          <t>whole economy</t>
        </is>
      </c>
      <c r="J293" s="113" t="inlineStr">
        <is>
          <t>We will take measures to control the total scale of coal-fired power installed capacity within 1.1 billion kilowatts by 2020.</t>
        </is>
      </c>
      <c r="K293" s="113" t="inlineStr">
        <is>
          <t>GO1703.pdf</t>
        </is>
      </c>
      <c r="L293" s="113" t="inlineStr">
        <is>
          <t>Energy/Power</t>
        </is>
      </c>
      <c r="M293" s="113" t="inlineStr">
        <is>
          <t>Power supply</t>
        </is>
      </c>
    </row>
    <row r="294" ht="18" customHeight="1" s="235">
      <c r="A294" s="113" t="n">
        <v>2012</v>
      </c>
      <c r="B294" s="113" t="inlineStr">
        <is>
          <t>utilization capacity of large solid wastes such as coal gangue</t>
        </is>
      </c>
      <c r="C294" s="113" t="inlineStr">
        <is>
          <t>reach</t>
        </is>
      </c>
      <c r="D294" s="113" t="inlineStr">
        <is>
          <t>400 million tons</t>
        </is>
      </c>
      <c r="E294" s="113" t="n"/>
      <c r="F294" s="114" t="inlineStr">
        <is>
          <t>2015</t>
        </is>
      </c>
      <c r="G294" s="113" t="inlineStr">
        <is>
          <t>n</t>
        </is>
      </c>
      <c r="H294" s="113" t="inlineStr">
        <is>
          <t>Resource efficiency</t>
        </is>
      </c>
      <c r="I294" s="113" t="inlineStr">
        <is>
          <t>unclear</t>
        </is>
      </c>
      <c r="J294" s="113" t="inlineStr">
        <is>
          <t>By 2015, the comprehensive utilization capacity of large solid wastes such as coal gangue will reach 400 million tons per year.</t>
        </is>
      </c>
      <c r="K294" s="113" t="inlineStr">
        <is>
          <t>FYP1203.htm</t>
        </is>
      </c>
      <c r="L294" s="113" t="inlineStr">
        <is>
          <t>Energy/Power</t>
        </is>
      </c>
      <c r="M294" s="113" t="inlineStr">
        <is>
          <t>Power supply</t>
        </is>
      </c>
    </row>
    <row r="295" ht="18" customHeight="1" s="235">
      <c r="A295" s="113" t="n">
        <v>2013</v>
      </c>
      <c r="B295" s="113" t="inlineStr">
        <is>
          <t xml:space="preserve">utilization rate of coal gangue </t>
        </is>
      </c>
      <c r="C295" s="113" t="inlineStr">
        <is>
          <t>increase to</t>
        </is>
      </c>
      <c r="D295" s="113" t="inlineStr">
        <is>
          <t>75%</t>
        </is>
      </c>
      <c r="E295" s="113" t="n"/>
      <c r="F295" s="114" t="inlineStr">
        <is>
          <t>2015</t>
        </is>
      </c>
      <c r="G295" s="113" t="inlineStr">
        <is>
          <t>r</t>
        </is>
      </c>
      <c r="H295" s="113" t="inlineStr">
        <is>
          <t>Resource efficiency</t>
        </is>
      </c>
      <c r="I295" s="113" t="inlineStr">
        <is>
          <t>unclear</t>
        </is>
      </c>
      <c r="J295" s="113" t="inlineStr">
        <is>
          <t>By 2015, the comprehensive utilization rate of coal gangue will rise to 75%.</t>
        </is>
      </c>
      <c r="K295" s="113" t="inlineStr">
        <is>
          <t>FYP1302.htm</t>
        </is>
      </c>
      <c r="L295" s="113" t="inlineStr">
        <is>
          <t>Energy/Power</t>
        </is>
      </c>
      <c r="M295" s="113" t="inlineStr">
        <is>
          <t>Power supply</t>
        </is>
      </c>
    </row>
    <row r="296" ht="18" customHeight="1" s="235">
      <c r="A296" s="113" t="n">
        <v>2013</v>
      </c>
      <c r="B296" s="113" t="inlineStr">
        <is>
          <t xml:space="preserve">utilization rate of coal gangue    </t>
        </is>
      </c>
      <c r="C296" s="113" t="inlineStr">
        <is>
          <t>reach</t>
        </is>
      </c>
      <c r="D296" s="113" t="inlineStr">
        <is>
          <t>75%</t>
        </is>
      </c>
      <c r="E296" s="113" t="n"/>
      <c r="F296" s="114" t="inlineStr">
        <is>
          <t>2015</t>
        </is>
      </c>
      <c r="G296" s="113" t="inlineStr">
        <is>
          <t>n</t>
        </is>
      </c>
      <c r="H296" s="113" t="inlineStr">
        <is>
          <t>Resource efficiency</t>
        </is>
      </c>
      <c r="I296" s="113" t="inlineStr">
        <is>
          <t>unclear</t>
        </is>
      </c>
      <c r="J296" s="113" t="inlineStr">
        <is>
          <t>By 2015, the comprehensive utilization rate of coal gangue will reach 75%.</t>
        </is>
      </c>
      <c r="K296" s="113" t="inlineStr">
        <is>
          <t>DP1301.htm</t>
        </is>
      </c>
      <c r="L296" s="113" t="inlineStr">
        <is>
          <t>Energy/Power</t>
        </is>
      </c>
      <c r="M296" s="113" t="inlineStr">
        <is>
          <t>Power supply</t>
        </is>
      </c>
    </row>
    <row r="297" ht="18" customHeight="1" s="235">
      <c r="A297" s="113" t="n">
        <v>2024</v>
      </c>
      <c r="B297" s="113" t="inlineStr">
        <is>
          <t xml:space="preserve">utilization of coal mine gas  </t>
        </is>
      </c>
      <c r="C297" s="113" t="inlineStr">
        <is>
          <t>reach</t>
        </is>
      </c>
      <c r="D297" s="113" t="inlineStr">
        <is>
          <t>6 billion m3</t>
        </is>
      </c>
      <c r="E297" s="113" t="n"/>
      <c r="F297" s="114" t="inlineStr">
        <is>
          <t>2025</t>
        </is>
      </c>
      <c r="G297" s="113" t="inlineStr">
        <is>
          <t>r</t>
        </is>
      </c>
      <c r="H297" s="113" t="inlineStr">
        <is>
          <t>Transitional energy</t>
        </is>
      </c>
      <c r="I297" s="113" t="inlineStr">
        <is>
          <t>unclear</t>
        </is>
      </c>
      <c r="J297" s="113" t="inlineStr">
        <is>
          <t>By 2025, the annual utilization of coal mine gas will reach 6 billion m3</t>
        </is>
      </c>
      <c r="K297" s="113" t="inlineStr">
        <is>
          <t>HL2401.pdf</t>
        </is>
      </c>
      <c r="L297" s="113" t="inlineStr">
        <is>
          <t>Energy/Power</t>
        </is>
      </c>
      <c r="M297" s="113" t="inlineStr">
        <is>
          <t>Power transmission/Energy transportation</t>
        </is>
      </c>
    </row>
    <row r="298" ht="18" customHeight="1" s="235">
      <c r="A298" s="0" t="n">
        <v>2024</v>
      </c>
      <c r="B298" s="0" t="inlineStr">
        <is>
          <t xml:space="preserve">utilization of coal mine gas  </t>
        </is>
      </c>
      <c r="C298" s="0" t="inlineStr">
        <is>
          <t>reach</t>
        </is>
      </c>
      <c r="D298" s="0" t="inlineStr">
        <is>
          <t>6 billion cubic meters</t>
        </is>
      </c>
      <c r="F298" s="0" t="inlineStr">
        <is>
          <t>2025</t>
        </is>
      </c>
      <c r="G298" s="0" t="inlineStr">
        <is>
          <t>n</t>
        </is>
      </c>
      <c r="H298" s="0" t="inlineStr">
        <is>
          <t>Transitional energy</t>
        </is>
      </c>
      <c r="I298" s="0" t="inlineStr">
        <is>
          <t>unclear</t>
        </is>
      </c>
      <c r="J298" s="0" t="inlineStr">
        <is>
          <t>By 2025, the utilization of coal mine gas will reach 6 billion cubic meters.</t>
        </is>
      </c>
      <c r="K298" s="0" t="inlineStr">
        <is>
          <t>HL2401.pdf</t>
        </is>
      </c>
      <c r="L298" s="0" t="inlineStr">
        <is>
          <t>Energy/Power</t>
        </is>
      </c>
      <c r="M298" s="0" t="inlineStr">
        <is>
          <t>Power supply</t>
        </is>
      </c>
    </row>
    <row r="299" ht="18" customHeight="1" s="235">
      <c r="A299" s="113" t="n">
        <v>2014</v>
      </c>
      <c r="B299" s="113" t="inlineStr">
        <is>
          <t>flue gas bypass of coal-fired units</t>
        </is>
      </c>
      <c r="C299" s="113" t="inlineStr">
        <is>
          <t>dismantle</t>
        </is>
      </c>
      <c r="D299" s="113" t="inlineStr">
        <is>
          <t>250 million kilowatts</t>
        </is>
      </c>
      <c r="E299" s="113" t="n"/>
      <c r="F299" s="114" t="inlineStr">
        <is>
          <t>2014-2015</t>
        </is>
      </c>
      <c r="G299" s="113" t="inlineStr">
        <is>
          <t>n</t>
        </is>
      </c>
      <c r="H299" s="113" t="inlineStr">
        <is>
          <t>Coal-related</t>
        </is>
      </c>
      <c r="I299" s="113" t="inlineStr">
        <is>
          <t>sectors</t>
        </is>
      </c>
      <c r="J299" s="113" t="inlineStr">
        <is>
          <t>Dismantle the flue gas bypass of 250 million kilowatts of coal-fired units</t>
        </is>
      </c>
      <c r="K299" s="113" t="inlineStr">
        <is>
          <t>AP1404.htm</t>
        </is>
      </c>
      <c r="L299" s="113" t="inlineStr">
        <is>
          <t>Energy/Power</t>
        </is>
      </c>
      <c r="M299" s="113" t="inlineStr">
        <is>
          <t>Power supply</t>
        </is>
      </c>
    </row>
    <row r="300" ht="18" customHeight="1" s="235">
      <c r="A300" s="113" t="n">
        <v>2014</v>
      </c>
      <c r="B300" s="113" t="inlineStr">
        <is>
          <t>denitrification transformation of coal-fired units</t>
        </is>
      </c>
      <c r="C300" s="113" t="inlineStr">
        <is>
          <t>complete</t>
        </is>
      </c>
      <c r="D300" s="113" t="inlineStr">
        <is>
          <t>300 million kilowatts</t>
        </is>
      </c>
      <c r="E300" s="113" t="n"/>
      <c r="F300" s="114" t="inlineStr">
        <is>
          <t>2014-2015</t>
        </is>
      </c>
      <c r="G300" s="113" t="inlineStr">
        <is>
          <t>n</t>
        </is>
      </c>
      <c r="H300" s="113" t="inlineStr">
        <is>
          <t>Coal-related</t>
        </is>
      </c>
      <c r="I300" s="113" t="inlineStr">
        <is>
          <t>sectors</t>
        </is>
      </c>
      <c r="J300" s="113" t="inlineStr">
        <is>
          <t>Complete the denitrification transformation of 300 million kilowatts of coal-fired units.</t>
        </is>
      </c>
      <c r="K300" s="113" t="inlineStr">
        <is>
          <t>AP1404.htm</t>
        </is>
      </c>
      <c r="L300" s="113" t="inlineStr">
        <is>
          <t>Energy/Power</t>
        </is>
      </c>
      <c r="M300" s="113" t="inlineStr">
        <is>
          <t>Power supply</t>
        </is>
      </c>
    </row>
    <row r="301" ht="18" customHeight="1" s="235">
      <c r="A301" s="113" t="n">
        <v>2012</v>
      </c>
      <c r="B301" s="113" t="inlineStr">
        <is>
          <t>denitrification efficiency of coal-fired units</t>
        </is>
      </c>
      <c r="C301" s="113" t="inlineStr">
        <is>
          <t>reach</t>
        </is>
      </c>
      <c r="D301" s="113" t="inlineStr">
        <is>
          <t>75%</t>
        </is>
      </c>
      <c r="E301" s="113" t="n"/>
      <c r="F301" s="114" t="inlineStr">
        <is>
          <t>2015</t>
        </is>
      </c>
      <c r="G301" s="113" t="inlineStr">
        <is>
          <t>n</t>
        </is>
      </c>
      <c r="H301" s="113" t="inlineStr">
        <is>
          <t>Coal-related</t>
        </is>
      </c>
      <c r="I301" s="113" t="inlineStr">
        <is>
          <t>sectors</t>
        </is>
      </c>
      <c r="J301" s="113" t="inlineStr">
        <is>
          <t>By 2015, the denitrification efficiency will reach more than 75%.</t>
        </is>
      </c>
      <c r="K301" s="113" t="inlineStr">
        <is>
          <t>FYP1201.htm</t>
        </is>
      </c>
      <c r="L301" s="113" t="inlineStr">
        <is>
          <t>Energy/Power</t>
        </is>
      </c>
      <c r="M301" s="113" t="inlineStr">
        <is>
          <t>Power supply</t>
        </is>
      </c>
    </row>
    <row r="302" ht="18" customHeight="1" s="235">
      <c r="A302" s="0" t="n">
        <v>2012</v>
      </c>
      <c r="B302" s="0" t="inlineStr">
        <is>
          <t>desulfurization efficiency of coal-fired units</t>
        </is>
      </c>
      <c r="C302" s="0" t="inlineStr">
        <is>
          <t>reach</t>
        </is>
      </c>
      <c r="D302" s="0" t="inlineStr">
        <is>
          <t>95%</t>
        </is>
      </c>
      <c r="F302" s="0" t="inlineStr">
        <is>
          <t>2015</t>
        </is>
      </c>
      <c r="G302" s="0" t="inlineStr">
        <is>
          <t>n</t>
        </is>
      </c>
      <c r="H302" s="0" t="inlineStr">
        <is>
          <t>Coal-related</t>
        </is>
      </c>
      <c r="I302" s="0" t="inlineStr">
        <is>
          <t>sectors</t>
        </is>
      </c>
      <c r="J302" s="0" t="inlineStr">
        <is>
          <t>By 2015, the desulfurization efficiency of coal-fired units will reach 95%.</t>
        </is>
      </c>
      <c r="K302" s="0" t="inlineStr">
        <is>
          <t>FYP1201.htm</t>
        </is>
      </c>
      <c r="L302" s="0" t="inlineStr">
        <is>
          <t>Energy/Power</t>
        </is>
      </c>
      <c r="M302" s="0" t="inlineStr">
        <is>
          <t>Power supply</t>
        </is>
      </c>
    </row>
    <row r="303" ht="18" customHeight="1" s="235">
      <c r="A303" s="113" t="n">
        <v>2014</v>
      </c>
      <c r="B303" s="113" t="inlineStr">
        <is>
          <t>renovation of coal units with a capacity of more than 150 million kilowatts</t>
        </is>
      </c>
      <c r="C303" s="113" t="inlineStr">
        <is>
          <t>complete</t>
        </is>
      </c>
      <c r="D303" s="113" t="inlineStr">
        <is>
          <t>100%</t>
        </is>
      </c>
      <c r="E303" s="113" t="n"/>
      <c r="F303" s="114" t="inlineStr">
        <is>
          <t>2020</t>
        </is>
      </c>
      <c r="G303" s="113" t="inlineStr">
        <is>
          <t>n</t>
        </is>
      </c>
      <c r="H303" s="113" t="inlineStr">
        <is>
          <t>Coal-related</t>
        </is>
      </c>
      <c r="I303" s="113" t="inlineStr">
        <is>
          <t>sectors</t>
        </is>
      </c>
      <c r="J303" s="113" t="inlineStr">
        <is>
          <t>We will strive to complete the renovation of units with a capacity of more than 150 million kilowatts before 2020.</t>
        </is>
      </c>
      <c r="K303" s="113" t="inlineStr">
        <is>
          <t>AP1403.htm</t>
        </is>
      </c>
      <c r="L303" s="113" t="inlineStr">
        <is>
          <t>Energy/Power</t>
        </is>
      </c>
      <c r="M303" s="113" t="inlineStr">
        <is>
          <t>Power supply</t>
        </is>
      </c>
    </row>
    <row r="304" ht="18" customHeight="1" s="235">
      <c r="A304" s="113" t="n">
        <v>2014</v>
      </c>
      <c r="B304" s="113" t="inlineStr">
        <is>
          <t>installed capacity of coal-fired combined heat and power (CHP) units</t>
        </is>
      </c>
      <c r="C304" s="113" t="inlineStr">
        <is>
          <t>account for</t>
        </is>
      </c>
      <c r="D304" s="113" t="inlineStr">
        <is>
          <t>28%</t>
        </is>
      </c>
      <c r="E304" s="113" t="n"/>
      <c r="F304" s="114" t="inlineStr">
        <is>
          <t>2020</t>
        </is>
      </c>
      <c r="G304" s="113" t="inlineStr">
        <is>
          <t>n</t>
        </is>
      </c>
      <c r="H304" s="113" t="inlineStr">
        <is>
          <t>Coal-related</t>
        </is>
      </c>
      <c r="I304" s="113" t="inlineStr">
        <is>
          <t>whole economy</t>
        </is>
      </c>
      <c r="J304" s="113" t="inlineStr">
        <is>
          <t>By 2020, the installed capacity of coal-fired combined heat and power (CHP) units should strive to account for 28% of the total installed coal-fired power capacity.</t>
        </is>
      </c>
      <c r="K304" s="113" t="inlineStr">
        <is>
          <t>AP1403.htm</t>
        </is>
      </c>
      <c r="L304" s="113" t="inlineStr">
        <is>
          <t>Energy/Power</t>
        </is>
      </c>
      <c r="M304" s="113" t="inlineStr">
        <is>
          <t>Power supply</t>
        </is>
      </c>
    </row>
    <row r="305" ht="18" customHeight="1" s="235">
      <c r="A305" s="113" t="n">
        <v>2016</v>
      </c>
      <c r="B305" s="113" t="inlineStr">
        <is>
          <t>transformation of coal-fired power units into ultra-low emissions</t>
        </is>
      </c>
      <c r="C305" s="113" t="inlineStr">
        <is>
          <t>complete</t>
        </is>
      </c>
      <c r="D305" s="113" t="inlineStr">
        <is>
          <t>580 million kilowatts</t>
        </is>
      </c>
      <c r="E305" s="113" t="n"/>
      <c r="F305" s="114" t="inlineStr">
        <is>
          <t>2016-2020</t>
        </is>
      </c>
      <c r="G305" s="113" t="inlineStr">
        <is>
          <t>s/l-POS</t>
        </is>
      </c>
      <c r="H305" s="113" t="inlineStr">
        <is>
          <t>Coal-related</t>
        </is>
      </c>
      <c r="I305" s="113" t="inlineStr">
        <is>
          <t>whole economy</t>
        </is>
      </c>
      <c r="J305" s="113" t="inlineStr">
        <is>
          <t>Complete ultra-low emission transformation tasks for 580 million kilowatts of coal-fired power units by 2020.</t>
        </is>
      </c>
      <c r="K305" s="113" t="inlineStr">
        <is>
          <t>FYP1601.htm</t>
        </is>
      </c>
      <c r="L305" s="113" t="inlineStr">
        <is>
          <t>Energy/Power</t>
        </is>
      </c>
      <c r="M305" s="113" t="inlineStr">
        <is>
          <t>Power supply</t>
        </is>
      </c>
    </row>
    <row r="306" ht="18" customHeight="1" s="235">
      <c r="A306" s="0" t="n">
        <v>2004</v>
      </c>
      <c r="B306" s="0" t="inlineStr">
        <is>
          <t>efficiency of coal-fired kilns</t>
        </is>
      </c>
      <c r="C306" s="0" t="inlineStr">
        <is>
          <t>increase by</t>
        </is>
      </c>
      <c r="D306" s="0" t="inlineStr">
        <is>
          <t>2  percentage points</t>
        </is>
      </c>
      <c r="F306" s="0" t="inlineStr">
        <is>
          <t>11th FYP</t>
        </is>
      </c>
      <c r="G306" s="0" t="inlineStr">
        <is>
          <t>n</t>
        </is>
      </c>
      <c r="H306" s="0" t="inlineStr">
        <is>
          <t>Coal-related</t>
        </is>
      </c>
      <c r="I306" s="0" t="inlineStr">
        <is>
          <t>sectors</t>
        </is>
      </c>
      <c r="J306" s="0" t="inlineStr">
        <is>
          <t>During the 11th Five-Year Plan period, by implementing advanced technologies such as burning high-quality coal, screening lump coal, solid sulfur coal, and adopting circulating fluidized bed and pulverized coal combustion to transform or replace existing small and medium-sized coal-fired boilers (kilns), and establishing a scientific management and operation mechanism, the efficiency of coal-fired kilns will increase by 2 percentage points, saving 10 million tons of coal.</t>
        </is>
      </c>
      <c r="K306" s="0" t="inlineStr">
        <is>
          <t>MLT0401.pdf</t>
        </is>
      </c>
      <c r="L306" s="0" t="inlineStr">
        <is>
          <t>Energy/Power</t>
        </is>
      </c>
      <c r="M306" s="0" t="inlineStr">
        <is>
          <t>Power supply</t>
        </is>
      </c>
    </row>
    <row r="307" ht="18" customHeight="1" s="235">
      <c r="A307" s="113" t="n">
        <v>2014</v>
      </c>
      <c r="B307" s="113" t="inlineStr">
        <is>
          <t>average coal consumption of existing units of 600,000 kilowatts and above (except air-cooled units) after transformation</t>
        </is>
      </c>
      <c r="C307" s="113" t="inlineStr">
        <is>
          <t>reduce below</t>
        </is>
      </c>
      <c r="D307" s="113" t="inlineStr">
        <is>
          <t>300 grams per kilowatt-hour</t>
        </is>
      </c>
      <c r="E307" s="113" t="n"/>
      <c r="F307" s="114" t="inlineStr">
        <is>
          <t>2020</t>
        </is>
      </c>
      <c r="G307" s="113" t="inlineStr">
        <is>
          <t>n</t>
        </is>
      </c>
      <c r="H307" s="113" t="inlineStr">
        <is>
          <t>Coal-related</t>
        </is>
      </c>
      <c r="I307" s="113" t="inlineStr">
        <is>
          <t>sectors</t>
        </is>
      </c>
      <c r="J307" s="113" t="inlineStr">
        <is>
          <t>By 2020, the average coal consumption of existing coal-fired power generation units after transformation will be less than 310 grams per kilowatt-hour, of which the average coal consumption of existing units of 600,000 kilowatts and above (except air-cooled units) after transformation will be less than 300 grams per kilowatt-hour.</t>
        </is>
      </c>
      <c r="K307" s="113" t="inlineStr">
        <is>
          <t>AP1403.htm</t>
        </is>
      </c>
      <c r="L307" s="113" t="inlineStr">
        <is>
          <t>Energy/Power</t>
        </is>
      </c>
      <c r="M307" s="113" t="inlineStr">
        <is>
          <t>Energy consumption</t>
        </is>
      </c>
    </row>
    <row r="308" ht="18" customHeight="1" s="235">
      <c r="A308" s="113" t="n">
        <v>2014</v>
      </c>
      <c r="B308" s="113" t="inlineStr">
        <is>
          <t>average coal consumption of existing coal-fired power generation units after transformation</t>
        </is>
      </c>
      <c r="C308" s="113" t="inlineStr">
        <is>
          <t>reduce below</t>
        </is>
      </c>
      <c r="D308" s="113" t="inlineStr">
        <is>
          <t>310  grams per kilowatt-hour</t>
        </is>
      </c>
      <c r="E308" s="113" t="n"/>
      <c r="F308" s="114" t="inlineStr">
        <is>
          <t>2020</t>
        </is>
      </c>
      <c r="G308" s="113" t="inlineStr">
        <is>
          <t>n</t>
        </is>
      </c>
      <c r="H308" s="113" t="inlineStr">
        <is>
          <t>Coal-related</t>
        </is>
      </c>
      <c r="I308" s="113" t="inlineStr">
        <is>
          <t>sectors</t>
        </is>
      </c>
      <c r="J308" s="113" t="inlineStr">
        <is>
          <t>By 2020, the average coal consumption of existing coal-fired power generation units after transformation will be less than 310 grams per kilowatt-hour.</t>
        </is>
      </c>
      <c r="K308" s="113" t="inlineStr">
        <is>
          <t>AP1403.htm</t>
        </is>
      </c>
      <c r="L308" s="113" t="inlineStr">
        <is>
          <t>Energy/Power</t>
        </is>
      </c>
      <c r="M308" s="113" t="inlineStr">
        <is>
          <t>Power supply</t>
        </is>
      </c>
    </row>
    <row r="309" ht="18" customHeight="1" s="235">
      <c r="A309" s="113" t="n">
        <v>2019</v>
      </c>
      <c r="B309" s="113" t="inlineStr">
        <is>
          <t xml:space="preserve">installed capacity of biomass power generation  </t>
        </is>
      </c>
      <c r="C309" s="113" t="inlineStr">
        <is>
          <t>increase to</t>
        </is>
      </c>
      <c r="D309" s="113" t="inlineStr">
        <is>
          <t>15 million kilowatts</t>
        </is>
      </c>
      <c r="E309" s="113" t="n"/>
      <c r="F309" s="114" t="inlineStr">
        <is>
          <t>2020</t>
        </is>
      </c>
      <c r="G309" s="113" t="inlineStr">
        <is>
          <t>n</t>
        </is>
      </c>
      <c r="H309" s="113" t="inlineStr">
        <is>
          <t>Renewable energy</t>
        </is>
      </c>
      <c r="I309" s="113" t="inlineStr">
        <is>
          <t>whole economy</t>
        </is>
      </c>
      <c r="J309" s="113" t="inlineStr">
        <is>
          <t>By 2020, China strives to increase installed capacity of bioenergy power generation to 15 gigawatts</t>
        </is>
      </c>
      <c r="K309" s="113" t="inlineStr">
        <is>
          <t>HL1902.pdf</t>
        </is>
      </c>
      <c r="L309" s="113" t="inlineStr">
        <is>
          <t>Energy/Power</t>
        </is>
      </c>
      <c r="M309" s="113" t="inlineStr">
        <is>
          <t>Power supply</t>
        </is>
      </c>
    </row>
    <row r="310" ht="18" customHeight="1" s="235">
      <c r="A310" s="113" t="n">
        <v>2013</v>
      </c>
      <c r="B310" s="113" t="inlineStr">
        <is>
          <t xml:space="preserve">installed capacity of biomass power generation  </t>
        </is>
      </c>
      <c r="C310" s="113" t="inlineStr">
        <is>
          <t>reach</t>
        </is>
      </c>
      <c r="D310" s="113" t="inlineStr">
        <is>
          <t>13 million kilowatts</t>
        </is>
      </c>
      <c r="E310" s="113" t="n"/>
      <c r="F310" s="114" t="inlineStr">
        <is>
          <t>2015</t>
        </is>
      </c>
      <c r="G310" s="113" t="inlineStr">
        <is>
          <t>r</t>
        </is>
      </c>
      <c r="H310" s="113" t="inlineStr">
        <is>
          <t>Renewable energy</t>
        </is>
      </c>
      <c r="I310" s="113" t="inlineStr">
        <is>
          <t>whole economy</t>
        </is>
      </c>
      <c r="J310" s="113" t="inlineStr">
        <is>
          <t>By 2015, the installed capacity of biomass power generation will reach 13 million kilowatts.</t>
        </is>
      </c>
      <c r="K310" s="113" t="inlineStr">
        <is>
          <t>DP1301.htm</t>
        </is>
      </c>
      <c r="L310" s="113" t="inlineStr">
        <is>
          <t>Energy/Power</t>
        </is>
      </c>
      <c r="M310" s="113" t="inlineStr">
        <is>
          <t>Power supply</t>
        </is>
      </c>
    </row>
    <row r="311" ht="18" customHeight="1" s="235">
      <c r="A311" s="113" t="n">
        <v>2013</v>
      </c>
      <c r="B311" s="113" t="inlineStr">
        <is>
          <t xml:space="preserve">installed capacity of biomass power generation  </t>
        </is>
      </c>
      <c r="C311" s="113" t="inlineStr">
        <is>
          <t>reach</t>
        </is>
      </c>
      <c r="D311" s="113" t="inlineStr">
        <is>
          <t>13 million kilowatts</t>
        </is>
      </c>
      <c r="E311" s="113" t="n"/>
      <c r="F311" s="114" t="inlineStr">
        <is>
          <t>2015</t>
        </is>
      </c>
      <c r="G311" s="113" t="inlineStr">
        <is>
          <t>n</t>
        </is>
      </c>
      <c r="H311" s="113" t="inlineStr">
        <is>
          <t>Renewable energy</t>
        </is>
      </c>
      <c r="I311" s="113" t="inlineStr">
        <is>
          <t>whole economy</t>
        </is>
      </c>
      <c r="J311" s="113" t="inlineStr">
        <is>
          <t>By 2015, installed capacity of biomass power will reach 13 million kilowatts.</t>
        </is>
      </c>
      <c r="K311" s="113" t="inlineStr">
        <is>
          <t>FYP1302.htm</t>
        </is>
      </c>
      <c r="L311" s="113" t="inlineStr">
        <is>
          <t>Energy/Power</t>
        </is>
      </c>
      <c r="M311" s="113" t="inlineStr">
        <is>
          <t>Power transmission/Energy transportation</t>
        </is>
      </c>
    </row>
    <row r="312" ht="18" customHeight="1" s="235">
      <c r="A312" s="113" t="n">
        <v>2019</v>
      </c>
      <c r="B312" s="113" t="inlineStr">
        <is>
          <t>proportion of total coal consumption that is used specifically for power generation</t>
        </is>
      </c>
      <c r="C312" s="113" t="inlineStr">
        <is>
          <t>increase to</t>
        </is>
      </c>
      <c r="D312" s="113" t="inlineStr">
        <is>
          <t>55%</t>
        </is>
      </c>
      <c r="E312" s="113" t="n"/>
      <c r="F312" s="114" t="inlineStr">
        <is>
          <t>2020</t>
        </is>
      </c>
      <c r="G312" s="113" t="inlineStr">
        <is>
          <t>s/l-UNC</t>
        </is>
      </c>
      <c r="H312" s="113" t="inlineStr">
        <is>
          <t>Coal-related</t>
        </is>
      </c>
      <c r="I312" s="113" t="inlineStr">
        <is>
          <t>whole economy</t>
        </is>
      </c>
      <c r="J312" s="113" t="inlineStr">
        <is>
          <t>China aims to increase coal consumption for electricity to more than 55% of total coal consumption by 2020</t>
        </is>
      </c>
      <c r="K312" s="113" t="inlineStr">
        <is>
          <t>HL1902.pdf</t>
        </is>
      </c>
      <c r="L312" s="113" t="inlineStr">
        <is>
          <t>Energy/Power</t>
        </is>
      </c>
      <c r="M312" s="113" t="inlineStr">
        <is>
          <t>Power transmission/Energy transportation</t>
        </is>
      </c>
    </row>
    <row r="313" ht="18" customHeight="1" s="235">
      <c r="A313" s="0" t="n">
        <v>2018</v>
      </c>
      <c r="B313" s="0" t="inlineStr">
        <is>
          <t>power system regulation capacity</t>
        </is>
      </c>
      <c r="C313" s="0" t="inlineStr">
        <is>
          <t>increase by</t>
        </is>
      </c>
      <c r="D313" s="0" t="inlineStr">
        <is>
          <t>46 million kilowatts</t>
        </is>
      </c>
      <c r="F313" s="0" t="inlineStr">
        <is>
          <t>13th FYP</t>
        </is>
      </c>
      <c r="G313" s="0" t="inlineStr">
        <is>
          <t>n</t>
        </is>
      </c>
      <c r="H313" s="0" t="inlineStr">
        <is>
          <t>Renewable energy</t>
        </is>
      </c>
      <c r="I313" s="0" t="inlineStr">
        <is>
          <t>whole economy</t>
        </is>
      </c>
      <c r="J313" s="0" t="inlineStr">
        <is>
          <t>During the 13th Five-Year Plan period, we will increase the regulation capacity of the power system by 46 million kilowatts.</t>
        </is>
      </c>
      <c r="K313" s="0" t="inlineStr">
        <is>
          <t>GO1801.htm</t>
        </is>
      </c>
      <c r="L313" s="0" t="inlineStr">
        <is>
          <t>Energy/Power</t>
        </is>
      </c>
      <c r="M313" s="0" t="inlineStr">
        <is>
          <t>Power supply</t>
        </is>
      </c>
    </row>
    <row r="314" ht="18" customHeight="1" s="235">
      <c r="A314" s="0" t="n">
        <v>2014</v>
      </c>
      <c r="B314" s="0" t="inlineStr">
        <is>
          <t>proportion of total coal consumption that is used specifically for power generation</t>
        </is>
      </c>
      <c r="C314" s="0" t="inlineStr">
        <is>
          <t>increase to</t>
        </is>
      </c>
      <c r="D314" s="0" t="inlineStr">
        <is>
          <t>60%</t>
        </is>
      </c>
      <c r="F314" s="0" t="inlineStr">
        <is>
          <t>2020</t>
        </is>
      </c>
      <c r="G314" s="0" t="inlineStr">
        <is>
          <t>n</t>
        </is>
      </c>
      <c r="H314" s="0" t="inlineStr">
        <is>
          <t>Coal-related</t>
        </is>
      </c>
      <c r="I314" s="0" t="inlineStr">
        <is>
          <t>whole economy</t>
        </is>
      </c>
      <c r="J314" s="0" t="inlineStr">
        <is>
          <t>On the premise of implementing stricter energy efficiency and environmental protection standards, by 2020, we will strive to increase the proportion of power coal in coal consumption to more than 60%.</t>
        </is>
      </c>
      <c r="K314" s="0" t="inlineStr">
        <is>
          <t>AP1403.htm</t>
        </is>
      </c>
      <c r="L314" s="0" t="inlineStr">
        <is>
          <t>Energy/Power</t>
        </is>
      </c>
      <c r="M314" s="0" t="inlineStr">
        <is>
          <t>Power supply</t>
        </is>
      </c>
    </row>
    <row r="315" ht="18" customHeight="1" s="235">
      <c r="A315" s="0" t="n">
        <v>2016</v>
      </c>
      <c r="B315" s="0" t="inlineStr">
        <is>
          <t>proportion of total coal consumption that is used specifically for power generation</t>
        </is>
      </c>
      <c r="C315" s="0" t="inlineStr">
        <is>
          <t>increase by</t>
        </is>
      </c>
      <c r="D315" s="0" t="inlineStr">
        <is>
          <t>1.9%</t>
        </is>
      </c>
      <c r="F315" s="0" t="inlineStr">
        <is>
          <t>2014-2016</t>
        </is>
      </c>
      <c r="G315" s="0" t="inlineStr">
        <is>
          <t>n</t>
        </is>
      </c>
      <c r="H315" s="0" t="inlineStr">
        <is>
          <t>Coal-related</t>
        </is>
      </c>
      <c r="I315" s="0" t="inlineStr">
        <is>
          <t>whole economy</t>
        </is>
      </c>
      <c r="J315" s="0" t="inlineStr">
        <is>
          <t>From 2016 to 2020, the proportion of power coal in total coal consumption will increase by about 1.9%.</t>
        </is>
      </c>
      <c r="K315" s="0" t="inlineStr">
        <is>
          <t>GO1603.htm</t>
        </is>
      </c>
      <c r="L315" s="0" t="inlineStr">
        <is>
          <t>Energy/Power</t>
        </is>
      </c>
      <c r="M315" s="0" t="inlineStr">
        <is>
          <t>Power supply</t>
        </is>
      </c>
    </row>
    <row r="316" ht="18" customHeight="1" s="235">
      <c r="A316" s="113" t="n">
        <v>2016</v>
      </c>
      <c r="B316" s="113" t="inlineStr">
        <is>
          <t>proportion of total coal consumption that is used specifically for power generation</t>
        </is>
      </c>
      <c r="C316" s="113" t="inlineStr">
        <is>
          <t>increase to</t>
        </is>
      </c>
      <c r="D316" s="113" t="inlineStr">
        <is>
          <t>more than 55%</t>
        </is>
      </c>
      <c r="E316" s="113" t="n"/>
      <c r="F316" s="114" t="inlineStr">
        <is>
          <t>2020</t>
        </is>
      </c>
      <c r="G316" s="113" t="inlineStr">
        <is>
          <t>r</t>
        </is>
      </c>
      <c r="H316" s="113" t="inlineStr">
        <is>
          <t>Coal-related</t>
        </is>
      </c>
      <c r="I316" s="113" t="inlineStr">
        <is>
          <t>sectors</t>
        </is>
      </c>
      <c r="J316" s="113" t="inlineStr">
        <is>
          <t>By 2020, the proportion of thermal coal in coal consumption will increase to more than 55%.</t>
        </is>
      </c>
      <c r="K316" s="113" t="inlineStr">
        <is>
          <t>FYP1601.htm</t>
        </is>
      </c>
      <c r="L316" s="113" t="inlineStr">
        <is>
          <t>Energy/Power</t>
        </is>
      </c>
      <c r="M316" s="113" t="inlineStr">
        <is>
          <t>Power supply</t>
        </is>
      </c>
    </row>
    <row r="317" ht="18" customHeight="1" s="235">
      <c r="A317" s="113" t="n">
        <v>2024</v>
      </c>
      <c r="B317" s="113" t="inlineStr">
        <is>
          <t xml:space="preserve">average operating thermal efficiency of power station boilers  </t>
        </is>
      </c>
      <c r="C317" s="113" t="inlineStr">
        <is>
          <t>increase by</t>
        </is>
      </c>
      <c r="D317" s="113" t="inlineStr">
        <is>
          <t>0.5  percentage points</t>
        </is>
      </c>
      <c r="E317" s="113" t="n">
        <v>2021</v>
      </c>
      <c r="F317" s="114" t="n">
        <v>2025</v>
      </c>
      <c r="G317" s="113" t="inlineStr">
        <is>
          <t>n</t>
        </is>
      </c>
      <c r="H317" s="113" t="inlineStr">
        <is>
          <t>Coal-related</t>
        </is>
      </c>
      <c r="I317" s="113" t="inlineStr">
        <is>
          <t>sectors</t>
        </is>
      </c>
      <c r="J317" s="113" t="inlineStr">
        <is>
          <t>Compared with 2021, in 2025, the average operating thermal efficiency of power station boilers will increase by more than 0.5 percentage points.</t>
        </is>
      </c>
      <c r="K317" s="113" t="inlineStr">
        <is>
          <t>AP2405.htm</t>
        </is>
      </c>
      <c r="L317" s="113" t="inlineStr">
        <is>
          <t>Energy/Power</t>
        </is>
      </c>
      <c r="M317" s="113" t="inlineStr">
        <is>
          <t>Power supply</t>
        </is>
      </c>
    </row>
    <row r="318" ht="18" customHeight="1" s="235">
      <c r="A318" s="113" t="n">
        <v>2013</v>
      </c>
      <c r="B318" s="113" t="inlineStr">
        <is>
          <t>power grid line loss rate</t>
        </is>
      </c>
      <c r="C318" s="113" t="inlineStr">
        <is>
          <t>reduce to</t>
        </is>
      </c>
      <c r="D318" s="113" t="inlineStr">
        <is>
          <t>6.3%</t>
        </is>
      </c>
      <c r="E318" s="113" t="n"/>
      <c r="F318" s="114" t="inlineStr">
        <is>
          <t>2015</t>
        </is>
      </c>
      <c r="G318" s="113" t="inlineStr">
        <is>
          <t>n</t>
        </is>
      </c>
      <c r="H318" s="113" t="inlineStr">
        <is>
          <t>Energy efficiency</t>
        </is>
      </c>
      <c r="I318" s="113" t="inlineStr">
        <is>
          <t>whole economy</t>
        </is>
      </c>
      <c r="J318" s="113" t="inlineStr">
        <is>
          <t>Power grid line loss rate will be reduced to 6.3% by 2015.</t>
        </is>
      </c>
      <c r="K318" s="113" t="inlineStr">
        <is>
          <t>FYP1302.htm</t>
        </is>
      </c>
      <c r="L318" s="113" t="inlineStr">
        <is>
          <t>Energy/Power</t>
        </is>
      </c>
      <c r="M318" s="113" t="inlineStr">
        <is>
          <t>Power supply</t>
        </is>
      </c>
    </row>
    <row r="319" ht="18" customHeight="1" s="235">
      <c r="A319" s="113" t="n">
        <v>2018</v>
      </c>
      <c r="B319" s="113" t="inlineStr">
        <is>
          <t>proportion of electricity in terminal energy consumption</t>
        </is>
      </c>
      <c r="C319" s="113" t="inlineStr">
        <is>
          <t>increase to</t>
        </is>
      </c>
      <c r="D319" s="113" t="inlineStr">
        <is>
          <t>27%</t>
        </is>
      </c>
      <c r="E319" s="113" t="n"/>
      <c r="F319" s="114" t="inlineStr">
        <is>
          <t>2020</t>
        </is>
      </c>
      <c r="G319" s="113" t="inlineStr">
        <is>
          <t>r</t>
        </is>
      </c>
      <c r="H319" s="113" t="inlineStr">
        <is>
          <t>Electrification</t>
        </is>
      </c>
      <c r="I319" s="113" t="inlineStr">
        <is>
          <t>whole economy</t>
        </is>
      </c>
      <c r="J319" s="113" t="inlineStr">
        <is>
          <t>By 2020, the proportion of electric energy in terminal energy consumption will rise to 27%.</t>
        </is>
      </c>
      <c r="K319" s="113" t="inlineStr">
        <is>
          <t>GO1801.htm</t>
        </is>
      </c>
      <c r="L319" s="113" t="inlineStr">
        <is>
          <t>Energy/Power</t>
        </is>
      </c>
      <c r="M319" s="113" t="inlineStr">
        <is>
          <t>Power supply</t>
        </is>
      </c>
    </row>
    <row r="320" ht="18" customHeight="1" s="235">
      <c r="A320" s="113" t="n">
        <v>2023</v>
      </c>
      <c r="B320" s="113" t="inlineStr">
        <is>
          <t>proportion of electricity in terminal energy consumption</t>
        </is>
      </c>
      <c r="C320" s="113" t="inlineStr">
        <is>
          <t>account for</t>
        </is>
      </c>
      <c r="D320" s="113" t="inlineStr">
        <is>
          <t>30%</t>
        </is>
      </c>
      <c r="E320" s="113" t="n"/>
      <c r="F320" s="114" t="inlineStr">
        <is>
          <t>2025</t>
        </is>
      </c>
      <c r="G320" s="113" t="inlineStr">
        <is>
          <t>n</t>
        </is>
      </c>
      <c r="H320" s="113" t="inlineStr">
        <is>
          <t>Electrification</t>
        </is>
      </c>
      <c r="I320" s="113" t="inlineStr">
        <is>
          <t>whole economy</t>
        </is>
      </c>
      <c r="J320" s="113" t="inlineStr">
        <is>
          <t>By 2025, electricity will account for about 30% of terminal energy consumption.</t>
        </is>
      </c>
      <c r="K320" s="113" t="inlineStr">
        <is>
          <t>AP2304.htm</t>
        </is>
      </c>
      <c r="L320" s="113" t="inlineStr">
        <is>
          <t>Energy/Power</t>
        </is>
      </c>
      <c r="M320" s="113" t="inlineStr">
        <is>
          <t>Power supply</t>
        </is>
      </c>
    </row>
    <row r="321" ht="18" customHeight="1" s="235">
      <c r="A321" s="113" t="n">
        <v>2016</v>
      </c>
      <c r="B321" s="113" t="inlineStr">
        <is>
          <t>proportion of electricity in terminal energy consumption</t>
        </is>
      </c>
      <c r="C321" s="113" t="inlineStr">
        <is>
          <t>increase by</t>
        </is>
      </c>
      <c r="D321" s="113" t="inlineStr">
        <is>
          <t>1.5%</t>
        </is>
      </c>
      <c r="E321" s="113" t="n">
        <v>2016</v>
      </c>
      <c r="F321" s="114" t="n">
        <v>2020</v>
      </c>
      <c r="G321" s="113" t="inlineStr">
        <is>
          <t>n</t>
        </is>
      </c>
      <c r="H321" s="113" t="inlineStr">
        <is>
          <t>Electrification</t>
        </is>
      </c>
      <c r="I321" s="113" t="inlineStr">
        <is>
          <t>whole economy</t>
        </is>
      </c>
      <c r="J321" s="113" t="inlineStr">
        <is>
          <t>From 2016 to 2020, the proportion of electricity in terminal energy consumption will increase by about 1.5%.</t>
        </is>
      </c>
      <c r="K321" s="113" t="inlineStr">
        <is>
          <t>GO1603.htm</t>
        </is>
      </c>
      <c r="L321" s="113" t="inlineStr">
        <is>
          <t>Energy/Power</t>
        </is>
      </c>
      <c r="M321" s="113" t="inlineStr">
        <is>
          <t>Coal power</t>
        </is>
      </c>
    </row>
    <row r="322" ht="18" customHeight="1" s="235">
      <c r="A322" s="113" t="n">
        <v>2016</v>
      </c>
      <c r="B322" s="113" t="inlineStr">
        <is>
          <t>proportion of electricity in terminal energy consumption</t>
        </is>
      </c>
      <c r="C322" s="113" t="inlineStr">
        <is>
          <t>reach</t>
        </is>
      </c>
      <c r="D322" s="113" t="inlineStr">
        <is>
          <t>27%</t>
        </is>
      </c>
      <c r="E322" s="113" t="n"/>
      <c r="F322" s="114" t="inlineStr">
        <is>
          <t>2020</t>
        </is>
      </c>
      <c r="G322" s="113" t="inlineStr">
        <is>
          <t>n</t>
        </is>
      </c>
      <c r="H322" s="113" t="inlineStr">
        <is>
          <t>Electrification</t>
        </is>
      </c>
      <c r="I322" s="113" t="inlineStr">
        <is>
          <t>whole economy</t>
        </is>
      </c>
      <c r="J322" s="113" t="inlineStr">
        <is>
          <t>By 2020, the proportion of electricity in terminal energy consumption will reach about 27%.</t>
        </is>
      </c>
      <c r="K322" s="113" t="inlineStr">
        <is>
          <t>GO1603.htm</t>
        </is>
      </c>
      <c r="L322" s="113" t="inlineStr">
        <is>
          <t>Energy/Power</t>
        </is>
      </c>
      <c r="M322" s="113" t="inlineStr">
        <is>
          <t>Coal power</t>
        </is>
      </c>
    </row>
    <row r="323" ht="18" customHeight="1" s="235">
      <c r="A323" s="113" t="n">
        <v>2017</v>
      </c>
      <c r="B323" s="113" t="inlineStr">
        <is>
          <t xml:space="preserve">amount of fossil fuel-based energy replaced by electric energy </t>
        </is>
      </c>
      <c r="C323" s="113" t="inlineStr">
        <is>
          <t>achieve</t>
        </is>
      </c>
      <c r="D323" s="113" t="inlineStr">
        <is>
          <t>450 billion kwh</t>
        </is>
      </c>
      <c r="E323" s="113" t="n"/>
      <c r="F323" s="114" t="inlineStr">
        <is>
          <t>13th FYP</t>
        </is>
      </c>
      <c r="G323" s="113" t="inlineStr">
        <is>
          <t>n</t>
        </is>
      </c>
      <c r="H323" s="113" t="inlineStr">
        <is>
          <t>Electrification</t>
        </is>
      </c>
      <c r="I323" s="113" t="inlineStr">
        <is>
          <t>unclear</t>
        </is>
      </c>
      <c r="J323" s="113" t="inlineStr">
        <is>
          <t>During the 13th Five-Year Plan period, the country will achieve 450 billion kWh of electricity substitution.</t>
        </is>
      </c>
      <c r="K323" s="113" t="inlineStr">
        <is>
          <t>IP1702.pdf</t>
        </is>
      </c>
      <c r="L323" s="113" t="inlineStr">
        <is>
          <t>Energy/Power</t>
        </is>
      </c>
      <c r="M323" s="113" t="inlineStr">
        <is>
          <t>Coal power</t>
        </is>
      </c>
    </row>
    <row r="324" ht="18" customHeight="1" s="235">
      <c r="A324" s="113" t="n">
        <v>2018</v>
      </c>
      <c r="B324" s="113" t="inlineStr">
        <is>
          <t xml:space="preserve">amount of fossil fuel-based energy replaced by electric energy </t>
        </is>
      </c>
      <c r="C324" s="113" t="inlineStr">
        <is>
          <t>reach</t>
        </is>
      </c>
      <c r="D324" s="113" t="inlineStr">
        <is>
          <t>450 billion kwh</t>
        </is>
      </c>
      <c r="E324" s="113" t="n"/>
      <c r="F324" s="114" t="inlineStr">
        <is>
          <t>2020</t>
        </is>
      </c>
      <c r="G324" s="113" t="inlineStr">
        <is>
          <t>r</t>
        </is>
      </c>
      <c r="H324" s="113" t="inlineStr">
        <is>
          <t>Electrification</t>
        </is>
      </c>
      <c r="I324" s="113" t="inlineStr">
        <is>
          <t>unclear</t>
        </is>
      </c>
      <c r="J324" s="113" t="inlineStr">
        <is>
          <t>By 2020, the amount of electric energy substituted will reach 450 billion kWh.</t>
        </is>
      </c>
      <c r="K324" s="113" t="inlineStr">
        <is>
          <t>GO1801.htm</t>
        </is>
      </c>
      <c r="L324" s="113" t="inlineStr">
        <is>
          <t>Energy/Power</t>
        </is>
      </c>
      <c r="M324" s="113" t="inlineStr">
        <is>
          <t>Power supply</t>
        </is>
      </c>
    </row>
    <row r="325" ht="18" customHeight="1" s="235">
      <c r="A325" s="113" t="n">
        <v>2022</v>
      </c>
      <c r="B325" s="113" t="inlineStr">
        <is>
          <t>renewable energy share in electrolytic aluminium energy use</t>
        </is>
      </c>
      <c r="C325" s="113" t="inlineStr">
        <is>
          <t>reach</t>
        </is>
      </c>
      <c r="D325" s="113" t="inlineStr">
        <is>
          <t>30% or above</t>
        </is>
      </c>
      <c r="E325" s="113" t="n"/>
      <c r="F325" s="114" t="inlineStr">
        <is>
          <t>15th FYP</t>
        </is>
      </c>
      <c r="G325" s="113" t="inlineStr">
        <is>
          <t>n</t>
        </is>
      </c>
      <c r="H325" s="113" t="inlineStr">
        <is>
          <t>Renewable energy</t>
        </is>
      </c>
      <c r="I325" s="113" t="inlineStr">
        <is>
          <t>sectors</t>
        </is>
      </c>
      <c r="J325" s="113" t="inlineStr">
        <is>
          <t>During the 15th Five-Year Plan period, the energy-use structure of the non-ferrous metals industry will be greatly improved, the share of renewable energy used in electrolytic aluminium will reach more than 30%, and a green, low-carbon and circular industrial system will be basically established.</t>
        </is>
      </c>
      <c r="K325" s="113" t="inlineStr">
        <is>
          <t>IP2220.htm</t>
        </is>
      </c>
      <c r="L325" s="113" t="inlineStr">
        <is>
          <t>Energy/Power</t>
        </is>
      </c>
      <c r="M325" s="113" t="inlineStr">
        <is>
          <t>Power transmission/Energy transportation</t>
        </is>
      </c>
    </row>
    <row r="326" ht="18" customHeight="1" s="235">
      <c r="A326" s="113" t="n">
        <v>2021</v>
      </c>
      <c r="B326" s="113" t="inlineStr">
        <is>
          <t>provincial-level electrical grids peak load response capacity</t>
        </is>
      </c>
      <c r="C326" s="113" t="inlineStr">
        <is>
          <t>reach</t>
        </is>
      </c>
      <c r="D326" s="113" t="inlineStr">
        <is>
          <t>5% or more</t>
        </is>
      </c>
      <c r="E326" s="113" t="n"/>
      <c r="F326" s="114" t="inlineStr">
        <is>
          <t>2030</t>
        </is>
      </c>
      <c r="G326" s="113" t="inlineStr">
        <is>
          <t>n</t>
        </is>
      </c>
      <c r="H326" s="113" t="inlineStr">
        <is>
          <t>Renewable energy</t>
        </is>
      </c>
      <c r="I326" s="113" t="inlineStr">
        <is>
          <t>unclear</t>
        </is>
      </c>
      <c r="J326" s="113" t="inlineStr">
        <is>
          <t>By 2030, provincial-level electrical grids will be equipped with peak load response capacity of 5% or more.</t>
        </is>
      </c>
      <c r="K326" s="113" t="inlineStr">
        <is>
          <t>HL2102.pdf</t>
        </is>
      </c>
      <c r="L326" s="113" t="inlineStr">
        <is>
          <t>Energy/Power</t>
        </is>
      </c>
      <c r="M326" s="113" t="inlineStr">
        <is>
          <t>Power supply</t>
        </is>
      </c>
    </row>
    <row r="327" ht="18" customHeight="1" s="235">
      <c r="A327" s="113" t="n">
        <v>2016</v>
      </c>
      <c r="B327" s="113" t="inlineStr">
        <is>
          <t>newly proven geological reserves of oil</t>
        </is>
      </c>
      <c r="C327" s="113" t="inlineStr">
        <is>
          <t>reach</t>
        </is>
      </c>
      <c r="D327" s="113" t="inlineStr">
        <is>
          <t>about 5 billion tons</t>
        </is>
      </c>
      <c r="E327" s="113" t="n"/>
      <c r="F327" s="114" t="inlineStr">
        <is>
          <t>13th FYP</t>
        </is>
      </c>
      <c r="G327" s="113" t="inlineStr">
        <is>
          <t>n</t>
        </is>
      </c>
      <c r="H327" s="113" t="inlineStr">
        <is>
          <t>Transitional energy</t>
        </is>
      </c>
      <c r="I327" s="113" t="inlineStr">
        <is>
          <t>sectors</t>
        </is>
      </c>
      <c r="J327" s="113" t="inlineStr">
        <is>
          <t>During the 13th Five-Year Plan period, the newly discovered oil reserves will be about 5 billion tons, and the annual output will be about 200 million tons.</t>
        </is>
      </c>
      <c r="K327" s="113" t="inlineStr">
        <is>
          <t>FYP1603.pdf</t>
        </is>
      </c>
      <c r="L327" s="113" t="inlineStr">
        <is>
          <t>Energy/Power</t>
        </is>
      </c>
      <c r="M327" s="113" t="inlineStr">
        <is>
          <t>Power supply</t>
        </is>
      </c>
    </row>
    <row r="328" ht="18" customHeight="1" s="235">
      <c r="A328" s="0" t="n">
        <v>2014</v>
      </c>
      <c r="B328" s="0" t="inlineStr">
        <is>
          <t>oil substitution capacity</t>
        </is>
      </c>
      <c r="C328" s="0" t="inlineStr">
        <is>
          <t>exceed</t>
        </is>
      </c>
      <c r="D328" s="0" t="inlineStr">
        <is>
          <t>40 million tons</t>
        </is>
      </c>
      <c r="F328" s="0" t="inlineStr">
        <is>
          <t>2020</t>
        </is>
      </c>
      <c r="G328" s="0" t="inlineStr">
        <is>
          <t>n</t>
        </is>
      </c>
      <c r="H328" s="0" t="inlineStr">
        <is>
          <t>Renewable energy</t>
        </is>
      </c>
      <c r="I328" s="0" t="inlineStr">
        <is>
          <t>whole economy</t>
        </is>
      </c>
      <c r="J328" s="0" t="inlineStr">
        <is>
          <t>By 2020, the oil substitution capacity will exceed 40 million tons.</t>
        </is>
      </c>
      <c r="K328" s="0" t="inlineStr">
        <is>
          <t>AP1401.htm</t>
        </is>
      </c>
      <c r="L328" s="0" t="inlineStr">
        <is>
          <t>Energy/Power</t>
        </is>
      </c>
      <c r="M328" s="0" t="inlineStr">
        <is>
          <t>Power supply</t>
        </is>
      </c>
    </row>
    <row r="329" ht="18" customHeight="1" s="235">
      <c r="A329" s="0" t="n">
        <v>2026</v>
      </c>
      <c r="B329" s="0" t="inlineStr">
        <is>
          <t>total oil consumption</t>
        </is>
      </c>
      <c r="C329" s="0" t="inlineStr">
        <is>
          <t>peak</t>
        </is>
      </c>
      <c r="D329" s="0" t="n"/>
      <c r="F329" s="0" t="inlineStr">
        <is>
          <t>15th FYP</t>
        </is>
      </c>
      <c r="G329" s="0" t="inlineStr">
        <is>
          <t>n</t>
        </is>
      </c>
      <c r="H329" s="0" t="inlineStr">
        <is>
          <t>Transitional energy</t>
        </is>
      </c>
      <c r="I329" s="0" t="inlineStr">
        <is>
          <t>whole economy</t>
        </is>
      </c>
      <c r="J329" s="0" t="inlineStr">
        <is>
          <t>The plan will deepen energy-saving and carbon-reduction retrofits and coal control, and promote the peaking of coal and oil consumption.</t>
        </is>
      </c>
      <c r="K329" s="0" t="inlineStr">
        <is>
          <t>HL2601.pdf</t>
        </is>
      </c>
      <c r="L329" s="0" t="inlineStr">
        <is>
          <t>Energy/Power</t>
        </is>
      </c>
      <c r="M329" s="0" t="inlineStr">
        <is>
          <t>Power supply</t>
        </is>
      </c>
    </row>
    <row r="330" ht="18" customHeight="1" s="235">
      <c r="A330" s="0" t="n">
        <v>2013</v>
      </c>
      <c r="B330" s="0" t="inlineStr">
        <is>
          <t>proportion of renewable energy consumption over total energy consumption of buildings in demonstration areas</t>
        </is>
      </c>
      <c r="C330" s="0" t="inlineStr">
        <is>
          <t>reach</t>
        </is>
      </c>
      <c r="D330" s="0" t="inlineStr">
        <is>
          <t>10%</t>
        </is>
      </c>
      <c r="F330" s="0" t="inlineStr">
        <is>
          <t>2015</t>
        </is>
      </c>
      <c r="G330" s="0" t="inlineStr">
        <is>
          <t>n</t>
        </is>
      </c>
      <c r="H330" s="0" t="inlineStr">
        <is>
          <t>Renewable energy</t>
        </is>
      </c>
      <c r="I330" s="0" t="inlineStr">
        <is>
          <t>whole economy</t>
        </is>
      </c>
      <c r="J330" s="0" t="inlineStr">
        <is>
          <t>By the end of 2015, the proportion of renewable energy consumption in demonstration areas to total building energy consumption will reach more than 10%.</t>
        </is>
      </c>
      <c r="K330" s="0" t="inlineStr">
        <is>
          <t>AP1301.htm</t>
        </is>
      </c>
      <c r="L330" s="0" t="inlineStr">
        <is>
          <t>Energy/Power</t>
        </is>
      </c>
      <c r="M330" s="0" t="inlineStr">
        <is>
          <t>Power supply</t>
        </is>
      </c>
    </row>
    <row r="331" ht="18" customHeight="1" s="235">
      <c r="A331" s="0" t="n">
        <v>2016</v>
      </c>
      <c r="B331" s="0" t="inlineStr">
        <is>
          <t>transformation of pure condensing units of thermal power units</t>
        </is>
      </c>
      <c r="C331" s="0" t="inlineStr">
        <is>
          <t>reach</t>
        </is>
      </c>
      <c r="D331" s="0" t="inlineStr">
        <is>
          <t>82 million kilowatts</t>
        </is>
      </c>
      <c r="F331" s="0" t="inlineStr">
        <is>
          <t>13th FYP</t>
        </is>
      </c>
      <c r="G331" s="0" t="inlineStr">
        <is>
          <t>n</t>
        </is>
      </c>
      <c r="H331" s="0" t="inlineStr">
        <is>
          <t>Coal-related</t>
        </is>
      </c>
      <c r="I331" s="0" t="inlineStr">
        <is>
          <t>sectors</t>
        </is>
      </c>
      <c r="J331" s="0" t="inlineStr">
        <is>
          <t>During the 13th Five-Year Plan period, the transformation of pure condensing units of thermal power units is about 82 million kilowatts.</t>
        </is>
      </c>
      <c r="K331" s="0" t="inlineStr">
        <is>
          <t>FYP1607.pdf</t>
        </is>
      </c>
      <c r="L331" s="0" t="inlineStr">
        <is>
          <t>Energy/Power</t>
        </is>
      </c>
      <c r="M331" s="0" t="inlineStr">
        <is>
          <t>Power supply</t>
        </is>
      </c>
    </row>
    <row r="332" ht="18" customHeight="1" s="235">
      <c r="A332" s="0" t="n">
        <v>2013</v>
      </c>
      <c r="B332" s="0" t="inlineStr">
        <is>
          <t>green energy demonstration counties</t>
        </is>
      </c>
      <c r="C332" s="0" t="inlineStr">
        <is>
          <t>build</t>
        </is>
      </c>
      <c r="D332" s="0" t="inlineStr">
        <is>
          <t>200 counties</t>
        </is>
      </c>
      <c r="F332" s="0" t="inlineStr">
        <is>
          <t>2015</t>
        </is>
      </c>
      <c r="G332" s="0" t="inlineStr">
        <is>
          <t>n</t>
        </is>
      </c>
      <c r="H332" s="0" t="inlineStr">
        <is>
          <t>Renewable energy</t>
        </is>
      </c>
      <c r="I332" s="0" t="inlineStr">
        <is>
          <t>cities</t>
        </is>
      </c>
      <c r="J332" s="0" t="inlineStr">
        <is>
          <t>By 2015, 200 green energy demonstration counties will be built.</t>
        </is>
      </c>
      <c r="K332" s="0" t="inlineStr">
        <is>
          <t>FYP1302.htm</t>
        </is>
      </c>
      <c r="L332" s="0" t="inlineStr">
        <is>
          <t>Energy/Power</t>
        </is>
      </c>
      <c r="M332" s="0" t="inlineStr">
        <is>
          <t>Power transmission/Energy transportation</t>
        </is>
      </c>
    </row>
    <row r="333" ht="18" customHeight="1" s="235">
      <c r="A333" s="0" t="n">
        <v>2012</v>
      </c>
      <c r="B333" s="0" t="inlineStr">
        <is>
          <t>green energy demonstration counties</t>
        </is>
      </c>
      <c r="C333" s="0" t="inlineStr">
        <is>
          <t>develop</t>
        </is>
      </c>
      <c r="D333" s="0" t="inlineStr">
        <is>
          <t>200</t>
        </is>
      </c>
      <c r="F333" s="0" t="inlineStr">
        <is>
          <t>2015</t>
        </is>
      </c>
      <c r="G333" s="0" t="inlineStr">
        <is>
          <t>r</t>
        </is>
      </c>
      <c r="H333" s="0" t="inlineStr">
        <is>
          <t>Renewable energy</t>
        </is>
      </c>
      <c r="I333" s="0" t="inlineStr">
        <is>
          <t>whole economy</t>
        </is>
      </c>
      <c r="J333" s="0" t="inlineStr">
        <is>
          <t>Vigorously develop renewable energy in rural areas, carry out green energy demonstration projects according to local conditions, and build 200 green energy demonstration counties and 1,000 solar energy demonstration villages by 2015.</t>
        </is>
      </c>
      <c r="K333" s="0" t="inlineStr">
        <is>
          <t>WP1201.htm</t>
        </is>
      </c>
      <c r="L333" s="0" t="inlineStr">
        <is>
          <t>Energy/Power</t>
        </is>
      </c>
      <c r="M333" s="0" t="inlineStr">
        <is>
          <t>Power transmission/Energy transportation</t>
        </is>
      </c>
    </row>
    <row r="334" ht="18" customHeight="1" s="235">
      <c r="A334" s="0" t="n">
        <v>2013</v>
      </c>
      <c r="B334" s="0" t="inlineStr">
        <is>
          <t>green energy demonstration counties</t>
        </is>
      </c>
      <c r="C334" s="0" t="inlineStr">
        <is>
          <t>increase to</t>
        </is>
      </c>
      <c r="D334" s="0" t="inlineStr">
        <is>
          <t>200</t>
        </is>
      </c>
      <c r="F334" s="0" t="inlineStr">
        <is>
          <t>2015</t>
        </is>
      </c>
      <c r="G334" s="0" t="inlineStr">
        <is>
          <t>r</t>
        </is>
      </c>
      <c r="H334" s="0" t="inlineStr">
        <is>
          <t>Renewable energy</t>
        </is>
      </c>
      <c r="I334" s="0" t="inlineStr">
        <is>
          <t>whole economy</t>
        </is>
      </c>
      <c r="J334" s="0" t="inlineStr">
        <is>
          <t>The number of green energy demonstration counties will grow to 200 by 2015.</t>
        </is>
      </c>
      <c r="K334" s="0" t="inlineStr">
        <is>
          <t>FYP1302.htm</t>
        </is>
      </c>
      <c r="L334" s="0" t="inlineStr">
        <is>
          <t>Energy/Power</t>
        </is>
      </c>
      <c r="M334" s="0" t="inlineStr">
        <is>
          <t>Power supply</t>
        </is>
      </c>
    </row>
    <row r="335" ht="18" customHeight="1" s="235">
      <c r="A335" s="0" t="n">
        <v>2004</v>
      </c>
      <c r="B335" s="0" t="inlineStr">
        <is>
          <t>total energy consumption</t>
        </is>
      </c>
      <c r="C335" s="0" t="inlineStr">
        <is>
          <t>reach</t>
        </is>
      </c>
      <c r="D335" s="0" t="inlineStr">
        <is>
          <t>3 billion tce</t>
        </is>
      </c>
      <c r="F335" s="0" t="inlineStr">
        <is>
          <t>2020</t>
        </is>
      </c>
      <c r="G335" s="0" t="inlineStr">
        <is>
          <t>r</t>
        </is>
      </c>
      <c r="H335" s="0" t="inlineStr">
        <is>
          <t>Energy efficiency</t>
        </is>
      </c>
      <c r="I335" s="0" t="inlineStr">
        <is>
          <t>whole economy</t>
        </is>
      </c>
      <c r="J335" s="0" t="inlineStr">
        <is>
          <t>According to the medium- and long term energy development program, the total energy consumption by 2020 will reach 3 billion tce, provided all the measures of energy conservation are put into effect.</t>
        </is>
      </c>
      <c r="K335" s="0" t="inlineStr">
        <is>
          <t>MLT0402.pdf</t>
        </is>
      </c>
      <c r="L335" s="0" t="inlineStr">
        <is>
          <t>Energy/Power</t>
        </is>
      </c>
      <c r="M335" s="0" t="inlineStr">
        <is>
          <t>Power transmission/Energy transportation</t>
        </is>
      </c>
    </row>
    <row r="336" ht="18" customHeight="1" s="235">
      <c r="A336" s="0" t="n">
        <v>2013</v>
      </c>
      <c r="B336" s="0" t="inlineStr">
        <is>
          <t>total energy consumption</t>
        </is>
      </c>
      <c r="C336" s="0" t="inlineStr">
        <is>
          <t>increase to</t>
        </is>
      </c>
      <c r="D336" s="0" t="inlineStr">
        <is>
          <t>4.0 billion tons</t>
        </is>
      </c>
      <c r="F336" s="0" t="n">
        <v>2015</v>
      </c>
      <c r="G336" s="0" t="inlineStr">
        <is>
          <t>r</t>
        </is>
      </c>
      <c r="H336" s="0" t="inlineStr">
        <is>
          <t>Energy efficiency</t>
        </is>
      </c>
      <c r="I336" s="0" t="inlineStr">
        <is>
          <t>whole economy</t>
        </is>
      </c>
      <c r="J336" s="0" t="inlineStr">
        <is>
          <t>Total primary energy consumption will increase to 4.0 billion tons of standard coal equivalent by 2015.</t>
        </is>
      </c>
      <c r="K336" s="0" t="inlineStr">
        <is>
          <t>FYP1302.htm</t>
        </is>
      </c>
      <c r="L336" s="0" t="inlineStr">
        <is>
          <t>Energy/Power</t>
        </is>
      </c>
      <c r="M336" s="0" t="inlineStr">
        <is>
          <t>Power transmission/Energy transportation</t>
        </is>
      </c>
    </row>
    <row r="337" ht="18" customHeight="1" s="235">
      <c r="A337" s="0" t="n">
        <v>2016</v>
      </c>
      <c r="B337" s="0" t="inlineStr">
        <is>
          <t>total energy consumption</t>
        </is>
      </c>
      <c r="C337" s="0" t="inlineStr">
        <is>
          <t>control within</t>
        </is>
      </c>
      <c r="D337" s="0" t="inlineStr">
        <is>
          <t>5 billion tons of standard coal</t>
        </is>
      </c>
      <c r="F337" s="0" t="inlineStr">
        <is>
          <t>2020</t>
        </is>
      </c>
      <c r="G337" s="0" t="inlineStr">
        <is>
          <t>r</t>
        </is>
      </c>
      <c r="H337" s="0" t="inlineStr">
        <is>
          <t>Energy efficiency</t>
        </is>
      </c>
      <c r="I337" s="0" t="inlineStr">
        <is>
          <t>whole economy</t>
        </is>
      </c>
      <c r="J337" s="0" t="inlineStr">
        <is>
          <t>By 2020, total energy consumption will be controlled within 5 billion tons of standard coal.</t>
        </is>
      </c>
      <c r="K337" s="0" t="inlineStr">
        <is>
          <t>FYP1615.htm</t>
        </is>
      </c>
      <c r="L337" s="0" t="inlineStr">
        <is>
          <t>Energy/Power</t>
        </is>
      </c>
      <c r="M337" s="0" t="inlineStr">
        <is>
          <t>Power supply</t>
        </is>
      </c>
    </row>
    <row r="338" ht="18" customHeight="1" s="235">
      <c r="A338" s="113" t="n">
        <v>2019</v>
      </c>
      <c r="B338" s="113" t="inlineStr">
        <is>
          <t>total energy consumption</t>
        </is>
      </c>
      <c r="C338" s="113" t="inlineStr">
        <is>
          <t>control within</t>
        </is>
      </c>
      <c r="D338" s="113" t="inlineStr">
        <is>
          <t>5000  million tce</t>
        </is>
      </c>
      <c r="E338" s="113" t="n"/>
      <c r="F338" s="114" t="inlineStr">
        <is>
          <t>2020</t>
        </is>
      </c>
      <c r="G338" s="113" t="inlineStr">
        <is>
          <t>r</t>
        </is>
      </c>
      <c r="H338" s="113" t="inlineStr">
        <is>
          <t>Energy efficiency</t>
        </is>
      </c>
      <c r="I338" s="113" t="inlineStr">
        <is>
          <t>whole economy</t>
        </is>
      </c>
      <c r="J338" s="113" t="inlineStr">
        <is>
          <t>by 2020 the total energy consumption will be controlled below 5,000 Mtce</t>
        </is>
      </c>
      <c r="K338" s="113" t="inlineStr">
        <is>
          <t>HL1902.pdf</t>
        </is>
      </c>
      <c r="L338" s="113" t="inlineStr">
        <is>
          <t>Energy/Power</t>
        </is>
      </c>
      <c r="M338" s="113" t="inlineStr">
        <is>
          <t>Reserves</t>
        </is>
      </c>
    </row>
    <row r="339" ht="18" customHeight="1" s="235">
      <c r="A339" s="113" t="n">
        <v>2023</v>
      </c>
      <c r="B339" s="113" t="inlineStr">
        <is>
          <t>total energy consumption</t>
        </is>
      </c>
      <c r="C339" s="113" t="inlineStr">
        <is>
          <t>constrained within</t>
        </is>
      </c>
      <c r="D339" s="113" t="inlineStr">
        <is>
          <t>5.0 billion tons of standard coal</t>
        </is>
      </c>
      <c r="E339" s="113" t="n"/>
      <c r="F339" s="114" t="inlineStr">
        <is>
          <t>2020</t>
        </is>
      </c>
      <c r="G339" s="113" t="inlineStr">
        <is>
          <t>r</t>
        </is>
      </c>
      <c r="H339" s="113" t="inlineStr">
        <is>
          <t>Energy efficiency</t>
        </is>
      </c>
      <c r="I339" s="113" t="inlineStr">
        <is>
          <t>whole economy</t>
        </is>
      </c>
      <c r="J339" s="113" t="inlineStr">
        <is>
          <t>by 2020, the total energy consumption will be constrained within 5.0 billion tons of standard coal</t>
        </is>
      </c>
      <c r="K339" s="113" t="inlineStr">
        <is>
          <t>HL2302.pdf</t>
        </is>
      </c>
      <c r="L339" s="113" t="inlineStr">
        <is>
          <t>Energy/Power</t>
        </is>
      </c>
      <c r="M339" s="113" t="inlineStr">
        <is>
          <t>Reserves</t>
        </is>
      </c>
    </row>
    <row r="340" ht="18" customHeight="1" s="235">
      <c r="A340" s="113" t="n">
        <v>2004</v>
      </c>
      <c r="B340" s="113" t="inlineStr">
        <is>
          <t>total energy consumption</t>
        </is>
      </c>
      <c r="C340" s="113" t="inlineStr">
        <is>
          <t>reach</t>
        </is>
      </c>
      <c r="D340" s="113" t="inlineStr">
        <is>
          <t>3 billion tons</t>
        </is>
      </c>
      <c r="E340" s="113" t="n"/>
      <c r="F340" s="114" t="inlineStr">
        <is>
          <t>2020</t>
        </is>
      </c>
      <c r="G340" s="113" t="inlineStr">
        <is>
          <t>n</t>
        </is>
      </c>
      <c r="H340" s="113" t="inlineStr">
        <is>
          <t>Energy efficiency</t>
        </is>
      </c>
      <c r="I340" s="113" t="inlineStr">
        <is>
          <t>whole economy</t>
        </is>
      </c>
      <c r="J340" s="113" t="inlineStr">
        <is>
          <t>According to the medium- and long-term energy development plan, taking energy conservation into full consideration, the total energy consumption will need to be 3 billion tons of standard coal by 2020.</t>
        </is>
      </c>
      <c r="K340" s="113" t="inlineStr">
        <is>
          <t>MLT0401.htm</t>
        </is>
      </c>
      <c r="L340" s="113" t="inlineStr">
        <is>
          <t>Energy/Power</t>
        </is>
      </c>
      <c r="M340" s="113" t="inlineStr">
        <is>
          <t>Reserves</t>
        </is>
      </c>
    </row>
    <row r="341" ht="18" customHeight="1" s="235">
      <c r="A341" s="113" t="n">
        <v>2014</v>
      </c>
      <c r="B341" s="113" t="inlineStr">
        <is>
          <t>total energy consumption</t>
        </is>
      </c>
      <c r="C341" s="113" t="inlineStr">
        <is>
          <t>control within</t>
        </is>
      </c>
      <c r="D341" s="113" t="inlineStr">
        <is>
          <t>4.8 billion tons of standard coal</t>
        </is>
      </c>
      <c r="E341" s="113" t="n"/>
      <c r="F341" s="114" t="inlineStr">
        <is>
          <t>2020</t>
        </is>
      </c>
      <c r="G341" s="113" t="inlineStr">
        <is>
          <t>s/l-NEG</t>
        </is>
      </c>
      <c r="H341" s="113" t="inlineStr">
        <is>
          <t>Energy efficiency</t>
        </is>
      </c>
      <c r="I341" s="113" t="inlineStr">
        <is>
          <t>whole economy</t>
        </is>
      </c>
      <c r="J341" s="113" t="inlineStr">
        <is>
          <t>By 2020, the total primary energy consumption will be controlled at around 4.8 billion tons of standard coal.</t>
        </is>
      </c>
      <c r="K341" s="113" t="inlineStr">
        <is>
          <t>AP1401.htm</t>
        </is>
      </c>
      <c r="L341" s="113" t="inlineStr">
        <is>
          <t>Energy/Power</t>
        </is>
      </c>
      <c r="M341" s="113" t="inlineStr">
        <is>
          <t>Reserves</t>
        </is>
      </c>
    </row>
    <row r="342" ht="18" customHeight="1" s="235">
      <c r="A342" s="113" t="n">
        <v>2016</v>
      </c>
      <c r="B342" s="113" t="inlineStr">
        <is>
          <t>total energy consumption</t>
        </is>
      </c>
      <c r="C342" s="113" t="inlineStr">
        <is>
          <t>control within</t>
        </is>
      </c>
      <c r="D342" s="113" t="inlineStr">
        <is>
          <t>5 billion tons of standard coal</t>
        </is>
      </c>
      <c r="E342" s="113" t="n"/>
      <c r="F342" s="114" t="inlineStr">
        <is>
          <t>2020</t>
        </is>
      </c>
      <c r="G342" s="113" t="inlineStr">
        <is>
          <t>s/l-NEG</t>
        </is>
      </c>
      <c r="H342" s="113" t="inlineStr">
        <is>
          <t>Energy efficiency</t>
        </is>
      </c>
      <c r="I342" s="113" t="inlineStr">
        <is>
          <t>whole economy</t>
        </is>
      </c>
      <c r="J342" s="113" t="inlineStr">
        <is>
          <t>By 2020, the total energy consumption will be controlled within 5 billion tons of standard coal.</t>
        </is>
      </c>
      <c r="K342" s="113" t="inlineStr">
        <is>
          <t>FYP1601.htm</t>
        </is>
      </c>
      <c r="L342" s="113" t="inlineStr">
        <is>
          <t>Energy/Power</t>
        </is>
      </c>
      <c r="M342" s="113" t="inlineStr">
        <is>
          <t>Reserves</t>
        </is>
      </c>
    </row>
    <row r="343" ht="18" customHeight="1" s="235">
      <c r="A343" s="113" t="n">
        <v>2013</v>
      </c>
      <c r="B343" s="113" t="inlineStr">
        <is>
          <t>comprehensive energy efficiency</t>
        </is>
      </c>
      <c r="C343" s="113" t="inlineStr">
        <is>
          <t>increase to</t>
        </is>
      </c>
      <c r="D343" s="113" t="inlineStr">
        <is>
          <t>38%</t>
        </is>
      </c>
      <c r="E343" s="113" t="n"/>
      <c r="F343" s="114" t="inlineStr">
        <is>
          <t>2015</t>
        </is>
      </c>
      <c r="G343" s="113" t="inlineStr">
        <is>
          <t>n</t>
        </is>
      </c>
      <c r="H343" s="113" t="inlineStr">
        <is>
          <t>Energy efficiency</t>
        </is>
      </c>
      <c r="I343" s="113" t="inlineStr">
        <is>
          <t>unclear</t>
        </is>
      </c>
      <c r="J343" s="113" t="inlineStr">
        <is>
          <t>The comprehensive energy efficiency will be raised to 38% by 2015.</t>
        </is>
      </c>
      <c r="K343" s="113" t="inlineStr">
        <is>
          <t>FYP1302.htm</t>
        </is>
      </c>
      <c r="L343" s="113" t="inlineStr">
        <is>
          <t>Energy/Power</t>
        </is>
      </c>
      <c r="M343" s="113" t="inlineStr">
        <is>
          <t>Reserves</t>
        </is>
      </c>
    </row>
    <row r="344" ht="18" customHeight="1" s="235">
      <c r="A344" s="113" t="n">
        <v>2007</v>
      </c>
      <c r="B344" s="113" t="inlineStr">
        <is>
          <t>desulfurization units</t>
        </is>
      </c>
      <c r="C344" s="113" t="inlineStr">
        <is>
          <t>put into operation</t>
        </is>
      </c>
      <c r="D344" s="113" t="inlineStr">
        <is>
          <t>355 million kilowatts</t>
        </is>
      </c>
      <c r="E344" s="113" t="n"/>
      <c r="F344" s="114" t="inlineStr">
        <is>
          <t>11th FYP</t>
        </is>
      </c>
      <c r="G344" s="113" t="inlineStr">
        <is>
          <t>n</t>
        </is>
      </c>
      <c r="H344" s="113" t="inlineStr">
        <is>
          <t>Coal-related</t>
        </is>
      </c>
      <c r="I344" s="113" t="inlineStr">
        <is>
          <t>unclear</t>
        </is>
      </c>
      <c r="J344" s="113" t="inlineStr">
        <is>
          <t>355 million kilowatts of desulfurization units will be put into operation during the 11th Five-Year Plan period.</t>
        </is>
      </c>
      <c r="K344" s="113" t="inlineStr">
        <is>
          <t>WOP0701.htm</t>
        </is>
      </c>
      <c r="L344" s="113" t="inlineStr">
        <is>
          <t>Energy/Power</t>
        </is>
      </c>
      <c r="M344" s="113" t="inlineStr">
        <is>
          <t>Reserves</t>
        </is>
      </c>
    </row>
    <row r="345" ht="18" customHeight="1" s="235">
      <c r="A345" s="113" t="n">
        <v>2012</v>
      </c>
      <c r="B345" s="113" t="inlineStr">
        <is>
          <t>electricity saving capacity</t>
        </is>
      </c>
      <c r="C345" s="113" t="inlineStr">
        <is>
          <t>achieve</t>
        </is>
      </c>
      <c r="D345" s="113" t="inlineStr">
        <is>
          <t>80 billion kilowatt-hours</t>
        </is>
      </c>
      <c r="E345" s="113" t="n"/>
      <c r="F345" s="114" t="inlineStr">
        <is>
          <t>12th FYP</t>
        </is>
      </c>
      <c r="G345" s="113" t="inlineStr">
        <is>
          <t>n</t>
        </is>
      </c>
      <c r="H345" s="113" t="inlineStr">
        <is>
          <t>Energy saving</t>
        </is>
      </c>
      <c r="I345" s="113" t="inlineStr">
        <is>
          <t>unclear</t>
        </is>
      </c>
      <c r="J345" s="113" t="inlineStr">
        <is>
          <t>The electricity saving capacity of 80 billion kilowatt-hours will be achieved during the 12th Five-Year Plan period.</t>
        </is>
      </c>
      <c r="K345" s="113" t="inlineStr">
        <is>
          <t>FYP1201.htm</t>
        </is>
      </c>
      <c r="L345" s="113" t="inlineStr">
        <is>
          <t>Energy/Power</t>
        </is>
      </c>
      <c r="M345" s="113" t="inlineStr">
        <is>
          <t>Reserves</t>
        </is>
      </c>
    </row>
    <row r="346" ht="18" customHeight="1" s="235">
      <c r="A346" s="113" t="n">
        <v>2004</v>
      </c>
      <c r="B346" s="113" t="inlineStr">
        <is>
          <t>electricity saving capacity</t>
        </is>
      </c>
      <c r="C346" s="113" t="inlineStr">
        <is>
          <t>reach</t>
        </is>
      </c>
      <c r="D346" s="113" t="inlineStr">
        <is>
          <t>400 million tons of standard coal</t>
        </is>
      </c>
      <c r="E346" s="113" t="n"/>
      <c r="F346" s="114" t="inlineStr">
        <is>
          <t>11th FYP</t>
        </is>
      </c>
      <c r="G346" s="113" t="inlineStr">
        <is>
          <t>n</t>
        </is>
      </c>
      <c r="H346" s="113" t="inlineStr">
        <is>
          <t>Energy saving</t>
        </is>
      </c>
      <c r="I346" s="113" t="inlineStr">
        <is>
          <t>unclear</t>
        </is>
      </c>
      <c r="J346" s="113" t="inlineStr">
        <is>
          <t>By 2010, the energy conservation capacity will reach 400 million tons of standard coal.</t>
        </is>
      </c>
      <c r="K346" s="113" t="inlineStr">
        <is>
          <t>MLT0401.htm</t>
        </is>
      </c>
      <c r="L346" s="113" t="inlineStr">
        <is>
          <t>Energy/Power</t>
        </is>
      </c>
      <c r="M346" s="113" t="inlineStr">
        <is>
          <t>Reserves</t>
        </is>
      </c>
    </row>
    <row r="347" ht="18" customHeight="1" s="235">
      <c r="A347" s="113" t="n">
        <v>2007</v>
      </c>
      <c r="B347" s="113" t="inlineStr">
        <is>
          <t>total energy savings</t>
        </is>
      </c>
      <c r="C347" s="113" t="inlineStr">
        <is>
          <t>achieve</t>
        </is>
      </c>
      <c r="D347" s="113" t="inlineStr">
        <is>
          <t>31.5 million tons of standard coal</t>
        </is>
      </c>
      <c r="E347" s="113" t="n"/>
      <c r="F347" s="114" t="n">
        <v>2007</v>
      </c>
      <c r="G347" s="113" t="inlineStr">
        <is>
          <t>n</t>
        </is>
      </c>
      <c r="H347" s="113" t="inlineStr">
        <is>
          <t>Energy saving</t>
        </is>
      </c>
      <c r="I347" s="113" t="inlineStr">
        <is>
          <t>unclear</t>
        </is>
      </c>
      <c r="J347" s="113" t="inlineStr">
        <is>
          <t>In 2007, energy savings of 31.5 million tons of standard coal will be achieved.</t>
        </is>
      </c>
      <c r="K347" s="113" t="inlineStr">
        <is>
          <t>WOP0701.htm</t>
        </is>
      </c>
      <c r="L347" s="113" t="inlineStr">
        <is>
          <t>Energy/Power</t>
        </is>
      </c>
      <c r="M347" s="113" t="inlineStr">
        <is>
          <t>Reserves</t>
        </is>
      </c>
    </row>
    <row r="348" ht="18" customHeight="1" s="235">
      <c r="A348" s="0" t="n">
        <v>2004</v>
      </c>
      <c r="B348" s="0" t="inlineStr">
        <is>
          <t>total energy savings</t>
        </is>
      </c>
      <c r="C348" s="0" t="inlineStr">
        <is>
          <t>equivalent to</t>
        </is>
      </c>
      <c r="D348" s="0" t="inlineStr">
        <is>
          <t>21 million tons sulfur dioxide emissions</t>
        </is>
      </c>
      <c r="F348" s="0" t="inlineStr">
        <is>
          <t>2003-2020</t>
        </is>
      </c>
      <c r="G348" s="0" t="inlineStr">
        <is>
          <t>n</t>
        </is>
      </c>
      <c r="H348" s="0" t="inlineStr">
        <is>
          <t>Energy saving</t>
        </is>
      </c>
      <c r="I348" s="0" t="inlineStr">
        <is>
          <t>unclear</t>
        </is>
      </c>
      <c r="J348" s="0" t="inlineStr">
        <is>
          <t>From 2003 to 2020, China's energy savings will be equivalent to reducing sulfur dioxide emissions by 21 million tons.</t>
        </is>
      </c>
      <c r="K348" s="0" t="inlineStr">
        <is>
          <t>MLT0401.htm</t>
        </is>
      </c>
      <c r="L348" s="0" t="inlineStr">
        <is>
          <t>Energy/Power</t>
        </is>
      </c>
      <c r="M348" s="0" t="inlineStr">
        <is>
          <t>Power supply</t>
        </is>
      </c>
    </row>
    <row r="349" ht="18" customHeight="1" s="235">
      <c r="A349" s="0" t="n">
        <v>2010</v>
      </c>
      <c r="B349" s="0" t="inlineStr">
        <is>
          <t>contribution rate of energy conservation and energy efficiency improvement</t>
        </is>
      </c>
      <c r="C349" s="0" t="inlineStr">
        <is>
          <t>reach</t>
        </is>
      </c>
      <c r="D349" s="0" t="inlineStr">
        <is>
          <t>more than 85%</t>
        </is>
      </c>
      <c r="E349" s="0" t="n"/>
      <c r="F349" s="0" t="inlineStr">
        <is>
          <t>2020</t>
        </is>
      </c>
      <c r="G349" s="0" t="inlineStr">
        <is>
          <t>n</t>
        </is>
      </c>
      <c r="H349" s="0" t="inlineStr">
        <is>
          <t>Energy saving</t>
        </is>
      </c>
      <c r="I349" s="0" t="inlineStr">
        <is>
          <t>unclear</t>
        </is>
      </c>
      <c r="J349" s="0" t="inlineStr">
        <is>
          <t>By 2020, the contribution rate of energy conservation and energy efficiency improvement will reach more than 85%.</t>
        </is>
      </c>
      <c r="K349" s="0" t="inlineStr">
        <is>
          <t>N1001.htm</t>
        </is>
      </c>
      <c r="L349" s="0" t="inlineStr">
        <is>
          <t>Energy/Power</t>
        </is>
      </c>
      <c r="M349" s="0" t="inlineStr">
        <is>
          <t>Energy consumption</t>
        </is>
      </c>
    </row>
    <row r="350" ht="18" customHeight="1" s="235">
      <c r="A350" s="113" t="n">
        <v>2004</v>
      </c>
      <c r="B350" s="113" t="inlineStr">
        <is>
          <t>energy saving capacity</t>
        </is>
      </c>
      <c r="C350" s="113" t="inlineStr">
        <is>
          <t>reach</t>
        </is>
      </c>
      <c r="D350" s="113" t="inlineStr">
        <is>
          <t>1.4 billion tons of standard coal</t>
        </is>
      </c>
      <c r="E350" s="113" t="n"/>
      <c r="F350" s="114" t="inlineStr">
        <is>
          <t>2011–2020</t>
        </is>
      </c>
      <c r="G350" s="113" t="inlineStr">
        <is>
          <t>n</t>
        </is>
      </c>
      <c r="H350" s="113" t="inlineStr">
        <is>
          <t>Energy saving</t>
        </is>
      </c>
      <c r="I350" s="113" t="inlineStr">
        <is>
          <t>unclear</t>
        </is>
      </c>
      <c r="J350" s="113" t="inlineStr">
        <is>
          <t>By 2020, the energy saving capacity will reach 1.4 billion tons of standard coal.</t>
        </is>
      </c>
      <c r="K350" s="113" t="inlineStr">
        <is>
          <t>MLT0401.htm</t>
        </is>
      </c>
      <c r="L350" s="113" t="inlineStr">
        <is>
          <t>Energy/Power</t>
        </is>
      </c>
      <c r="M350" s="113" t="inlineStr">
        <is>
          <t>Power supply</t>
        </is>
      </c>
    </row>
    <row r="351" ht="18" customHeight="1" s="235">
      <c r="A351" s="0" t="n">
        <v>2016</v>
      </c>
      <c r="B351" s="0" t="inlineStr">
        <is>
          <t>energy saving capacity</t>
        </is>
      </c>
      <c r="C351" s="0" t="inlineStr">
        <is>
          <t>form</t>
        </is>
      </c>
      <c r="D351" s="0" t="inlineStr">
        <is>
          <t>about 300 million tons of standard coal</t>
        </is>
      </c>
      <c r="E351" s="0" t="n">
        <v>2015</v>
      </c>
      <c r="F351" s="0" t="inlineStr">
        <is>
          <t>2020</t>
        </is>
      </c>
      <c r="G351" s="0" t="inlineStr">
        <is>
          <t>n</t>
        </is>
      </c>
      <c r="H351" s="0" t="inlineStr">
        <is>
          <t>Energy saving</t>
        </is>
      </c>
      <c r="I351" s="0" t="inlineStr">
        <is>
          <t>unclear</t>
        </is>
      </c>
      <c r="J351" s="0" t="inlineStr">
        <is>
          <t>We will promote the comprehensive cascade utilization of energy, form an energy-saving capacity of about 300 million tons of standard coal by 2020.</t>
        </is>
      </c>
      <c r="K351" s="0" t="inlineStr">
        <is>
          <t>FYP1601.htm</t>
        </is>
      </c>
      <c r="L351" s="0" t="inlineStr">
        <is>
          <t>Energy/Power</t>
        </is>
      </c>
      <c r="M351" s="0" t="inlineStr">
        <is>
          <t>Power supply</t>
        </is>
      </c>
    </row>
    <row r="352" ht="18" customHeight="1" s="235">
      <c r="A352" s="113" t="n">
        <v>2011</v>
      </c>
      <c r="B352" s="113" t="inlineStr">
        <is>
          <t>energy-saving capacity</t>
        </is>
      </c>
      <c r="C352" s="113" t="inlineStr">
        <is>
          <t>achieve</t>
        </is>
      </c>
      <c r="D352" s="113" t="inlineStr">
        <is>
          <t>300 million tons of standard coal</t>
        </is>
      </c>
      <c r="E352" s="113" t="n"/>
      <c r="F352" s="114" t="inlineStr">
        <is>
          <t>2015</t>
        </is>
      </c>
      <c r="G352" s="113" t="inlineStr">
        <is>
          <t>n</t>
        </is>
      </c>
      <c r="H352" s="113" t="inlineStr">
        <is>
          <t>Energy saving</t>
        </is>
      </c>
      <c r="I352" s="113" t="inlineStr">
        <is>
          <t>unclear</t>
        </is>
      </c>
      <c r="J352" s="113" t="inlineStr">
        <is>
          <t>By 2015, energy-saving capacity of 300 million tons of standard coal will be achieved.</t>
        </is>
      </c>
      <c r="K352" s="113" t="inlineStr">
        <is>
          <t>FYP1101.htm</t>
        </is>
      </c>
      <c r="L352" s="113" t="inlineStr">
        <is>
          <t>Energy/Power</t>
        </is>
      </c>
      <c r="M352" s="113" t="inlineStr">
        <is>
          <t>Power supply</t>
        </is>
      </c>
    </row>
    <row r="353" ht="18" customHeight="1" s="235">
      <c r="A353" s="113" t="n">
        <v>2016</v>
      </c>
      <c r="B353" s="113" t="inlineStr">
        <is>
          <t>energy-saving capacity</t>
        </is>
      </c>
      <c r="C353" s="113" t="inlineStr">
        <is>
          <t>form</t>
        </is>
      </c>
      <c r="D353" s="113" t="inlineStr">
        <is>
          <t>300 million tons of standard coal</t>
        </is>
      </c>
      <c r="E353" s="113" t="n"/>
      <c r="F353" s="114" t="inlineStr">
        <is>
          <t>13th FYP</t>
        </is>
      </c>
      <c r="G353" s="113" t="inlineStr">
        <is>
          <t>n</t>
        </is>
      </c>
      <c r="H353" s="113" t="inlineStr">
        <is>
          <t>Energy saving</t>
        </is>
      </c>
      <c r="I353" s="113" t="inlineStr">
        <is>
          <t>unclear</t>
        </is>
      </c>
      <c r="J353" s="113" t="inlineStr">
        <is>
          <t>During the 13th Five-Year Plan period, we will form an energy-saving capacity of about 300 million tons of standard coal.</t>
        </is>
      </c>
      <c r="K353" s="113" t="inlineStr">
        <is>
          <t>FYP1623.pdf</t>
        </is>
      </c>
      <c r="L353" s="113" t="inlineStr">
        <is>
          <t>Energy/Power</t>
        </is>
      </c>
      <c r="M353" s="113" t="inlineStr">
        <is>
          <t>Coal power</t>
        </is>
      </c>
    </row>
    <row r="354" ht="18" customHeight="1" s="235">
      <c r="A354" s="113" t="n">
        <v>2017</v>
      </c>
      <c r="B354" s="113" t="inlineStr">
        <is>
          <t>energy consumption per unit turnover of operating buses</t>
        </is>
      </c>
      <c r="C354" s="113" t="inlineStr">
        <is>
          <t>reduce by</t>
        </is>
      </c>
      <c r="D354" s="113" t="inlineStr">
        <is>
          <t>2.1%</t>
        </is>
      </c>
      <c r="E354" s="113" t="n">
        <v>2015</v>
      </c>
      <c r="F354" s="114" t="inlineStr">
        <is>
          <t>2020</t>
        </is>
      </c>
      <c r="G354" s="113" t="inlineStr">
        <is>
          <t>n</t>
        </is>
      </c>
      <c r="H354" s="113" t="inlineStr">
        <is>
          <t>Energy efficiency</t>
        </is>
      </c>
      <c r="I354" s="113" t="inlineStr">
        <is>
          <t>sectors</t>
        </is>
      </c>
      <c r="J354" s="113" t="inlineStr">
        <is>
          <t>By 2020, the energy consumption per unit turnover of operating buses will decrease by 2.1% compared with 2015.</t>
        </is>
      </c>
      <c r="K354" s="113" t="inlineStr">
        <is>
          <t>IP1701.htm</t>
        </is>
      </c>
      <c r="L354" s="113" t="inlineStr">
        <is>
          <t>Energy/Power</t>
        </is>
      </c>
      <c r="M354" s="113" t="inlineStr">
        <is>
          <t>Power supply</t>
        </is>
      </c>
    </row>
    <row r="355" ht="18" customHeight="1" s="235">
      <c r="A355" s="113" t="n">
        <v>2017</v>
      </c>
      <c r="B355" s="113" t="inlineStr">
        <is>
          <t>energy consumption per unit turnover of operating ships</t>
        </is>
      </c>
      <c r="C355" s="113" t="inlineStr">
        <is>
          <t>reduce by</t>
        </is>
      </c>
      <c r="D355" s="113" t="inlineStr">
        <is>
          <t>6.0%</t>
        </is>
      </c>
      <c r="E355" s="113" t="n">
        <v>2015</v>
      </c>
      <c r="F355" s="114" t="inlineStr">
        <is>
          <t>2020</t>
        </is>
      </c>
      <c r="G355" s="113" t="inlineStr">
        <is>
          <t>n</t>
        </is>
      </c>
      <c r="H355" s="113" t="inlineStr">
        <is>
          <t>Energy efficiency</t>
        </is>
      </c>
      <c r="I355" s="113" t="inlineStr">
        <is>
          <t>sectors</t>
        </is>
      </c>
      <c r="J355" s="113" t="inlineStr">
        <is>
          <t>By 2020, the energy consumption per unit turnover of operating ships will decrease by 6.0% compared with 2015.</t>
        </is>
      </c>
      <c r="K355" s="113" t="inlineStr">
        <is>
          <t>IP1701.htm</t>
        </is>
      </c>
      <c r="L355" s="113" t="inlineStr">
        <is>
          <t>Energy/Power</t>
        </is>
      </c>
      <c r="M355" s="113" t="inlineStr">
        <is>
          <t>Energy consumption</t>
        </is>
      </c>
    </row>
    <row r="356" ht="18" customHeight="1" s="235">
      <c r="A356" s="113" t="n">
        <v>2011</v>
      </c>
      <c r="B356" s="113" t="inlineStr">
        <is>
          <t>energy consumption per unit of turnover of operating ships</t>
        </is>
      </c>
      <c r="C356" s="113" t="inlineStr">
        <is>
          <t>reduce by</t>
        </is>
      </c>
      <c r="D356" s="113" t="inlineStr">
        <is>
          <t>15%</t>
        </is>
      </c>
      <c r="E356" s="113" t="n"/>
      <c r="F356" s="114" t="inlineStr">
        <is>
          <t>12th FYP</t>
        </is>
      </c>
      <c r="G356" s="113" t="inlineStr">
        <is>
          <t>n</t>
        </is>
      </c>
      <c r="H356" s="113" t="inlineStr">
        <is>
          <t>Energy efficiency</t>
        </is>
      </c>
      <c r="I356" s="113" t="inlineStr">
        <is>
          <t>sectors</t>
        </is>
      </c>
      <c r="J356" s="113" t="inlineStr">
        <is>
          <t>In 2011, the Ministry of Transport issued the “12th Five-Year Development Plan for Transportation”, proposing that the energy consumption per unit of transport turnover of operating ships would be reduced by 15% during the “12th Five-Year Plan” period.</t>
        </is>
      </c>
      <c r="K356" s="113" t="inlineStr">
        <is>
          <t>HL1701.pdf</t>
        </is>
      </c>
      <c r="L356" s="113" t="inlineStr">
        <is>
          <t>Energy/Power</t>
        </is>
      </c>
      <c r="M356" s="113" t="inlineStr">
        <is>
          <t>Power supply</t>
        </is>
      </c>
    </row>
    <row r="357" ht="18" customHeight="1" s="235">
      <c r="A357" s="113" t="n">
        <v>2017</v>
      </c>
      <c r="B357" s="113" t="inlineStr">
        <is>
          <t>energy consumption per unit turnover of operating trucks</t>
        </is>
      </c>
      <c r="C357" s="113" t="inlineStr">
        <is>
          <t>reduce by</t>
        </is>
      </c>
      <c r="D357" s="113" t="inlineStr">
        <is>
          <t>6.8%</t>
        </is>
      </c>
      <c r="E357" s="113" t="n">
        <v>2015</v>
      </c>
      <c r="F357" s="114" t="inlineStr">
        <is>
          <t>2020</t>
        </is>
      </c>
      <c r="G357" s="113" t="inlineStr">
        <is>
          <t>s/l-POS</t>
        </is>
      </c>
      <c r="H357" s="113" t="inlineStr">
        <is>
          <t>Energy efficiency</t>
        </is>
      </c>
      <c r="I357" s="113" t="inlineStr">
        <is>
          <t>sectors</t>
        </is>
      </c>
      <c r="J357" s="113" t="inlineStr">
        <is>
          <t>By 2020, the energy consumption per unit turnover of operating trucks will decrease by 6.8% compared with 2015.</t>
        </is>
      </c>
      <c r="K357" s="113" t="inlineStr">
        <is>
          <t>IP1701.htm</t>
        </is>
      </c>
      <c r="L357" s="113" t="inlineStr">
        <is>
          <t>Energy/Power</t>
        </is>
      </c>
      <c r="M357" s="113" t="inlineStr">
        <is>
          <t>Coal power</t>
        </is>
      </c>
    </row>
    <row r="358" ht="18" customHeight="1" s="235">
      <c r="A358" s="113" t="n">
        <v>2014</v>
      </c>
      <c r="B358" s="113" t="inlineStr">
        <is>
          <t>energy consumption per unit of transport turnover of operating trucks</t>
        </is>
      </c>
      <c r="C358" s="113" t="inlineStr">
        <is>
          <t>reduce by</t>
        </is>
      </c>
      <c r="D358" s="113" t="inlineStr">
        <is>
          <t>4%</t>
        </is>
      </c>
      <c r="E358" s="113" t="n">
        <v>2013</v>
      </c>
      <c r="F358" s="114" t="inlineStr">
        <is>
          <t>2015</t>
        </is>
      </c>
      <c r="G358" s="113" t="inlineStr">
        <is>
          <t>n</t>
        </is>
      </c>
      <c r="H358" s="113" t="inlineStr">
        <is>
          <t>Energy efficiency</t>
        </is>
      </c>
      <c r="I358" s="113" t="inlineStr">
        <is>
          <t>sectors</t>
        </is>
      </c>
      <c r="J358" s="113" t="inlineStr">
        <is>
          <t>By 2015, the energy consumption per unit of transport turnover of operating trucks will be reduced by more than 4% compared with 2013.</t>
        </is>
      </c>
      <c r="K358" s="113" t="inlineStr">
        <is>
          <t>AP1404.htm</t>
        </is>
      </c>
      <c r="L358" s="113" t="inlineStr">
        <is>
          <t>Energy/Power</t>
        </is>
      </c>
      <c r="M358" s="113" t="inlineStr">
        <is>
          <t>Coal power</t>
        </is>
      </c>
    </row>
    <row r="359" ht="18" customHeight="1" s="235">
      <c r="A359" s="113" t="n">
        <v>2017</v>
      </c>
      <c r="B359" s="113" t="inlineStr">
        <is>
          <t xml:space="preserve">energy consumption per unit of turnover of operating vehicles </t>
        </is>
      </c>
      <c r="C359" s="113" t="inlineStr">
        <is>
          <t>reduce by</t>
        </is>
      </c>
      <c r="D359" s="113" t="inlineStr">
        <is>
          <t>10%</t>
        </is>
      </c>
      <c r="E359" s="113" t="n">
        <v>2005</v>
      </c>
      <c r="F359" s="114" t="inlineStr">
        <is>
          <t>2011</t>
        </is>
      </c>
      <c r="G359" s="113" t="inlineStr">
        <is>
          <t>r</t>
        </is>
      </c>
      <c r="H359" s="113" t="inlineStr">
        <is>
          <t>Energy efficiency</t>
        </is>
      </c>
      <c r="I359" s="113" t="inlineStr">
        <is>
          <t>unclear</t>
        </is>
      </c>
      <c r="J359" s="113" t="inlineStr">
        <is>
          <t>In 2011, the Ministry of Transport issued the “12th Five-Year Development Plan for Transportation”, proposing that by 2015, the energy consumption per unit of transport turnover of operating vehicles would be reduced by 10% compared with 2005.</t>
        </is>
      </c>
      <c r="K359" s="113" t="inlineStr">
        <is>
          <t>HL1701.pdf</t>
        </is>
      </c>
      <c r="L359" s="113" t="inlineStr">
        <is>
          <t>Energy/Power</t>
        </is>
      </c>
      <c r="M359" s="113" t="inlineStr">
        <is>
          <t>Coal power</t>
        </is>
      </c>
    </row>
    <row r="360" ht="18" customHeight="1" s="235">
      <c r="A360" s="113" t="n">
        <v>2014</v>
      </c>
      <c r="B360" s="113" t="inlineStr">
        <is>
          <t>backward thermal power units</t>
        </is>
      </c>
      <c r="C360" s="113" t="inlineStr">
        <is>
          <t>eliminate</t>
        </is>
      </c>
      <c r="D360" s="113" t="inlineStr">
        <is>
          <t>10 million kilowatts</t>
        </is>
      </c>
      <c r="E360" s="113" t="n"/>
      <c r="F360" s="114" t="inlineStr">
        <is>
          <t>2014-2020</t>
        </is>
      </c>
      <c r="G360" s="113" t="inlineStr">
        <is>
          <t>n</t>
        </is>
      </c>
      <c r="H360" s="113" t="inlineStr">
        <is>
          <t>Coal-related</t>
        </is>
      </c>
      <c r="I360" s="113" t="inlineStr">
        <is>
          <t>sectors</t>
        </is>
      </c>
      <c r="J360" s="113" t="inlineStr">
        <is>
          <t>By 2020, we will strive to eliminate more than 10 million kilowatts of backward thermal power units.</t>
        </is>
      </c>
      <c r="K360" s="113" t="inlineStr">
        <is>
          <t>AP1403.htm</t>
        </is>
      </c>
      <c r="L360" s="113" t="inlineStr">
        <is>
          <t>Energy/Power</t>
        </is>
      </c>
      <c r="M360" s="113" t="inlineStr">
        <is>
          <t>Energy consumption</t>
        </is>
      </c>
    </row>
    <row r="361" ht="18" customHeight="1" s="235">
      <c r="A361" s="0" t="n">
        <v>2016</v>
      </c>
      <c r="B361" s="0" t="inlineStr">
        <is>
          <t>backward coal-fired power units</t>
        </is>
      </c>
      <c r="C361" s="0" t="inlineStr">
        <is>
          <t>eliminate</t>
        </is>
      </c>
      <c r="D361" s="0" t="inlineStr">
        <is>
          <t>20 million kilowatts</t>
        </is>
      </c>
      <c r="F361" s="0" t="inlineStr">
        <is>
          <t>13th FYP</t>
        </is>
      </c>
      <c r="G361" s="0" t="inlineStr">
        <is>
          <t>s/l-POS</t>
        </is>
      </c>
      <c r="H361" s="0" t="inlineStr">
        <is>
          <t>Coal-related</t>
        </is>
      </c>
      <c r="I361" s="0" t="inlineStr">
        <is>
          <t>sectors</t>
        </is>
      </c>
      <c r="J361" s="0" t="inlineStr">
        <is>
          <t>During the 13th Five-Year Plan period, the country will strive to eliminate about 20 million kilowatts of backward coal-fired power units.</t>
        </is>
      </c>
      <c r="K361" s="0" t="inlineStr">
        <is>
          <t>FYP1607.pdf</t>
        </is>
      </c>
      <c r="L361" s="0" t="inlineStr">
        <is>
          <t>Energy/Power</t>
        </is>
      </c>
      <c r="M361" s="0" t="inlineStr">
        <is>
          <t>Energy consumption</t>
        </is>
      </c>
    </row>
    <row r="362" ht="18" customHeight="1" s="235">
      <c r="A362" s="113" t="n">
        <v>2014</v>
      </c>
      <c r="B362" s="113" t="inlineStr">
        <is>
          <t>outdated boilers</t>
        </is>
      </c>
      <c r="C362" s="113" t="inlineStr">
        <is>
          <t>phase out</t>
        </is>
      </c>
      <c r="D362" s="113" t="inlineStr">
        <is>
          <t>200000  tons</t>
        </is>
      </c>
      <c r="E362" s="113" t="n"/>
      <c r="F362" s="114" t="inlineStr">
        <is>
          <t>2014-2015</t>
        </is>
      </c>
      <c r="G362" s="113" t="inlineStr">
        <is>
          <t>n</t>
        </is>
      </c>
      <c r="H362" s="113" t="inlineStr">
        <is>
          <t>Coal-related</t>
        </is>
      </c>
      <c r="I362" s="113" t="inlineStr">
        <is>
          <t>unclear</t>
        </is>
      </c>
      <c r="J362" s="113" t="inlineStr">
        <is>
          <t>phase out 200,000 tons of outdated boilers by the end of 2015 (specific tasks are attached)</t>
        </is>
      </c>
      <c r="K362" s="113" t="inlineStr">
        <is>
          <t>AP1404.htm</t>
        </is>
      </c>
      <c r="L362" s="113" t="inlineStr">
        <is>
          <t>Energy/Power</t>
        </is>
      </c>
      <c r="M362" s="113" t="inlineStr">
        <is>
          <t>Power transmission/Energy transportation</t>
        </is>
      </c>
    </row>
    <row r="363" ht="18" customHeight="1" s="235">
      <c r="A363" s="113" t="n">
        <v>2014</v>
      </c>
      <c r="B363" s="113" t="inlineStr">
        <is>
          <t xml:space="preserve">recovery rate of thin coal seams  </t>
        </is>
      </c>
      <c r="C363" s="113" t="inlineStr">
        <is>
          <t>reach</t>
        </is>
      </c>
      <c r="D363" s="113" t="inlineStr">
        <is>
          <t>90%</t>
        </is>
      </c>
      <c r="E363" s="113" t="n"/>
      <c r="F363" s="114" t="inlineStr">
        <is>
          <t>2020</t>
        </is>
      </c>
      <c r="G363" s="113" t="inlineStr">
        <is>
          <t>n</t>
        </is>
      </c>
      <c r="H363" s="113" t="inlineStr">
        <is>
          <t>Coal-related</t>
        </is>
      </c>
      <c r="I363" s="113" t="inlineStr">
        <is>
          <t>unclear</t>
        </is>
      </c>
      <c r="J363" s="113" t="inlineStr">
        <is>
          <t>By 2020, the recovery rate of thin coal seams will reach over 90%.</t>
        </is>
      </c>
      <c r="K363" s="113" t="inlineStr">
        <is>
          <t>O1401.htm</t>
        </is>
      </c>
      <c r="L363" s="113" t="inlineStr">
        <is>
          <t>Energy/Power</t>
        </is>
      </c>
      <c r="M363" s="113" t="inlineStr">
        <is>
          <t>Power transmission/Energy transportation</t>
        </is>
      </c>
    </row>
    <row r="364" ht="18" customHeight="1" s="235">
      <c r="A364" s="113" t="n">
        <v>2026</v>
      </c>
      <c r="B364" s="113" t="inlineStr">
        <is>
          <t>west-to-east power transmission capacity</t>
        </is>
      </c>
      <c r="C364" s="113" t="inlineStr">
        <is>
          <t>reach</t>
        </is>
      </c>
      <c r="D364" s="113" t="inlineStr">
        <is>
          <t>420 gigawatts or above</t>
        </is>
      </c>
      <c r="E364" s="113" t="n"/>
      <c r="F364" s="114" t="n">
        <v>2030</v>
      </c>
      <c r="G364" s="113" t="inlineStr">
        <is>
          <t>n</t>
        </is>
      </c>
      <c r="H364" s="113" t="inlineStr">
        <is>
          <t>Renewable energy</t>
        </is>
      </c>
      <c r="I364" s="113" t="inlineStr">
        <is>
          <t>whole economy</t>
        </is>
      </c>
      <c r="J364" s="113" t="inlineStr">
        <is>
          <t>Clean-energy transmission channels will be built from Inner Mongolia, Jilin, Heilongjiang, Gansu, Qinghai, Ningxia, Xinjiang and Tibet, with west-to-east power transmission capacity reaching more than 420 gigawatts.</t>
        </is>
      </c>
      <c r="K364" s="113" t="inlineStr">
        <is>
          <t>HL2601.pdf</t>
        </is>
      </c>
      <c r="L364" s="113" t="inlineStr">
        <is>
          <t>Energy/Power</t>
        </is>
      </c>
      <c r="M364" s="113" t="inlineStr">
        <is>
          <t>Power transmission/Energy transportation</t>
        </is>
      </c>
    </row>
    <row r="365" ht="18" customHeight="1" s="235">
      <c r="A365" s="0" t="n">
        <v>2016</v>
      </c>
      <c r="B365" s="0" t="inlineStr">
        <is>
          <t>west-to-east power transmission capacity</t>
        </is>
      </c>
      <c r="C365" s="0" t="inlineStr">
        <is>
          <t>increase by</t>
        </is>
      </c>
      <c r="D365" s="0" t="inlineStr">
        <is>
          <t>130 million kilowatts</t>
        </is>
      </c>
      <c r="F365" s="0" t="inlineStr">
        <is>
          <t>2020</t>
        </is>
      </c>
      <c r="G365" s="0" t="inlineStr">
        <is>
          <t>r</t>
        </is>
      </c>
      <c r="H365" s="0" t="inlineStr">
        <is>
          <t>Renewable energy</t>
        </is>
      </c>
      <c r="I365" s="0" t="inlineStr">
        <is>
          <t>unclear</t>
        </is>
      </c>
      <c r="J365" s="0" t="inlineStr">
        <is>
          <t>During the 13th Five-Year Plan period, the transmission capacity of “West-to-East Power Transmission” will be increased by 130 million kilowatts, reaching 270 million kilowatts in 2020.</t>
        </is>
      </c>
      <c r="K365" s="0" t="inlineStr">
        <is>
          <t>FYP1607.pdf</t>
        </is>
      </c>
      <c r="L365" s="0" t="inlineStr">
        <is>
          <t>Energy/Power</t>
        </is>
      </c>
      <c r="M365" s="0" t="inlineStr">
        <is>
          <t>Energy consumption</t>
        </is>
      </c>
    </row>
    <row r="366" ht="18" customHeight="1" s="235">
      <c r="A366" s="113" t="n">
        <v>2016</v>
      </c>
      <c r="B366" s="113" t="inlineStr">
        <is>
          <t>ultra-low emission transformation of coal-fired power units with a capacity of 300,000 kilowatts and above in service in 12 western provinces, autonomous regions, municipalities and the Xinjiang Production and Construction Corps</t>
        </is>
      </c>
      <c r="C366" s="113" t="inlineStr">
        <is>
          <t>complete</t>
        </is>
      </c>
      <c r="D366" s="113" t="n"/>
      <c r="E366" s="113" t="n"/>
      <c r="F366" s="114" t="inlineStr">
        <is>
          <t>2020</t>
        </is>
      </c>
      <c r="G366" s="113" t="inlineStr">
        <is>
          <t>r</t>
        </is>
      </c>
      <c r="H366" s="113" t="inlineStr">
        <is>
          <t>Coal-related</t>
        </is>
      </c>
      <c r="I366" s="113" t="inlineStr">
        <is>
          <t>areas</t>
        </is>
      </c>
      <c r="J366" s="113" t="inlineStr">
        <is>
          <t>By 2020, the ultra-low emission transformation of coal-fired power units with a capacity of 300,000 kilowatts and above in service in 12 western provinces, autonomous regions, municipalities and the Xinjiang Production and Construction Corps will be completed.</t>
        </is>
      </c>
      <c r="K366" s="113" t="inlineStr">
        <is>
          <t>FYP1603.pdf</t>
        </is>
      </c>
      <c r="L366" s="113" t="inlineStr">
        <is>
          <t>Energy/Power</t>
        </is>
      </c>
      <c r="M366" s="113" t="inlineStr">
        <is>
          <t>Energy consumption</t>
        </is>
      </c>
    </row>
    <row r="367" ht="18" customHeight="1" s="235">
      <c r="A367" s="113" t="n">
        <v>2021</v>
      </c>
      <c r="B367" s="113" t="inlineStr">
        <is>
          <t>installed capacity of the western clean energy base</t>
        </is>
      </c>
      <c r="C367" s="113" t="inlineStr">
        <is>
          <t>increase by</t>
        </is>
      </c>
      <c r="D367" s="113" t="inlineStr">
        <is>
          <t>more than 350 million tons of standard coal</t>
        </is>
      </c>
      <c r="E367" s="113" t="n"/>
      <c r="F367" s="114" t="inlineStr">
        <is>
          <t>14th FYP</t>
        </is>
      </c>
      <c r="G367" s="113" t="inlineStr">
        <is>
          <t>n</t>
        </is>
      </c>
      <c r="H367" s="113" t="inlineStr">
        <is>
          <t>Renewable energy</t>
        </is>
      </c>
      <c r="I367" s="113" t="inlineStr">
        <is>
          <t>whole economy</t>
        </is>
      </c>
      <c r="J367" s="113" t="inlineStr">
        <is>
          <t>During the 14th Five-Year Plan period, the annual comprehensive production capacity of the western clean energy base will increase by more than 350 million tons of standard coal.</t>
        </is>
      </c>
      <c r="K367" s="113" t="inlineStr">
        <is>
          <t>FYP2105.pdf</t>
        </is>
      </c>
      <c r="L367" s="113" t="inlineStr">
        <is>
          <t>Energy/Power</t>
        </is>
      </c>
      <c r="M367" s="113" t="inlineStr">
        <is>
          <t>Energy consumption</t>
        </is>
      </c>
    </row>
    <row r="368" ht="18" customHeight="1" s="235">
      <c r="A368" s="113" t="n">
        <v>2024</v>
      </c>
      <c r="B368" s="113" t="inlineStr">
        <is>
          <t>energy consumption per unit of added value in industries above the designated size</t>
        </is>
      </c>
      <c r="C368" s="113" t="inlineStr">
        <is>
          <t>reduce by</t>
        </is>
      </c>
      <c r="D368" s="113" t="inlineStr">
        <is>
          <t>about 3.5%</t>
        </is>
      </c>
      <c r="E368" s="113" t="n">
        <v>2023</v>
      </c>
      <c r="F368" s="114" t="n">
        <v>2024</v>
      </c>
      <c r="G368" s="113" t="inlineStr">
        <is>
          <t>n</t>
        </is>
      </c>
      <c r="H368" s="113" t="inlineStr">
        <is>
          <t>Energy efficiency</t>
        </is>
      </c>
      <c r="I368" s="113" t="inlineStr">
        <is>
          <t>whole economy</t>
        </is>
      </c>
      <c r="J368" s="113" t="inlineStr">
        <is>
          <t>Energy consumption per unit of added value in industries above the designated size will drop by about 3.5%, with the share of non-fossil energy consumption reaching around 18.9%.</t>
        </is>
      </c>
      <c r="K368" s="113" t="inlineStr">
        <is>
          <t>AP2405.htm</t>
        </is>
      </c>
      <c r="L368" s="113" t="inlineStr">
        <is>
          <t>Energy/Power</t>
        </is>
      </c>
      <c r="M368" s="113" t="inlineStr">
        <is>
          <t>Energy consumption</t>
        </is>
      </c>
    </row>
    <row r="369" ht="18" customHeight="1" s="235">
      <c r="A369" s="113" t="n">
        <v>2013</v>
      </c>
      <c r="B369" s="113" t="inlineStr">
        <is>
          <t>number of large-scale farms equipped with centralized biogas supply projects</t>
        </is>
      </c>
      <c r="C369" s="113" t="inlineStr">
        <is>
          <t>reach</t>
        </is>
      </c>
      <c r="D369" s="113" t="inlineStr">
        <is>
          <t>3000 farms</t>
        </is>
      </c>
      <c r="E369" s="113" t="n"/>
      <c r="F369" s="114" t="inlineStr">
        <is>
          <t>2015</t>
        </is>
      </c>
      <c r="G369" s="113" t="inlineStr">
        <is>
          <t>n</t>
        </is>
      </c>
      <c r="H369" s="113" t="inlineStr">
        <is>
          <t>Renewable energy</t>
        </is>
      </c>
      <c r="I369" s="113" t="inlineStr">
        <is>
          <t>sectors</t>
        </is>
      </c>
      <c r="J369" s="113" t="inlineStr">
        <is>
          <t>By 2015, 3,000 large-scale farms will be equipped with centralized biogas supply projects.</t>
        </is>
      </c>
      <c r="K369" s="113" t="inlineStr">
        <is>
          <t>FYP1302.htm</t>
        </is>
      </c>
      <c r="L369" s="113" t="inlineStr">
        <is>
          <t>Energy/Power</t>
        </is>
      </c>
      <c r="M369" s="113" t="inlineStr">
        <is>
          <t>Energy consumption</t>
        </is>
      </c>
    </row>
    <row r="370" ht="18" customHeight="1" s="235">
      <c r="A370" s="113" t="n">
        <v>2013</v>
      </c>
      <c r="B370" s="113" t="inlineStr">
        <is>
          <t>inter-provincial power transmission capacity</t>
        </is>
      </c>
      <c r="C370" s="113" t="inlineStr">
        <is>
          <t>reach</t>
        </is>
      </c>
      <c r="D370" s="113" t="inlineStr">
        <is>
          <t>200 million kilowatts</t>
        </is>
      </c>
      <c r="E370" s="113" t="n"/>
      <c r="F370" s="114" t="inlineStr">
        <is>
          <t>2015</t>
        </is>
      </c>
      <c r="G370" s="113" t="inlineStr">
        <is>
          <t>n</t>
        </is>
      </c>
      <c r="H370" s="113" t="inlineStr">
        <is>
          <t>Renewable energy</t>
        </is>
      </c>
      <c r="I370" s="113" t="inlineStr">
        <is>
          <t>whole economy</t>
        </is>
      </c>
      <c r="J370" s="113" t="inlineStr">
        <is>
          <t>By 2015, inter-provincial transmission capacity will reach 200 million kilowatts.</t>
        </is>
      </c>
      <c r="K370" s="113" t="inlineStr">
        <is>
          <t>FYP1302.htm</t>
        </is>
      </c>
      <c r="L370" s="113" t="inlineStr">
        <is>
          <t>Energy/Power</t>
        </is>
      </c>
      <c r="M370" s="113" t="inlineStr">
        <is>
          <t>Energy consumption</t>
        </is>
      </c>
    </row>
    <row r="371" ht="18" customHeight="1" s="235">
      <c r="A371" s="113" t="n">
        <v>2016</v>
      </c>
      <c r="B371" s="113" t="inlineStr">
        <is>
          <t>inter-provincial power transmission capacity</t>
        </is>
      </c>
      <c r="C371" s="113" t="inlineStr">
        <is>
          <t>increase by</t>
        </is>
      </c>
      <c r="D371" s="113" t="inlineStr">
        <is>
          <t>130 million kilowatts</t>
        </is>
      </c>
      <c r="E371" s="113" t="n"/>
      <c r="F371" s="114" t="inlineStr">
        <is>
          <t>13th FYP</t>
        </is>
      </c>
      <c r="G371" s="113" t="inlineStr">
        <is>
          <t>n</t>
        </is>
      </c>
      <c r="H371" s="113" t="inlineStr">
        <is>
          <t>Renewable energy</t>
        </is>
      </c>
      <c r="I371" s="113" t="inlineStr">
        <is>
          <t>whole economy</t>
        </is>
      </c>
      <c r="J371" s="113" t="inlineStr">
        <is>
          <t>During the 13th Five-Year Plan period, the inter-provincial power transmission capacity will increase by approximately 130 million kilowatts.</t>
        </is>
      </c>
      <c r="K371" s="113" t="inlineStr">
        <is>
          <t>FYP1603.pdf</t>
        </is>
      </c>
      <c r="L371" s="113" t="inlineStr">
        <is>
          <t>Energy/Power</t>
        </is>
      </c>
      <c r="M371" s="113" t="inlineStr">
        <is>
          <t>Energy consumption</t>
        </is>
      </c>
    </row>
    <row r="372" ht="18" customHeight="1" s="235">
      <c r="A372" s="113" t="n">
        <v>2021</v>
      </c>
      <c r="B372" s="113" t="inlineStr">
        <is>
          <t>average utilization hours of inter-provincial and inter-regional DC transmission channels</t>
        </is>
      </c>
      <c r="C372" s="113" t="inlineStr">
        <is>
          <t>reach</t>
        </is>
      </c>
      <c r="D372" s="113" t="inlineStr">
        <is>
          <t>4500 hours</t>
        </is>
      </c>
      <c r="E372" s="113" t="n"/>
      <c r="F372" s="114" t="inlineStr">
        <is>
          <t>14th FYP</t>
        </is>
      </c>
      <c r="G372" s="113" t="inlineStr">
        <is>
          <t>n</t>
        </is>
      </c>
      <c r="H372" s="113" t="inlineStr">
        <is>
          <t>Renewable energy</t>
        </is>
      </c>
      <c r="I372" s="113" t="inlineStr">
        <is>
          <t>unclear</t>
        </is>
      </c>
      <c r="J372" s="113" t="inlineStr">
        <is>
          <t>During the 14th Five-Year Plan period, the average utilization hours of inter-provincial and inter-regional DC transmission channels will strive to reach more than 4,500 hours.</t>
        </is>
      </c>
      <c r="K372" s="113" t="inlineStr">
        <is>
          <t>FYP2105.pdf</t>
        </is>
      </c>
      <c r="L372" s="113" t="inlineStr">
        <is>
          <t>Energy/Power</t>
        </is>
      </c>
      <c r="M372" s="113" t="inlineStr">
        <is>
          <t>Energy consumption</t>
        </is>
      </c>
    </row>
    <row r="373" ht="18" customHeight="1" s="235">
      <c r="A373" s="113" t="n">
        <v>2021</v>
      </c>
      <c r="B373" s="113" t="inlineStr">
        <is>
          <t>inter-provincial power transmission capacity</t>
        </is>
      </c>
      <c r="C373" s="113" t="inlineStr">
        <is>
          <t>increase by</t>
        </is>
      </c>
      <c r="D373" s="113" t="inlineStr">
        <is>
          <t>60 million kilowatts</t>
        </is>
      </c>
      <c r="E373" s="113" t="n"/>
      <c r="F373" s="114" t="inlineStr">
        <is>
          <t>14th FYP</t>
        </is>
      </c>
      <c r="G373" s="113" t="inlineStr">
        <is>
          <t>n</t>
        </is>
      </c>
      <c r="H373" s="113" t="inlineStr">
        <is>
          <t>Renewable energy</t>
        </is>
      </c>
      <c r="I373" s="113" t="inlineStr">
        <is>
          <t>whole economy</t>
        </is>
      </c>
      <c r="J373" s="113" t="inlineStr">
        <is>
          <t>During the 14th Five-Year Plan period, more than 60 million kilowatts of new inter-provincial and inter-regional transmission channels will be started.</t>
        </is>
      </c>
      <c r="K373" s="113" t="inlineStr">
        <is>
          <t>FYP2105.pdf</t>
        </is>
      </c>
      <c r="L373" s="113" t="inlineStr">
        <is>
          <t>Energy/Power</t>
        </is>
      </c>
      <c r="M373" s="113" t="inlineStr">
        <is>
          <t>Energy consumption</t>
        </is>
      </c>
    </row>
    <row r="374" ht="18" customHeight="1" s="235">
      <c r="A374" s="113" t="n">
        <v>2013</v>
      </c>
      <c r="B374" s="113" t="inlineStr">
        <is>
          <t xml:space="preserve">energy consumption of communication base stations  </t>
        </is>
      </c>
      <c r="C374" s="113" t="inlineStr">
        <is>
          <t>reduce by</t>
        </is>
      </c>
      <c r="D374" s="113" t="inlineStr">
        <is>
          <t>25%</t>
        </is>
      </c>
      <c r="E374" s="113" t="n">
        <v>2010</v>
      </c>
      <c r="F374" s="114" t="inlineStr">
        <is>
          <t>2015</t>
        </is>
      </c>
      <c r="G374" s="113" t="inlineStr">
        <is>
          <t>n</t>
        </is>
      </c>
      <c r="H374" s="113" t="inlineStr">
        <is>
          <t>Energy saving</t>
        </is>
      </c>
      <c r="I374" s="113" t="inlineStr">
        <is>
          <t>sectors</t>
        </is>
      </c>
      <c r="J374" s="113" t="inlineStr">
        <is>
          <t>By 2015, the energy consumption of communication base stations will be reduced by 25% compared with 2010.</t>
        </is>
      </c>
      <c r="K374" s="113" t="inlineStr">
        <is>
          <t>DP1301.htm</t>
        </is>
      </c>
      <c r="L374" s="113" t="inlineStr">
        <is>
          <t>Energy/Power</t>
        </is>
      </c>
      <c r="M374" s="113" t="inlineStr">
        <is>
          <t>Energy consumption</t>
        </is>
      </c>
    </row>
    <row r="375" ht="18" customHeight="1" s="235">
      <c r="A375" s="113" t="n">
        <v>2014</v>
      </c>
      <c r="B375" s="113" t="inlineStr">
        <is>
          <t>electricity peak load savings through electricity demand side management mechanism</t>
        </is>
      </c>
      <c r="C375" s="113" t="inlineStr">
        <is>
          <t>save</t>
        </is>
      </c>
      <c r="D375" s="113" t="inlineStr">
        <is>
          <t>9 million kilowatts</t>
        </is>
      </c>
      <c r="E375" s="113" t="n"/>
      <c r="F375" s="114" t="inlineStr">
        <is>
          <t>2014-2015</t>
        </is>
      </c>
      <c r="G375" s="113" t="inlineStr">
        <is>
          <t>r</t>
        </is>
      </c>
      <c r="H375" s="113" t="inlineStr">
        <is>
          <t>Energy saving</t>
        </is>
      </c>
      <c r="I375" s="113" t="inlineStr">
        <is>
          <t>unclear</t>
        </is>
      </c>
      <c r="J375" s="113" t="inlineStr">
        <is>
          <t>By implementing the electricity demand side management mechanism, 9 million kilowatts of electricity will be saved in 2014-2015.</t>
        </is>
      </c>
      <c r="K375" s="113" t="inlineStr">
        <is>
          <t>AP1404.htm</t>
        </is>
      </c>
      <c r="L375" s="113" t="inlineStr">
        <is>
          <t>Energy/Power</t>
        </is>
      </c>
      <c r="M375" s="113" t="inlineStr">
        <is>
          <t>Energy consumption</t>
        </is>
      </c>
    </row>
    <row r="376" ht="18" customHeight="1" s="235">
      <c r="A376" s="113" t="n">
        <v>2014</v>
      </c>
      <c r="B376" s="113" t="inlineStr">
        <is>
          <t>electricity consumption savings through electricity demand side management mechanism</t>
        </is>
      </c>
      <c r="C376" s="113" t="inlineStr">
        <is>
          <t>save</t>
        </is>
      </c>
      <c r="D376" s="113" t="inlineStr">
        <is>
          <t>40 billion kwh</t>
        </is>
      </c>
      <c r="E376" s="113" t="n"/>
      <c r="F376" s="114" t="inlineStr">
        <is>
          <t>2014-2015</t>
        </is>
      </c>
      <c r="G376" s="113" t="inlineStr">
        <is>
          <t>n</t>
        </is>
      </c>
      <c r="H376" s="113" t="inlineStr">
        <is>
          <t>Energy saving</t>
        </is>
      </c>
      <c r="I376" s="113" t="inlineStr">
        <is>
          <t>unclear</t>
        </is>
      </c>
      <c r="J376" s="113" t="inlineStr">
        <is>
          <t>By implementing the electricity demand side management mechanism, 40 billion kWh of electricity will be saved in 2014-2015.</t>
        </is>
      </c>
      <c r="K376" s="113" t="inlineStr">
        <is>
          <t>AP1404.htm</t>
        </is>
      </c>
      <c r="L376" s="113" t="inlineStr">
        <is>
          <t>Energy/Power</t>
        </is>
      </c>
      <c r="M376" s="113" t="inlineStr">
        <is>
          <t>Energy consumption</t>
        </is>
      </c>
    </row>
    <row r="377" ht="18" customHeight="1" s="235">
      <c r="A377" s="113" t="n">
        <v>2024</v>
      </c>
      <c r="B377" s="113" t="inlineStr">
        <is>
          <t>distribution network's carrying capacity</t>
        </is>
      </c>
      <c r="C377" s="113" t="inlineStr">
        <is>
          <t>accommodate</t>
        </is>
      </c>
      <c r="D377" s="113" t="inlineStr">
        <is>
          <t>500 million kilowatts</t>
        </is>
      </c>
      <c r="E377" s="113" t="n"/>
      <c r="F377" s="114" t="inlineStr">
        <is>
          <t>2025</t>
        </is>
      </c>
      <c r="G377" s="113" t="inlineStr">
        <is>
          <t>n</t>
        </is>
      </c>
      <c r="H377" s="113" t="inlineStr">
        <is>
          <t>Renewable energy</t>
        </is>
      </c>
      <c r="I377" s="113" t="inlineStr">
        <is>
          <t>sectors</t>
        </is>
      </c>
      <c r="J377" s="113" t="inlineStr">
        <is>
          <t>By 2025, the distribution network structure will be stronger and clearer, and the power supply and distribution capacity will be reasonably sufficient; the distribution network's carrying capacity and flexibility will be significantly improved, with the ability to access about 500 million kilowatts of distributed new energy and about 12 million charging piles; the active distribution network will be compatible with the large power grid, the digital transformation of the distribution network will be comprehensively promoted, and an open and shared system will be gradually formed to support diversified innovative development; the intelligent regulation and operation system will be upgraded at a faster pace, and new technologies such as vehicle-grid coordinated interaction and grid-building new energy and grid-building energy storage will be promoted in areas with the conditions.</t>
        </is>
      </c>
      <c r="K377" s="113" t="inlineStr">
        <is>
          <t>GO2402.htm</t>
        </is>
      </c>
      <c r="L377" s="113" t="inlineStr">
        <is>
          <t>Energy/Power</t>
        </is>
      </c>
      <c r="M377" s="113" t="inlineStr">
        <is>
          <t>Energy consumption</t>
        </is>
      </c>
    </row>
    <row r="378" ht="18" customHeight="1" s="235">
      <c r="A378" s="113" t="n">
        <v>2023</v>
      </c>
      <c r="B378" s="113" t="inlineStr">
        <is>
          <t>heating capacity of cogeneration power plants with a capacity of 300,000 kilowatts and above in key areas</t>
        </is>
      </c>
      <c r="C378" s="113" t="inlineStr">
        <is>
          <t>utilize</t>
        </is>
      </c>
      <c r="D378" s="113" t="inlineStr">
        <is>
          <t>100%</t>
        </is>
      </c>
      <c r="E378" s="113" t="n"/>
      <c r="F378" s="114" t="inlineStr">
        <is>
          <t>2025</t>
        </is>
      </c>
      <c r="G378" s="113" t="inlineStr">
        <is>
          <t>n</t>
        </is>
      </c>
      <c r="H378" s="113" t="inlineStr">
        <is>
          <t>Coal-related</t>
        </is>
      </c>
      <c r="I378" s="113" t="inlineStr">
        <is>
          <t>areas</t>
        </is>
      </c>
      <c r="J378" s="113" t="inlineStr">
        <is>
          <t>By 2025, key areas will fully utilize the heating capacity of cogeneration power plants with a capacity of 300,000 kilowatts and above</t>
        </is>
      </c>
      <c r="K378" s="113" t="inlineStr">
        <is>
          <t>AP2304.htm</t>
        </is>
      </c>
      <c r="L378" s="113" t="inlineStr">
        <is>
          <t>Energy/Power</t>
        </is>
      </c>
      <c r="M378" s="113" t="inlineStr">
        <is>
          <t>Energy consumption</t>
        </is>
      </c>
    </row>
    <row r="379" ht="18" customHeight="1" s="235">
      <c r="A379" s="113" t="n">
        <v>2023</v>
      </c>
      <c r="B379" s="113" t="inlineStr">
        <is>
          <t>elimination of coal-fired boilers with an output of 35 tons of steam per hour or less in key areas</t>
        </is>
      </c>
      <c r="C379" s="113" t="inlineStr">
        <is>
          <t>eliminate</t>
        </is>
      </c>
      <c r="D379" s="113" t="inlineStr">
        <is>
          <t>basically eliminated</t>
        </is>
      </c>
      <c r="E379" s="113" t="n"/>
      <c r="F379" s="114" t="inlineStr">
        <is>
          <t>2025</t>
        </is>
      </c>
      <c r="G379" s="113" t="inlineStr">
        <is>
          <t>r</t>
        </is>
      </c>
      <c r="H379" s="113" t="inlineStr">
        <is>
          <t>Coal-related</t>
        </is>
      </c>
      <c r="I379" s="113" t="inlineStr">
        <is>
          <t>sectors</t>
        </is>
      </c>
      <c r="J379" s="113" t="inlineStr">
        <is>
          <t>By 2025, key areas will have basically eliminated coal-fired boilers with an output of 35 tons of steam per hour or less, as well as tea boilers, commercial stoves, grain storage and drying equipment, agricultural product processing and other coal-fired facilities</t>
        </is>
      </c>
      <c r="K379" s="113" t="inlineStr">
        <is>
          <t>AP2304.htm</t>
        </is>
      </c>
      <c r="L379" s="113" t="inlineStr">
        <is>
          <t>Energy/Power</t>
        </is>
      </c>
      <c r="M379" s="113" t="inlineStr">
        <is>
          <t>Power transmission/Energy transportation</t>
        </is>
      </c>
    </row>
    <row r="380" ht="18" customHeight="1" s="235">
      <c r="A380" s="113" t="n">
        <v>2023</v>
      </c>
      <c r="B380" s="113" t="inlineStr">
        <is>
          <t>elimination or integration of coal-fired boilers and backward small coal-fired thermal power units (including self-contained power plants) within a heating radius of 30 kilometers in key areas</t>
        </is>
      </c>
      <c r="C380" s="113" t="inlineStr">
        <is>
          <t>shut down or integrate</t>
        </is>
      </c>
      <c r="D380" s="113" t="n"/>
      <c r="E380" s="113" t="n"/>
      <c r="F380" s="114" t="inlineStr">
        <is>
          <t>2025</t>
        </is>
      </c>
      <c r="G380" s="113" t="inlineStr">
        <is>
          <t>n</t>
        </is>
      </c>
      <c r="H380" s="113" t="inlineStr">
        <is>
          <t>Coal-related</t>
        </is>
      </c>
      <c r="I380" s="113" t="inlineStr">
        <is>
          <t>sectors</t>
        </is>
      </c>
      <c r="J380" s="113" t="inlineStr">
        <is>
          <t>By 2025, key areas will shut down or integrate coal-fired boilers and backward small coal-fired thermal power units (including self-contained power plants) within a heating radius of 30 kilometers.</t>
        </is>
      </c>
      <c r="K380" s="113" t="inlineStr">
        <is>
          <t>AP2304.htm</t>
        </is>
      </c>
      <c r="L380" s="113" t="inlineStr">
        <is>
          <t>Energy/Power</t>
        </is>
      </c>
      <c r="M380" s="113" t="inlineStr">
        <is>
          <t>Power supply</t>
        </is>
      </c>
    </row>
    <row r="381" ht="18" customHeight="1" s="235">
      <c r="A381" s="113" t="n">
        <v>2026</v>
      </c>
      <c r="B381" s="113" t="inlineStr">
        <is>
          <t>energy savings from energy-saving and carbon-reduction retrofits in key industries</t>
        </is>
      </c>
      <c r="C381" s="113" t="inlineStr">
        <is>
          <t>achieve</t>
        </is>
      </c>
      <c r="D381" s="113" t="inlineStr">
        <is>
          <t>more than 150 million tons of standard coal</t>
        </is>
      </c>
      <c r="E381" s="113" t="n"/>
      <c r="F381" s="114" t="inlineStr">
        <is>
          <t>15th FYP</t>
        </is>
      </c>
      <c r="G381" s="113" t="inlineStr">
        <is>
          <t>n</t>
        </is>
      </c>
      <c r="H381" s="113" t="inlineStr">
        <is>
          <t>Energy saving</t>
        </is>
      </c>
      <c r="I381" s="113" t="inlineStr">
        <is>
          <t>sectors</t>
        </is>
      </c>
      <c r="J381" s="113" t="inlineStr">
        <is>
          <t>The plan will strengthen energy-saving and carbon-reduction retrofits in key sectors including power, steel, non-ferrous metals, petrochemicals, chemicals and building materials, generating energy savings of more than 150 million tonnes of standard coal.</t>
        </is>
      </c>
      <c r="K381" s="113" t="inlineStr">
        <is>
          <t>HL2601.pdf</t>
        </is>
      </c>
      <c r="L381" s="113" t="inlineStr">
        <is>
          <t>Energy/Power</t>
        </is>
      </c>
      <c r="M381" s="113" t="inlineStr">
        <is>
          <t>Power supply</t>
        </is>
      </c>
    </row>
    <row r="382" ht="18" customHeight="1" s="235">
      <c r="A382" s="113" t="n">
        <v>2024</v>
      </c>
      <c r="B382" s="113" t="inlineStr">
        <is>
          <t>energy-savings through retrofits in key sectors and industries</t>
        </is>
      </c>
      <c r="C382" s="113" t="inlineStr">
        <is>
          <t>achieve</t>
        </is>
      </c>
      <c r="D382" s="113" t="inlineStr">
        <is>
          <t>50 million tons of standard coal</t>
        </is>
      </c>
      <c r="E382" s="113" t="n">
        <v>2023</v>
      </c>
      <c r="F382" s="114" t="n">
        <v>2024</v>
      </c>
      <c r="G382" s="113" t="inlineStr">
        <is>
          <t>n</t>
        </is>
      </c>
      <c r="H382" s="113" t="inlineStr">
        <is>
          <t>Energy saving</t>
        </is>
      </c>
      <c r="I382" s="113" t="inlineStr">
        <is>
          <t>whole economy</t>
        </is>
      </c>
      <c r="J382" s="113" t="inlineStr">
        <is>
          <t>Energy-saving and carbon reduction retrofits in key sectors and industries will achieve a savings of approximately 50 million tons of standard coal and reduce carbon dioxide emissions by about 130 million tons.</t>
        </is>
      </c>
      <c r="K382" s="113" t="inlineStr">
        <is>
          <t>AP2405.htm</t>
        </is>
      </c>
      <c r="L382" s="113" t="inlineStr">
        <is>
          <t>Energy/Power</t>
        </is>
      </c>
      <c r="M382" s="113" t="inlineStr">
        <is>
          <t>Power supply</t>
        </is>
      </c>
    </row>
    <row r="383" ht="18" customHeight="1" s="235">
      <c r="A383" s="113" t="n">
        <v>2024</v>
      </c>
      <c r="B383" s="113" t="inlineStr">
        <is>
          <t>energy-savings through retrofits in key sectors and industries</t>
        </is>
      </c>
      <c r="C383" s="113" t="inlineStr">
        <is>
          <t>achieve</t>
        </is>
      </c>
      <c r="D383" s="113" t="inlineStr">
        <is>
          <t>50 million tons of standard coal</t>
        </is>
      </c>
      <c r="E383" s="113" t="n">
        <v>2024</v>
      </c>
      <c r="F383" s="114" t="n">
        <v>2025</v>
      </c>
      <c r="G383" s="113" t="inlineStr">
        <is>
          <t>n</t>
        </is>
      </c>
      <c r="H383" s="113" t="inlineStr">
        <is>
          <t>Energy saving</t>
        </is>
      </c>
      <c r="I383" s="113" t="inlineStr">
        <is>
          <t>whole economy</t>
        </is>
      </c>
      <c r="J383" s="113" t="inlineStr">
        <is>
          <t>Energy-saving and carbon reduction retrofits in key sectors and industries will achieve a savings of approximately 50 million tons of standard coal and reduce carbon dioxide emissions by about 130 million tons.</t>
        </is>
      </c>
      <c r="K383" s="113" t="inlineStr">
        <is>
          <t>AP2405.htm</t>
        </is>
      </c>
      <c r="L383" s="113" t="inlineStr">
        <is>
          <t>Energy/Power</t>
        </is>
      </c>
      <c r="M383" s="113" t="inlineStr">
        <is>
          <t>Energy consumption</t>
        </is>
      </c>
    </row>
    <row r="384" ht="18" customHeight="1" s="235">
      <c r="A384" s="113" t="n">
        <v>2018</v>
      </c>
      <c r="B384" s="113" t="inlineStr">
        <is>
          <t>total coal consumption in the Yangtze River Delta region</t>
        </is>
      </c>
      <c r="C384" s="113" t="inlineStr">
        <is>
          <t>reduce by</t>
        </is>
      </c>
      <c r="D384" s="113" t="inlineStr">
        <is>
          <t>5%</t>
        </is>
      </c>
      <c r="E384" s="113" t="n"/>
      <c r="F384" s="114" t="inlineStr">
        <is>
          <t>2020</t>
        </is>
      </c>
      <c r="G384" s="113" t="inlineStr">
        <is>
          <t>r</t>
        </is>
      </c>
      <c r="H384" s="113" t="inlineStr">
        <is>
          <t>Coal-related</t>
        </is>
      </c>
      <c r="I384" s="113" t="inlineStr">
        <is>
          <t>areas</t>
        </is>
      </c>
      <c r="J384" s="113" t="inlineStr">
        <is>
          <t>By 2020, the total coal consumption in the Yangtze River Delta region will drop by 5%.</t>
        </is>
      </c>
      <c r="K384" s="113" t="inlineStr">
        <is>
          <t>AP1802.htm</t>
        </is>
      </c>
      <c r="L384" s="113" t="inlineStr">
        <is>
          <t>Energy/Power</t>
        </is>
      </c>
      <c r="M384" s="113" t="inlineStr">
        <is>
          <t>Energy consumption</t>
        </is>
      </c>
    </row>
    <row r="385" ht="18" customHeight="1" s="235">
      <c r="A385" s="113" t="n">
        <v>2023</v>
      </c>
      <c r="B385" s="113" t="inlineStr">
        <is>
          <t>total coal consumption in the Yangtze River Delta region</t>
        </is>
      </c>
      <c r="C385" s="113" t="inlineStr">
        <is>
          <t>reduce by</t>
        </is>
      </c>
      <c r="D385" s="113" t="inlineStr">
        <is>
          <t>5%</t>
        </is>
      </c>
      <c r="E385" s="113" t="n">
        <v>2020</v>
      </c>
      <c r="F385" s="114" t="inlineStr">
        <is>
          <t>2025</t>
        </is>
      </c>
      <c r="G385" s="113" t="inlineStr">
        <is>
          <t>n</t>
        </is>
      </c>
      <c r="H385" s="113" t="inlineStr">
        <is>
          <t>Coal-related</t>
        </is>
      </c>
      <c r="I385" s="113" t="inlineStr">
        <is>
          <t>areas</t>
        </is>
      </c>
      <c r="J385" s="113" t="inlineStr">
        <is>
          <t>By 2025, coal consumption in the Yangtze River Delta region will drop by about 5% compared with 2020.</t>
        </is>
      </c>
      <c r="K385" s="113" t="inlineStr">
        <is>
          <t>AP2304.htm</t>
        </is>
      </c>
      <c r="L385" s="113" t="inlineStr">
        <is>
          <t>Energy/Power</t>
        </is>
      </c>
      <c r="M385" s="113" t="inlineStr">
        <is>
          <t>Energy consumption</t>
        </is>
      </c>
    </row>
    <row r="386" ht="18" customHeight="1" s="235">
      <c r="A386" s="113" t="n">
        <v>2024</v>
      </c>
      <c r="B386" s="113" t="inlineStr">
        <is>
          <t>proportion of non-fossil energy in primary energy consumption</t>
        </is>
      </c>
      <c r="C386" s="113" t="inlineStr">
        <is>
          <t>reach</t>
        </is>
      </c>
      <c r="D386" s="113" t="inlineStr">
        <is>
          <t>around 20%</t>
        </is>
      </c>
      <c r="E386" s="113" t="n"/>
      <c r="F386" s="114" t="n">
        <v>2025</v>
      </c>
      <c r="G386" s="113" t="inlineStr">
        <is>
          <t>n</t>
        </is>
      </c>
      <c r="H386" s="113" t="inlineStr">
        <is>
          <t>Renewable energy</t>
        </is>
      </c>
      <c r="I386" s="113" t="inlineStr">
        <is>
          <t>whole economy</t>
        </is>
      </c>
      <c r="J386" s="113" t="inlineStr">
        <is>
          <t xml:space="preserve">By 2025, the proportion of non-fossil energy consumption is expected to reach around 20%. </t>
        </is>
      </c>
      <c r="K386" s="113" t="inlineStr">
        <is>
          <t>AP2405.htm</t>
        </is>
      </c>
      <c r="L386" s="113" t="inlineStr">
        <is>
          <t>Energy/Power</t>
        </is>
      </c>
      <c r="M386" s="113" t="inlineStr">
        <is>
          <t>Energy consumption</t>
        </is>
      </c>
    </row>
    <row r="387" ht="18" customHeight="1" s="235">
      <c r="A387" s="113" t="n">
        <v>2008</v>
      </c>
      <c r="B387" s="113" t="inlineStr">
        <is>
          <t>proportion of non-fossil energy in primary energy consumption</t>
        </is>
      </c>
      <c r="C387" s="113" t="inlineStr">
        <is>
          <t>increase to</t>
        </is>
      </c>
      <c r="D387" s="113" t="inlineStr">
        <is>
          <t>10%</t>
        </is>
      </c>
      <c r="E387" s="113" t="n"/>
      <c r="F387" s="114" t="inlineStr">
        <is>
          <t>2010</t>
        </is>
      </c>
      <c r="G387" s="113" t="inlineStr">
        <is>
          <t>r</t>
        </is>
      </c>
      <c r="H387" s="113" t="inlineStr">
        <is>
          <t>Renewable energy</t>
        </is>
      </c>
      <c r="I387" s="113" t="inlineStr">
        <is>
          <t>whole economy</t>
        </is>
      </c>
      <c r="J387" s="113" t="inlineStr">
        <is>
          <t>The target by 2010 is to raise the proportion of renewable energy (including large-scale hydropower) in the primary energy consumption up to 10%, and the extraction of coal-bed mine methane up to 10 billion m3.</t>
        </is>
      </c>
      <c r="K387" s="113" t="inlineStr">
        <is>
          <t>HL0801.pdf</t>
        </is>
      </c>
      <c r="L387" s="113" t="inlineStr">
        <is>
          <t>Energy/Power</t>
        </is>
      </c>
      <c r="M387" s="113" t="inlineStr">
        <is>
          <t>Energy consumption</t>
        </is>
      </c>
    </row>
    <row r="388" ht="18" customHeight="1" s="235">
      <c r="A388" s="113" t="n">
        <v>2009</v>
      </c>
      <c r="B388" s="113" t="inlineStr">
        <is>
          <t>proportion of non-fossil energy in primary energy consumption</t>
        </is>
      </c>
      <c r="C388" s="113" t="inlineStr">
        <is>
          <t>increase to</t>
        </is>
      </c>
      <c r="D388" s="113" t="inlineStr">
        <is>
          <t>15%</t>
        </is>
      </c>
      <c r="E388" s="113" t="n"/>
      <c r="F388" s="114" t="inlineStr">
        <is>
          <t>2020</t>
        </is>
      </c>
      <c r="G388" s="113" t="inlineStr">
        <is>
          <t>r</t>
        </is>
      </c>
      <c r="H388" s="113" t="inlineStr">
        <is>
          <t>Renewable energy</t>
        </is>
      </c>
      <c r="I388" s="113" t="inlineStr">
        <is>
          <t>whole economy</t>
        </is>
      </c>
      <c r="J388" s="113" t="inlineStr">
        <is>
          <t>We will endeavor to increase the share of non-fossil fuels in primary energy consumption to around 15% by 2020.</t>
        </is>
      </c>
      <c r="K388" s="113" t="inlineStr">
        <is>
          <t>HL0901.pdf</t>
        </is>
      </c>
      <c r="L388" s="113" t="inlineStr">
        <is>
          <t>Energy/Power</t>
        </is>
      </c>
      <c r="M388" s="113" t="inlineStr">
        <is>
          <t>Energy consumption</t>
        </is>
      </c>
    </row>
    <row r="389" ht="18" customHeight="1" s="235">
      <c r="A389" s="113" t="n">
        <v>2011</v>
      </c>
      <c r="B389" s="113" t="inlineStr">
        <is>
          <t>proportion of non-fossil energy in primary energy consumption</t>
        </is>
      </c>
      <c r="C389" s="113" t="inlineStr">
        <is>
          <t>increase to</t>
        </is>
      </c>
      <c r="D389" s="113" t="inlineStr">
        <is>
          <t>11.4%</t>
        </is>
      </c>
      <c r="E389" s="113" t="n"/>
      <c r="F389" s="114" t="inlineStr">
        <is>
          <t>2015</t>
        </is>
      </c>
      <c r="G389" s="113" t="inlineStr">
        <is>
          <t>r</t>
        </is>
      </c>
      <c r="H389" s="113" t="inlineStr">
        <is>
          <t>Renewable energy</t>
        </is>
      </c>
      <c r="I389" s="113" t="inlineStr">
        <is>
          <t>whole economy</t>
        </is>
      </c>
      <c r="J389" s="113" t="inlineStr">
        <is>
          <t>By 2015, the proportion of consumption of non-fossil energy to the consumption of primary energy would be increased to 11.4%.</t>
        </is>
      </c>
      <c r="K389" s="113" t="inlineStr">
        <is>
          <t>HL1101.pdf</t>
        </is>
      </c>
      <c r="L389" s="113" t="inlineStr">
        <is>
          <t>Energy/Power</t>
        </is>
      </c>
      <c r="M389" s="113" t="inlineStr">
        <is>
          <t>Energy consumption</t>
        </is>
      </c>
    </row>
    <row r="390" ht="18" customHeight="1" s="235">
      <c r="A390" s="113" t="n">
        <v>2012</v>
      </c>
      <c r="B390" s="113" t="inlineStr">
        <is>
          <t>proportion of non-fossil energy in primary energy consumption</t>
        </is>
      </c>
      <c r="C390" s="113" t="inlineStr">
        <is>
          <t>account for</t>
        </is>
      </c>
      <c r="D390" s="113" t="inlineStr">
        <is>
          <t>15%</t>
        </is>
      </c>
      <c r="E390" s="113" t="n"/>
      <c r="F390" s="114" t="inlineStr">
        <is>
          <t>2020</t>
        </is>
      </c>
      <c r="G390" s="113" t="inlineStr">
        <is>
          <t>r</t>
        </is>
      </c>
      <c r="H390" s="113" t="inlineStr">
        <is>
          <t>Renewable energy</t>
        </is>
      </c>
      <c r="I390" s="113" t="inlineStr">
        <is>
          <t>whole economy</t>
        </is>
      </c>
      <c r="J390" s="113" t="inlineStr">
        <is>
          <t>The Chinese government announced that, by 2020 the non-fossil energy will account for about 15% of the total primary energy consumption.</t>
        </is>
      </c>
      <c r="K390" s="113" t="inlineStr">
        <is>
          <t>HL1201.pdf</t>
        </is>
      </c>
      <c r="L390" s="113" t="inlineStr">
        <is>
          <t>Energy/Power</t>
        </is>
      </c>
      <c r="M390" s="113" t="inlineStr">
        <is>
          <t>Energy consumption</t>
        </is>
      </c>
    </row>
    <row r="391" ht="18" customHeight="1" s="235">
      <c r="A391" s="113" t="n">
        <v>2012</v>
      </c>
      <c r="B391" s="113" t="inlineStr">
        <is>
          <t>proportion of non-fossil energy in primary energy consumption</t>
        </is>
      </c>
      <c r="C391" s="113" t="inlineStr">
        <is>
          <t>account for</t>
        </is>
      </c>
      <c r="D391" s="113" t="inlineStr">
        <is>
          <t>11.4%</t>
        </is>
      </c>
      <c r="E391" s="113" t="n"/>
      <c r="F391" s="114" t="inlineStr">
        <is>
          <t>12th FYP</t>
        </is>
      </c>
      <c r="G391" s="113" t="inlineStr">
        <is>
          <t>r</t>
        </is>
      </c>
      <c r="H391" s="113" t="inlineStr">
        <is>
          <t>Renewable energy</t>
        </is>
      </c>
      <c r="I391" s="113" t="inlineStr">
        <is>
          <t>whole economy</t>
        </is>
      </c>
      <c r="J391" s="113" t="inlineStr">
        <is>
          <t>The 12th Five-Year Plan for National Economic and Social Development of PRC has set for the first time a binding target that the non-fossil fuels will account for 11.4% of the primary energy consumption.</t>
        </is>
      </c>
      <c r="K391" s="113" t="inlineStr">
        <is>
          <t>HL1201.pdf</t>
        </is>
      </c>
      <c r="L391" s="113" t="inlineStr">
        <is>
          <t>Energy/Power</t>
        </is>
      </c>
      <c r="M391" s="113" t="inlineStr">
        <is>
          <t>Energy consumption</t>
        </is>
      </c>
    </row>
    <row r="392" ht="18" customHeight="1" s="235">
      <c r="A392" s="113" t="n">
        <v>2012</v>
      </c>
      <c r="B392" s="113" t="inlineStr">
        <is>
          <t>proportion of non-fossil energy in primary energy consumption</t>
        </is>
      </c>
      <c r="C392" s="113" t="inlineStr">
        <is>
          <t>account for</t>
        </is>
      </c>
      <c r="D392" s="113" t="inlineStr">
        <is>
          <t>10%</t>
        </is>
      </c>
      <c r="E392" s="113" t="n"/>
      <c r="F392" s="114" t="inlineStr">
        <is>
          <t>2010</t>
        </is>
      </c>
      <c r="G392" s="113" t="inlineStr">
        <is>
          <t>r</t>
        </is>
      </c>
      <c r="H392" s="113" t="inlineStr">
        <is>
          <t>Renewable energy</t>
        </is>
      </c>
      <c r="I392" s="113" t="inlineStr">
        <is>
          <t>whole economy</t>
        </is>
      </c>
      <c r="J392" s="113" t="inlineStr">
        <is>
          <t>The major development indicators proposed in the 11th Five-Year Plan for Renewable Energy Development included that the proportion of renewable energy in the total energy consumption would account for 10% by 2010.</t>
        </is>
      </c>
      <c r="K392" s="113" t="inlineStr">
        <is>
          <t>HL1201.pdf</t>
        </is>
      </c>
      <c r="L392" s="113" t="inlineStr">
        <is>
          <t>Energy/Power</t>
        </is>
      </c>
      <c r="M392" s="113" t="inlineStr">
        <is>
          <t>Power supply</t>
        </is>
      </c>
    </row>
    <row r="393" ht="18" customHeight="1" s="235">
      <c r="A393" s="113" t="n">
        <v>2013</v>
      </c>
      <c r="B393" s="113" t="inlineStr">
        <is>
          <t>proportion of non-fossil energy in primary energy consumption</t>
        </is>
      </c>
      <c r="C393" s="113" t="inlineStr">
        <is>
          <t>increase to</t>
        </is>
      </c>
      <c r="D393" s="113" t="inlineStr">
        <is>
          <t>11.4%</t>
        </is>
      </c>
      <c r="E393" s="113" t="n"/>
      <c r="F393" s="114" t="inlineStr">
        <is>
          <t>2015</t>
        </is>
      </c>
      <c r="G393" s="113" t="inlineStr">
        <is>
          <t>r</t>
        </is>
      </c>
      <c r="H393" s="113" t="inlineStr">
        <is>
          <t>Renewable energy</t>
        </is>
      </c>
      <c r="I393" s="113" t="inlineStr">
        <is>
          <t>whole economy</t>
        </is>
      </c>
      <c r="J393" s="113" t="inlineStr">
        <is>
          <t>The share of non-fossil energy in total consumption will rise to 11.4% by 2015.</t>
        </is>
      </c>
      <c r="K393" s="113" t="inlineStr">
        <is>
          <t>FYP1302.htm</t>
        </is>
      </c>
      <c r="L393" s="113" t="inlineStr">
        <is>
          <t>Energy/Power</t>
        </is>
      </c>
      <c r="M393" s="113" t="inlineStr">
        <is>
          <t>Energy consumption</t>
        </is>
      </c>
    </row>
    <row r="394" ht="18" customHeight="1" s="235">
      <c r="A394" s="113" t="n">
        <v>2015</v>
      </c>
      <c r="B394" s="113" t="inlineStr">
        <is>
          <t>proportion of non-fossil energy in primary energy consumption</t>
        </is>
      </c>
      <c r="C394" s="113" t="inlineStr">
        <is>
          <t>reach</t>
        </is>
      </c>
      <c r="D394" s="113" t="inlineStr">
        <is>
          <t>15%</t>
        </is>
      </c>
      <c r="E394" s="113" t="n"/>
      <c r="F394" s="114" t="inlineStr">
        <is>
          <t>2020</t>
        </is>
      </c>
      <c r="G394" s="113" t="inlineStr">
        <is>
          <t>r</t>
        </is>
      </c>
      <c r="H394" s="113" t="inlineStr">
        <is>
          <t>Renewable energy</t>
        </is>
      </c>
      <c r="I394" s="113" t="inlineStr">
        <is>
          <t>whole economy</t>
        </is>
      </c>
      <c r="J394" s="113" t="inlineStr">
        <is>
          <t>By 2020, the proportion of non-fossil energy in primary energy consumption will reach about 15%.</t>
        </is>
      </c>
      <c r="K394" s="113" t="inlineStr">
        <is>
          <t>HL1503.htm</t>
        </is>
      </c>
      <c r="L394" s="113" t="inlineStr">
        <is>
          <t>Energy/Power</t>
        </is>
      </c>
      <c r="M394" s="113" t="inlineStr">
        <is>
          <t>Energy consumption</t>
        </is>
      </c>
    </row>
    <row r="395" ht="18" customHeight="1" s="235">
      <c r="A395" s="113" t="n">
        <v>2016</v>
      </c>
      <c r="B395" s="113" t="inlineStr">
        <is>
          <t>proportion of non-fossil energy in primary energy consumption</t>
        </is>
      </c>
      <c r="C395" s="113" t="inlineStr">
        <is>
          <t>reach</t>
        </is>
      </c>
      <c r="D395" s="113" t="inlineStr">
        <is>
          <t>15%</t>
        </is>
      </c>
      <c r="E395" s="113" t="n"/>
      <c r="F395" s="114" t="inlineStr">
        <is>
          <t>2020</t>
        </is>
      </c>
      <c r="G395" s="113" t="inlineStr">
        <is>
          <t>r</t>
        </is>
      </c>
      <c r="H395" s="113" t="inlineStr">
        <is>
          <t>Renewable energy</t>
        </is>
      </c>
      <c r="I395" s="113" t="inlineStr">
        <is>
          <t>whole economy</t>
        </is>
      </c>
      <c r="J395" s="113" t="inlineStr">
        <is>
          <t>By 2020, the proportion of non-fossil energy in total energy consumption will reach 15%.</t>
        </is>
      </c>
      <c r="K395" s="113" t="inlineStr">
        <is>
          <t>FYP1601.htm</t>
        </is>
      </c>
      <c r="L395" s="113" t="inlineStr">
        <is>
          <t>Energy/Power</t>
        </is>
      </c>
      <c r="M395" s="113" t="inlineStr">
        <is>
          <t>Energy consumption</t>
        </is>
      </c>
    </row>
    <row r="396" ht="18" customHeight="1" s="235">
      <c r="A396" s="113" t="n">
        <v>2016</v>
      </c>
      <c r="B396" s="113" t="inlineStr">
        <is>
          <t>proportion of non-fossil energy in primary energy consumption</t>
        </is>
      </c>
      <c r="C396" s="113" t="inlineStr">
        <is>
          <t>reach</t>
        </is>
      </c>
      <c r="D396" s="113" t="inlineStr">
        <is>
          <t>15%</t>
        </is>
      </c>
      <c r="E396" s="113" t="n"/>
      <c r="F396" s="114" t="inlineStr">
        <is>
          <t>2020</t>
        </is>
      </c>
      <c r="G396" s="113" t="inlineStr">
        <is>
          <t>r</t>
        </is>
      </c>
      <c r="H396" s="113" t="inlineStr">
        <is>
          <t>Renewable energy</t>
        </is>
      </c>
      <c r="I396" s="113" t="inlineStr">
        <is>
          <t>whole economy</t>
        </is>
      </c>
      <c r="J396" s="113" t="inlineStr">
        <is>
          <t>By 2020, the proportion of non-fossil energy will reach 15%.</t>
        </is>
      </c>
      <c r="K396" s="113" t="inlineStr">
        <is>
          <t>FYP1615.htm</t>
        </is>
      </c>
      <c r="L396" s="113" t="inlineStr">
        <is>
          <t>Energy/Power</t>
        </is>
      </c>
      <c r="M396" s="113" t="inlineStr">
        <is>
          <t>Energy consumption</t>
        </is>
      </c>
    </row>
    <row r="397" ht="18" customHeight="1" s="235">
      <c r="A397" s="113" t="n">
        <v>2016</v>
      </c>
      <c r="B397" s="113" t="inlineStr">
        <is>
          <t>proportion of non-fossil energy in primary energy consumption</t>
        </is>
      </c>
      <c r="C397" s="113" t="inlineStr">
        <is>
          <t>increase to</t>
        </is>
      </c>
      <c r="D397" s="113" t="inlineStr">
        <is>
          <t>20%</t>
        </is>
      </c>
      <c r="E397" s="113" t="n"/>
      <c r="F397" s="114" t="inlineStr">
        <is>
          <t>2030</t>
        </is>
      </c>
      <c r="G397" s="113" t="inlineStr">
        <is>
          <t>r</t>
        </is>
      </c>
      <c r="H397" s="113" t="inlineStr">
        <is>
          <t>Renewable energy</t>
        </is>
      </c>
      <c r="I397" s="113" t="inlineStr">
        <is>
          <t>whole economy</t>
        </is>
      </c>
      <c r="J397" s="113" t="inlineStr">
        <is>
          <t>The targets include increasing the proportion of non-fossil energy in primary energy consumption to about 20% by 2030.</t>
        </is>
      </c>
      <c r="K397" s="113" t="inlineStr">
        <is>
          <t>HL1601.pdf</t>
        </is>
      </c>
      <c r="L397" s="113" t="inlineStr">
        <is>
          <t>Energy/Power</t>
        </is>
      </c>
      <c r="M397" s="113" t="inlineStr">
        <is>
          <t>Energy consumption</t>
        </is>
      </c>
    </row>
    <row r="398" ht="18" customHeight="1" s="235">
      <c r="A398" s="113" t="n">
        <v>2017</v>
      </c>
      <c r="B398" s="113" t="inlineStr">
        <is>
          <t>proportion of non-fossil energy in primary energy consumption</t>
        </is>
      </c>
      <c r="C398" s="113" t="inlineStr">
        <is>
          <t>base</t>
        </is>
      </c>
      <c r="D398" s="113" t="inlineStr">
        <is>
          <t>15%</t>
        </is>
      </c>
      <c r="E398" s="113" t="n"/>
      <c r="F398" s="114" t="inlineStr">
        <is>
          <t>12th FYP</t>
        </is>
      </c>
      <c r="G398" s="113" t="inlineStr">
        <is>
          <t>r</t>
        </is>
      </c>
      <c r="H398" s="113" t="inlineStr">
        <is>
          <t>Renewable energy</t>
        </is>
      </c>
      <c r="I398" s="113" t="inlineStr">
        <is>
          <t>whole economy</t>
        </is>
      </c>
      <c r="J398" s="113" t="inlineStr">
        <is>
          <t>Based on the National Appropriate Mitigation Actions (NAMAs) proposed by the Chinese government, such as non-fossil energy accounting for about 15% of primary energy consumption during the 12th Five-Year Plan.</t>
        </is>
      </c>
      <c r="K398" s="113" t="inlineStr">
        <is>
          <t>HL1701.pdf</t>
        </is>
      </c>
      <c r="L398" s="113" t="inlineStr">
        <is>
          <t>Energy/Power</t>
        </is>
      </c>
      <c r="M398" s="113" t="inlineStr">
        <is>
          <t>Energy consumption</t>
        </is>
      </c>
    </row>
    <row r="399" ht="18" customHeight="1" s="235">
      <c r="A399" s="113" t="n">
        <v>2019</v>
      </c>
      <c r="B399" s="113" t="inlineStr">
        <is>
          <t>proportion of non-fossil energy in primary energy consumption</t>
        </is>
      </c>
      <c r="C399" s="113" t="inlineStr">
        <is>
          <t>reach</t>
        </is>
      </c>
      <c r="D399" s="113" t="inlineStr">
        <is>
          <t>more than 15%</t>
        </is>
      </c>
      <c r="E399" s="113" t="n"/>
      <c r="F399" s="114" t="inlineStr">
        <is>
          <t>2020</t>
        </is>
      </c>
      <c r="G399" s="113" t="inlineStr">
        <is>
          <t>r</t>
        </is>
      </c>
      <c r="H399" s="113" t="inlineStr">
        <is>
          <t>Renewable energy</t>
        </is>
      </c>
      <c r="I399" s="113" t="inlineStr">
        <is>
          <t>whole economy</t>
        </is>
      </c>
      <c r="J399" s="113" t="inlineStr">
        <is>
          <t>China aims to increase non-fossil energies to more than 15% of total energy consumption by 2020</t>
        </is>
      </c>
      <c r="K399" s="113" t="inlineStr">
        <is>
          <t>HL1902.pdf</t>
        </is>
      </c>
      <c r="L399" s="113" t="inlineStr">
        <is>
          <t>Energy/Power</t>
        </is>
      </c>
      <c r="M399" s="113" t="inlineStr">
        <is>
          <t>Energy consumption</t>
        </is>
      </c>
    </row>
    <row r="400" ht="18" customHeight="1" s="235">
      <c r="A400" s="113" t="n">
        <v>2019</v>
      </c>
      <c r="B400" s="113" t="inlineStr">
        <is>
          <t>proportion of non-fossil energy in primary energy consumption</t>
        </is>
      </c>
      <c r="C400" s="113" t="inlineStr">
        <is>
          <t>increase to</t>
        </is>
      </c>
      <c r="D400" s="113" t="inlineStr">
        <is>
          <t>15%</t>
        </is>
      </c>
      <c r="E400" s="113" t="n"/>
      <c r="F400" s="114" t="inlineStr">
        <is>
          <t>2020</t>
        </is>
      </c>
      <c r="G400" s="113" t="inlineStr">
        <is>
          <t>r</t>
        </is>
      </c>
      <c r="H400" s="113" t="inlineStr">
        <is>
          <t>Renewable energy</t>
        </is>
      </c>
      <c r="I400" s="113" t="inlineStr">
        <is>
          <t>whole economy</t>
        </is>
      </c>
      <c r="J400" s="113" t="inlineStr">
        <is>
          <t>The 13th FYP period is the deciding period for China to achieve its target of raising non-fossil energy consumption to 15% of the energy mix by 2020</t>
        </is>
      </c>
      <c r="K400" s="113" t="inlineStr">
        <is>
          <t>HL1902.pdf</t>
        </is>
      </c>
      <c r="L400" s="113" t="inlineStr">
        <is>
          <t>Energy/Power</t>
        </is>
      </c>
      <c r="M400" s="113" t="inlineStr">
        <is>
          <t>Energy consumption</t>
        </is>
      </c>
    </row>
    <row r="401" ht="18" customHeight="1" s="235">
      <c r="A401" s="113" t="n">
        <v>2019</v>
      </c>
      <c r="B401" s="113" t="inlineStr">
        <is>
          <t>proportion of non-fossil energy in primary energy consumption</t>
        </is>
      </c>
      <c r="C401" s="113" t="inlineStr">
        <is>
          <t>reach</t>
        </is>
      </c>
      <c r="D401" s="113" t="inlineStr">
        <is>
          <t>15%</t>
        </is>
      </c>
      <c r="E401" s="113" t="n"/>
      <c r="F401" s="114" t="n">
        <v>2020</v>
      </c>
      <c r="G401" s="113" t="inlineStr">
        <is>
          <t>r</t>
        </is>
      </c>
      <c r="H401" s="113" t="inlineStr">
        <is>
          <t>Renewable energy</t>
        </is>
      </c>
      <c r="I401" s="113" t="inlineStr">
        <is>
          <t>whole economy</t>
        </is>
      </c>
      <c r="J401" s="113" t="inlineStr">
        <is>
          <t>By 2030, China will vigorously develop new energy and renewable energy, striving to increase the proportion of non-fossil energy in primary energy consumption to 15% by 2020, and continue to improve the energy consumption structure on that basis.</t>
        </is>
      </c>
      <c r="K401" s="113" t="inlineStr">
        <is>
          <t>HL1902.pdf</t>
        </is>
      </c>
      <c r="L401" s="113" t="inlineStr">
        <is>
          <t>Energy/Power</t>
        </is>
      </c>
      <c r="M401" s="113" t="inlineStr">
        <is>
          <t>Energy consumption</t>
        </is>
      </c>
    </row>
    <row r="402" ht="18" customHeight="1" s="235">
      <c r="A402" s="113" t="n">
        <v>2019</v>
      </c>
      <c r="B402" s="113" t="inlineStr">
        <is>
          <t>proportion of non-fossil energy in primary energy consumption</t>
        </is>
      </c>
      <c r="C402" s="113" t="inlineStr">
        <is>
          <t>increase to</t>
        </is>
      </c>
      <c r="D402" s="113" t="inlineStr">
        <is>
          <t>around 15%</t>
        </is>
      </c>
      <c r="E402" s="113" t="n"/>
      <c r="F402" s="114" t="inlineStr">
        <is>
          <t>2020</t>
        </is>
      </c>
      <c r="G402" s="113" t="inlineStr">
        <is>
          <t>r</t>
        </is>
      </c>
      <c r="H402" s="113" t="inlineStr">
        <is>
          <t>Renewable energy</t>
        </is>
      </c>
      <c r="I402" s="113" t="inlineStr">
        <is>
          <t>whole economy</t>
        </is>
      </c>
      <c r="J402" s="113" t="inlineStr">
        <is>
          <t>by 2020 the share of non-fossil energy in primary energy consumption will be increased to around 15%</t>
        </is>
      </c>
      <c r="K402" s="113" t="inlineStr">
        <is>
          <t>HL1902.pdf</t>
        </is>
      </c>
      <c r="L402" s="113" t="inlineStr">
        <is>
          <t>Energy/Power</t>
        </is>
      </c>
      <c r="M402" s="113" t="inlineStr">
        <is>
          <t>Energy consumption</t>
        </is>
      </c>
    </row>
    <row r="403" ht="18" customHeight="1" s="235">
      <c r="A403" s="113" t="n">
        <v>2019</v>
      </c>
      <c r="B403" s="113" t="inlineStr">
        <is>
          <t>proportion of non-fossil energy in primary energy consumption</t>
        </is>
      </c>
      <c r="C403" s="113" t="inlineStr">
        <is>
          <t>increase to</t>
        </is>
      </c>
      <c r="D403" s="113" t="inlineStr">
        <is>
          <t>20%</t>
        </is>
      </c>
      <c r="E403" s="113" t="n"/>
      <c r="F403" s="114" t="inlineStr">
        <is>
          <t>2030</t>
        </is>
      </c>
      <c r="G403" s="113" t="inlineStr">
        <is>
          <t>r</t>
        </is>
      </c>
      <c r="H403" s="113" t="inlineStr">
        <is>
          <t>Renewable energy</t>
        </is>
      </c>
      <c r="I403" s="113" t="inlineStr">
        <is>
          <t>whole economy</t>
        </is>
      </c>
      <c r="J403" s="113" t="inlineStr">
        <is>
          <t>the share of non-fossil energy in primary energy consumption will be increased to around 20% in 2030</t>
        </is>
      </c>
      <c r="K403" s="113" t="inlineStr">
        <is>
          <t>HL1902.pdf</t>
        </is>
      </c>
      <c r="L403" s="113" t="inlineStr">
        <is>
          <t>Energy/Power</t>
        </is>
      </c>
      <c r="M403" s="113" t="inlineStr">
        <is>
          <t>Energy consumption</t>
        </is>
      </c>
    </row>
    <row r="404" ht="18" customHeight="1" s="235">
      <c r="A404" s="113" t="n">
        <v>2019</v>
      </c>
      <c r="B404" s="113" t="inlineStr">
        <is>
          <t>proportion of non-fossil energy in primary energy consumption</t>
        </is>
      </c>
      <c r="C404" s="113" t="inlineStr">
        <is>
          <t>reach</t>
        </is>
      </c>
      <c r="D404" s="113" t="inlineStr">
        <is>
          <t>15%</t>
        </is>
      </c>
      <c r="E404" s="113" t="n"/>
      <c r="F404" s="114" t="inlineStr">
        <is>
          <t>2020</t>
        </is>
      </c>
      <c r="G404" s="113" t="inlineStr">
        <is>
          <t>r</t>
        </is>
      </c>
      <c r="H404" s="113" t="inlineStr">
        <is>
          <t>Renewable energy</t>
        </is>
      </c>
      <c r="I404" s="113" t="inlineStr">
        <is>
          <t>whole economy</t>
        </is>
      </c>
      <c r="J404" s="113" t="inlineStr">
        <is>
          <t>by 2020 the share of non-fossil energy in primary energy consumption will reach around 15%</t>
        </is>
      </c>
      <c r="K404" s="113" t="inlineStr">
        <is>
          <t>HL1902.pdf</t>
        </is>
      </c>
      <c r="L404" s="113" t="inlineStr">
        <is>
          <t>Energy/Power</t>
        </is>
      </c>
      <c r="M404" s="113" t="inlineStr">
        <is>
          <t>Energy consumption</t>
        </is>
      </c>
    </row>
    <row r="405" ht="18" customHeight="1" s="235">
      <c r="A405" s="113" t="n">
        <v>2021</v>
      </c>
      <c r="B405" s="113" t="inlineStr">
        <is>
          <t>proportion of non-fossil energy in primary energy consumption</t>
        </is>
      </c>
      <c r="C405" s="113" t="inlineStr">
        <is>
          <t>reach</t>
        </is>
      </c>
      <c r="D405" s="113" t="inlineStr">
        <is>
          <t>more than 80%</t>
        </is>
      </c>
      <c r="E405" s="113" t="n"/>
      <c r="F405" s="114" t="inlineStr">
        <is>
          <t>2060</t>
        </is>
      </c>
      <c r="G405" s="113" t="inlineStr">
        <is>
          <t>r</t>
        </is>
      </c>
      <c r="H405" s="113" t="inlineStr">
        <is>
          <t>Renewable energy</t>
        </is>
      </c>
      <c r="I405" s="113" t="inlineStr">
        <is>
          <t>whole economy</t>
        </is>
      </c>
      <c r="J405" s="113" t="inlineStr">
        <is>
          <t>By 2060, with a clean, safe, efficient, and low-carbon energy system in place, China will become one of the most energy-efficient countries in the world and the share of non-fossil fuels in its energy consumption will reach more than 80%.</t>
        </is>
      </c>
      <c r="K405" s="113" t="inlineStr">
        <is>
          <t>HL2302.pdf</t>
        </is>
      </c>
      <c r="L405" s="113" t="inlineStr">
        <is>
          <t>Energy/Power</t>
        </is>
      </c>
      <c r="M405" s="113" t="inlineStr">
        <is>
          <t>Energy consumption</t>
        </is>
      </c>
    </row>
    <row r="406" ht="18" customHeight="1" s="235">
      <c r="A406" s="113" t="n">
        <v>2021</v>
      </c>
      <c r="B406" s="113" t="inlineStr">
        <is>
          <t>proportion of non-fossil energy in primary energy consumption</t>
        </is>
      </c>
      <c r="C406" s="113" t="inlineStr">
        <is>
          <t>reach</t>
        </is>
      </c>
      <c r="D406" s="113" t="inlineStr">
        <is>
          <t>25%</t>
        </is>
      </c>
      <c r="E406" s="113" t="n"/>
      <c r="F406" s="114" t="inlineStr">
        <is>
          <t>2030</t>
        </is>
      </c>
      <c r="G406" s="113" t="inlineStr">
        <is>
          <t>r</t>
        </is>
      </c>
      <c r="H406" s="113" t="inlineStr">
        <is>
          <t>Renewable energy</t>
        </is>
      </c>
      <c r="I406" s="113" t="inlineStr">
        <is>
          <t>whole economy</t>
        </is>
      </c>
      <c r="J406" s="113" t="inlineStr">
        <is>
          <t>By 2030, the proportion of non-fossil energy consumption will reach about 25%.</t>
        </is>
      </c>
      <c r="K406" s="113" t="inlineStr">
        <is>
          <t>HL2101.htm</t>
        </is>
      </c>
      <c r="L406" s="113" t="inlineStr">
        <is>
          <t>Energy/Power</t>
        </is>
      </c>
      <c r="M406" s="113" t="inlineStr">
        <is>
          <t>Energy consumption</t>
        </is>
      </c>
    </row>
    <row r="407" ht="18" customHeight="1" s="235">
      <c r="A407" s="113" t="n">
        <v>2021</v>
      </c>
      <c r="B407" s="113" t="inlineStr">
        <is>
          <t>proportion of non-fossil energy in primary energy consumption</t>
        </is>
      </c>
      <c r="C407" s="113" t="inlineStr">
        <is>
          <t>reach</t>
        </is>
      </c>
      <c r="D407" s="113" t="inlineStr">
        <is>
          <t>25%</t>
        </is>
      </c>
      <c r="E407" s="113" t="n"/>
      <c r="F407" s="114" t="inlineStr">
        <is>
          <t>2030</t>
        </is>
      </c>
      <c r="G407" s="113" t="inlineStr">
        <is>
          <t>r</t>
        </is>
      </c>
      <c r="H407" s="113" t="inlineStr">
        <is>
          <t>Renewable energy</t>
        </is>
      </c>
      <c r="I407" s="113" t="inlineStr">
        <is>
          <t>whole economy</t>
        </is>
      </c>
      <c r="J407" s="113" t="inlineStr">
        <is>
          <t>By 2030, the proportion of non-fossil energy in energy consumption reaches to about 25%, and total installed wind and solar power capacity reached over 1.2 billion kilowatts.</t>
        </is>
      </c>
      <c r="K407" s="113" t="inlineStr">
        <is>
          <t>HL2104.pdf</t>
        </is>
      </c>
      <c r="L407" s="113" t="inlineStr">
        <is>
          <t>Energy/Power</t>
        </is>
      </c>
      <c r="M407" s="113" t="inlineStr">
        <is>
          <t>Energy consumption</t>
        </is>
      </c>
    </row>
    <row r="408" ht="18" customHeight="1" s="235">
      <c r="A408" s="113" t="n">
        <v>2021</v>
      </c>
      <c r="B408" s="113" t="inlineStr">
        <is>
          <t>proportion of non-fossil energy in primary energy consumption</t>
        </is>
      </c>
      <c r="C408" s="113" t="inlineStr">
        <is>
          <t>reach</t>
        </is>
      </c>
      <c r="D408" s="113" t="inlineStr">
        <is>
          <t>20%</t>
        </is>
      </c>
      <c r="E408" s="113" t="n"/>
      <c r="F408" s="114" t="inlineStr">
        <is>
          <t>2025</t>
        </is>
      </c>
      <c r="G408" s="113" t="inlineStr">
        <is>
          <t>r</t>
        </is>
      </c>
      <c r="H408" s="113" t="inlineStr">
        <is>
          <t>Renewable energy</t>
        </is>
      </c>
      <c r="I408" s="113" t="inlineStr">
        <is>
          <t>whole economy</t>
        </is>
      </c>
      <c r="J408" s="113" t="inlineStr">
        <is>
          <t>By 2025, the proportion of non-fossil energy in total energy consumption will reach about 20%.</t>
        </is>
      </c>
      <c r="K408" s="113" t="inlineStr">
        <is>
          <t>FYP2107.htm</t>
        </is>
      </c>
      <c r="L408" s="113" t="inlineStr">
        <is>
          <t>Energy/Power</t>
        </is>
      </c>
      <c r="M408" s="113" t="inlineStr">
        <is>
          <t>Energy consumption</t>
        </is>
      </c>
    </row>
    <row r="409" ht="18" customHeight="1" s="235">
      <c r="A409" s="113" t="n">
        <v>2021</v>
      </c>
      <c r="B409" s="113" t="inlineStr">
        <is>
          <t>proportion of non-fossil energy in primary energy consumption</t>
        </is>
      </c>
      <c r="C409" s="113" t="inlineStr">
        <is>
          <t>reach</t>
        </is>
      </c>
      <c r="D409" s="113" t="inlineStr">
        <is>
          <t>25%</t>
        </is>
      </c>
      <c r="E409" s="113" t="n"/>
      <c r="F409" s="114" t="inlineStr">
        <is>
          <t>2030</t>
        </is>
      </c>
      <c r="G409" s="113" t="inlineStr">
        <is>
          <t>r</t>
        </is>
      </c>
      <c r="H409" s="113" t="inlineStr">
        <is>
          <t>Renewable energy</t>
        </is>
      </c>
      <c r="I409" s="113" t="inlineStr">
        <is>
          <t>whole economy</t>
        </is>
      </c>
      <c r="J409" s="113" t="inlineStr">
        <is>
          <t>China’s updated NDC goals are as follows: aims to o increase the share of non-fossil fuels in primary energy consumption to around 25% by 2030</t>
        </is>
      </c>
      <c r="K409" s="113" t="inlineStr">
        <is>
          <t>HL2105.pdf</t>
        </is>
      </c>
      <c r="L409" s="113" t="inlineStr">
        <is>
          <t>Energy/Power</t>
        </is>
      </c>
      <c r="M409" s="113" t="inlineStr">
        <is>
          <t>Energy consumption</t>
        </is>
      </c>
    </row>
    <row r="410" ht="18" customHeight="1" s="235">
      <c r="A410" s="113" t="n">
        <v>2021</v>
      </c>
      <c r="B410" s="113" t="inlineStr">
        <is>
          <t>proportion of non-fossil energy in primary energy consumption</t>
        </is>
      </c>
      <c r="C410" s="113" t="inlineStr">
        <is>
          <t>reach</t>
        </is>
      </c>
      <c r="D410" s="113" t="inlineStr">
        <is>
          <t>around 25%</t>
        </is>
      </c>
      <c r="E410" s="113" t="n"/>
      <c r="F410" s="114" t="inlineStr">
        <is>
          <t>2030</t>
        </is>
      </c>
      <c r="G410" s="113" t="inlineStr">
        <is>
          <t>r</t>
        </is>
      </c>
      <c r="H410" s="113" t="inlineStr">
        <is>
          <t>Renewable energy</t>
        </is>
      </c>
      <c r="I410" s="113" t="inlineStr">
        <is>
          <t>whole economy</t>
        </is>
      </c>
      <c r="J410" s="113" t="inlineStr">
        <is>
          <t>China aims to increase the share of non-fossil fuels in primary energy consumption to around 25% by 2030.</t>
        </is>
      </c>
      <c r="K410" s="113" t="inlineStr">
        <is>
          <t>HL2107.htm</t>
        </is>
      </c>
      <c r="L410" s="113" t="inlineStr">
        <is>
          <t>Energy/Power</t>
        </is>
      </c>
      <c r="M410" s="113" t="inlineStr">
        <is>
          <t>Energy consumption</t>
        </is>
      </c>
    </row>
    <row r="411" ht="18" customHeight="1" s="235">
      <c r="A411" s="113" t="n">
        <v>2021</v>
      </c>
      <c r="B411" s="113" t="inlineStr">
        <is>
          <t>proportion of non-fossil energy in primary energy consumption</t>
        </is>
      </c>
      <c r="C411" s="113" t="inlineStr">
        <is>
          <t>reach</t>
        </is>
      </c>
      <c r="D411" s="113" t="inlineStr">
        <is>
          <t>20%</t>
        </is>
      </c>
      <c r="E411" s="113" t="n"/>
      <c r="F411" s="114" t="inlineStr">
        <is>
          <t>2025</t>
        </is>
      </c>
      <c r="G411" s="113" t="inlineStr">
        <is>
          <t>r</t>
        </is>
      </c>
      <c r="H411" s="113" t="inlineStr">
        <is>
          <t>Renewable energy</t>
        </is>
      </c>
      <c r="I411" s="113" t="inlineStr">
        <is>
          <t>whole economy</t>
        </is>
      </c>
      <c r="J411" s="113" t="inlineStr">
        <is>
          <t>By 2025, the share of non-fossil fuels in total energy consumption will reach around 20%</t>
        </is>
      </c>
      <c r="K411" s="113" t="inlineStr">
        <is>
          <t>HL2102.pdf</t>
        </is>
      </c>
      <c r="L411" s="113" t="inlineStr">
        <is>
          <t>Energy/Power</t>
        </is>
      </c>
      <c r="M411" s="113" t="inlineStr">
        <is>
          <t>Energy consumption</t>
        </is>
      </c>
    </row>
    <row r="412" ht="18" customHeight="1" s="235">
      <c r="A412" s="113" t="n">
        <v>2023</v>
      </c>
      <c r="B412" s="113" t="inlineStr">
        <is>
          <t>proportion of non-fossil energy in primary energy consumption</t>
        </is>
      </c>
      <c r="C412" s="113" t="inlineStr">
        <is>
          <t>reach</t>
        </is>
      </c>
      <c r="D412" s="113" t="inlineStr">
        <is>
          <t>20%</t>
        </is>
      </c>
      <c r="E412" s="113" t="n"/>
      <c r="F412" s="114" t="inlineStr">
        <is>
          <t>2025</t>
        </is>
      </c>
      <c r="G412" s="113" t="inlineStr">
        <is>
          <t>r</t>
        </is>
      </c>
      <c r="H412" s="113" t="inlineStr">
        <is>
          <t>Renewable energy</t>
        </is>
      </c>
      <c r="I412" s="113" t="inlineStr">
        <is>
          <t>whole economy</t>
        </is>
      </c>
      <c r="J412" s="113" t="inlineStr">
        <is>
          <t>By 2025, the proportion of non-fossil energy consumption will reach about 20%.</t>
        </is>
      </c>
      <c r="K412" s="113" t="inlineStr">
        <is>
          <t>AP2304.htm</t>
        </is>
      </c>
      <c r="L412" s="113" t="inlineStr">
        <is>
          <t>Energy/Power</t>
        </is>
      </c>
      <c r="M412" s="113" t="inlineStr">
        <is>
          <t>Energy consumption</t>
        </is>
      </c>
    </row>
    <row r="413" ht="18" customHeight="1" s="235">
      <c r="A413" s="113" t="n">
        <v>2023</v>
      </c>
      <c r="B413" s="113" t="inlineStr">
        <is>
          <t>proportion of non-fossil energy in primary energy consumption</t>
        </is>
      </c>
      <c r="C413" s="113" t="inlineStr">
        <is>
          <t>hit</t>
        </is>
      </c>
      <c r="D413" s="113" t="inlineStr">
        <is>
          <t>15%</t>
        </is>
      </c>
      <c r="E413" s="113" t="n"/>
      <c r="F413" s="114" t="inlineStr">
        <is>
          <t>2020</t>
        </is>
      </c>
      <c r="G413" s="113" t="inlineStr">
        <is>
          <t>r</t>
        </is>
      </c>
      <c r="H413" s="113" t="inlineStr">
        <is>
          <t>Renewable energy</t>
        </is>
      </c>
      <c r="I413" s="113" t="inlineStr">
        <is>
          <t>whole economy</t>
        </is>
      </c>
      <c r="J413" s="113" t="inlineStr">
        <is>
          <t>by 2020, the share of non-fossil energy will hit 15%</t>
        </is>
      </c>
      <c r="K413" s="113" t="inlineStr">
        <is>
          <t>HL2302.pdf</t>
        </is>
      </c>
      <c r="L413" s="113" t="inlineStr">
        <is>
          <t>Energy/Power</t>
        </is>
      </c>
      <c r="M413" s="113" t="inlineStr">
        <is>
          <t>Energy consumption</t>
        </is>
      </c>
    </row>
    <row r="414" ht="18" customHeight="1" s="235">
      <c r="A414" s="113" t="n">
        <v>2023</v>
      </c>
      <c r="B414" s="113" t="inlineStr">
        <is>
          <t>proportion of non-fossil energy in primary energy consumption</t>
        </is>
      </c>
      <c r="C414" s="113" t="inlineStr">
        <is>
          <t>increase to</t>
        </is>
      </c>
      <c r="D414" s="113" t="inlineStr">
        <is>
          <t>around 25%</t>
        </is>
      </c>
      <c r="E414" s="113" t="n"/>
      <c r="F414" s="114" t="inlineStr">
        <is>
          <t>2030</t>
        </is>
      </c>
      <c r="G414" s="113" t="inlineStr">
        <is>
          <t>r</t>
        </is>
      </c>
      <c r="H414" s="113" t="inlineStr">
        <is>
          <t>Renewable energy</t>
        </is>
      </c>
      <c r="I414" s="113" t="inlineStr">
        <is>
          <t>whole economy</t>
        </is>
      </c>
      <c r="J414" s="113" t="inlineStr">
        <is>
          <t>By 2030, the share of non-fossil fuels in China’s energy consumption will increase to around 25%</t>
        </is>
      </c>
      <c r="K414" s="113" t="inlineStr">
        <is>
          <t>HL2302.pdf</t>
        </is>
      </c>
      <c r="L414" s="113" t="inlineStr">
        <is>
          <t>Energy/Power</t>
        </is>
      </c>
      <c r="M414" s="113" t="inlineStr">
        <is>
          <t>Energy consumption</t>
        </is>
      </c>
    </row>
    <row r="415" ht="18" customHeight="1" s="235">
      <c r="A415" s="113" t="n">
        <v>2024</v>
      </c>
      <c r="B415" s="113" t="inlineStr">
        <is>
          <t>proportion of non-fossil energy in primary energy consumption</t>
        </is>
      </c>
      <c r="C415" s="113" t="inlineStr">
        <is>
          <t>reach</t>
        </is>
      </c>
      <c r="D415" s="113" t="inlineStr">
        <is>
          <t>25%</t>
        </is>
      </c>
      <c r="E415" s="113" t="n"/>
      <c r="F415" s="114" t="inlineStr">
        <is>
          <t>2030</t>
        </is>
      </c>
      <c r="G415" s="113" t="inlineStr">
        <is>
          <t>r</t>
        </is>
      </c>
      <c r="H415" s="113" t="inlineStr">
        <is>
          <t>Renewable energy</t>
        </is>
      </c>
      <c r="I415" s="113" t="inlineStr">
        <is>
          <t>whole economy</t>
        </is>
      </c>
      <c r="J415" s="113" t="inlineStr">
        <is>
          <t>By 2030, the plan targets non-fossil fuels accounting for around 25% of total energy consumption.</t>
        </is>
      </c>
      <c r="K415" s="113" t="inlineStr">
        <is>
          <t>HL2404.pdf</t>
        </is>
      </c>
      <c r="L415" s="113" t="inlineStr">
        <is>
          <t>Energy/Power</t>
        </is>
      </c>
      <c r="M415" s="113" t="inlineStr">
        <is>
          <t>Energy consumption</t>
        </is>
      </c>
    </row>
    <row r="416" ht="18" customHeight="1" s="235">
      <c r="A416" s="113" t="n">
        <v>2024</v>
      </c>
      <c r="B416" s="113" t="inlineStr">
        <is>
          <t>proportion of non-fossil energy in primary energy consumption</t>
        </is>
      </c>
      <c r="C416" s="113" t="inlineStr">
        <is>
          <t>reach</t>
        </is>
      </c>
      <c r="D416" s="113" t="inlineStr">
        <is>
          <t>25%</t>
        </is>
      </c>
      <c r="E416" s="113" t="n"/>
      <c r="F416" s="114" t="inlineStr">
        <is>
          <t>2025</t>
        </is>
      </c>
      <c r="G416" s="113" t="inlineStr">
        <is>
          <t>r</t>
        </is>
      </c>
      <c r="H416" s="113" t="inlineStr">
        <is>
          <t>Renewable energy</t>
        </is>
      </c>
      <c r="I416" s="113" t="inlineStr">
        <is>
          <t>whole economy</t>
        </is>
      </c>
      <c r="J416" s="113" t="inlineStr">
        <is>
          <t>By the end of 2025, the proportion of renewable energy use will reach more than 25%.</t>
        </is>
      </c>
      <c r="K416" s="113" t="inlineStr">
        <is>
          <t>AP2405.htm</t>
        </is>
      </c>
      <c r="L416" s="113" t="inlineStr">
        <is>
          <t>Energy/Power</t>
        </is>
      </c>
      <c r="M416" s="113" t="inlineStr">
        <is>
          <t>Energy consumption</t>
        </is>
      </c>
    </row>
    <row r="417" ht="18" customHeight="1" s="235">
      <c r="A417" s="113" t="n">
        <v>2024</v>
      </c>
      <c r="B417" s="113" t="inlineStr">
        <is>
          <t>proportion of non-fossil energy in primary energy consumption</t>
        </is>
      </c>
      <c r="C417" s="113" t="inlineStr">
        <is>
          <t>increase to</t>
        </is>
      </c>
      <c r="D417" s="113" t="inlineStr">
        <is>
          <t>about 25%</t>
        </is>
      </c>
      <c r="E417" s="113" t="n"/>
      <c r="F417" s="114" t="inlineStr">
        <is>
          <t>2030</t>
        </is>
      </c>
      <c r="G417" s="113" t="inlineStr">
        <is>
          <t>r</t>
        </is>
      </c>
      <c r="H417" s="113" t="inlineStr">
        <is>
          <t>Renewable energy</t>
        </is>
      </c>
      <c r="I417" s="113" t="inlineStr">
        <is>
          <t>whole economy</t>
        </is>
      </c>
      <c r="J417" s="113" t="inlineStr">
        <is>
          <t>By 2030, the proportion of non-fossil energy consumption will increase to about 25%.</t>
        </is>
      </c>
      <c r="K417" s="113" t="inlineStr">
        <is>
          <t>O2407.htm</t>
        </is>
      </c>
      <c r="L417" s="113" t="inlineStr">
        <is>
          <t>Energy/Power</t>
        </is>
      </c>
      <c r="M417" s="113" t="inlineStr">
        <is>
          <t>Energy consumption</t>
        </is>
      </c>
    </row>
    <row r="418" ht="18" customHeight="1" s="235">
      <c r="A418" s="113" t="n">
        <v>2007</v>
      </c>
      <c r="B418" s="113" t="inlineStr">
        <is>
          <t>proportion of non-fossil energy in primary energy consumption</t>
        </is>
      </c>
      <c r="C418" s="113" t="inlineStr">
        <is>
          <t>increase to</t>
        </is>
      </c>
      <c r="D418" s="113" t="inlineStr">
        <is>
          <t>10%</t>
        </is>
      </c>
      <c r="E418" s="113" t="n"/>
      <c r="F418" s="114" t="inlineStr">
        <is>
          <t>2010</t>
        </is>
      </c>
      <c r="G418" s="113" t="inlineStr">
        <is>
          <t>n</t>
        </is>
      </c>
      <c r="H418" s="113" t="inlineStr">
        <is>
          <t>Renewable energy</t>
        </is>
      </c>
      <c r="I418" s="113" t="inlineStr">
        <is>
          <t>whole economy</t>
        </is>
      </c>
      <c r="J418" s="113" t="inlineStr">
        <is>
          <t>It has released the Medium- and Long-term Program for Renewable Energy Development, putting forward the goal of increasing renewable energy consumption to 10% of the total energy consumption by 2010 and 15% by 2020.</t>
        </is>
      </c>
      <c r="K418" s="113" t="inlineStr">
        <is>
          <t>PF0701.htm</t>
        </is>
      </c>
      <c r="L418" s="113" t="inlineStr">
        <is>
          <t>Energy/Power</t>
        </is>
      </c>
      <c r="M418" s="113" t="inlineStr">
        <is>
          <t>Energy consumption</t>
        </is>
      </c>
    </row>
    <row r="419" ht="18" customHeight="1" s="235">
      <c r="A419" s="113" t="n">
        <v>2007</v>
      </c>
      <c r="B419" s="113" t="inlineStr">
        <is>
          <t>proportion of non-fossil energy in primary energy consumption</t>
        </is>
      </c>
      <c r="C419" s="113" t="inlineStr">
        <is>
          <t>increase to</t>
        </is>
      </c>
      <c r="D419" s="113" t="inlineStr">
        <is>
          <t>15%</t>
        </is>
      </c>
      <c r="E419" s="113" t="n"/>
      <c r="F419" s="114" t="n">
        <v>2020</v>
      </c>
      <c r="G419" s="113" t="inlineStr">
        <is>
          <t>n</t>
        </is>
      </c>
      <c r="H419" s="113" t="inlineStr">
        <is>
          <t>Renewable energy</t>
        </is>
      </c>
      <c r="I419" s="113" t="inlineStr">
        <is>
          <t>whole economy</t>
        </is>
      </c>
      <c r="J419" s="113" t="inlineStr">
        <is>
          <t>It has released the Medium- and Long-term Program for Renewable Energy Development, putting forward the goal of increasing renewable energy consumption to 10% of the total energy consumption by 2010 and 15% by 2020.</t>
        </is>
      </c>
      <c r="K419" s="113" t="inlineStr">
        <is>
          <t>PF0701.htm</t>
        </is>
      </c>
      <c r="L419" s="113" t="inlineStr">
        <is>
          <t>Energy/Power</t>
        </is>
      </c>
      <c r="M419" s="113" t="inlineStr">
        <is>
          <t>Energy consumption</t>
        </is>
      </c>
    </row>
    <row r="420" ht="18" customHeight="1" s="235">
      <c r="A420" s="113" t="n">
        <v>2011</v>
      </c>
      <c r="B420" s="113" t="inlineStr">
        <is>
          <t>proportion of non-fossil energy in primary energy consumption</t>
        </is>
      </c>
      <c r="C420" s="113" t="inlineStr">
        <is>
          <t>account for</t>
        </is>
      </c>
      <c r="D420" s="113" t="inlineStr">
        <is>
          <t>11.4%</t>
        </is>
      </c>
      <c r="E420" s="113" t="n"/>
      <c r="F420" s="114" t="inlineStr">
        <is>
          <t>2015</t>
        </is>
      </c>
      <c r="G420" s="113" t="inlineStr">
        <is>
          <t>n</t>
        </is>
      </c>
      <c r="H420" s="113" t="inlineStr">
        <is>
          <t>Renewable energy</t>
        </is>
      </c>
      <c r="I420" s="113" t="inlineStr">
        <is>
          <t>whole economy</t>
        </is>
      </c>
      <c r="J420" s="113" t="inlineStr">
        <is>
          <t>The National 12th Five-Year Plan outline proposes that by 2015, non-fossil energy will account for 11.4% of primary energy consumption.</t>
        </is>
      </c>
      <c r="K420" s="113" t="inlineStr">
        <is>
          <t>FYP1102.htm</t>
        </is>
      </c>
      <c r="L420" s="113" t="inlineStr">
        <is>
          <t>Energy/Power</t>
        </is>
      </c>
      <c r="M420" s="113" t="inlineStr">
        <is>
          <t>Energy consumption</t>
        </is>
      </c>
    </row>
    <row r="421" ht="18" customHeight="1" s="235">
      <c r="A421" s="113" t="n">
        <v>2013</v>
      </c>
      <c r="B421" s="113" t="inlineStr">
        <is>
          <t>proportion of non-fossil energy in primary energy consumption</t>
        </is>
      </c>
      <c r="C421" s="113" t="inlineStr">
        <is>
          <t>increase to</t>
        </is>
      </c>
      <c r="D421" s="113" t="inlineStr">
        <is>
          <t>13%</t>
        </is>
      </c>
      <c r="E421" s="113" t="n"/>
      <c r="F421" s="114" t="inlineStr">
        <is>
          <t>2017</t>
        </is>
      </c>
      <c r="G421" s="113" t="inlineStr">
        <is>
          <t>n</t>
        </is>
      </c>
      <c r="H421" s="113" t="inlineStr">
        <is>
          <t>Renewable energy</t>
        </is>
      </c>
      <c r="I421" s="113" t="inlineStr">
        <is>
          <t>whole economy</t>
        </is>
      </c>
      <c r="J421" s="113" t="inlineStr">
        <is>
          <t>By 2017, the proportion of non-fossil energy consumption will increase to 13%.</t>
        </is>
      </c>
      <c r="K421" s="113" t="inlineStr">
        <is>
          <t>AP1302.htm</t>
        </is>
      </c>
      <c r="L421" s="113" t="inlineStr">
        <is>
          <t>Energy/Power</t>
        </is>
      </c>
      <c r="M421" s="113" t="inlineStr">
        <is>
          <t>Energy consumption</t>
        </is>
      </c>
    </row>
    <row r="422" ht="18" customHeight="1" s="235">
      <c r="A422" s="113" t="n">
        <v>2014</v>
      </c>
      <c r="B422" s="113" t="inlineStr">
        <is>
          <t>proportion of non-fossil energy in primary energy consumption</t>
        </is>
      </c>
      <c r="C422" s="113" t="inlineStr">
        <is>
          <t>reach</t>
        </is>
      </c>
      <c r="D422" s="113" t="inlineStr">
        <is>
          <t>15%</t>
        </is>
      </c>
      <c r="E422" s="113" t="n"/>
      <c r="F422" s="114" t="inlineStr">
        <is>
          <t>2020</t>
        </is>
      </c>
      <c r="G422" s="113" t="inlineStr">
        <is>
          <t>n</t>
        </is>
      </c>
      <c r="H422" s="113" t="inlineStr">
        <is>
          <t>Renewable energy</t>
        </is>
      </c>
      <c r="I422" s="113" t="inlineStr">
        <is>
          <t>whole economy</t>
        </is>
      </c>
      <c r="J422" s="113" t="inlineStr">
        <is>
          <t>By 2020, the proportion of non-fossil energy in primary energy consumption will reach 15%.</t>
        </is>
      </c>
      <c r="K422" s="113" t="inlineStr">
        <is>
          <t>AP1401.htm</t>
        </is>
      </c>
      <c r="L422" s="113" t="inlineStr">
        <is>
          <t>Energy/Power</t>
        </is>
      </c>
      <c r="M422" s="113" t="inlineStr">
        <is>
          <t>Energy consumption</t>
        </is>
      </c>
    </row>
    <row r="423" ht="18" customHeight="1" s="235">
      <c r="A423" s="113" t="n">
        <v>2016</v>
      </c>
      <c r="B423" s="113" t="inlineStr">
        <is>
          <t>proportion of non-fossil energy in primary energy consumption</t>
        </is>
      </c>
      <c r="C423" s="113" t="inlineStr">
        <is>
          <t>increase to</t>
        </is>
      </c>
      <c r="D423" s="113" t="inlineStr">
        <is>
          <t>about 20%</t>
        </is>
      </c>
      <c r="E423" s="113" t="n"/>
      <c r="F423" s="114" t="inlineStr">
        <is>
          <t>2030</t>
        </is>
      </c>
      <c r="G423" s="113" t="inlineStr">
        <is>
          <t>n</t>
        </is>
      </c>
      <c r="H423" s="113" t="inlineStr">
        <is>
          <t>Renewable energy</t>
        </is>
      </c>
      <c r="I423" s="113" t="inlineStr">
        <is>
          <t>whole economy</t>
        </is>
      </c>
      <c r="J423" s="113" t="inlineStr">
        <is>
          <t>China's Nationally Determined Contribution to Enhanced Action on Climate Change submitted to the United Nations has set the goal of reaching the peak of CO2 emissions around 2030 and striving to reach the peak as early as possible, and proposed to increase the proportion of non-fossil energy in primary energy consumption to about 20% by 2030.</t>
        </is>
      </c>
      <c r="K423" s="113" t="inlineStr">
        <is>
          <t>FYP1617.pdf</t>
        </is>
      </c>
      <c r="L423" s="113" t="inlineStr">
        <is>
          <t>Energy/Power</t>
        </is>
      </c>
      <c r="M423" s="113" t="inlineStr">
        <is>
          <t>Energy consumption</t>
        </is>
      </c>
    </row>
    <row r="424" ht="18" customHeight="1" s="235">
      <c r="A424" s="113" t="n">
        <v>2021</v>
      </c>
      <c r="B424" s="113" t="inlineStr">
        <is>
          <t>proportion of non-fossil energy in primary energy consumption</t>
        </is>
      </c>
      <c r="C424" s="113" t="inlineStr">
        <is>
          <t>reach</t>
        </is>
      </c>
      <c r="D424" s="113" t="inlineStr">
        <is>
          <t>around 25%</t>
        </is>
      </c>
      <c r="E424" s="113" t="n"/>
      <c r="F424" s="114" t="inlineStr">
        <is>
          <t>2030</t>
        </is>
      </c>
      <c r="G424" s="113" t="inlineStr">
        <is>
          <t>s/l-POS</t>
        </is>
      </c>
      <c r="H424" s="113" t="inlineStr">
        <is>
          <t>Renewable energy</t>
        </is>
      </c>
      <c r="I424" s="113" t="inlineStr">
        <is>
          <t>whole economy</t>
        </is>
      </c>
      <c r="J424" s="113" t="inlineStr">
        <is>
          <t>By 2030, the share of non-fossil energy consumption will reach around 25%</t>
        </is>
      </c>
      <c r="K424" s="113" t="inlineStr">
        <is>
          <t>HL2102.pdf</t>
        </is>
      </c>
      <c r="L424" s="113" t="inlineStr">
        <is>
          <t>Energy/Power</t>
        </is>
      </c>
      <c r="M424" s="113" t="inlineStr">
        <is>
          <t>Energy consumption</t>
        </is>
      </c>
    </row>
    <row r="425" ht="18" customHeight="1" s="235">
      <c r="A425" s="113" t="n">
        <v>2021</v>
      </c>
      <c r="B425" s="113" t="inlineStr">
        <is>
          <t>proportion of non-fossil energy in primary energy consumption</t>
        </is>
      </c>
      <c r="C425" s="113" t="inlineStr">
        <is>
          <t>reach</t>
        </is>
      </c>
      <c r="D425" s="113" t="inlineStr">
        <is>
          <t>up to over 80%</t>
        </is>
      </c>
      <c r="E425" s="113" t="n"/>
      <c r="F425" s="114" t="inlineStr">
        <is>
          <t>2060</t>
        </is>
      </c>
      <c r="G425" s="113" t="inlineStr">
        <is>
          <t>n</t>
        </is>
      </c>
      <c r="H425" s="113" t="inlineStr">
        <is>
          <t>Renewable energy</t>
        </is>
      </c>
      <c r="I425" s="113" t="inlineStr">
        <is>
          <t>whole economy</t>
        </is>
      </c>
      <c r="J425" s="113" t="inlineStr">
        <is>
          <t>By 2060, China will fully establish a clean, low-carbon, safe and efficient energy system, reach energy efficiency at international advanced levels, and improve the proportion of non-fossil fuels in energy consumption up to over 80%.</t>
        </is>
      </c>
      <c r="K425" s="113" t="inlineStr">
        <is>
          <t>HL2104.pdf</t>
        </is>
      </c>
      <c r="L425" s="113" t="inlineStr">
        <is>
          <t>Energy/Power</t>
        </is>
      </c>
      <c r="M425" s="113" t="inlineStr">
        <is>
          <t>Energy consumption</t>
        </is>
      </c>
    </row>
    <row r="426" ht="18" customHeight="1" s="235">
      <c r="A426" s="113" t="n">
        <v>2024</v>
      </c>
      <c r="B426" s="113" t="inlineStr">
        <is>
          <t>proportion of non-fossil energy in primary energy consumption</t>
        </is>
      </c>
      <c r="C426" s="113" t="inlineStr">
        <is>
          <t>reach</t>
        </is>
      </c>
      <c r="D426" s="113" t="inlineStr">
        <is>
          <t>18.9%</t>
        </is>
      </c>
      <c r="E426" s="113" t="n"/>
      <c r="F426" s="114" t="n">
        <v>2024</v>
      </c>
      <c r="G426" s="113" t="inlineStr">
        <is>
          <t>s/l-POS</t>
        </is>
      </c>
      <c r="H426" s="113" t="inlineStr">
        <is>
          <t>Renewable energy</t>
        </is>
      </c>
      <c r="I426" s="113" t="inlineStr">
        <is>
          <t>whole economy</t>
        </is>
      </c>
      <c r="J426" s="113" t="inlineStr">
        <is>
          <t>By 2024, the energy consumption and carbon dioxide emissions per unit of GDP will be reduced by about 2.5% and 3.9% respectively, the energy consumption per unit of added value of industrial units above designated size will be reduced by about 3.5%, and the proportion of non fossil energy consumption will reach about 18.9%.</t>
        </is>
      </c>
      <c r="K426" s="113" t="inlineStr">
        <is>
          <t>AP2405.htm</t>
        </is>
      </c>
      <c r="L426" s="113" t="inlineStr">
        <is>
          <t>Energy/Power</t>
        </is>
      </c>
      <c r="M426" s="113" t="inlineStr">
        <is>
          <t>Energy consumption</t>
        </is>
      </c>
    </row>
    <row r="427" ht="18" customHeight="1" s="235">
      <c r="A427" s="113" t="n">
        <v>2023</v>
      </c>
      <c r="B427" s="113" t="inlineStr">
        <is>
          <t>proportion of non-fossil energy in primary energy consumption</t>
        </is>
      </c>
      <c r="C427" s="113" t="inlineStr">
        <is>
          <t>increase to</t>
        </is>
      </c>
      <c r="D427" s="113" t="inlineStr">
        <is>
          <t>18.3%</t>
        </is>
      </c>
      <c r="E427" s="113" t="n"/>
      <c r="F427" s="114" t="n">
        <v>2023</v>
      </c>
      <c r="G427" s="113" t="inlineStr">
        <is>
          <t>n</t>
        </is>
      </c>
      <c r="H427" s="113" t="inlineStr">
        <is>
          <t>Renewable energy</t>
        </is>
      </c>
      <c r="I427" s="113" t="inlineStr">
        <is>
          <t>whole economy</t>
        </is>
      </c>
      <c r="J427" s="113" t="inlineStr">
        <is>
          <t>The share of non-fossil energy in total energy consumption will be raised to about 18.3%</t>
        </is>
      </c>
      <c r="K427" s="113" t="inlineStr">
        <is>
          <t>GO2308.htm</t>
        </is>
      </c>
      <c r="L427" s="113" t="inlineStr">
        <is>
          <t>Energy/Power</t>
        </is>
      </c>
      <c r="M427" s="113" t="inlineStr">
        <is>
          <t>Energy consumption</t>
        </is>
      </c>
    </row>
    <row r="428" ht="18" customHeight="1" s="235">
      <c r="A428" s="113" t="n">
        <v>2025</v>
      </c>
      <c r="B428" s="113" t="inlineStr">
        <is>
          <t>proportion of non-fossil energy in primary energy consumption</t>
        </is>
      </c>
      <c r="C428" s="113" t="inlineStr">
        <is>
          <t>increase to</t>
        </is>
      </c>
      <c r="D428" s="113" t="inlineStr">
        <is>
          <t>over 30%</t>
        </is>
      </c>
      <c r="E428" s="113" t="n"/>
      <c r="F428" s="114" t="n">
        <v>2035</v>
      </c>
      <c r="G428" s="113" t="inlineStr">
        <is>
          <t>n</t>
        </is>
      </c>
      <c r="H428" s="113" t="inlineStr">
        <is>
          <t>Renewable energy</t>
        </is>
      </c>
      <c r="I428" s="113" t="inlineStr">
        <is>
          <t>whole economy</t>
        </is>
      </c>
      <c r="J428" s="113" t="inlineStr">
        <is>
          <t>China will, by 2035, increase the share of non-fossil fuels in total energy consumption to over 30%.</t>
        </is>
      </c>
      <c r="K428" s="113" t="inlineStr">
        <is>
          <t>PA2501.htm</t>
        </is>
      </c>
      <c r="L428" s="113" t="inlineStr">
        <is>
          <t>Energy/Power</t>
        </is>
      </c>
      <c r="M428" s="113" t="inlineStr">
        <is>
          <t>Energy consumption</t>
        </is>
      </c>
    </row>
    <row r="429" ht="18" customHeight="1" s="235">
      <c r="A429" s="113" t="n">
        <v>2026</v>
      </c>
      <c r="B429" s="113" t="inlineStr">
        <is>
          <t>proportion of non-fossil energy in primary energy consumption</t>
        </is>
      </c>
      <c r="C429" s="113" t="inlineStr">
        <is>
          <t>reach</t>
        </is>
      </c>
      <c r="D429" s="113" t="inlineStr">
        <is>
          <t>25%</t>
        </is>
      </c>
      <c r="E429" s="113" t="n"/>
      <c r="F429" s="114" t="n">
        <v>2030</v>
      </c>
      <c r="G429" s="113" t="inlineStr">
        <is>
          <t>n</t>
        </is>
      </c>
      <c r="H429" s="113" t="inlineStr">
        <is>
          <t>Renewable energy</t>
        </is>
      </c>
      <c r="I429" s="113" t="inlineStr">
        <is>
          <t>whole economy</t>
        </is>
      </c>
      <c r="J429" s="113" t="inlineStr">
        <is>
          <t>By 2030, the share of non-fossil energy in total energy consumption will reach 25%.</t>
        </is>
      </c>
      <c r="K429" s="113" t="inlineStr">
        <is>
          <t>HL2601.pdf</t>
        </is>
      </c>
      <c r="L429" s="113" t="inlineStr">
        <is>
          <t>Energy/Power</t>
        </is>
      </c>
      <c r="M429" s="113" t="inlineStr">
        <is>
          <t>Energy consumption</t>
        </is>
      </c>
    </row>
    <row r="430" ht="18" customHeight="1" s="235">
      <c r="A430" s="113" t="n">
        <v>2012</v>
      </c>
      <c r="B430" s="113" t="inlineStr">
        <is>
          <t>proportion of non-fossil energy in primary energy consumption in new emerging industries</t>
        </is>
      </c>
      <c r="C430" s="113" t="inlineStr">
        <is>
          <t>increase to</t>
        </is>
      </c>
      <c r="D430" s="113" t="inlineStr">
        <is>
          <t>4.5%</t>
        </is>
      </c>
      <c r="E430" s="113" t="n"/>
      <c r="F430" s="114" t="inlineStr">
        <is>
          <t>2015</t>
        </is>
      </c>
      <c r="G430" s="113" t="inlineStr">
        <is>
          <t>n</t>
        </is>
      </c>
      <c r="H430" s="113" t="inlineStr">
        <is>
          <t>Renewable energy</t>
        </is>
      </c>
      <c r="I430" s="113" t="inlineStr">
        <is>
          <t>sectors</t>
        </is>
      </c>
      <c r="J430" s="113" t="inlineStr">
        <is>
          <t>By 2015, the proportion of new energy in total energy consumption will increase to 4.5%, reducing annual carbon dioxide emissions by more than 400 million tons.</t>
        </is>
      </c>
      <c r="K430" s="113" t="inlineStr">
        <is>
          <t>FYP1203.htm</t>
        </is>
      </c>
      <c r="L430" s="113" t="inlineStr">
        <is>
          <t>Energy/Power</t>
        </is>
      </c>
      <c r="M430" s="113" t="inlineStr">
        <is>
          <t>Energy consumption</t>
        </is>
      </c>
    </row>
    <row r="431" ht="18" customHeight="1" s="235">
      <c r="A431" s="113" t="n">
        <v>2012</v>
      </c>
      <c r="B431" s="113" t="inlineStr">
        <is>
          <t>proportion of non-fossil energy in primary energy consumption</t>
        </is>
      </c>
      <c r="C431" s="113" t="inlineStr">
        <is>
          <t>account for</t>
        </is>
      </c>
      <c r="D431" s="113" t="inlineStr">
        <is>
          <t>11.4%</t>
        </is>
      </c>
      <c r="E431" s="113" t="n"/>
      <c r="F431" s="114" t="inlineStr">
        <is>
          <t>12th FYP</t>
        </is>
      </c>
      <c r="G431" s="113" t="inlineStr">
        <is>
          <t>r</t>
        </is>
      </c>
      <c r="H431" s="113" t="inlineStr">
        <is>
          <t>Renewable energy</t>
        </is>
      </c>
      <c r="I431" s="113" t="inlineStr">
        <is>
          <t>whole economy</t>
        </is>
      </c>
      <c r="J431" s="113" t="inlineStr">
        <is>
          <t>The 12th Five-Year Plan has set the target for non-fossil fuels to account for 11.4% of primary energy consumption.</t>
        </is>
      </c>
      <c r="K431" s="113" t="inlineStr">
        <is>
          <t>HL1201.pdf</t>
        </is>
      </c>
      <c r="L431" s="113" t="inlineStr">
        <is>
          <t>Energy/Power</t>
        </is>
      </c>
      <c r="M431" s="113" t="inlineStr">
        <is>
          <t>Energy consumption</t>
        </is>
      </c>
    </row>
    <row r="432" ht="18" customHeight="1" s="235">
      <c r="A432" s="113" t="n">
        <v>2014</v>
      </c>
      <c r="B432" s="113" t="inlineStr">
        <is>
          <t>proportion of non-fossil energy in primary energy consumption</t>
        </is>
      </c>
      <c r="C432" s="113" t="inlineStr">
        <is>
          <t>increase to</t>
        </is>
      </c>
      <c r="D432" s="113" t="inlineStr">
        <is>
          <t>11.4%</t>
        </is>
      </c>
      <c r="E432" s="113" t="n"/>
      <c r="F432" s="114" t="inlineStr">
        <is>
          <t>2015</t>
        </is>
      </c>
      <c r="G432" s="113" t="inlineStr">
        <is>
          <t>r</t>
        </is>
      </c>
      <c r="H432" s="113" t="inlineStr">
        <is>
          <t>Renewable energy</t>
        </is>
      </c>
      <c r="I432" s="113" t="inlineStr">
        <is>
          <t>whole economy</t>
        </is>
      </c>
      <c r="J432" s="113" t="inlineStr">
        <is>
          <t>Vigorously develop non-fossil energy, and by 2015, the proportion of non-fossil energy in primary energy consumption will increase to 11.4%.</t>
        </is>
      </c>
      <c r="K432" s="113" t="inlineStr">
        <is>
          <t>AP1404.htm</t>
        </is>
      </c>
      <c r="L432" s="113" t="inlineStr">
        <is>
          <t>Energy/Power</t>
        </is>
      </c>
      <c r="M432" s="113" t="inlineStr">
        <is>
          <t>Energy consumption</t>
        </is>
      </c>
    </row>
    <row r="433" ht="18" customHeight="1" s="235">
      <c r="A433" s="113" t="n">
        <v>2026</v>
      </c>
      <c r="B433" s="113" t="inlineStr">
        <is>
          <t>non-fossil energy development and utilisation</t>
        </is>
      </c>
      <c r="C433" s="113" t="inlineStr">
        <is>
          <t>double</t>
        </is>
      </c>
      <c r="D433" s="113" t="n"/>
      <c r="E433" s="113" t="n">
        <v>2025</v>
      </c>
      <c r="F433" s="114" t="n">
        <v>2035</v>
      </c>
      <c r="G433" s="113" t="inlineStr">
        <is>
          <t>n</t>
        </is>
      </c>
      <c r="H433" s="113" t="inlineStr">
        <is>
          <t>Renewable energy</t>
        </is>
      </c>
      <c r="I433" s="113" t="inlineStr">
        <is>
          <t>sectors</t>
        </is>
      </c>
      <c r="J433" s="113" t="inlineStr">
        <is>
          <t>The plan will implement a ten-year doubling action for non-fossil energy.</t>
        </is>
      </c>
      <c r="K433" s="113" t="inlineStr">
        <is>
          <t>HL2601.pdf</t>
        </is>
      </c>
      <c r="L433" s="113" t="inlineStr">
        <is>
          <t>Energy/Power</t>
        </is>
      </c>
      <c r="M433" s="113" t="inlineStr">
        <is>
          <t>Energy consumption</t>
        </is>
      </c>
    </row>
    <row r="434" ht="18" customHeight="1" s="235">
      <c r="A434" s="113" t="n">
        <v>2023</v>
      </c>
      <c r="B434" s="113" t="inlineStr">
        <is>
          <t>proportion of non-fossil power generation capacity</t>
        </is>
      </c>
      <c r="C434" s="113" t="inlineStr">
        <is>
          <t>increase to</t>
        </is>
      </c>
      <c r="D434" s="113" t="inlineStr">
        <is>
          <t>51.9%</t>
        </is>
      </c>
      <c r="E434" s="113" t="n"/>
      <c r="F434" s="114" t="n">
        <v>2023</v>
      </c>
      <c r="G434" s="113" t="inlineStr">
        <is>
          <t>n</t>
        </is>
      </c>
      <c r="H434" s="113" t="inlineStr">
        <is>
          <t>Renewable energy</t>
        </is>
      </c>
      <c r="I434" s="113" t="inlineStr">
        <is>
          <t>whole economy</t>
        </is>
      </c>
      <c r="J434" s="113" t="inlineStr">
        <is>
          <t>The share of non-fossil power generation capacity will be raised to about 51.9%</t>
        </is>
      </c>
      <c r="K434" s="113" t="inlineStr">
        <is>
          <t>GO2308.htm</t>
        </is>
      </c>
      <c r="L434" s="113" t="inlineStr">
        <is>
          <t>Energy/Power</t>
        </is>
      </c>
      <c r="M434" s="113" t="inlineStr">
        <is>
          <t>Energy consumption</t>
        </is>
      </c>
    </row>
    <row r="435" ht="18" customHeight="1" s="235">
      <c r="A435" s="113" t="n">
        <v>2013</v>
      </c>
      <c r="B435" s="113" t="inlineStr">
        <is>
          <t>proportion of non-fossil energy in primary energy power generation</t>
        </is>
      </c>
      <c r="C435" s="113" t="inlineStr">
        <is>
          <t>account for</t>
        </is>
      </c>
      <c r="D435" s="113" t="inlineStr">
        <is>
          <t>30%</t>
        </is>
      </c>
      <c r="E435" s="113" t="n"/>
      <c r="F435" s="114" t="inlineStr">
        <is>
          <t>2015</t>
        </is>
      </c>
      <c r="G435" s="113" t="inlineStr">
        <is>
          <t>n</t>
        </is>
      </c>
      <c r="H435" s="113" t="inlineStr">
        <is>
          <t>Renewable energy</t>
        </is>
      </c>
      <c r="I435" s="113" t="inlineStr">
        <is>
          <t>whole economy</t>
        </is>
      </c>
      <c r="J435" s="113" t="inlineStr">
        <is>
          <t>Non-fossil energy will account for 30% of total power generation capacity by 2015.</t>
        </is>
      </c>
      <c r="K435" s="113" t="inlineStr">
        <is>
          <t>FYP1302.htm</t>
        </is>
      </c>
      <c r="L435" s="113" t="inlineStr">
        <is>
          <t>Energy/Power</t>
        </is>
      </c>
      <c r="M435" s="113" t="inlineStr">
        <is>
          <t>Energy consumption</t>
        </is>
      </c>
    </row>
    <row r="436" ht="18" customHeight="1" s="235">
      <c r="A436" s="113" t="n">
        <v>2024</v>
      </c>
      <c r="B436" s="113" t="inlineStr">
        <is>
          <t>proportion of non-fossil energy in primary energy power generation</t>
        </is>
      </c>
      <c r="C436" s="113" t="inlineStr">
        <is>
          <t>reach</t>
        </is>
      </c>
      <c r="D436" s="113" t="inlineStr">
        <is>
          <t>39%</t>
        </is>
      </c>
      <c r="E436" s="113" t="n"/>
      <c r="F436" s="114" t="inlineStr">
        <is>
          <t>2025</t>
        </is>
      </c>
      <c r="G436" s="113" t="inlineStr">
        <is>
          <t>s/l-POS</t>
        </is>
      </c>
      <c r="H436" s="113" t="inlineStr">
        <is>
          <t>Renewable energy</t>
        </is>
      </c>
      <c r="I436" s="113" t="inlineStr">
        <is>
          <t>whole economy</t>
        </is>
      </c>
      <c r="J436" s="113" t="inlineStr">
        <is>
          <t>By the end of 2025, the proportion of non-fossil energy power generation in the country will reach about 39%.</t>
        </is>
      </c>
      <c r="K436" s="113" t="inlineStr">
        <is>
          <t>AP2405.htm</t>
        </is>
      </c>
      <c r="L436" s="113" t="inlineStr">
        <is>
          <t>Energy/Power</t>
        </is>
      </c>
      <c r="M436" s="113" t="inlineStr">
        <is>
          <t>Energy consumption</t>
        </is>
      </c>
    </row>
    <row r="437" ht="18" customHeight="1" s="235">
      <c r="A437" s="113" t="n">
        <v>2007</v>
      </c>
      <c r="B437" s="113" t="inlineStr">
        <is>
          <t>proportion of non-fossil energy in primary energy power generation (including large-scale hydropower)</t>
        </is>
      </c>
      <c r="C437" s="113" t="inlineStr">
        <is>
          <t>increase by</t>
        </is>
      </c>
      <c r="D437" s="113" t="inlineStr">
        <is>
          <t>10%</t>
        </is>
      </c>
      <c r="E437" s="113" t="n">
        <v>2005</v>
      </c>
      <c r="F437" s="114" t="inlineStr">
        <is>
          <t>2010</t>
        </is>
      </c>
      <c r="G437" s="113" t="inlineStr">
        <is>
          <t>n</t>
        </is>
      </c>
      <c r="H437" s="113" t="inlineStr">
        <is>
          <t>Renewable energy</t>
        </is>
      </c>
      <c r="I437" s="113" t="inlineStr">
        <is>
          <t>whole economy</t>
        </is>
      </c>
      <c r="J437" s="113" t="inlineStr">
        <is>
          <t>The target is to raise the proportion of renewable energy (including large-scale hydropower) in primary energy supply up to 10% by 2010, and the extraction of coal bed methane up to 10 billion cubic meters.</t>
        </is>
      </c>
      <c r="K437" s="113" t="inlineStr">
        <is>
          <t>HL0701.pdf</t>
        </is>
      </c>
      <c r="L437" s="113" t="inlineStr">
        <is>
          <t>Energy/Power</t>
        </is>
      </c>
      <c r="M437" s="113" t="inlineStr">
        <is>
          <t>Energy consumption</t>
        </is>
      </c>
    </row>
    <row r="438" ht="18" customHeight="1" s="235">
      <c r="A438" s="113" t="n">
        <v>2021</v>
      </c>
      <c r="B438" s="113" t="inlineStr">
        <is>
          <t>proportion of non-fossil energy in incremental energy consumption</t>
        </is>
      </c>
      <c r="C438" s="113" t="inlineStr">
        <is>
          <t>account for</t>
        </is>
      </c>
      <c r="D438" s="115" t="inlineStr">
        <is>
          <t>50%</t>
        </is>
      </c>
      <c r="E438" s="113" t="n"/>
      <c r="F438" s="114" t="inlineStr">
        <is>
          <t>14th FYP</t>
        </is>
      </c>
      <c r="G438" s="113" t="inlineStr">
        <is>
          <t>n</t>
        </is>
      </c>
      <c r="H438" s="113" t="inlineStr">
        <is>
          <t>Renewable energy</t>
        </is>
      </c>
      <c r="I438" s="113" t="inlineStr">
        <is>
          <t>whole economy</t>
        </is>
      </c>
      <c r="J438" s="113" t="inlineStr">
        <is>
          <t>During the 14th Five-Year Plan period, renewable energy will account for more than 50% of the increase in primary energy consumption.</t>
        </is>
      </c>
      <c r="K438" s="113" t="inlineStr">
        <is>
          <t>FYP2106.pdf</t>
        </is>
      </c>
      <c r="L438" s="113" t="inlineStr">
        <is>
          <t>Energy/Power</t>
        </is>
      </c>
      <c r="M438" s="113" t="inlineStr">
        <is>
          <t>Energy consumption</t>
        </is>
      </c>
    </row>
    <row r="439" ht="18" customHeight="1" s="235">
      <c r="A439" s="113" t="n">
        <v>2021</v>
      </c>
      <c r="B439" s="113" t="inlineStr">
        <is>
          <t>proportion of non-fossil energy in incremental energy consumption</t>
        </is>
      </c>
      <c r="C439" s="113" t="inlineStr">
        <is>
          <t>reach</t>
        </is>
      </c>
      <c r="D439" s="113" t="inlineStr">
        <is>
          <t>over 50%</t>
        </is>
      </c>
      <c r="E439" s="113" t="n"/>
      <c r="F439" s="114" t="inlineStr">
        <is>
          <t>14th FYP</t>
        </is>
      </c>
      <c r="G439" s="113" t="inlineStr">
        <is>
          <t>r</t>
        </is>
      </c>
      <c r="H439" s="113" t="inlineStr">
        <is>
          <t>Renewable energy</t>
        </is>
      </c>
      <c r="I439" s="113" t="inlineStr">
        <is>
          <t>whole economy</t>
        </is>
      </c>
      <c r="J439" s="113" t="inlineStr">
        <is>
          <t>During the 14th Five-Year Plan period, renewable energy will account for over 50% of the incremental energy consumption.</t>
        </is>
      </c>
      <c r="K439" s="113" t="inlineStr">
        <is>
          <t>FYP2106.pdf</t>
        </is>
      </c>
      <c r="L439" s="113" t="inlineStr">
        <is>
          <t>Energy/Power</t>
        </is>
      </c>
      <c r="M439" s="113" t="inlineStr">
        <is>
          <t>Energy consumption</t>
        </is>
      </c>
    </row>
    <row r="440" ht="18" customHeight="1" s="235">
      <c r="A440" s="113" t="n">
        <v>2021</v>
      </c>
      <c r="B440" s="113" t="inlineStr">
        <is>
          <t>proportion of non-fossil energy in primary energy consumption</t>
        </is>
      </c>
      <c r="C440" s="113" t="inlineStr">
        <is>
          <t>reach</t>
        </is>
      </c>
      <c r="D440" s="113" t="inlineStr">
        <is>
          <t>more than 80%</t>
        </is>
      </c>
      <c r="E440" s="113" t="n"/>
      <c r="F440" s="114" t="inlineStr">
        <is>
          <t>2060</t>
        </is>
      </c>
      <c r="G440" s="113" t="inlineStr">
        <is>
          <t>r</t>
        </is>
      </c>
      <c r="H440" s="113" t="inlineStr">
        <is>
          <t>Renewable energy</t>
        </is>
      </c>
      <c r="I440" s="113" t="inlineStr">
        <is>
          <t>whole economy</t>
        </is>
      </c>
      <c r="J440" s="113" t="inlineStr">
        <is>
          <t>By 2060, the proportion of non-fossil energy consumption will reach more than 80%.</t>
        </is>
      </c>
      <c r="K440" s="113" t="inlineStr">
        <is>
          <t>HL2101.htm</t>
        </is>
      </c>
      <c r="L440" s="113" t="inlineStr">
        <is>
          <t>Energy/Power</t>
        </is>
      </c>
      <c r="M440" s="113" t="inlineStr">
        <is>
          <t>Power supply</t>
        </is>
      </c>
    </row>
    <row r="441" ht="18" customHeight="1" s="235">
      <c r="A441" s="113" t="n">
        <v>2013</v>
      </c>
      <c r="B441" s="113" t="inlineStr">
        <is>
          <t>installed capacity of non-fossil energy production</t>
        </is>
      </c>
      <c r="C441" s="113" t="inlineStr">
        <is>
          <t>increase to</t>
        </is>
      </c>
      <c r="D441" s="113" t="inlineStr">
        <is>
          <t>470 million tons of standard coal</t>
        </is>
      </c>
      <c r="E441" s="113" t="n"/>
      <c r="F441" s="114" t="inlineStr">
        <is>
          <t>2015</t>
        </is>
      </c>
      <c r="G441" s="113" t="inlineStr">
        <is>
          <t>n</t>
        </is>
      </c>
      <c r="H441" s="113" t="inlineStr">
        <is>
          <t>Renewable energy</t>
        </is>
      </c>
      <c r="I441" s="113" t="inlineStr">
        <is>
          <t>whole economy</t>
        </is>
      </c>
      <c r="J441" s="113" t="inlineStr">
        <is>
          <t>Non-fossil energy production capacity will increase to 470 million tons of standard coal equivalent by 2015.</t>
        </is>
      </c>
      <c r="K441" s="113" t="inlineStr">
        <is>
          <t>FYP1302.htm</t>
        </is>
      </c>
      <c r="L441" s="113" t="inlineStr">
        <is>
          <t>Energy/Power</t>
        </is>
      </c>
      <c r="M441" s="113" t="inlineStr">
        <is>
          <t>Power supply</t>
        </is>
      </c>
    </row>
    <row r="442" ht="18" customHeight="1" s="235">
      <c r="A442" s="113" t="n">
        <v>2024</v>
      </c>
      <c r="B442" s="113" t="inlineStr">
        <is>
          <t>proportion of non-hydropower renewable energy electricity consumption</t>
        </is>
      </c>
      <c r="C442" s="113" t="inlineStr">
        <is>
          <t>reach</t>
        </is>
      </c>
      <c r="D442" s="113" t="inlineStr">
        <is>
          <t>around 18%</t>
        </is>
      </c>
      <c r="E442" s="113" t="n"/>
      <c r="F442" s="114" t="inlineStr">
        <is>
          <t>2024</t>
        </is>
      </c>
      <c r="G442" s="113" t="inlineStr">
        <is>
          <t>n</t>
        </is>
      </c>
      <c r="H442" s="113" t="inlineStr">
        <is>
          <t>Renewable energy</t>
        </is>
      </c>
      <c r="I442" s="113" t="inlineStr">
        <is>
          <t>whole economy</t>
        </is>
      </c>
      <c r="J442" s="113" t="inlineStr">
        <is>
          <t>In 2024, the national non-hydropower renewable energy electricity consumption responsibility proportion will reach around 18%</t>
        </is>
      </c>
      <c r="K442" s="113" t="inlineStr">
        <is>
          <t>HL2401.pdf</t>
        </is>
      </c>
      <c r="L442" s="113" t="inlineStr">
        <is>
          <t>Energy/Power</t>
        </is>
      </c>
      <c r="M442" s="113" t="inlineStr">
        <is>
          <t>Power supply</t>
        </is>
      </c>
    </row>
    <row r="443" ht="18" customHeight="1" s="235">
      <c r="A443" s="113" t="n">
        <v>2013</v>
      </c>
      <c r="B443" s="113" t="inlineStr">
        <is>
          <t>shale gas production</t>
        </is>
      </c>
      <c r="C443" s="113" t="inlineStr">
        <is>
          <t>reach</t>
        </is>
      </c>
      <c r="D443" s="113" t="inlineStr">
        <is>
          <t>6.5 billion cubic meters</t>
        </is>
      </c>
      <c r="E443" s="113" t="n"/>
      <c r="F443" s="114" t="inlineStr">
        <is>
          <t>2015</t>
        </is>
      </c>
      <c r="G443" s="113" t="inlineStr">
        <is>
          <t>n</t>
        </is>
      </c>
      <c r="H443" s="113" t="inlineStr">
        <is>
          <t>Transitional energy</t>
        </is>
      </c>
      <c r="I443" s="113" t="inlineStr">
        <is>
          <t>sectors</t>
        </is>
      </c>
      <c r="J443" s="113" t="inlineStr">
        <is>
          <t>By 2015, commercial volumes of shale gas will reach 6.5 billion cubic meters.</t>
        </is>
      </c>
      <c r="K443" s="113" t="inlineStr">
        <is>
          <t>FYP1302.htm</t>
        </is>
      </c>
      <c r="L443" s="113" t="inlineStr">
        <is>
          <t>Energy/Power</t>
        </is>
      </c>
      <c r="M443" s="113" t="inlineStr">
        <is>
          <t>Energy consumption</t>
        </is>
      </c>
    </row>
    <row r="444" ht="18" customHeight="1" s="235">
      <c r="A444" s="113" t="n">
        <v>2012</v>
      </c>
      <c r="B444" s="113" t="inlineStr">
        <is>
          <t>shale gas production</t>
        </is>
      </c>
      <c r="C444" s="113" t="inlineStr">
        <is>
          <t>reach</t>
        </is>
      </c>
      <c r="D444" s="113" t="inlineStr">
        <is>
          <t>6.5 billion</t>
        </is>
      </c>
      <c r="E444" s="113" t="n"/>
      <c r="F444" s="114" t="inlineStr">
        <is>
          <t>2015</t>
        </is>
      </c>
      <c r="G444" s="113" t="inlineStr">
        <is>
          <t>r</t>
        </is>
      </c>
      <c r="H444" s="113" t="inlineStr">
        <is>
          <t>Transitional energy</t>
        </is>
      </c>
      <c r="I444" s="113" t="inlineStr">
        <is>
          <t>sectors</t>
        </is>
      </c>
      <c r="J444" s="113" t="inlineStr">
        <is>
          <t>The government has promoted the exploration of unconventional energy sources and formulated the Development Plan for Shale Gas (2011-2015), which defines the goal of completing a survey and evaluation of national shale gas resources by 2015 and sets a production target of 6.5 billion cu m.</t>
        </is>
      </c>
      <c r="K444" s="113" t="inlineStr">
        <is>
          <t>HL1202.pdf</t>
        </is>
      </c>
      <c r="L444" s="113" t="inlineStr">
        <is>
          <t>Energy/Power</t>
        </is>
      </c>
      <c r="M444" s="113" t="inlineStr">
        <is>
          <t>Power supply</t>
        </is>
      </c>
    </row>
    <row r="445" ht="18" customHeight="1" s="235">
      <c r="A445" s="113" t="n">
        <v>2012</v>
      </c>
      <c r="B445" s="113" t="inlineStr">
        <is>
          <t>shale gas production</t>
        </is>
      </c>
      <c r="C445" s="113" t="inlineStr">
        <is>
          <t>achieve</t>
        </is>
      </c>
      <c r="D445" s="113" t="inlineStr">
        <is>
          <t>6.5 billion cubic meters</t>
        </is>
      </c>
      <c r="E445" s="113" t="n"/>
      <c r="F445" s="114" t="inlineStr">
        <is>
          <t>2015</t>
        </is>
      </c>
      <c r="G445" s="113" t="inlineStr">
        <is>
          <t>r</t>
        </is>
      </c>
      <c r="H445" s="113" t="inlineStr">
        <is>
          <t>Transitional energy</t>
        </is>
      </c>
      <c r="I445" s="113" t="inlineStr">
        <is>
          <t>sectors</t>
        </is>
      </c>
      <c r="J445" s="113" t="inlineStr">
        <is>
          <t>We will accelerate the development of core technologies for shale gas exploration and development, establish a new mechanism for shale gas exploration and development, implement industry incentive policies, improve supporting infrastructure, and achieve the overall goal of achieving a national production of 6.5 billion cubic meters by 2015, laying a solid foundation for the rapid development of shale gas in the future.</t>
        </is>
      </c>
      <c r="K445" s="113" t="inlineStr">
        <is>
          <t>WP1201.htm</t>
        </is>
      </c>
      <c r="L445" s="113" t="inlineStr">
        <is>
          <t>Energy/Power</t>
        </is>
      </c>
      <c r="M445" s="113" t="inlineStr">
        <is>
          <t>Energy consumption</t>
        </is>
      </c>
    </row>
    <row r="446" ht="18" customHeight="1" s="235">
      <c r="A446" s="113" t="n">
        <v>2014</v>
      </c>
      <c r="B446" s="113" t="inlineStr">
        <is>
          <t>shale gas production</t>
        </is>
      </c>
      <c r="C446" s="113" t="inlineStr">
        <is>
          <t>exceed</t>
        </is>
      </c>
      <c r="D446" s="113" t="inlineStr">
        <is>
          <t>30 billion cubic meters</t>
        </is>
      </c>
      <c r="E446" s="113" t="n"/>
      <c r="F446" s="114" t="inlineStr">
        <is>
          <t>2020</t>
        </is>
      </c>
      <c r="G446" s="113" t="inlineStr">
        <is>
          <t>n</t>
        </is>
      </c>
      <c r="H446" s="113" t="inlineStr">
        <is>
          <t>Transitional energy</t>
        </is>
      </c>
      <c r="I446" s="113" t="inlineStr">
        <is>
          <t>sectors</t>
        </is>
      </c>
      <c r="J446" s="113" t="inlineStr">
        <is>
          <t>By 2020, shale gas production will strive to exceed 30 billion cubic meters.</t>
        </is>
      </c>
      <c r="K446" s="113" t="inlineStr">
        <is>
          <t>AP1401.htm</t>
        </is>
      </c>
      <c r="L446" s="113" t="inlineStr">
        <is>
          <t>Energy/Power</t>
        </is>
      </c>
      <c r="M446" s="113" t="inlineStr">
        <is>
          <t>Power supply</t>
        </is>
      </c>
    </row>
    <row r="447" ht="18" customHeight="1" s="235">
      <c r="A447" s="113" t="n">
        <v>2016</v>
      </c>
      <c r="B447" s="113" t="inlineStr">
        <is>
          <t>shale gas production</t>
        </is>
      </c>
      <c r="C447" s="113" t="inlineStr">
        <is>
          <t>reach</t>
        </is>
      </c>
      <c r="D447" s="113" t="inlineStr">
        <is>
          <t>80-100 billion cubic meters</t>
        </is>
      </c>
      <c r="E447" s="113" t="n"/>
      <c r="F447" s="114" t="inlineStr">
        <is>
          <t>2030</t>
        </is>
      </c>
      <c r="G447" s="113" t="inlineStr">
        <is>
          <t>n</t>
        </is>
      </c>
      <c r="H447" s="113" t="inlineStr">
        <is>
          <t>Transitional energy</t>
        </is>
      </c>
      <c r="I447" s="113" t="inlineStr">
        <is>
          <t>sectors</t>
        </is>
      </c>
      <c r="J447" s="113" t="inlineStr">
        <is>
          <t>Shale gas production will reach 80-100 billion cubic meters by 2030.</t>
        </is>
      </c>
      <c r="K447" s="113" t="inlineStr">
        <is>
          <t>FYP1614.htm</t>
        </is>
      </c>
      <c r="L447" s="113" t="inlineStr">
        <is>
          <t>Energy/Power</t>
        </is>
      </c>
      <c r="M447" s="113" t="inlineStr">
        <is>
          <t>Energy consumption</t>
        </is>
      </c>
    </row>
    <row r="448" ht="18" customHeight="1" s="235">
      <c r="A448" s="113" t="n">
        <v>2013</v>
      </c>
      <c r="B448" s="113" t="inlineStr">
        <is>
          <t>newly proven geological reserves of shale gas</t>
        </is>
      </c>
      <c r="C448" s="113" t="inlineStr">
        <is>
          <t>increase by</t>
        </is>
      </c>
      <c r="D448" s="113" t="inlineStr">
        <is>
          <t>600 billion cubic meters</t>
        </is>
      </c>
      <c r="E448" s="113" t="n">
        <v>2010</v>
      </c>
      <c r="F448" s="114" t="inlineStr">
        <is>
          <t>2015</t>
        </is>
      </c>
      <c r="G448" s="113" t="inlineStr">
        <is>
          <t>n</t>
        </is>
      </c>
      <c r="H448" s="113" t="inlineStr">
        <is>
          <t>Transitional energy</t>
        </is>
      </c>
      <c r="I448" s="113" t="inlineStr">
        <is>
          <t>sectors</t>
        </is>
      </c>
      <c r="J448" s="113" t="inlineStr">
        <is>
          <t>By 2015, proven geological reserves of shale gas will increase by 600 billion cubic meters.</t>
        </is>
      </c>
      <c r="K448" s="113" t="inlineStr">
        <is>
          <t>FYP1302.htm</t>
        </is>
      </c>
      <c r="L448" s="113" t="inlineStr">
        <is>
          <t>Energy/Power</t>
        </is>
      </c>
      <c r="M448" s="113" t="inlineStr">
        <is>
          <t>Coal power</t>
        </is>
      </c>
    </row>
    <row r="449" ht="18" customHeight="1" s="235">
      <c r="A449" s="113" t="n">
        <v>2016</v>
      </c>
      <c r="B449" s="113" t="inlineStr">
        <is>
          <t>cumulative proven geological reserves of shale gas</t>
        </is>
      </c>
      <c r="C449" s="113" t="inlineStr">
        <is>
          <t>exceed</t>
        </is>
      </c>
      <c r="D449" s="113" t="inlineStr">
        <is>
          <t>1.5 trillion cubic meters</t>
        </is>
      </c>
      <c r="E449" s="113" t="n"/>
      <c r="F449" s="114" t="inlineStr">
        <is>
          <t>2020</t>
        </is>
      </c>
      <c r="G449" s="113" t="inlineStr">
        <is>
          <t>n</t>
        </is>
      </c>
      <c r="H449" s="113" t="inlineStr">
        <is>
          <t>Transitional energy</t>
        </is>
      </c>
      <c r="I449" s="113" t="inlineStr">
        <is>
          <t>whole economy</t>
        </is>
      </c>
      <c r="J449" s="113" t="inlineStr">
        <is>
          <t>By 2020, the cumulative proven geological reserves of shale gas will exceed 1.5 trillion cubic meters.</t>
        </is>
      </c>
      <c r="K449" s="113" t="inlineStr">
        <is>
          <t>FYP1625.pdf</t>
        </is>
      </c>
      <c r="L449" s="113" t="inlineStr">
        <is>
          <t>Energy/Power</t>
        </is>
      </c>
      <c r="M449" s="113" t="inlineStr">
        <is>
          <t>Coal power</t>
        </is>
      </c>
    </row>
    <row r="450" ht="18" customHeight="1" s="235">
      <c r="A450" s="113" t="n">
        <v>2014</v>
      </c>
      <c r="B450" s="113" t="inlineStr">
        <is>
          <t>installed capacity of wind power generation</t>
        </is>
      </c>
      <c r="C450" s="113" t="inlineStr">
        <is>
          <t>reach</t>
        </is>
      </c>
      <c r="D450" s="113" t="inlineStr">
        <is>
          <t>200 million kilowatts</t>
        </is>
      </c>
      <c r="E450" s="113" t="n"/>
      <c r="F450" s="114" t="inlineStr">
        <is>
          <t>2020</t>
        </is>
      </c>
      <c r="G450" s="113" t="inlineStr">
        <is>
          <t>n</t>
        </is>
      </c>
      <c r="H450" s="113" t="inlineStr">
        <is>
          <t>Renewable energy</t>
        </is>
      </c>
      <c r="I450" s="113" t="inlineStr">
        <is>
          <t>whole economy</t>
        </is>
      </c>
      <c r="J450" s="113" t="inlineStr">
        <is>
          <t>By 2020, the installed capacity of wind power will reach 200 million kilowatts, and the on-grid electricity price of wind power will be comparable to that of coal-fired power.</t>
        </is>
      </c>
      <c r="K450" s="113" t="inlineStr">
        <is>
          <t>AP1401.htm</t>
        </is>
      </c>
      <c r="L450" s="113" t="inlineStr">
        <is>
          <t>Energy/Power</t>
        </is>
      </c>
      <c r="M450" s="113" t="inlineStr">
        <is>
          <t>Coal power</t>
        </is>
      </c>
    </row>
    <row r="451" ht="18" customHeight="1" s="235">
      <c r="A451" s="113" t="n">
        <v>2019</v>
      </c>
      <c r="B451" s="113" t="inlineStr">
        <is>
          <t>installed capacity of wind power generation</t>
        </is>
      </c>
      <c r="C451" s="113" t="inlineStr">
        <is>
          <t>increase to</t>
        </is>
      </c>
      <c r="D451" s="113" t="inlineStr">
        <is>
          <t>more than 210 gigawatts</t>
        </is>
      </c>
      <c r="E451" s="113" t="n"/>
      <c r="F451" s="114" t="inlineStr">
        <is>
          <t>2020</t>
        </is>
      </c>
      <c r="G451" s="113" t="inlineStr">
        <is>
          <t>r</t>
        </is>
      </c>
      <c r="H451" s="113" t="inlineStr">
        <is>
          <t>Renewable energy</t>
        </is>
      </c>
      <c r="I451" s="113" t="inlineStr">
        <is>
          <t>whole economy</t>
        </is>
      </c>
      <c r="J451" s="113" t="inlineStr">
        <is>
          <t>By 2020, increase installed capacity of wind power to more than 210 gigawatts</t>
        </is>
      </c>
      <c r="K451" s="113" t="inlineStr">
        <is>
          <t>HL1902.pdf</t>
        </is>
      </c>
      <c r="L451" s="113" t="inlineStr">
        <is>
          <t>Energy/Power</t>
        </is>
      </c>
      <c r="M451" s="113" t="inlineStr">
        <is>
          <t>Coal power</t>
        </is>
      </c>
    </row>
    <row r="452" ht="18" customHeight="1" s="235">
      <c r="A452" s="113" t="n">
        <v>2017</v>
      </c>
      <c r="B452" s="113" t="inlineStr">
        <is>
          <t>installed capacity of wind power generation</t>
        </is>
      </c>
      <c r="C452" s="113" t="inlineStr">
        <is>
          <t>reach</t>
        </is>
      </c>
      <c r="D452" s="113" t="inlineStr">
        <is>
          <t>200 million kilowatts</t>
        </is>
      </c>
      <c r="E452" s="113" t="n"/>
      <c r="F452" s="114" t="inlineStr">
        <is>
          <t>2020</t>
        </is>
      </c>
      <c r="G452" s="113" t="inlineStr">
        <is>
          <t>r</t>
        </is>
      </c>
      <c r="H452" s="113" t="inlineStr">
        <is>
          <t>Renewable energy</t>
        </is>
      </c>
      <c r="I452" s="113" t="inlineStr">
        <is>
          <t>whole economy</t>
        </is>
      </c>
      <c r="J452" s="113" t="inlineStr">
        <is>
          <t>By 2020, wind power installed capacity will reach 200 million kilowatts, and wind power will account for 3.2% of total power generation in 2015.</t>
        </is>
      </c>
      <c r="K452" s="113" t="inlineStr">
        <is>
          <t>HL1701.pdf</t>
        </is>
      </c>
      <c r="L452" s="113" t="inlineStr">
        <is>
          <t>Energy/Power</t>
        </is>
      </c>
      <c r="M452" s="113" t="inlineStr">
        <is>
          <t>Coal power</t>
        </is>
      </c>
    </row>
    <row r="453" ht="18" customHeight="1" s="235">
      <c r="A453" s="113" t="n">
        <v>2013</v>
      </c>
      <c r="B453" s="113" t="inlineStr">
        <is>
          <t>installed capacity of wind power generation</t>
        </is>
      </c>
      <c r="C453" s="113" t="inlineStr">
        <is>
          <t>reach</t>
        </is>
      </c>
      <c r="D453" s="113" t="inlineStr">
        <is>
          <t>79 million kilowatts</t>
        </is>
      </c>
      <c r="E453" s="113" t="n"/>
      <c r="F453" s="114" t="inlineStr">
        <is>
          <t>2015</t>
        </is>
      </c>
      <c r="G453" s="113" t="inlineStr">
        <is>
          <t>r</t>
        </is>
      </c>
      <c r="H453" s="113" t="inlineStr">
        <is>
          <t>Renewable energy</t>
        </is>
      </c>
      <c r="I453" s="113" t="inlineStr">
        <is>
          <t>whole economy</t>
        </is>
      </c>
      <c r="J453" s="113" t="inlineStr">
        <is>
          <t>By 2015, the scale of large-scale wind power bases will reach 79 million kilowatts.</t>
        </is>
      </c>
      <c r="K453" s="113" t="inlineStr">
        <is>
          <t>FYP1302.htm</t>
        </is>
      </c>
      <c r="L453" s="113" t="inlineStr">
        <is>
          <t>Energy/Power</t>
        </is>
      </c>
      <c r="M453" s="113" t="inlineStr">
        <is>
          <t>Coal power</t>
        </is>
      </c>
    </row>
    <row r="454" ht="18" customHeight="1" s="235">
      <c r="A454" s="113" t="n">
        <v>2016</v>
      </c>
      <c r="B454" s="113" t="inlineStr">
        <is>
          <t>installed capacity of wind power generation</t>
        </is>
      </c>
      <c r="C454" s="113" t="inlineStr">
        <is>
          <t>reach</t>
        </is>
      </c>
      <c r="D454" s="113" t="inlineStr">
        <is>
          <t>210 million kilowatts</t>
        </is>
      </c>
      <c r="E454" s="113" t="n"/>
      <c r="F454" s="114" t="inlineStr">
        <is>
          <t>2020</t>
        </is>
      </c>
      <c r="G454" s="113" t="inlineStr">
        <is>
          <t>s/l-POS</t>
        </is>
      </c>
      <c r="H454" s="113" t="inlineStr">
        <is>
          <t>Renewable energy</t>
        </is>
      </c>
      <c r="I454" s="113" t="inlineStr">
        <is>
          <t>whole economy</t>
        </is>
      </c>
      <c r="J454" s="113" t="inlineStr">
        <is>
          <t>By 2020, the installed capacity of wind power will reach more than 210 million kilowatts, the on-grid electricity price of wind power will be basically the same as that of coal-fired power, and the technological innovation capability of wind power equipment will reach the international advanced level.</t>
        </is>
      </c>
      <c r="K454" s="113" t="inlineStr">
        <is>
          <t>FYP1613.htm</t>
        </is>
      </c>
      <c r="L454" s="113" t="inlineStr">
        <is>
          <t>Energy/Power</t>
        </is>
      </c>
      <c r="M454" s="113" t="inlineStr">
        <is>
          <t>Coal power</t>
        </is>
      </c>
    </row>
    <row r="455" ht="18" customHeight="1" s="235">
      <c r="A455" s="113" t="n">
        <v>2021</v>
      </c>
      <c r="B455" s="113" t="inlineStr">
        <is>
          <t>installed capacity of wind and solar power generation</t>
        </is>
      </c>
      <c r="C455" s="113" t="inlineStr">
        <is>
          <t>bring to</t>
        </is>
      </c>
      <c r="D455" s="113" t="inlineStr">
        <is>
          <t>over 1.2 billion kilowatts</t>
        </is>
      </c>
      <c r="E455" s="113" t="n"/>
      <c r="F455" s="114" t="inlineStr">
        <is>
          <t>2030</t>
        </is>
      </c>
      <c r="G455" s="113" t="inlineStr">
        <is>
          <t>r</t>
        </is>
      </c>
      <c r="H455" s="113" t="inlineStr">
        <is>
          <t>Renewable energy</t>
        </is>
      </c>
      <c r="I455" s="113" t="inlineStr">
        <is>
          <t>whole economy</t>
        </is>
      </c>
      <c r="J455" s="113" t="inlineStr">
        <is>
          <t>China aims to bring its total installed capacity of wind and solar power to over 1.2 billion kW by 2030.</t>
        </is>
      </c>
      <c r="K455" s="113" t="inlineStr">
        <is>
          <t>HL2107.htm</t>
        </is>
      </c>
      <c r="L455" s="113" t="inlineStr">
        <is>
          <t>Energy/Power</t>
        </is>
      </c>
      <c r="M455" s="113" t="inlineStr">
        <is>
          <t>Power supply</t>
        </is>
      </c>
    </row>
    <row r="456" ht="18" customHeight="1" s="235">
      <c r="A456" s="113" t="n">
        <v>2021</v>
      </c>
      <c r="B456" s="113" t="inlineStr">
        <is>
          <t>installed capacity of wind and solar power generation</t>
        </is>
      </c>
      <c r="C456" s="113" t="inlineStr">
        <is>
          <t>exceed</t>
        </is>
      </c>
      <c r="D456" s="113" t="inlineStr">
        <is>
          <t>1.2 billion kilowatts</t>
        </is>
      </c>
      <c r="E456" s="113" t="n"/>
      <c r="F456" s="114" t="inlineStr">
        <is>
          <t>2030</t>
        </is>
      </c>
      <c r="G456" s="113" t="inlineStr">
        <is>
          <t>r</t>
        </is>
      </c>
      <c r="H456" s="113" t="inlineStr">
        <is>
          <t>Renewable energy</t>
        </is>
      </c>
      <c r="I456" s="113" t="inlineStr">
        <is>
          <t>whole economy</t>
        </is>
      </c>
      <c r="J456" s="113" t="inlineStr">
        <is>
          <t>By 2030, the total installed capacity of wind and solar power generation will exceed 1.2 billion kilowatts.</t>
        </is>
      </c>
      <c r="K456" s="113" t="inlineStr">
        <is>
          <t>HL2101.htm</t>
        </is>
      </c>
      <c r="L456" s="113" t="inlineStr">
        <is>
          <t>Energy/Power</t>
        </is>
      </c>
      <c r="M456" s="113" t="inlineStr">
        <is>
          <t>Energy consumption</t>
        </is>
      </c>
    </row>
    <row r="457" ht="18" customHeight="1" s="235">
      <c r="A457" s="113" t="n">
        <v>2023</v>
      </c>
      <c r="B457" s="113" t="inlineStr">
        <is>
          <t>proportion of wind and solar power generation of total electricity consumption</t>
        </is>
      </c>
      <c r="C457" s="113" t="inlineStr">
        <is>
          <t>increase to</t>
        </is>
      </c>
      <c r="D457" s="113" t="inlineStr">
        <is>
          <t>15.3%</t>
        </is>
      </c>
      <c r="E457" s="113" t="n"/>
      <c r="F457" s="114" t="n">
        <v>2023</v>
      </c>
      <c r="G457" s="113" t="inlineStr">
        <is>
          <t>n</t>
        </is>
      </c>
      <c r="H457" s="113" t="inlineStr">
        <is>
          <t>Renewable energy</t>
        </is>
      </c>
      <c r="I457" s="113" t="inlineStr">
        <is>
          <t>whole economy</t>
        </is>
      </c>
      <c r="J457" s="113" t="inlineStr">
        <is>
          <t>Wind and solar power generation will account for 15.3% of total electricity consumption</t>
        </is>
      </c>
      <c r="K457" s="113" t="inlineStr">
        <is>
          <t>GO2308.htm</t>
        </is>
      </c>
      <c r="L457" s="113" t="inlineStr">
        <is>
          <t>Energy/Power</t>
        </is>
      </c>
      <c r="M457" s="113" t="inlineStr">
        <is>
          <t>Power transmission/Energy transportation</t>
        </is>
      </c>
    </row>
    <row r="458" ht="18" customHeight="1" s="235">
      <c r="A458" s="113" t="n">
        <v>2021</v>
      </c>
      <c r="B458" s="113" t="inlineStr">
        <is>
          <t>installed capacity of wind and solar power generation</t>
        </is>
      </c>
      <c r="C458" s="113" t="inlineStr">
        <is>
          <t>reach</t>
        </is>
      </c>
      <c r="D458" s="113" t="inlineStr">
        <is>
          <t>1200 gigawatts</t>
        </is>
      </c>
      <c r="E458" s="113" t="n"/>
      <c r="F458" s="114" t="inlineStr">
        <is>
          <t>2030</t>
        </is>
      </c>
      <c r="G458" s="113" t="inlineStr">
        <is>
          <t>n</t>
        </is>
      </c>
      <c r="H458" s="113" t="inlineStr">
        <is>
          <t>Renewable energy</t>
        </is>
      </c>
      <c r="I458" s="113" t="inlineStr">
        <is>
          <t>whole economy</t>
        </is>
      </c>
      <c r="J458" s="113" t="inlineStr">
        <is>
          <t>By 2030, total installed generation capacity of wind and solar power will reach above 1200 gigawatts.</t>
        </is>
      </c>
      <c r="K458" s="113" t="inlineStr">
        <is>
          <t>HL2102.pdf</t>
        </is>
      </c>
      <c r="L458" s="113" t="inlineStr">
        <is>
          <t>Energy/Power</t>
        </is>
      </c>
      <c r="M458" s="113" t="inlineStr">
        <is>
          <t>Power supply</t>
        </is>
      </c>
    </row>
    <row r="459" ht="18" customHeight="1" s="235">
      <c r="A459" s="113" t="n">
        <v>2023</v>
      </c>
      <c r="B459" s="113" t="inlineStr">
        <is>
          <t>installed capacity of wind and solar power generation</t>
        </is>
      </c>
      <c r="C459" s="113" t="inlineStr">
        <is>
          <t>increase to</t>
        </is>
      </c>
      <c r="D459" s="113" t="inlineStr">
        <is>
          <t>over 1.2 billion kilowatts</t>
        </is>
      </c>
      <c r="E459" s="113" t="n"/>
      <c r="F459" s="114" t="inlineStr">
        <is>
          <t>2030</t>
        </is>
      </c>
      <c r="G459" s="113" t="inlineStr">
        <is>
          <t>r</t>
        </is>
      </c>
      <c r="H459" s="113" t="inlineStr">
        <is>
          <t>Renewable energy</t>
        </is>
      </c>
      <c r="I459" s="113" t="inlineStr">
        <is>
          <t>whole economy</t>
        </is>
      </c>
      <c r="J459" s="113" t="inlineStr">
        <is>
          <t>By 2030, the country’s total installed capacity of wind and solar power will increase to over 1.2 billion kW.</t>
        </is>
      </c>
      <c r="K459" s="113" t="inlineStr">
        <is>
          <t>HL2302.pdf</t>
        </is>
      </c>
      <c r="L459" s="113" t="inlineStr">
        <is>
          <t>Energy/Power</t>
        </is>
      </c>
      <c r="M459" s="113" t="inlineStr">
        <is>
          <t>Coal power</t>
        </is>
      </c>
    </row>
    <row r="460" ht="18" customHeight="1" s="235">
      <c r="A460" s="113" t="n">
        <v>2025</v>
      </c>
      <c r="B460" s="113" t="inlineStr">
        <is>
          <t>installed capacity of wind and solar power generation</t>
        </is>
      </c>
      <c r="C460" s="113" t="inlineStr">
        <is>
          <t>reach</t>
        </is>
      </c>
      <c r="D460" s="113" t="inlineStr">
        <is>
          <t>3600 gigawatts</t>
        </is>
      </c>
      <c r="E460" s="113" t="n"/>
      <c r="F460" s="114" t="n">
        <v>2035</v>
      </c>
      <c r="G460" s="113" t="inlineStr">
        <is>
          <t>n</t>
        </is>
      </c>
      <c r="H460" s="113" t="inlineStr">
        <is>
          <t>Renewable energy</t>
        </is>
      </c>
      <c r="I460" s="113" t="inlineStr">
        <is>
          <t>whole economy</t>
        </is>
      </c>
      <c r="J460" s="113" t="inlineStr">
        <is>
          <t>China will, by 2035, expand the installed capacity of wind and solar power to over six times the 2020 levels, striving to bring the total to 3,600 gigawatts</t>
        </is>
      </c>
      <c r="K460" s="113" t="inlineStr">
        <is>
          <t>PA2501.htm</t>
        </is>
      </c>
      <c r="L460" s="113" t="inlineStr">
        <is>
          <t>Energy/Power</t>
        </is>
      </c>
      <c r="M460" s="113" t="inlineStr">
        <is>
          <t>Coal power</t>
        </is>
      </c>
    </row>
    <row r="461" ht="18" customHeight="1" s="235">
      <c r="A461" s="113" t="n">
        <v>2021</v>
      </c>
      <c r="B461" s="113" t="inlineStr">
        <is>
          <t>installed capacity of wind and solar power generation</t>
        </is>
      </c>
      <c r="C461" s="113" t="inlineStr">
        <is>
          <t>aim at</t>
        </is>
      </c>
      <c r="D461" s="113" t="inlineStr">
        <is>
          <t>1.2 billion kilowatts</t>
        </is>
      </c>
      <c r="E461" s="113" t="n"/>
      <c r="F461" s="114" t="inlineStr">
        <is>
          <t>2030</t>
        </is>
      </c>
      <c r="G461" s="113" t="inlineStr">
        <is>
          <t>r</t>
        </is>
      </c>
      <c r="H461" s="113" t="inlineStr">
        <is>
          <t>Renewable energy</t>
        </is>
      </c>
      <c r="I461" s="113" t="inlineStr">
        <is>
          <t>whole economy</t>
        </is>
      </c>
      <c r="J461" s="113" t="inlineStr">
        <is>
          <t>China’s updated NDC goals are as follows: aims to bring its total installed capacity of wind and solar power to over 1.2 billion kilowatts by 2030.</t>
        </is>
      </c>
      <c r="K461" s="113" t="inlineStr">
        <is>
          <t>HL2105.pdf</t>
        </is>
      </c>
      <c r="L461" s="113" t="inlineStr">
        <is>
          <t>Energy/Power</t>
        </is>
      </c>
      <c r="M461" s="113" t="inlineStr">
        <is>
          <t>Coal power</t>
        </is>
      </c>
    </row>
    <row r="462" ht="18" customHeight="1" s="235">
      <c r="A462" s="113" t="n">
        <v>2024</v>
      </c>
      <c r="B462" s="113" t="inlineStr">
        <is>
          <t>installed capacity of wind and solar power generation</t>
        </is>
      </c>
      <c r="C462" s="113" t="inlineStr">
        <is>
          <t>reach</t>
        </is>
      </c>
      <c r="D462" s="113" t="inlineStr">
        <is>
          <t>1.2 billion kilowatts</t>
        </is>
      </c>
      <c r="E462" s="113" t="n"/>
      <c r="F462" s="114" t="inlineStr">
        <is>
          <t>2030</t>
        </is>
      </c>
      <c r="G462" s="113" t="inlineStr">
        <is>
          <t>r</t>
        </is>
      </c>
      <c r="H462" s="113" t="inlineStr">
        <is>
          <t>Renewable energy</t>
        </is>
      </c>
      <c r="I462" s="113" t="inlineStr">
        <is>
          <t>whole economy</t>
        </is>
      </c>
      <c r="J462" s="113" t="inlineStr">
        <is>
          <t>The target “to bring its total installed capacity of wind and solar power to over 1.2 billion kilowatts” refers to achieving a total installed capacity of at least 1,200 gigawatts for wind and solar power installations by 2030.</t>
        </is>
      </c>
      <c r="K462" s="113" t="inlineStr">
        <is>
          <t>HL2401.pdf</t>
        </is>
      </c>
      <c r="L462" s="113" t="inlineStr">
        <is>
          <t>Energy/Power</t>
        </is>
      </c>
      <c r="M462" s="113" t="inlineStr">
        <is>
          <t>Coal power</t>
        </is>
      </c>
    </row>
    <row r="463" ht="18" customHeight="1" s="235">
      <c r="A463" s="113" t="n">
        <v>2016</v>
      </c>
      <c r="B463" s="113" t="inlineStr">
        <is>
          <t>installed capacity of wind and solar power generation</t>
        </is>
      </c>
      <c r="C463" s="113" t="inlineStr">
        <is>
          <t>reach</t>
        </is>
      </c>
      <c r="D463" s="113" t="inlineStr">
        <is>
          <t>more than 1.2 billion kilowatts</t>
        </is>
      </c>
      <c r="E463" s="113" t="n"/>
      <c r="F463" s="114" t="inlineStr">
        <is>
          <t>2030</t>
        </is>
      </c>
      <c r="G463" s="113" t="inlineStr">
        <is>
          <t>r</t>
        </is>
      </c>
      <c r="H463" s="113" t="inlineStr">
        <is>
          <t>Renewable energy</t>
        </is>
      </c>
      <c r="I463" s="113" t="inlineStr">
        <is>
          <t>whole economy</t>
        </is>
      </c>
      <c r="J463" s="113" t="inlineStr">
        <is>
          <t>By 2030, the total installed capacity of wind power and solar power generation will reach more than 1.2 billion kilowatts.</t>
        </is>
      </c>
      <c r="K463" s="113" t="inlineStr">
        <is>
          <t>HL1601.pdf</t>
        </is>
      </c>
      <c r="L463" s="113" t="inlineStr">
        <is>
          <t>Energy/Power</t>
        </is>
      </c>
      <c r="M463" s="113" t="inlineStr">
        <is>
          <t>Coal power</t>
        </is>
      </c>
    </row>
    <row r="464" ht="18" customHeight="1" s="235">
      <c r="A464" s="113" t="n">
        <v>2021</v>
      </c>
      <c r="B464" s="113" t="inlineStr">
        <is>
          <t>installed capacity of wind and solar power generation</t>
        </is>
      </c>
      <c r="C464" s="113" t="inlineStr">
        <is>
          <t>reach</t>
        </is>
      </c>
      <c r="D464" s="113" t="inlineStr">
        <is>
          <t>over 1.2 billion kilowatts</t>
        </is>
      </c>
      <c r="E464" s="113" t="n"/>
      <c r="F464" s="114" t="inlineStr">
        <is>
          <t>2030</t>
        </is>
      </c>
      <c r="G464" s="113" t="inlineStr">
        <is>
          <t>r</t>
        </is>
      </c>
      <c r="H464" s="113" t="inlineStr">
        <is>
          <t>Renewable energy</t>
        </is>
      </c>
      <c r="I464" s="113" t="inlineStr">
        <is>
          <t>whole economy</t>
        </is>
      </c>
      <c r="J464" s="113" t="inlineStr">
        <is>
          <t>By 2030, the proportion of non-fossil energy in energy consumption reaches to about 25%, and total installed wind and solar power capacity reached over 1.2 billion kilowatts.</t>
        </is>
      </c>
      <c r="K464" s="113" t="inlineStr">
        <is>
          <t>HL2104.pdf</t>
        </is>
      </c>
      <c r="L464" s="113" t="inlineStr">
        <is>
          <t>Energy/Power</t>
        </is>
      </c>
      <c r="M464" s="113" t="inlineStr">
        <is>
          <t>Coal power</t>
        </is>
      </c>
    </row>
    <row r="465" ht="18" customHeight="1" s="235">
      <c r="A465" s="113" t="n">
        <v>2022</v>
      </c>
      <c r="B465" s="113" t="inlineStr">
        <is>
          <t>installed capacity of wind and solar power generation</t>
        </is>
      </c>
      <c r="C465" s="113" t="inlineStr">
        <is>
          <t>achieve</t>
        </is>
      </c>
      <c r="D465" s="113" t="inlineStr">
        <is>
          <t>1.2 billion kilowatts</t>
        </is>
      </c>
      <c r="E465" s="113" t="n"/>
      <c r="F465" s="114" t="inlineStr">
        <is>
          <t>2030</t>
        </is>
      </c>
      <c r="G465" s="113" t="inlineStr">
        <is>
          <t>r</t>
        </is>
      </c>
      <c r="H465" s="113" t="inlineStr">
        <is>
          <t>Renewable energy</t>
        </is>
      </c>
      <c r="I465" s="113" t="inlineStr">
        <is>
          <t>whole economy</t>
        </is>
      </c>
      <c r="J465" s="113" t="inlineStr">
        <is>
          <t>To achieve the goal of reaching a total installed capacity of more than 1.2 billion kilowatts of wind power and solar power generation by 2030</t>
        </is>
      </c>
      <c r="K465" s="113" t="inlineStr">
        <is>
          <t>IP2208.htm</t>
        </is>
      </c>
      <c r="L465" s="113" t="inlineStr">
        <is>
          <t>Energy/Power</t>
        </is>
      </c>
      <c r="M465" s="113" t="inlineStr">
        <is>
          <t>Coal power</t>
        </is>
      </c>
    </row>
    <row r="466" ht="18" customHeight="1" s="235">
      <c r="A466" s="113" t="n">
        <v>2016</v>
      </c>
      <c r="B466" s="113" t="inlineStr">
        <is>
          <t>installed capacity of wind power generation</t>
        </is>
      </c>
      <c r="C466" s="113" t="inlineStr">
        <is>
          <t>put into operation</t>
        </is>
      </c>
      <c r="D466" s="113" t="inlineStr">
        <is>
          <t>79 million kilowatts</t>
        </is>
      </c>
      <c r="E466" s="113" t="n"/>
      <c r="F466" s="114" t="inlineStr">
        <is>
          <t>13th FYP</t>
        </is>
      </c>
      <c r="G466" s="113" t="inlineStr">
        <is>
          <t>n</t>
        </is>
      </c>
      <c r="H466" s="113" t="inlineStr">
        <is>
          <t>Renewable energy</t>
        </is>
      </c>
      <c r="I466" s="113" t="inlineStr">
        <is>
          <t>whole economy</t>
        </is>
      </c>
      <c r="J466" s="113" t="inlineStr">
        <is>
          <t>During the 13th Five-Year Plan period, more than 79 million kilowatts of wind power will be put into operation.</t>
        </is>
      </c>
      <c r="K466" s="113" t="inlineStr">
        <is>
          <t>FYP1607.pdf</t>
        </is>
      </c>
      <c r="L466" s="113" t="inlineStr">
        <is>
          <t>Energy/Power</t>
        </is>
      </c>
      <c r="M466" s="113" t="inlineStr">
        <is>
          <t>Coal power</t>
        </is>
      </c>
    </row>
    <row r="467" ht="18" customHeight="1" s="235">
      <c r="A467" s="0" t="n">
        <v>2012</v>
      </c>
      <c r="B467" s="0" t="inlineStr">
        <is>
          <t>installed capacity of wind power generation</t>
        </is>
      </c>
      <c r="C467" s="0" t="inlineStr">
        <is>
          <t>exceed</t>
        </is>
      </c>
      <c r="D467" s="0" t="inlineStr">
        <is>
          <t>100 million kilowatts</t>
        </is>
      </c>
      <c r="F467" s="0" t="inlineStr">
        <is>
          <t>2015</t>
        </is>
      </c>
      <c r="G467" s="0" t="inlineStr">
        <is>
          <t>r</t>
        </is>
      </c>
      <c r="H467" s="0" t="inlineStr">
        <is>
          <t>Renewable energy</t>
        </is>
      </c>
      <c r="I467" s="0" t="inlineStr">
        <is>
          <t>whole economy</t>
        </is>
      </c>
      <c r="J467" s="0" t="inlineStr">
        <is>
          <t>By 2015, China's wind power installed capacity will exceed 100 million kilowatts, of which offshore wind power installed capacity will reach 5 million kilowatts.</t>
        </is>
      </c>
      <c r="K467" s="0" t="inlineStr">
        <is>
          <t>WP1201.htm</t>
        </is>
      </c>
      <c r="L467" s="0" t="inlineStr">
        <is>
          <t>Energy/Power</t>
        </is>
      </c>
      <c r="M467" s="0" t="inlineStr">
        <is>
          <t>Coal power</t>
        </is>
      </c>
    </row>
    <row r="468" ht="18" customHeight="1" s="235">
      <c r="A468" s="113" t="n">
        <v>2013</v>
      </c>
      <c r="B468" s="113" t="inlineStr">
        <is>
          <t>installed capacity of wind power generation</t>
        </is>
      </c>
      <c r="C468" s="113" t="inlineStr">
        <is>
          <t>increase to</t>
        </is>
      </c>
      <c r="D468" s="113" t="inlineStr">
        <is>
          <t>100 million kilowatts</t>
        </is>
      </c>
      <c r="E468" s="113" t="n"/>
      <c r="F468" s="114" t="inlineStr">
        <is>
          <t>2015</t>
        </is>
      </c>
      <c r="G468" s="113" t="inlineStr">
        <is>
          <t>n</t>
        </is>
      </c>
      <c r="H468" s="113" t="inlineStr">
        <is>
          <t>Renewable energy</t>
        </is>
      </c>
      <c r="I468" s="113" t="inlineStr">
        <is>
          <t>whole economy</t>
        </is>
      </c>
      <c r="J468" s="113" t="inlineStr">
        <is>
          <t>Installed wind power capacity will grow to 100 million kW by 2015.</t>
        </is>
      </c>
      <c r="K468" s="113" t="inlineStr">
        <is>
          <t>FYP1302.htm</t>
        </is>
      </c>
      <c r="L468" s="113" t="inlineStr">
        <is>
          <t>Energy/Power</t>
        </is>
      </c>
      <c r="M468" s="113" t="inlineStr">
        <is>
          <t>Power supply</t>
        </is>
      </c>
    </row>
    <row r="469" ht="18" customHeight="1" s="235">
      <c r="A469" s="113" t="n">
        <v>2016</v>
      </c>
      <c r="B469" s="113" t="inlineStr">
        <is>
          <t>proportion of high-efficiency distribution transformers in grid operation</t>
        </is>
      </c>
      <c r="C469" s="113" t="inlineStr">
        <is>
          <t>increase by</t>
        </is>
      </c>
      <c r="D469" s="113" t="inlineStr">
        <is>
          <t>20%</t>
        </is>
      </c>
      <c r="E469" s="113" t="n">
        <v>2016</v>
      </c>
      <c r="F469" s="114" t="inlineStr">
        <is>
          <t>2020</t>
        </is>
      </c>
      <c r="G469" s="113" t="inlineStr">
        <is>
          <t>n</t>
        </is>
      </c>
      <c r="H469" s="113" t="inlineStr">
        <is>
          <t>Energy efficiency</t>
        </is>
      </c>
      <c r="I469" s="113" t="inlineStr">
        <is>
          <t>unclear</t>
        </is>
      </c>
      <c r="J469" s="113" t="inlineStr">
        <is>
          <t>By 2020, the proportion of high-efficiency distribution transformers in grid operation will be increased by 20%.</t>
        </is>
      </c>
      <c r="K469" s="113" t="inlineStr">
        <is>
          <t>DP1601.htm</t>
        </is>
      </c>
      <c r="L469" s="113" t="inlineStr">
        <is>
          <t>Energy/Power</t>
        </is>
      </c>
      <c r="M469" s="113" t="inlineStr">
        <is>
          <t>Energy consumption</t>
        </is>
      </c>
    </row>
    <row r="470" ht="18" customHeight="1" s="235">
      <c r="A470" s="113" t="n">
        <v>2026</v>
      </c>
      <c r="B470" s="113" t="inlineStr">
        <is>
          <t>comprehensive energy production capacity</t>
        </is>
      </c>
      <c r="C470" s="113" t="inlineStr">
        <is>
          <t>reach</t>
        </is>
      </c>
      <c r="D470" s="113" t="inlineStr">
        <is>
          <t>5.8 billion tons of standard coal</t>
        </is>
      </c>
      <c r="E470" s="113" t="n"/>
      <c r="F470" s="114" t="n">
        <v>2030</v>
      </c>
      <c r="G470" s="113" t="inlineStr">
        <is>
          <t>n</t>
        </is>
      </c>
      <c r="H470" s="113" t="inlineStr">
        <is>
          <t>Production-oriented</t>
        </is>
      </c>
      <c r="I470" s="113" t="inlineStr">
        <is>
          <t>whole economy</t>
        </is>
      </c>
      <c r="J470" s="113" t="inlineStr">
        <is>
          <t>Comprehensive energy production capacity will reach 5.8 billion tons of standard coal, the complementary and mutually supporting capacity and safety resilience of the power system will be comprehensively improved, and energy imports will become more diversified and controllable;</t>
        </is>
      </c>
      <c r="K470" s="113" t="inlineStr">
        <is>
          <t>FYP2602.htm</t>
        </is>
      </c>
      <c r="L470" s="113" t="inlineStr">
        <is>
          <t>Energy|Power</t>
        </is>
      </c>
      <c r="M470" s="113" t="inlineStr">
        <is>
          <t>Energy consumption</t>
        </is>
      </c>
    </row>
    <row r="471" ht="18" customHeight="1" s="235">
      <c r="A471" s="0" t="n">
        <v>2026</v>
      </c>
      <c r="B471" s="0" t="inlineStr">
        <is>
          <t>share of non-fossil energy consumption</t>
        </is>
      </c>
      <c r="C471" s="0" t="inlineStr">
        <is>
          <t>reach</t>
        </is>
      </c>
      <c r="D471" s="0" t="inlineStr">
        <is>
          <t>25%</t>
        </is>
      </c>
      <c r="F471" s="0" t="n">
        <v>2030</v>
      </c>
      <c r="G471" s="0" t="inlineStr">
        <is>
          <t>n</t>
        </is>
      </c>
      <c r="H471" s="0" t="inlineStr">
        <is>
          <t>Renewable energy</t>
        </is>
      </c>
      <c r="I471" s="0" t="inlineStr">
        <is>
          <t>whole economy</t>
        </is>
      </c>
      <c r="J471" s="0" t="inlineStr">
        <is>
          <t>Coal and oil consumption will peak, the share of non-fossil energy consumption will reach 25%, and the installed capacity of wind and solar power will exceed 50% of the total, becoming the mainstay of installed power capacity, while the share of non-fossil electricity generation will reach 50%, becoming the mainstay of electricity supply;</t>
        </is>
      </c>
      <c r="K471" s="0" t="inlineStr">
        <is>
          <t>FYP2602.htm</t>
        </is>
      </c>
      <c r="L471" s="0" t="inlineStr">
        <is>
          <t>Energy|Power</t>
        </is>
      </c>
      <c r="M471" s="0" t="inlineStr">
        <is>
          <t>Energy consumption</t>
        </is>
      </c>
    </row>
    <row r="472" ht="18" customHeight="1" s="235">
      <c r="A472" s="113" t="n">
        <v>2026</v>
      </c>
      <c r="B472" s="113" t="inlineStr">
        <is>
          <t>share of wind and solar power in total installed power capacity</t>
        </is>
      </c>
      <c r="C472" s="113" t="inlineStr">
        <is>
          <t>exceed</t>
        </is>
      </c>
      <c r="D472" s="113" t="inlineStr">
        <is>
          <t>50%</t>
        </is>
      </c>
      <c r="E472" s="113" t="n"/>
      <c r="F472" s="114" t="n">
        <v>2030</v>
      </c>
      <c r="G472" s="113" t="inlineStr">
        <is>
          <t>n</t>
        </is>
      </c>
      <c r="H472" s="113" t="inlineStr">
        <is>
          <t>Renewable energy</t>
        </is>
      </c>
      <c r="I472" s="113" t="inlineStr">
        <is>
          <t>whole economy</t>
        </is>
      </c>
      <c r="J472" s="113" t="inlineStr">
        <is>
          <t>...the installed capacity of wind and solar power will exceed 50% of the total, becoming the mainstay of installed power capacity, while the share of non-fossil electricity generation will reach 50%, becoming the mainstay of electricity supply;</t>
        </is>
      </c>
      <c r="K472" s="113" t="inlineStr">
        <is>
          <t>FYP2602.htm</t>
        </is>
      </c>
      <c r="L472" s="113" t="inlineStr">
        <is>
          <t>Energy|Power</t>
        </is>
      </c>
      <c r="M472" s="113" t="inlineStr">
        <is>
          <t>Coal power</t>
        </is>
      </c>
    </row>
    <row r="473" ht="18" customHeight="1" s="235">
      <c r="A473" s="113" t="n">
        <v>2026</v>
      </c>
      <c r="B473" s="113" t="inlineStr">
        <is>
          <t>share of non-fossil energy in total electricity generation</t>
        </is>
      </c>
      <c r="C473" s="113" t="inlineStr">
        <is>
          <t>reach</t>
        </is>
      </c>
      <c r="D473" s="113" t="inlineStr">
        <is>
          <t>50%</t>
        </is>
      </c>
      <c r="E473" s="113" t="n"/>
      <c r="F473" s="114" t="n">
        <v>2030</v>
      </c>
      <c r="G473" s="113" t="inlineStr">
        <is>
          <t>n</t>
        </is>
      </c>
      <c r="H473" s="113" t="inlineStr">
        <is>
          <t>Renewable energy</t>
        </is>
      </c>
      <c r="I473" s="113" t="inlineStr">
        <is>
          <t>whole economy</t>
        </is>
      </c>
      <c r="J473" s="113" t="inlineStr">
        <is>
          <t>...the share of non-fossil electricity generation will reach 50%, becoming the mainstay of electricity supply;</t>
        </is>
      </c>
      <c r="K473" s="113" t="inlineStr">
        <is>
          <t>FYP2602.htm</t>
        </is>
      </c>
      <c r="L473" s="113" t="inlineStr">
        <is>
          <t>Energy|Power</t>
        </is>
      </c>
      <c r="M473" s="113" t="inlineStr">
        <is>
          <t>Energy consumption</t>
        </is>
      </c>
    </row>
    <row r="474" ht="18" customHeight="1" s="235">
      <c r="A474" s="113" t="n">
        <v>2026</v>
      </c>
      <c r="B474" s="113" t="inlineStr">
        <is>
          <t>share of new energy in total electricity generation</t>
        </is>
      </c>
      <c r="C474" s="113" t="inlineStr">
        <is>
          <t>reach</t>
        </is>
      </c>
      <c r="D474" s="113" t="inlineStr">
        <is>
          <t>30%</t>
        </is>
      </c>
      <c r="E474" s="113" t="n"/>
      <c r="F474" s="114" t="n">
        <v>2030</v>
      </c>
      <c r="G474" s="113" t="inlineStr">
        <is>
          <t>n</t>
        </is>
      </c>
      <c r="H474" s="113" t="inlineStr">
        <is>
          <t>Renewable energy</t>
        </is>
      </c>
      <c r="I474" s="113" t="inlineStr">
        <is>
          <t>whole economy</t>
        </is>
      </c>
      <c r="J474" s="113" t="inlineStr">
        <is>
          <t>A comprehensive evaluation indicator system for new energy consumption will be established and improved, and the share of new energy in total electricity generation will reach 30% by 2030.</t>
        </is>
      </c>
      <c r="K474" s="113" t="inlineStr">
        <is>
          <t>FYP2602.htm</t>
        </is>
      </c>
      <c r="L474" s="113" t="inlineStr">
        <is>
          <t>Energy|Power</t>
        </is>
      </c>
      <c r="M474" s="113" t="inlineStr">
        <is>
          <t>Power supply</t>
        </is>
      </c>
    </row>
    <row r="475">
      <c r="A475" s="0" t="n">
        <v>2026</v>
      </c>
      <c r="B475" s="0" t="inlineStr">
        <is>
          <t>installed capacity of conventional hydropower</t>
        </is>
      </c>
      <c r="C475" s="0" t="inlineStr">
        <is>
          <t>reach</t>
        </is>
      </c>
      <c r="D475" s="0" t="inlineStr">
        <is>
          <t>around 410 million kilowatts</t>
        </is>
      </c>
      <c r="F475" s="0" t="n">
        <v>2030</v>
      </c>
      <c r="G475" s="0" t="inlineStr">
        <is>
          <t>n</t>
        </is>
      </c>
      <c r="H475" s="0" t="inlineStr">
        <is>
          <t>Renewable energy</t>
        </is>
      </c>
      <c r="I475" s="0" t="inlineStr">
        <is>
          <t>whole economy</t>
        </is>
      </c>
      <c r="J475" s="0" t="inlineStr">
        <is>
          <t>Conventional hydropower installed capacity will reach around 410 million kilowatts by 2030.</t>
        </is>
      </c>
      <c r="K475" s="0" t="inlineStr">
        <is>
          <t>FYP2602.htm</t>
        </is>
      </c>
      <c r="L475" s="0" t="inlineStr">
        <is>
          <t>Energy|Power</t>
        </is>
      </c>
      <c r="M475" s="0" t="inlineStr">
        <is>
          <t>Power supply</t>
        </is>
      </c>
    </row>
    <row r="476">
      <c r="A476" s="113" t="n">
        <v>2026</v>
      </c>
      <c r="B476" s="113" t="inlineStr">
        <is>
          <t>installed capacity of nuclear power in operation</t>
        </is>
      </c>
      <c r="C476" s="113" t="inlineStr">
        <is>
          <t>reach</t>
        </is>
      </c>
      <c r="D476" s="113" t="inlineStr">
        <is>
          <t>around 110 million kilowatts</t>
        </is>
      </c>
      <c r="E476" s="113" t="n"/>
      <c r="F476" s="114" t="n">
        <v>2030</v>
      </c>
      <c r="G476" s="113" t="inlineStr">
        <is>
          <t>r</t>
        </is>
      </c>
      <c r="H476" s="113" t="inlineStr">
        <is>
          <t>Transitional energy</t>
        </is>
      </c>
      <c r="I476" s="113" t="inlineStr">
        <is>
          <t>whole economy</t>
        </is>
      </c>
      <c r="J476" s="113" t="inlineStr">
        <is>
          <t>Installed nuclear power capacity in operation will reach around 110 million kilowatts by 2030.</t>
        </is>
      </c>
      <c r="K476" s="113" t="inlineStr">
        <is>
          <t>FYP2602.htm</t>
        </is>
      </c>
      <c r="L476" s="113" t="inlineStr">
        <is>
          <t>Energy|Power</t>
        </is>
      </c>
      <c r="M476" s="113" t="inlineStr">
        <is>
          <t>Power supply</t>
        </is>
      </c>
    </row>
    <row r="477">
      <c r="A477" s="113" t="n">
        <v>2026</v>
      </c>
      <c r="B477" s="113" t="inlineStr">
        <is>
          <t>newly added inter-provincial power mutual support capacity</t>
        </is>
      </c>
      <c r="C477" s="113" t="inlineStr">
        <is>
          <t>increase by</t>
        </is>
      </c>
      <c r="D477" s="113" t="inlineStr">
        <is>
          <t>around 40 million kilowatts</t>
        </is>
      </c>
      <c r="E477" s="113" t="n"/>
      <c r="F477" s="114" t="inlineStr">
        <is>
          <t>15th FYP</t>
        </is>
      </c>
      <c r="G477" s="113" t="inlineStr">
        <is>
          <t>n</t>
        </is>
      </c>
      <c r="H477" s="113" t="inlineStr">
        <is>
          <t>Renewable energy</t>
        </is>
      </c>
      <c r="I477" s="113" t="inlineStr">
        <is>
          <t>whole economy</t>
        </is>
      </c>
      <c r="J477" s="113" t="inlineStr">
        <is>
          <t>Inter-regional grid mutual support among the central China-southern, central China-eastern, northern China-eastern and central China-northwestern regions will be strengthened, improving complementary mutual support capacity by around 40 million kilowatts.</t>
        </is>
      </c>
      <c r="K477" s="113" t="inlineStr">
        <is>
          <t>FYP2602.htm</t>
        </is>
      </c>
      <c r="L477" s="113" t="inlineStr">
        <is>
          <t>Energy|Power</t>
        </is>
      </c>
      <c r="M477" s="113" t="inlineStr">
        <is>
          <t>Power supply</t>
        </is>
      </c>
    </row>
    <row r="478">
      <c r="A478" s="113" t="n">
        <v>2026</v>
      </c>
      <c r="B478" s="113" t="inlineStr">
        <is>
          <t>carrying capacity of distribution grids for distributed new energy integration</t>
        </is>
      </c>
      <c r="C478" s="113" t="inlineStr">
        <is>
          <t>reach</t>
        </is>
      </c>
      <c r="D478" s="113" t="inlineStr">
        <is>
          <t>900 million kilowatts</t>
        </is>
      </c>
      <c r="E478" s="113" t="n"/>
      <c r="F478" s="114" t="n">
        <v>2030</v>
      </c>
      <c r="G478" s="113" t="inlineStr">
        <is>
          <t>n</t>
        </is>
      </c>
      <c r="H478" s="113" t="inlineStr">
        <is>
          <t>Renewable energy</t>
        </is>
      </c>
      <c r="I478" s="113" t="inlineStr">
        <is>
          <t>whole economy</t>
        </is>
      </c>
      <c r="J478" s="113" t="inlineStr">
        <is>
          <t>Distribution grids will be transformed into platforms for the efficient allocation of source-grid-load-storage resources, striving to support the integration of 900 million kilowatts of distributed new energy by 2030.</t>
        </is>
      </c>
      <c r="K478" s="113" t="inlineStr">
        <is>
          <t>FYP2602.htm</t>
        </is>
      </c>
      <c r="L478" s="113" t="inlineStr">
        <is>
          <t>Energy|Power</t>
        </is>
      </c>
      <c r="M478" s="113" t="inlineStr">
        <is>
          <t>Power supply</t>
        </is>
      </c>
      <c r="N478" s="116" t="n"/>
      <c r="O478" s="116" t="n"/>
      <c r="P478" s="116" t="n"/>
      <c r="Q478" s="116" t="n"/>
    </row>
    <row r="479">
      <c r="A479" s="113" t="n">
        <v>2026</v>
      </c>
      <c r="B479" s="113" t="inlineStr">
        <is>
          <t>installed capacity of pumped-storage hydropower</t>
        </is>
      </c>
      <c r="C479" s="113" t="inlineStr">
        <is>
          <t>reach</t>
        </is>
      </c>
      <c r="D479" s="113" t="inlineStr">
        <is>
          <t>around 160 million kilowatts</t>
        </is>
      </c>
      <c r="E479" s="113" t="n"/>
      <c r="F479" s="114" t="n">
        <v>2030</v>
      </c>
      <c r="G479" s="113" t="inlineStr">
        <is>
          <t>n</t>
        </is>
      </c>
      <c r="H479" s="113" t="inlineStr">
        <is>
          <t>Renewable energy</t>
        </is>
      </c>
      <c r="I479" s="113" t="inlineStr">
        <is>
          <t>whole economy</t>
        </is>
      </c>
      <c r="J479" s="113" t="inlineStr">
        <is>
          <t>Pumped-storage installed capacity will reach around 160 million kilowatts and new-type energy storage installed capacity will reach 300 million kilowatts by 2030.</t>
        </is>
      </c>
      <c r="K479" s="113" t="inlineStr">
        <is>
          <t>FYP2602.htm</t>
        </is>
      </c>
      <c r="L479" s="113" t="inlineStr">
        <is>
          <t>Energy|Power</t>
        </is>
      </c>
      <c r="M479" s="113" t="inlineStr">
        <is>
          <t>Power supply</t>
        </is>
      </c>
    </row>
    <row r="480">
      <c r="A480" s="113" t="n">
        <v>2026</v>
      </c>
      <c r="B480" s="113" t="inlineStr">
        <is>
          <t>installed capacity of new-type energy storage</t>
        </is>
      </c>
      <c r="C480" s="113" t="inlineStr">
        <is>
          <t>reach</t>
        </is>
      </c>
      <c r="D480" s="113" t="inlineStr">
        <is>
          <t>300 million kilowatts</t>
        </is>
      </c>
      <c r="E480" s="113" t="n"/>
      <c r="F480" s="114" t="n">
        <v>2030</v>
      </c>
      <c r="G480" s="113" t="inlineStr">
        <is>
          <t>n</t>
        </is>
      </c>
      <c r="H480" s="113" t="inlineStr">
        <is>
          <t>Renewable energy</t>
        </is>
      </c>
      <c r="I480" s="113" t="inlineStr">
        <is>
          <t>whole economy</t>
        </is>
      </c>
      <c r="J480" s="113" t="inlineStr">
        <is>
          <t>Pumped-storage installed capacity will reach around 160 million kilowatts and new-type energy storage installed capacity will reach 300 million kilowatts by 2030.</t>
        </is>
      </c>
      <c r="K480" s="113" t="inlineStr">
        <is>
          <t>FYP2602.htm</t>
        </is>
      </c>
      <c r="L480" s="113" t="inlineStr">
        <is>
          <t>Energy|Power</t>
        </is>
      </c>
      <c r="M480" s="113" t="inlineStr">
        <is>
          <t>Power supply</t>
        </is>
      </c>
    </row>
    <row r="481">
      <c r="A481" s="0" t="n">
        <v>2026</v>
      </c>
      <c r="B481" s="0" t="inlineStr">
        <is>
          <t>aggregated adjustable charging scale of vehicle-grid interaction</t>
        </is>
      </c>
      <c r="C481" s="0" t="inlineStr">
        <is>
          <t>reach</t>
        </is>
      </c>
      <c r="D481" s="0" t="inlineStr">
        <is>
          <t>around 50 million kilowatts</t>
        </is>
      </c>
      <c r="F481" s="0" t="n">
        <v>2030</v>
      </c>
      <c r="G481" s="0" t="inlineStr">
        <is>
          <t>n</t>
        </is>
      </c>
      <c r="H481" s="0" t="inlineStr">
        <is>
          <t>Renewable energy</t>
        </is>
      </c>
      <c r="I481" s="0" t="inlineStr">
        <is>
          <t>whole economy</t>
        </is>
      </c>
      <c r="J481" s="0" t="inlineStr">
        <is>
          <t>...the aggregated adjustable charging scale of vehicle-grid interaction will reach around 50 million kilowatts by 2030.</t>
        </is>
      </c>
      <c r="K481" s="0" t="inlineStr">
        <is>
          <t>FYP2602.htm</t>
        </is>
      </c>
      <c r="L481" s="0" t="inlineStr">
        <is>
          <t>Energy|Power</t>
        </is>
      </c>
      <c r="M481" s="0" t="inlineStr">
        <is>
          <t>Power supply</t>
        </is>
      </c>
    </row>
    <row r="482">
      <c r="A482" s="0" t="n">
        <v>2026</v>
      </c>
      <c r="B482" s="0" t="inlineStr">
        <is>
          <t>national virtual power plant regulation capacity</t>
        </is>
      </c>
      <c r="C482" s="0" t="inlineStr">
        <is>
          <t>reach</t>
        </is>
      </c>
      <c r="D482" s="0" t="inlineStr">
        <is>
          <t>more than 50 million kilowatts</t>
        </is>
      </c>
      <c r="F482" s="0" t="n">
        <v>2030</v>
      </c>
      <c r="G482" s="0" t="inlineStr">
        <is>
          <t>r</t>
        </is>
      </c>
      <c r="H482" s="0" t="inlineStr">
        <is>
          <t>Renewable energy</t>
        </is>
      </c>
      <c r="I482" s="0" t="inlineStr">
        <is>
          <t>whole economy</t>
        </is>
      </c>
      <c r="J482" s="0" t="inlineStr">
        <is>
          <t>The scaled development of virtual power plants will be accelerated, with their regulation capacity reaching more than 50 million kilowatts by 2030.</t>
        </is>
      </c>
      <c r="K482" s="0" t="inlineStr">
        <is>
          <t>FYP2602.htm</t>
        </is>
      </c>
      <c r="L482" s="0" t="inlineStr">
        <is>
          <t>Energy|Power</t>
        </is>
      </c>
      <c r="M482" s="0" t="inlineStr">
        <is>
          <t>Coal power</t>
        </is>
      </c>
    </row>
    <row r="483">
      <c r="A483" s="0" t="n">
        <v>2026</v>
      </c>
      <c r="B483" s="0" t="inlineStr">
        <is>
          <t>installed capacity of solar thermal power generation</t>
        </is>
      </c>
      <c r="C483" s="0" t="inlineStr">
        <is>
          <t>strive to reach</t>
        </is>
      </c>
      <c r="D483" s="0" t="inlineStr">
        <is>
          <t>15 million kilowatts</t>
        </is>
      </c>
      <c r="F483" s="0" t="n">
        <v>2030</v>
      </c>
      <c r="G483" s="0" t="inlineStr">
        <is>
          <t>n</t>
        </is>
      </c>
      <c r="H483" s="0" t="inlineStr">
        <is>
          <t>Renewable energy</t>
        </is>
      </c>
      <c r="I483" s="0" t="inlineStr">
        <is>
          <t>whole economy</t>
        </is>
      </c>
      <c r="J483" s="0" t="inlineStr">
        <is>
          <t>...by 2030, the cumulative installed capacity of solar thermal power generation will strive to reach 15 million kilowatts.</t>
        </is>
      </c>
      <c r="K483" s="0" t="inlineStr">
        <is>
          <t>FYP2602.htm</t>
        </is>
      </c>
      <c r="L483" s="0" t="inlineStr">
        <is>
          <t>Energy|Power</t>
        </is>
      </c>
      <c r="M483" s="0" t="inlineStr">
        <is>
          <t>Coal power</t>
        </is>
      </c>
    </row>
    <row r="484">
      <c r="A484" s="0" t="n">
        <v>2026</v>
      </c>
      <c r="B484" s="0" t="inlineStr">
        <is>
          <t>annual crude oil production</t>
        </is>
      </c>
      <c r="C484" s="0" t="inlineStr">
        <is>
          <t>remain stable</t>
        </is>
      </c>
      <c r="D484" s="0" t="inlineStr">
        <is>
          <t>200 million tons</t>
        </is>
      </c>
      <c r="F484" s="0" t="n">
        <v>2030</v>
      </c>
      <c r="G484" s="0" t="inlineStr">
        <is>
          <t>n</t>
        </is>
      </c>
      <c r="H484" s="0" t="inlineStr">
        <is>
          <t>Transitional energy</t>
        </is>
      </c>
      <c r="I484" s="0" t="inlineStr">
        <is>
          <t>whole economy</t>
        </is>
      </c>
      <c r="J484" s="0" t="inlineStr">
        <is>
          <t>Annual crude oil production will be stabilized at 200 million tons, while natural gas production will grow steadily.</t>
        </is>
      </c>
      <c r="K484" s="0" t="inlineStr">
        <is>
          <t>FYP2602.htm</t>
        </is>
      </c>
      <c r="L484" s="0" t="inlineStr">
        <is>
          <t>Energy|Power</t>
        </is>
      </c>
      <c r="M484" s="0" t="inlineStr">
        <is>
          <t>Coal power</t>
        </is>
      </c>
    </row>
    <row r="485">
      <c r="A485" s="0" t="n">
        <v>2026</v>
      </c>
      <c r="B485" s="0" t="inlineStr">
        <is>
          <t>primary transmission capacity of the natural gas pipeline network</t>
        </is>
      </c>
      <c r="C485" s="0" t="inlineStr">
        <is>
          <t>reach</t>
        </is>
      </c>
      <c r="D485" s="0" t="inlineStr">
        <is>
          <t>500 billion cubic meters per year</t>
        </is>
      </c>
      <c r="E485" s="0" t="n"/>
      <c r="F485" s="0" t="n">
        <v>2030</v>
      </c>
      <c r="G485" s="0" t="inlineStr">
        <is>
          <t>n</t>
        </is>
      </c>
      <c r="H485" s="0" t="inlineStr">
        <is>
          <t>Transitional energy</t>
        </is>
      </c>
      <c r="I485" s="0" t="inlineStr">
        <is>
          <t>whole economy</t>
        </is>
      </c>
      <c r="J485" s="0" t="inlineStr">
        <is>
          <t>...by 2030, the primary transmission capacity of the natural gas pipeline network will reach 500 billion cubic meters per year.</t>
        </is>
      </c>
      <c r="K485" s="0" t="inlineStr">
        <is>
          <t>FYP2602.htm</t>
        </is>
      </c>
      <c r="L485" s="0" t="inlineStr">
        <is>
          <t>Energy|Power</t>
        </is>
      </c>
      <c r="M485" s="0" t="inlineStr">
        <is>
          <t>Power supply</t>
        </is>
      </c>
    </row>
    <row r="486">
      <c r="A486" s="0" t="n">
        <v>2026</v>
      </c>
      <c r="B486" s="0" t="inlineStr">
        <is>
          <t>share of output of the five major coal supply guarantee bases in national total</t>
        </is>
      </c>
      <c r="C486" s="0" t="inlineStr">
        <is>
          <t>reach</t>
        </is>
      </c>
      <c r="D486" s="0" t="inlineStr">
        <is>
          <t>more than 80%</t>
        </is>
      </c>
      <c r="F486" s="0" t="n">
        <v>2030</v>
      </c>
      <c r="G486" s="0" t="inlineStr">
        <is>
          <t>n</t>
        </is>
      </c>
      <c r="H486" s="0" t="inlineStr">
        <is>
          <t>Coal-related</t>
        </is>
      </c>
      <c r="I486" s="0" t="inlineStr">
        <is>
          <t>whole economy</t>
        </is>
      </c>
      <c r="J486" s="0" t="inlineStr">
        <is>
          <t>Coal resource exploration and strategic continuation will be strengthened... five major coal supply guarantee bases will be built as a priority, with their output reaching more than 80% of the national total by 2030.</t>
        </is>
      </c>
      <c r="K486" s="0" t="inlineStr">
        <is>
          <t>FYP2602.htm</t>
        </is>
      </c>
      <c r="L486" s="0" t="inlineStr">
        <is>
          <t>Energy|Power</t>
        </is>
      </c>
      <c r="M486" s="0" t="inlineStr">
        <is>
          <t>Power supply</t>
        </is>
      </c>
    </row>
    <row r="487">
      <c r="A487" s="0" t="n">
        <v>2026</v>
      </c>
      <c r="B487" s="0" t="inlineStr">
        <is>
          <t>coal production capacity reserve</t>
        </is>
      </c>
      <c r="C487" s="0" t="inlineStr">
        <is>
          <t>form</t>
        </is>
      </c>
      <c r="D487" s="0" t="inlineStr">
        <is>
          <t>more than 100 million tons per year</t>
        </is>
      </c>
      <c r="E487" s="0" t="n"/>
      <c r="F487" s="0" t="n">
        <v>2030</v>
      </c>
      <c r="G487" s="0" t="inlineStr">
        <is>
          <t>n</t>
        </is>
      </c>
      <c r="H487" s="0" t="inlineStr">
        <is>
          <t>Coal-related</t>
        </is>
      </c>
      <c r="I487" s="0" t="inlineStr">
        <is>
          <t>whole economy</t>
        </is>
      </c>
      <c r="J487" s="0" t="inlineStr">
        <is>
          <t>The coal capacity reserve policy will be improved and the reserve scale expanded, forming a capacity reserve of more than 100 million tons per year by 2030.</t>
        </is>
      </c>
      <c r="K487" s="0" t="inlineStr">
        <is>
          <t>FYP2602.htm</t>
        </is>
      </c>
      <c r="L487" s="0" t="inlineStr">
        <is>
          <t>Energy|Power</t>
        </is>
      </c>
      <c r="M487" s="0" t="inlineStr">
        <is>
          <t>Energy consumption</t>
        </is>
      </c>
    </row>
    <row r="488">
      <c r="A488" s="0" t="n">
        <v>2026</v>
      </c>
      <c r="B488" s="0" t="inlineStr">
        <is>
          <t>per capita residential electricity consumption</t>
        </is>
      </c>
      <c r="C488" s="0" t="inlineStr">
        <is>
          <t>reach</t>
        </is>
      </c>
      <c r="D488" s="0" t="inlineStr">
        <is>
          <t>1500 kWh</t>
        </is>
      </c>
      <c r="F488" s="0" t="n">
        <v>2030</v>
      </c>
      <c r="G488" s="0" t="inlineStr">
        <is>
          <t>n</t>
        </is>
      </c>
      <c r="H488" s="0" t="inlineStr">
        <is>
          <t>Electrification</t>
        </is>
      </c>
      <c r="I488" s="0" t="inlineStr">
        <is>
          <t>whole economy</t>
        </is>
      </c>
      <c r="J488" s="0" t="inlineStr">
        <is>
          <t>Residential electrification will be improved, with annual per capita residential electricity consumption reaching 1500 kWh by 2030.</t>
        </is>
      </c>
      <c r="K488" s="0" t="inlineStr">
        <is>
          <t>FYP2602.htm</t>
        </is>
      </c>
      <c r="L488" s="0" t="inlineStr">
        <is>
          <t>Energy|Power</t>
        </is>
      </c>
      <c r="M488" s="0" t="inlineStr">
        <is>
          <t>Other</t>
        </is>
      </c>
    </row>
    <row r="489">
      <c r="A489" s="0" t="n">
        <v>2026</v>
      </c>
      <c r="B489" s="0" t="inlineStr">
        <is>
          <t>total charging infrastructure</t>
        </is>
      </c>
      <c r="C489" s="0" t="inlineStr">
        <is>
          <t>reach</t>
        </is>
      </c>
      <c r="D489" s="0" t="inlineStr">
        <is>
          <t>40 million</t>
        </is>
      </c>
      <c r="F489" s="0" t="n">
        <v>2030</v>
      </c>
      <c r="G489" s="0" t="inlineStr">
        <is>
          <t>s/l-POS</t>
        </is>
      </c>
      <c r="H489" s="0" t="inlineStr">
        <is>
          <t>Green transportation</t>
        </is>
      </c>
      <c r="I489" s="0" t="inlineStr">
        <is>
          <t>whole economy</t>
        </is>
      </c>
      <c r="J489" s="0" t="inlineStr">
        <is>
          <t>Charging infrastructure combining fast and slow charging that is intelligent and open will be improved, reaching 40 million units and doubling by 2030.</t>
        </is>
      </c>
      <c r="K489" s="0" t="inlineStr">
        <is>
          <t>FYP2602.htm</t>
        </is>
      </c>
      <c r="L489" s="0" t="inlineStr">
        <is>
          <t>Energy|Power</t>
        </is>
      </c>
      <c r="M489" s="0" t="inlineStr">
        <is>
          <t>Other</t>
        </is>
      </c>
    </row>
    <row r="490">
      <c r="A490" s="0" t="n">
        <v>2026</v>
      </c>
      <c r="B490" s="0" t="inlineStr">
        <is>
          <t>renewable energy-based hydrogen production scale</t>
        </is>
      </c>
      <c r="C490" s="0" t="inlineStr">
        <is>
          <t>reach</t>
        </is>
      </c>
      <c r="D490" s="0" t="inlineStr">
        <is>
          <t>2 million tons</t>
        </is>
      </c>
      <c r="F490" s="0" t="n">
        <v>2030</v>
      </c>
      <c r="G490" s="0" t="inlineStr">
        <is>
          <t>n</t>
        </is>
      </c>
      <c r="H490" s="0" t="inlineStr">
        <is>
          <t>Renewable energy</t>
        </is>
      </c>
      <c r="I490" s="0" t="inlineStr">
        <is>
          <t>whole economy</t>
        </is>
      </c>
      <c r="J490" s="0" t="inlineStr">
        <is>
          <t>Models such as green power direct-connected hydrogen production and off-grid renewable hydrogen production will be developed according to local conditions, with renewable energy-based hydrogen production reaching 2 million tons by 2030.</t>
        </is>
      </c>
      <c r="K490" s="0" t="inlineStr">
        <is>
          <t>FYP2602.htm</t>
        </is>
      </c>
      <c r="L490" s="0" t="inlineStr">
        <is>
          <t>Energy|Power</t>
        </is>
      </c>
      <c r="M490" s="0" t="inlineStr">
        <is>
          <t>Power supply</t>
        </is>
      </c>
    </row>
    <row r="491">
      <c r="A491" s="0" t="n">
        <v>2026</v>
      </c>
      <c r="B491" s="0" t="inlineStr">
        <is>
          <t>total length of the national oil and gas pipeline network</t>
        </is>
      </c>
      <c r="C491" s="0" t="inlineStr">
        <is>
          <t>add</t>
        </is>
      </c>
      <c r="D491" s="0" t="inlineStr">
        <is>
          <t>20,000 kilometers</t>
        </is>
      </c>
      <c r="F491" s="0" t="inlineStr">
        <is>
          <t>15th FYP</t>
        </is>
      </c>
      <c r="G491" s="0" t="inlineStr">
        <is>
          <t>n</t>
        </is>
      </c>
      <c r="H491" s="0" t="inlineStr">
        <is>
          <t>Transitional energy</t>
        </is>
      </c>
      <c r="I491" s="0" t="inlineStr">
        <is>
          <t>whole economy</t>
        </is>
      </c>
      <c r="J491" s="0" t="inlineStr">
        <is>
          <t>The "one national network" oil and gas infrastructure layout will be further improved... with the total length of the national oil and gas pipeline network increasing by 20,000 kilometers.</t>
        </is>
      </c>
      <c r="K491" s="0" t="inlineStr">
        <is>
          <t>FYP2602.htm</t>
        </is>
      </c>
      <c r="L491" s="0" t="inlineStr">
        <is>
          <t>Energy|Power</t>
        </is>
      </c>
      <c r="M491" s="0" t="inlineStr">
        <is>
          <t>Power supply</t>
        </is>
      </c>
    </row>
    <row r="492">
      <c r="A492" s="0" t="n">
        <v>2026</v>
      </c>
      <c r="B492" s="0" t="inlineStr">
        <is>
          <t>newly added west-to-east power transmission capacity</t>
        </is>
      </c>
      <c r="C492" s="0" t="inlineStr">
        <is>
          <t>reach</t>
        </is>
      </c>
      <c r="D492" s="0" t="inlineStr">
        <is>
          <t>more than 80 million kilowatts</t>
        </is>
      </c>
      <c r="F492" s="0" t="inlineStr">
        <is>
          <t>15th FYP</t>
        </is>
      </c>
      <c r="G492" s="0" t="inlineStr">
        <is>
          <t>n</t>
        </is>
      </c>
      <c r="H492" s="0" t="inlineStr">
        <is>
          <t>Renewable energy</t>
        </is>
      </c>
      <c r="I492" s="0" t="inlineStr">
        <is>
          <t>whole economy</t>
        </is>
      </c>
      <c r="J492" s="0" t="inlineStr">
        <is>
          <t>Power flows will form a general pattern of transmitting electricity from the "Three Norths" wind and solar bases and the southwestern hydro-wind-solar integrated bases to load centers, with newly added west-to-east transmission capacity of more than 80 million kilowatts.</t>
        </is>
      </c>
      <c r="K492" s="0" t="inlineStr">
        <is>
          <t>FYP2602.htm</t>
        </is>
      </c>
      <c r="L492" s="0" t="inlineStr">
        <is>
          <t>Energy|Power</t>
        </is>
      </c>
      <c r="M492" s="0" t="inlineStr">
        <is>
          <t>Energy consumption</t>
        </is>
      </c>
    </row>
    <row r="493">
      <c r="A493" s="0" t="n">
        <v>2026</v>
      </c>
      <c r="B493" s="0" t="inlineStr">
        <is>
          <t>share of coal power capacity meeting energy efficiency benchmark levels</t>
        </is>
      </c>
      <c r="C493" s="0" t="inlineStr">
        <is>
          <t>increase by</t>
        </is>
      </c>
      <c r="D493" s="0" t="inlineStr">
        <is>
          <t>15 percentage points (strive)</t>
        </is>
      </c>
      <c r="F493" s="0" t="n">
        <v>2028</v>
      </c>
      <c r="G493" s="0" t="inlineStr">
        <is>
          <t>n</t>
        </is>
      </c>
      <c r="H493" s="0" t="inlineStr">
        <is>
          <t>Coal-related</t>
        </is>
      </c>
      <c r="I493" s="0" t="inlineStr">
        <is>
          <t>sectors</t>
        </is>
      </c>
      <c r="J493" s="0" t="inlineStr">
        <is>
          <t>...the coal power sector will strive to increase by 15 percentage points, capacity below the energy efficiency baseline will be basically cleared to zero, and cumulative energy savings of more than 100 million tons of standard coal and carbon dioxide reductions of more than 200 million tons will be achieved.</t>
        </is>
      </c>
      <c r="K493" s="0" t="inlineStr">
        <is>
          <t>AP2607.htm</t>
        </is>
      </c>
      <c r="L493" s="0" t="inlineStr">
        <is>
          <t>Energy|Power</t>
        </is>
      </c>
      <c r="M493" s="0" t="inlineStr">
        <is>
          <t>Energy consumption</t>
        </is>
      </c>
    </row>
    <row r="494">
      <c r="A494" s="0" t="n">
        <v>2026</v>
      </c>
      <c r="B494" s="0" t="inlineStr">
        <is>
          <t>energy savings from energy conservation and carbon reduction transformation in key industries</t>
        </is>
      </c>
      <c r="C494" s="0" t="inlineStr">
        <is>
          <t>form</t>
        </is>
      </c>
      <c r="D494" s="0" t="inlineStr">
        <is>
          <t>more than 100 million tons of standard coal</t>
        </is>
      </c>
      <c r="F494" s="0" t="n">
        <v>2028</v>
      </c>
      <c r="G494" s="0" t="inlineStr">
        <is>
          <t>n</t>
        </is>
      </c>
      <c r="H494" s="0" t="inlineStr">
        <is>
          <t>Energy saving</t>
        </is>
      </c>
      <c r="I494" s="0" t="inlineStr">
        <is>
          <t>whole economy</t>
        </is>
      </c>
      <c r="J494" s="0" t="inlineStr">
        <is>
          <t>...cumulative energy savings of more than 100 million tons of standard coal and carbon dioxide reductions of more than 200 million tons will be achieved.</t>
        </is>
      </c>
      <c r="K494" s="0" t="inlineStr">
        <is>
          <t>AP2607.htm</t>
        </is>
      </c>
      <c r="L494" s="0" t="inlineStr">
        <is>
          <t>Energy|Power</t>
        </is>
      </c>
      <c r="M494" s="0" t="inlineStr">
        <is>
          <t>Energy consumption</t>
        </is>
      </c>
    </row>
    <row r="495">
      <c r="A495" s="0" t="n">
        <v>2026</v>
      </c>
      <c r="B495" s="0" t="inlineStr">
        <is>
          <t>reduction in coal consumption for power supply of retrofitted units</t>
        </is>
      </c>
      <c r="C495" s="0" t="inlineStr">
        <is>
          <t>reduce by</t>
        </is>
      </c>
      <c r="D495" s="0" t="inlineStr">
        <is>
          <t>more than 5 grams of standard coal per kWh</t>
        </is>
      </c>
      <c r="F495" s="0" t="n">
        <v>2028</v>
      </c>
      <c r="G495" s="0" t="inlineStr">
        <is>
          <t>n</t>
        </is>
      </c>
      <c r="H495" s="0" t="inlineStr">
        <is>
          <t>Coal-related</t>
        </is>
      </c>
      <c r="I495" s="0" t="inlineStr">
        <is>
          <t>enterprises</t>
        </is>
      </c>
      <c r="J495" s="0" t="inlineStr">
        <is>
          <t>Energy conservation and carbon reduction retrofits of existing coal power units of 300 MW and above will be promoted, ... with coal consumption for power supply of retrofitted units reduced by more than 5 grams of standard coal per kWh.</t>
        </is>
      </c>
      <c r="K495" s="0" t="inlineStr">
        <is>
          <t>AP2607.htm</t>
        </is>
      </c>
      <c r="L495" s="0" t="inlineStr">
        <is>
          <t>Energy|Power</t>
        </is>
      </c>
      <c r="M495" s="0" t="inlineStr">
        <is>
          <t>Power supply</t>
        </is>
      </c>
    </row>
    <row r="496">
      <c r="A496" s="0" t="n">
        <v>2026</v>
      </c>
      <c r="B496" s="0" t="inlineStr">
        <is>
          <t>minimum power output of cogeneration units</t>
        </is>
      </c>
      <c r="C496" s="0" t="inlineStr">
        <is>
          <t>reach</t>
        </is>
      </c>
      <c r="D496" s="0" t="inlineStr">
        <is>
          <t>below 40%</t>
        </is>
      </c>
      <c r="F496" s="0" t="n">
        <v>2028</v>
      </c>
      <c r="G496" s="0" t="inlineStr">
        <is>
          <t>n</t>
        </is>
      </c>
      <c r="H496" s="0" t="inlineStr">
        <is>
          <t>Coal-related</t>
        </is>
      </c>
      <c r="I496" s="0" t="inlineStr">
        <is>
          <t>enterprises</t>
        </is>
      </c>
      <c r="J496" s="0" t="inlineStr">
        <is>
          <t>Cogeneration units in areas with winter centralized heating will be retrofitted for heat-power decoupling according to local conditions, striving to achieve a minimum power output of below 40% after retrofitting.</t>
        </is>
      </c>
      <c r="K496" s="0" t="inlineStr">
        <is>
          <t>AP2607.htm</t>
        </is>
      </c>
      <c r="L496" s="0" t="inlineStr">
        <is>
          <t>Energy|Power</t>
        </is>
      </c>
      <c r="M496" s="0" t="inlineStr">
        <is>
          <t>Power supply</t>
        </is>
      </c>
    </row>
    <row r="497">
      <c r="A497" s="0" t="n">
        <v>2026</v>
      </c>
      <c r="B497" s="0" t="inlineStr">
        <is>
          <t>minimum share of renewable energy consumption in village and township micro-energy grid pilot projects</t>
        </is>
      </c>
      <c r="C497" s="0" t="inlineStr">
        <is>
          <t>reach</t>
        </is>
      </c>
      <c r="D497" s="0" t="inlineStr">
        <is>
          <t>at least 50%</t>
        </is>
      </c>
      <c r="E497" s="0" t="n"/>
      <c r="F497" s="0" t="n">
        <v>2028</v>
      </c>
      <c r="G497" s="0" t="inlineStr">
        <is>
          <t>n</t>
        </is>
      </c>
      <c r="H497" s="0" t="inlineStr">
        <is>
          <t>Renewable energy</t>
        </is>
      </c>
      <c r="I497" s="0" t="inlineStr">
        <is>
          <t>areas</t>
        </is>
      </c>
      <c r="J497" s="0" t="inlineStr">
        <is>
          <t>Electricity will be integrated into the unified management of the public grid, and the minimum share of renewable energy consumption of completed pilot projects should be no less than 50%, with the annual self-generated and self-consumed new energy electricity accounting for no less than 40% of total available generation.</t>
        </is>
      </c>
      <c r="K497" s="0" t="inlineStr">
        <is>
          <t>N2604.htm</t>
        </is>
      </c>
      <c r="L497" s="0" t="inlineStr">
        <is>
          <t>Energy|Power</t>
        </is>
      </c>
      <c r="M497" s="0" t="inlineStr">
        <is>
          <t>Power supply</t>
        </is>
      </c>
    </row>
    <row r="498">
      <c r="A498" s="0" t="n">
        <v>2026</v>
      </c>
      <c r="B498" s="0" t="inlineStr">
        <is>
          <t>share of annual self-generated and self-consumed new energy electricity in total available generation of village and township micro-energy grid pilot projects</t>
        </is>
      </c>
      <c r="C498" s="0" t="inlineStr">
        <is>
          <t>reach</t>
        </is>
      </c>
      <c r="D498" s="0" t="inlineStr">
        <is>
          <t>at least 40% (at least 60% for integrated micro-energy grids)</t>
        </is>
      </c>
      <c r="F498" s="0" t="n">
        <v>2028</v>
      </c>
      <c r="G498" s="0" t="inlineStr">
        <is>
          <t>n</t>
        </is>
      </c>
      <c r="H498" s="0" t="inlineStr">
        <is>
          <t>Renewable energy</t>
        </is>
      </c>
      <c r="I498" s="0" t="inlineStr">
        <is>
          <t>areas</t>
        </is>
      </c>
      <c r="J498" s="0" t="inlineStr">
        <is>
          <t>...the annual self-generated and self-consumed new energy electricity should account for no less than 40% of total available generation. / After completion, the minimum share of renewable energy consumption of pilot projects should in principle be no less than 50%, and the annual self-generated and self-consumed new energy electricity should account for no less than 60% of total available generation.</t>
        </is>
      </c>
      <c r="K498" s="0" t="inlineStr">
        <is>
          <t>N2604.htm</t>
        </is>
      </c>
      <c r="L498" s="0" t="inlineStr">
        <is>
          <t>Energy|Power</t>
        </is>
      </c>
      <c r="M498" s="0" t="inlineStr">
        <is>
          <t>Other</t>
        </is>
      </c>
    </row>
    <row r="499">
      <c r="A499" s="0" t="n">
        <v>2026</v>
      </c>
      <c r="B499" s="0" t="inlineStr">
        <is>
          <t>total renewable energy consumption</t>
        </is>
      </c>
      <c r="C499" s="0" t="inlineStr">
        <is>
          <t>reach</t>
        </is>
      </c>
      <c r="D499" s="0" t="inlineStr">
        <is>
          <t>around 1.8 billion tons of standard coal</t>
        </is>
      </c>
      <c r="F499" s="0" t="n">
        <v>2030</v>
      </c>
      <c r="G499" s="0" t="inlineStr">
        <is>
          <t>n</t>
        </is>
      </c>
      <c r="H499" s="0" t="inlineStr">
        <is>
          <t>Renewable energy</t>
        </is>
      </c>
      <c r="I499" s="0" t="inlineStr">
        <is>
          <t>whole economy</t>
        </is>
      </c>
      <c r="J499" s="0" t="inlineStr">
        <is>
          <t>By 2030, total renewable energy consumption will reach around 1.8 billion tons of standard coal.</t>
        </is>
      </c>
      <c r="K499" s="0" t="inlineStr">
        <is>
          <t>FYP2607.pdf</t>
        </is>
      </c>
      <c r="L499" s="0" t="inlineStr">
        <is>
          <t>Energy|Power</t>
        </is>
      </c>
      <c r="M499" s="0" t="inlineStr">
        <is>
          <t>Other</t>
        </is>
      </c>
    </row>
    <row r="500">
      <c r="A500" s="0" t="n">
        <v>2026</v>
      </c>
      <c r="B500" s="0" t="inlineStr">
        <is>
          <t>total installed renewable energy power generation capacity</t>
        </is>
      </c>
      <c r="C500" s="0" t="inlineStr">
        <is>
          <t>reach</t>
        </is>
      </c>
      <c r="D500" s="0" t="inlineStr">
        <is>
          <t>around 3.5 billion kilowatts</t>
        </is>
      </c>
      <c r="F500" s="0" t="n">
        <v>2030</v>
      </c>
      <c r="G500" s="0" t="inlineStr">
        <is>
          <t>n</t>
        </is>
      </c>
      <c r="H500" s="0" t="inlineStr">
        <is>
          <t>Renewable energy</t>
        </is>
      </c>
      <c r="I500" s="0" t="inlineStr">
        <is>
          <t>whole economy</t>
        </is>
      </c>
      <c r="J500" s="0" t="inlineStr">
        <is>
          <t>By 2030, total installed renewable energy power generation capacity will reach around 3.5 billion kilowatts, with annual generation of around 6 trillion kWh;</t>
        </is>
      </c>
      <c r="K500" s="0" t="inlineStr">
        <is>
          <t>FYP2607.pdf</t>
        </is>
      </c>
      <c r="L500" s="0" t="inlineStr">
        <is>
          <t>Energy|Power</t>
        </is>
      </c>
      <c r="M500" s="0" t="inlineStr">
        <is>
          <t>Power supply</t>
        </is>
      </c>
    </row>
    <row r="501">
      <c r="A501" s="0" t="n">
        <v>2026</v>
      </c>
      <c r="B501" s="0" t="inlineStr">
        <is>
          <t>annual renewable energy power generation</t>
        </is>
      </c>
      <c r="C501" s="0" t="inlineStr">
        <is>
          <t>reach</t>
        </is>
      </c>
      <c r="D501" s="0" t="inlineStr">
        <is>
          <t>around 6 trillion kWh</t>
        </is>
      </c>
      <c r="F501" s="0" t="n">
        <v>2030</v>
      </c>
      <c r="G501" s="0" t="inlineStr">
        <is>
          <t>n</t>
        </is>
      </c>
      <c r="H501" s="0" t="inlineStr">
        <is>
          <t>Renewable energy</t>
        </is>
      </c>
      <c r="I501" s="0" t="inlineStr">
        <is>
          <t>whole economy</t>
        </is>
      </c>
      <c r="J501" s="0" t="inlineStr">
        <is>
          <t>By 2030, total installed renewable energy power generation capacity will reach around 3.5 billion kilowatts, with annual generation of around 6 trillion kWh;</t>
        </is>
      </c>
      <c r="K501" s="0" t="inlineStr">
        <is>
          <t>FYP2607.pdf</t>
        </is>
      </c>
      <c r="L501" s="0" t="inlineStr">
        <is>
          <t>Energy|Power</t>
        </is>
      </c>
      <c r="M501" s="0" t="inlineStr">
        <is>
          <t>Power supply</t>
        </is>
      </c>
    </row>
    <row r="502">
      <c r="A502" s="0" t="n">
        <v>2026</v>
      </c>
      <c r="B502" s="0" t="inlineStr">
        <is>
          <t>total installed capacity of wind and solar power generation</t>
        </is>
      </c>
      <c r="C502" s="0" t="inlineStr">
        <is>
          <t>reach</t>
        </is>
      </c>
      <c r="D502" s="0" t="inlineStr">
        <is>
          <t>more than 2.8 billion kilowatts</t>
        </is>
      </c>
      <c r="F502" s="0" t="n">
        <v>2030</v>
      </c>
      <c r="G502" s="0" t="inlineStr">
        <is>
          <t>s/l-POS</t>
        </is>
      </c>
      <c r="H502" s="0" t="inlineStr">
        <is>
          <t>Renewable energy</t>
        </is>
      </c>
      <c r="I502" s="0" t="inlineStr">
        <is>
          <t>whole economy</t>
        </is>
      </c>
      <c r="J502" s="0" t="inlineStr">
        <is>
          <t>Total installed wind and solar power capacity will reach more than 2.8 billion kilowatts, exceeding 50% of total installed capacity, with annual generation of more than 4 trillion kWh and a share of 30% of total generation.</t>
        </is>
      </c>
      <c r="K502" s="0" t="inlineStr">
        <is>
          <t>FYP2607.pdf</t>
        </is>
      </c>
      <c r="L502" s="0" t="inlineStr">
        <is>
          <t>Energy|Power</t>
        </is>
      </c>
      <c r="M502" s="0" t="inlineStr">
        <is>
          <t>Power supply</t>
        </is>
      </c>
    </row>
    <row r="503">
      <c r="A503" s="113" t="n">
        <v>2026</v>
      </c>
      <c r="B503" s="113" t="inlineStr">
        <is>
          <t>share of wind and solar power in total installed power capacity</t>
        </is>
      </c>
      <c r="C503" s="113" t="inlineStr">
        <is>
          <t>exceed</t>
        </is>
      </c>
      <c r="D503" s="113" t="inlineStr">
        <is>
          <t>50%</t>
        </is>
      </c>
      <c r="E503" s="113" t="n"/>
      <c r="F503" s="114" t="n">
        <v>2030</v>
      </c>
      <c r="G503" s="113" t="inlineStr">
        <is>
          <t>r</t>
        </is>
      </c>
      <c r="H503" s="113" t="inlineStr">
        <is>
          <t>Renewable energy</t>
        </is>
      </c>
      <c r="I503" s="113" t="inlineStr">
        <is>
          <t>whole economy</t>
        </is>
      </c>
      <c r="J503" s="113" t="inlineStr">
        <is>
          <t>Total installed wind and solar power capacity will reach more than 2.8 billion kilowatts, exceeding 50% of total installed capacity, ...</t>
        </is>
      </c>
      <c r="K503" s="113" t="inlineStr">
        <is>
          <t>FYP2607.pdf</t>
        </is>
      </c>
      <c r="L503" s="113" t="inlineStr">
        <is>
          <t>Energy|Power</t>
        </is>
      </c>
      <c r="M503" s="113" t="inlineStr">
        <is>
          <t>Power supply</t>
        </is>
      </c>
    </row>
    <row r="504">
      <c r="A504" s="113" t="n">
        <v>2026</v>
      </c>
      <c r="B504" s="113" t="inlineStr">
        <is>
          <t>annual wind and solar power generation</t>
        </is>
      </c>
      <c r="C504" s="113" t="inlineStr">
        <is>
          <t>reach</t>
        </is>
      </c>
      <c r="D504" s="113" t="inlineStr">
        <is>
          <t>more than 4 trillion kWh</t>
        </is>
      </c>
      <c r="E504" s="113" t="n"/>
      <c r="F504" s="114" t="n">
        <v>2030</v>
      </c>
      <c r="G504" s="113" t="inlineStr">
        <is>
          <t>n</t>
        </is>
      </c>
      <c r="H504" s="113" t="inlineStr">
        <is>
          <t>Renewable energy</t>
        </is>
      </c>
      <c r="I504" s="113" t="inlineStr">
        <is>
          <t>whole economy</t>
        </is>
      </c>
      <c r="J504" s="113" t="inlineStr">
        <is>
          <t>...annual generation of more than 4 trillion kWh, with a share of 30% of total generation.</t>
        </is>
      </c>
      <c r="K504" s="113" t="inlineStr">
        <is>
          <t>FYP2607.pdf</t>
        </is>
      </c>
      <c r="L504" s="113" t="inlineStr">
        <is>
          <t>Energy|Power</t>
        </is>
      </c>
      <c r="M504" s="113" t="inlineStr">
        <is>
          <t>Power supply</t>
        </is>
      </c>
    </row>
    <row r="505">
      <c r="A505" s="113" t="n">
        <v>2026</v>
      </c>
      <c r="B505" s="113" t="inlineStr">
        <is>
          <t>share of new energy in total electricity generation</t>
        </is>
      </c>
      <c r="C505" s="113" t="inlineStr">
        <is>
          <t>reach</t>
        </is>
      </c>
      <c r="D505" s="113" t="inlineStr">
        <is>
          <t>30%</t>
        </is>
      </c>
      <c r="E505" s="113" t="n"/>
      <c r="F505" s="114" t="n">
        <v>2030</v>
      </c>
      <c r="G505" s="113" t="inlineStr">
        <is>
          <t>r</t>
        </is>
      </c>
      <c r="H505" s="113" t="inlineStr">
        <is>
          <t>Renewable energy</t>
        </is>
      </c>
      <c r="I505" s="113" t="inlineStr">
        <is>
          <t>whole economy</t>
        </is>
      </c>
      <c r="J505" s="113" t="inlineStr">
        <is>
          <t>...annual generation of more than 4 trillion kWh, with a generation share reaching 30%.</t>
        </is>
      </c>
      <c r="K505" s="113" t="inlineStr">
        <is>
          <t>FYP2607.pdf</t>
        </is>
      </c>
      <c r="L505" s="113" t="inlineStr">
        <is>
          <t>Energy|Power</t>
        </is>
      </c>
      <c r="M505" s="113" t="inlineStr">
        <is>
          <t>Coal power</t>
        </is>
      </c>
    </row>
    <row r="506">
      <c r="A506" s="113" t="n">
        <v>2026</v>
      </c>
      <c r="B506" s="113" t="inlineStr">
        <is>
          <t>non-electric utilization of renewable energy</t>
        </is>
      </c>
      <c r="C506" s="113" t="inlineStr">
        <is>
          <t>increase by</t>
        </is>
      </c>
      <c r="D506" s="113" t="inlineStr">
        <is>
          <t>1.5 times the 2025 level (equivalent to around 150 million tons of standard coal)</t>
        </is>
      </c>
      <c r="E506" s="113" t="n">
        <v>2025</v>
      </c>
      <c r="F506" s="114" t="n">
        <v>2030</v>
      </c>
      <c r="G506" s="113" t="inlineStr">
        <is>
          <t>n</t>
        </is>
      </c>
      <c r="H506" s="113" t="inlineStr">
        <is>
          <t>Renewable energy</t>
        </is>
      </c>
      <c r="I506" s="113" t="inlineStr">
        <is>
          <t>whole economy</t>
        </is>
      </c>
      <c r="J506" s="113" t="inlineStr">
        <is>
          <t>By 2030, the total scale of non-electric utilization of renewable energy will increase by 1.5 times compared with 2025, equivalent to around 150 million tons of standard coal.</t>
        </is>
      </c>
      <c r="K506" s="113" t="inlineStr">
        <is>
          <t>FYP2607.pdf</t>
        </is>
      </c>
      <c r="L506" s="113" t="inlineStr">
        <is>
          <t>Energy|Power</t>
        </is>
      </c>
      <c r="M506" s="113" t="inlineStr">
        <is>
          <t>Coal power</t>
        </is>
      </c>
    </row>
    <row r="507">
      <c r="A507" s="0" t="n">
        <v>2026</v>
      </c>
      <c r="B507" s="0" t="inlineStr">
        <is>
          <t>national average firm capacity rate of wind and solar power (including source-side storage)</t>
        </is>
      </c>
      <c r="C507" s="0" t="inlineStr">
        <is>
          <t>reach</t>
        </is>
      </c>
      <c r="D507" s="0" t="inlineStr">
        <is>
          <t>8% (around 11% for wind, around 6% for solar)</t>
        </is>
      </c>
      <c r="F507" s="0" t="n">
        <v>2030</v>
      </c>
      <c r="G507" s="0" t="inlineStr">
        <is>
          <t>n</t>
        </is>
      </c>
      <c r="H507" s="0" t="inlineStr">
        <is>
          <t>Renewable energy</t>
        </is>
      </c>
      <c r="I507" s="0" t="inlineStr">
        <is>
          <t>whole economy</t>
        </is>
      </c>
      <c r="J507" s="0" t="inlineStr">
        <is>
          <t>By 2030, the national average firm capacity rate of wind and solar power (including source-side storage) will reach 8% (around 11% for wind and around 6% for solar), ...</t>
        </is>
      </c>
      <c r="K507" s="0" t="inlineStr">
        <is>
          <t>FYP2607.pdf</t>
        </is>
      </c>
      <c r="L507" s="0" t="inlineStr">
        <is>
          <t>Energy|Power</t>
        </is>
      </c>
      <c r="M507" s="0" t="inlineStr">
        <is>
          <t>Power supply</t>
        </is>
      </c>
    </row>
    <row r="508">
      <c r="A508" s="0" t="n">
        <v>2026</v>
      </c>
      <c r="B508" s="0" t="inlineStr">
        <is>
          <t>share of wind and solar electricity in evening peak load during summer and winter peak periods</t>
        </is>
      </c>
      <c r="C508" s="0" t="inlineStr">
        <is>
          <t>reach</t>
        </is>
      </c>
      <c r="D508" s="0" t="inlineStr">
        <is>
          <t>more than 20%</t>
        </is>
      </c>
      <c r="F508" s="0" t="n">
        <v>2030</v>
      </c>
      <c r="G508" s="0" t="inlineStr">
        <is>
          <t>n</t>
        </is>
      </c>
      <c r="H508" s="0" t="inlineStr">
        <is>
          <t>Renewable energy</t>
        </is>
      </c>
      <c r="I508" s="0" t="inlineStr">
        <is>
          <t>whole economy</t>
        </is>
      </c>
      <c r="J508" s="0" t="inlineStr">
        <is>
          <t>...the share of wind and solar electricity (including source-side storage) in evening peak load during summer and winter peak periods will reach more than 20%, an increase of about 10 percentage points.</t>
        </is>
      </c>
      <c r="K508" s="0" t="inlineStr">
        <is>
          <t>FYP2607.pdf</t>
        </is>
      </c>
      <c r="L508" s="0" t="inlineStr">
        <is>
          <t>Energy|Power</t>
        </is>
      </c>
      <c r="M508" s="0" t="inlineStr">
        <is>
          <t>Power supply</t>
        </is>
      </c>
    </row>
    <row r="509">
      <c r="A509" s="113" t="n">
        <v>2026</v>
      </c>
      <c r="B509" s="113" t="inlineStr">
        <is>
          <t>newly added reliable peak-shaving generation capacity from renewable energy</t>
        </is>
      </c>
      <c r="C509" s="113" t="inlineStr">
        <is>
          <t>reach</t>
        </is>
      </c>
      <c r="D509" s="113" t="inlineStr">
        <is>
          <t>more than 300 million kilowatts</t>
        </is>
      </c>
      <c r="E509" s="113" t="n"/>
      <c r="F509" s="114" t="inlineStr">
        <is>
          <t>15th FYP</t>
        </is>
      </c>
      <c r="G509" s="113" t="inlineStr">
        <is>
          <t>n</t>
        </is>
      </c>
      <c r="H509" s="113" t="inlineStr">
        <is>
          <t>Renewable energy</t>
        </is>
      </c>
      <c r="I509" s="113" t="inlineStr">
        <is>
          <t>whole economy</t>
        </is>
      </c>
      <c r="J509" s="113" t="inlineStr">
        <is>
          <t>More than 300 million kilowatts of reliable peak-shaving generation capacity from renewable energy will be added during the 15th FYP period.</t>
        </is>
      </c>
      <c r="K509" s="113" t="inlineStr">
        <is>
          <t>FYP2607.pdf</t>
        </is>
      </c>
      <c r="L509" s="113" t="inlineStr">
        <is>
          <t>Energy|Power</t>
        </is>
      </c>
      <c r="M509" s="113" t="inlineStr">
        <is>
          <t>Coal power</t>
        </is>
      </c>
    </row>
    <row r="510">
      <c r="A510" s="113" t="n">
        <v>2026</v>
      </c>
      <c r="B510" s="113" t="inlineStr">
        <is>
          <t>newly added installed capacity of wind and solar bases in the "Three Norths" region</t>
        </is>
      </c>
      <c r="C510" s="113" t="inlineStr">
        <is>
          <t>reach</t>
        </is>
      </c>
      <c r="D510" s="113" t="inlineStr">
        <is>
          <t>more than 370 million kilowatts</t>
        </is>
      </c>
      <c r="E510" s="113" t="n"/>
      <c r="F510" s="114" t="inlineStr">
        <is>
          <t>15th FYP</t>
        </is>
      </c>
      <c r="G510" s="113" t="inlineStr">
        <is>
          <t>n</t>
        </is>
      </c>
      <c r="H510" s="113" t="inlineStr">
        <is>
          <t>Renewable energy</t>
        </is>
      </c>
      <c r="I510" s="113" t="inlineStr">
        <is>
          <t>areas</t>
        </is>
      </c>
      <c r="J510" s="113" t="inlineStr">
        <is>
          <t>During the 15th FYP period, newly added installed capacity of the "Three Norths" wind and solar bases will exceed 370 million kilowatts.</t>
        </is>
      </c>
      <c r="K510" s="113" t="inlineStr">
        <is>
          <t>FYP2607.pdf</t>
        </is>
      </c>
      <c r="L510" s="113" t="inlineStr">
        <is>
          <t>Energy|Power</t>
        </is>
      </c>
      <c r="M510" s="113" t="inlineStr">
        <is>
          <t>Coal power</t>
        </is>
      </c>
    </row>
    <row r="511">
      <c r="A511" s="113" t="n">
        <v>2026</v>
      </c>
      <c r="B511" s="113" t="inlineStr">
        <is>
          <t>newly started offshore wind power capacity</t>
        </is>
      </c>
      <c r="C511" s="113" t="inlineStr">
        <is>
          <t>reach</t>
        </is>
      </c>
      <c r="D511" s="113" t="inlineStr">
        <is>
          <t>around 100 million kilowatts</t>
        </is>
      </c>
      <c r="E511" s="113" t="n"/>
      <c r="F511" s="114" t="inlineStr">
        <is>
          <t>15th FYP</t>
        </is>
      </c>
      <c r="G511" s="113" t="inlineStr">
        <is>
          <t>n</t>
        </is>
      </c>
      <c r="H511" s="113" t="inlineStr">
        <is>
          <t>Renewable energy</t>
        </is>
      </c>
      <c r="I511" s="113" t="inlineStr">
        <is>
          <t>whole economy</t>
        </is>
      </c>
      <c r="J511" s="113" t="inlineStr">
        <is>
          <t>During the 15th FYP period, newly started offshore wind power capacity nationwide will be around 100 million kilowatts, with cumulative installed capacity reaching more than 100 million kilowatts by 2030.</t>
        </is>
      </c>
      <c r="K511" s="113" t="inlineStr">
        <is>
          <t>FYP2607.pdf</t>
        </is>
      </c>
      <c r="L511" s="113" t="inlineStr">
        <is>
          <t>Energy|Power</t>
        </is>
      </c>
      <c r="M511" s="113" t="inlineStr">
        <is>
          <t>Coal power</t>
        </is>
      </c>
    </row>
    <row r="512">
      <c r="A512" s="113" t="n">
        <v>2026</v>
      </c>
      <c r="B512" s="113" t="inlineStr">
        <is>
          <t>cumulative grid-connected installed offshore wind power capacity</t>
        </is>
      </c>
      <c r="C512" s="113" t="inlineStr">
        <is>
          <t>reach</t>
        </is>
      </c>
      <c r="D512" s="113" t="inlineStr">
        <is>
          <t>more than 100 million kilowatts</t>
        </is>
      </c>
      <c r="E512" s="113" t="n"/>
      <c r="F512" s="114" t="n">
        <v>2030</v>
      </c>
      <c r="G512" s="113" t="inlineStr">
        <is>
          <t>r</t>
        </is>
      </c>
      <c r="H512" s="113" t="inlineStr">
        <is>
          <t>Renewable energy</t>
        </is>
      </c>
      <c r="I512" s="113" t="inlineStr">
        <is>
          <t>whole economy</t>
        </is>
      </c>
      <c r="J512" s="113" t="inlineStr">
        <is>
          <t>During the 15th FYP period, newly started offshore wind power capacity nationwide will be around 100 million kilowatts, with cumulative installed capacity reaching more than 100 million kilowatts by 2030.</t>
        </is>
      </c>
      <c r="K512" s="113" t="inlineStr">
        <is>
          <t>FYP2607.pdf</t>
        </is>
      </c>
      <c r="L512" s="113" t="inlineStr">
        <is>
          <t>Energy|Power</t>
        </is>
      </c>
      <c r="M512" s="113" t="inlineStr">
        <is>
          <t>Coal power</t>
        </is>
      </c>
    </row>
    <row r="513">
      <c r="A513" s="113" t="n">
        <v>2026</v>
      </c>
      <c r="B513" s="113" t="inlineStr">
        <is>
          <t>installed capacity of conventional hydropower</t>
        </is>
      </c>
      <c r="C513" s="113" t="inlineStr">
        <is>
          <t>reach</t>
        </is>
      </c>
      <c r="D513" s="113" t="inlineStr">
        <is>
          <t>around 410 million kilowatts</t>
        </is>
      </c>
      <c r="E513" s="113" t="n"/>
      <c r="F513" s="114" t="n">
        <v>2030</v>
      </c>
      <c r="G513" s="113" t="inlineStr">
        <is>
          <t>r</t>
        </is>
      </c>
      <c r="H513" s="113" t="inlineStr">
        <is>
          <t>Renewable energy</t>
        </is>
      </c>
      <c r="I513" s="113" t="inlineStr">
        <is>
          <t>whole economy</t>
        </is>
      </c>
      <c r="J513" s="113" t="inlineStr">
        <is>
          <t>...by 2030, the national conventional hydropower installed capacity will reach around 410 million kilowatts.</t>
        </is>
      </c>
      <c r="K513" s="113" t="inlineStr">
        <is>
          <t>FYP2607.pdf</t>
        </is>
      </c>
      <c r="L513" s="113" t="inlineStr">
        <is>
          <t>Energy|Power</t>
        </is>
      </c>
      <c r="M513" s="113" t="inlineStr">
        <is>
          <t>Coal power</t>
        </is>
      </c>
    </row>
    <row r="514">
      <c r="A514" s="113" t="n">
        <v>2026</v>
      </c>
      <c r="B514" s="113" t="inlineStr">
        <is>
          <t>newly added installed capacity of distributed new energy</t>
        </is>
      </c>
      <c r="C514" s="113" t="inlineStr">
        <is>
          <t>reach</t>
        </is>
      </c>
      <c r="D514" s="113" t="inlineStr">
        <is>
          <t>more than 300 million kilowatts</t>
        </is>
      </c>
      <c r="E514" s="113" t="n"/>
      <c r="F514" s="114" t="inlineStr">
        <is>
          <t>15th FYP</t>
        </is>
      </c>
      <c r="G514" s="113" t="inlineStr">
        <is>
          <t>n</t>
        </is>
      </c>
      <c r="H514" s="113" t="inlineStr">
        <is>
          <t>Renewable energy</t>
        </is>
      </c>
      <c r="I514" s="113" t="inlineStr">
        <is>
          <t>whole economy</t>
        </is>
      </c>
      <c r="J514" s="113" t="inlineStr">
        <is>
          <t>During the 15th FYP period, newly added installed capacity of distributed new energy nationwide will exceed 300 million kilowatts.</t>
        </is>
      </c>
      <c r="K514" s="113" t="inlineStr">
        <is>
          <t>FYP2607.pdf</t>
        </is>
      </c>
      <c r="L514" s="113" t="inlineStr">
        <is>
          <t>Energy|Power</t>
        </is>
      </c>
      <c r="M514" s="113" t="inlineStr">
        <is>
          <t>Coal power</t>
        </is>
      </c>
    </row>
    <row r="515">
      <c r="A515" s="113" t="n">
        <v>2026</v>
      </c>
      <c r="B515" s="113" t="inlineStr">
        <is>
          <t>installed capacity of solar thermal power generation</t>
        </is>
      </c>
      <c r="C515" s="113" t="inlineStr">
        <is>
          <t>strive to reach</t>
        </is>
      </c>
      <c r="D515" s="113" t="inlineStr">
        <is>
          <t>15 million kilowatts</t>
        </is>
      </c>
      <c r="E515" s="113" t="n"/>
      <c r="F515" s="114" t="n">
        <v>2030</v>
      </c>
      <c r="G515" s="113" t="inlineStr">
        <is>
          <t>r</t>
        </is>
      </c>
      <c r="H515" s="113" t="inlineStr">
        <is>
          <t>Renewable energy</t>
        </is>
      </c>
      <c r="I515" s="113" t="inlineStr">
        <is>
          <t>whole economy</t>
        </is>
      </c>
      <c r="J515" s="113" t="inlineStr">
        <is>
          <t>By 2030, the national solar thermal power installed capacity will strive to reach 15 million kilowatts.</t>
        </is>
      </c>
      <c r="K515" s="113" t="inlineStr">
        <is>
          <t>FYP2607.pdf</t>
        </is>
      </c>
      <c r="L515" s="113" t="inlineStr">
        <is>
          <t>Energy|Power</t>
        </is>
      </c>
      <c r="M515" s="113" t="inlineStr">
        <is>
          <t>Coal power</t>
        </is>
      </c>
    </row>
    <row r="516">
      <c r="A516" s="113" t="n">
        <v>2026</v>
      </c>
      <c r="B516" s="113" t="inlineStr">
        <is>
          <t>installed capacity of ocean energy</t>
        </is>
      </c>
      <c r="C516" s="113" t="inlineStr">
        <is>
          <t>strive to reach</t>
        </is>
      </c>
      <c r="D516" s="113" t="inlineStr">
        <is>
          <t>400,000 kilowatts</t>
        </is>
      </c>
      <c r="E516" s="113" t="n"/>
      <c r="F516" s="114" t="n">
        <v>2030</v>
      </c>
      <c r="G516" s="113" t="inlineStr">
        <is>
          <t>r</t>
        </is>
      </c>
      <c r="H516" s="113" t="inlineStr">
        <is>
          <t>Renewable energy</t>
        </is>
      </c>
      <c r="I516" s="113" t="inlineStr">
        <is>
          <t>whole economy</t>
        </is>
      </c>
      <c r="J516" s="113" t="inlineStr">
        <is>
          <t>By 2030, the national ocean energy installed capacity will strive to reach 400,000 kilowatts.</t>
        </is>
      </c>
      <c r="K516" s="113" t="inlineStr">
        <is>
          <t>FYP2607.pdf</t>
        </is>
      </c>
      <c r="L516" s="113" t="inlineStr">
        <is>
          <t>Energy|Power</t>
        </is>
      </c>
      <c r="M516" s="113" t="inlineStr">
        <is>
          <t>Coal power</t>
        </is>
      </c>
    </row>
    <row r="517">
      <c r="A517" s="113" t="n">
        <v>2026</v>
      </c>
      <c r="B517" s="113" t="inlineStr">
        <is>
          <t>firm capacity rate of newly built centralized wind and solar power plants</t>
        </is>
      </c>
      <c r="C517" s="113" t="inlineStr">
        <is>
          <t>reach</t>
        </is>
      </c>
      <c r="D517" s="113" t="inlineStr">
        <is>
          <t>at least 10%</t>
        </is>
      </c>
      <c r="E517" s="113" t="n"/>
      <c r="F517" s="114" t="n">
        <v>2030</v>
      </c>
      <c r="G517" s="113" t="inlineStr">
        <is>
          <t>n</t>
        </is>
      </c>
      <c r="H517" s="113" t="inlineStr">
        <is>
          <t>Renewable energy</t>
        </is>
      </c>
      <c r="I517" s="113" t="inlineStr">
        <is>
          <t>enterprises</t>
        </is>
      </c>
      <c r="J517" s="113" t="inlineStr">
        <is>
          <t>By 2030, the firm capacity rate of newly built centralized wind and solar power plants should in principle be no less than 10%, with projects with suitable conditions encouraged to exceed 20%.</t>
        </is>
      </c>
      <c r="K517" s="113" t="inlineStr">
        <is>
          <t>FYP2607.pdf</t>
        </is>
      </c>
      <c r="L517" s="113" t="inlineStr">
        <is>
          <t>Energy|Power</t>
        </is>
      </c>
      <c r="M517" s="113" t="inlineStr">
        <is>
          <t>Coal power</t>
        </is>
      </c>
    </row>
    <row r="518">
      <c r="A518" s="113" t="n">
        <v>2026</v>
      </c>
      <c r="B518" s="113" t="inlineStr">
        <is>
          <t>installed capacity of pumped-storage hydropower</t>
        </is>
      </c>
      <c r="C518" s="113" t="inlineStr">
        <is>
          <t>reach</t>
        </is>
      </c>
      <c r="D518" s="113" t="inlineStr">
        <is>
          <t>around 160 million kilowatts</t>
        </is>
      </c>
      <c r="E518" s="113" t="n"/>
      <c r="F518" s="114" t="n">
        <v>2030</v>
      </c>
      <c r="G518" s="113" t="inlineStr">
        <is>
          <t>r</t>
        </is>
      </c>
      <c r="H518" s="113" t="inlineStr">
        <is>
          <t>Renewable energy</t>
        </is>
      </c>
      <c r="I518" s="113" t="inlineStr">
        <is>
          <t>whole economy</t>
        </is>
      </c>
      <c r="J518" s="113" t="inlineStr">
        <is>
          <t>By 2030, the national pumped-storage installed capacity will reach around 160 million kilowatts.</t>
        </is>
      </c>
      <c r="K518" s="113" t="inlineStr">
        <is>
          <t>FYP2607.pdf</t>
        </is>
      </c>
      <c r="L518" s="113" t="inlineStr">
        <is>
          <t>Energy|Power</t>
        </is>
      </c>
      <c r="M518" s="113" t="inlineStr">
        <is>
          <t>Energy consumption</t>
        </is>
      </c>
    </row>
    <row r="519">
      <c r="A519" s="113" t="n">
        <v>2026</v>
      </c>
      <c r="B519" s="113" t="inlineStr">
        <is>
          <t>newly commissioned pumped-storage capacity</t>
        </is>
      </c>
      <c r="C519" s="113" t="inlineStr">
        <is>
          <t>reach</t>
        </is>
      </c>
      <c r="D519" s="113" t="inlineStr">
        <is>
          <t>around 100 million kilowatts</t>
        </is>
      </c>
      <c r="E519" s="113" t="n"/>
      <c r="F519" s="114" t="inlineStr">
        <is>
          <t>15th FYP</t>
        </is>
      </c>
      <c r="G519" s="113" t="inlineStr">
        <is>
          <t>r</t>
        </is>
      </c>
      <c r="H519" s="113" t="inlineStr">
        <is>
          <t>Renewable energy</t>
        </is>
      </c>
      <c r="I519" s="113" t="inlineStr">
        <is>
          <t>whole economy</t>
        </is>
      </c>
      <c r="J519" s="113" t="inlineStr">
        <is>
          <t>...striving to commission around 100 million kilowatts of new capacity during the 15th FYP period.</t>
        </is>
      </c>
      <c r="K519" s="113" t="inlineStr">
        <is>
          <t>FYP2607.pdf</t>
        </is>
      </c>
      <c r="L519" s="113" t="inlineStr">
        <is>
          <t>Energy|Power</t>
        </is>
      </c>
      <c r="M519" s="113" t="inlineStr">
        <is>
          <t>Energy consumption</t>
        </is>
      </c>
    </row>
    <row r="520">
      <c r="A520" s="113" t="n">
        <v>2026</v>
      </c>
      <c r="B520" s="113" t="inlineStr">
        <is>
          <t>share of non-fossil energy consumption</t>
        </is>
      </c>
      <c r="C520" s="113" t="inlineStr">
        <is>
          <t>increase by</t>
        </is>
      </c>
      <c r="D520" s="113" t="inlineStr">
        <is>
          <t>around 1 percentage point per year on average</t>
        </is>
      </c>
      <c r="E520" s="113" t="n"/>
      <c r="F520" s="114" t="n">
        <v>2028</v>
      </c>
      <c r="G520" s="113" t="inlineStr">
        <is>
          <t>n</t>
        </is>
      </c>
      <c r="H520" s="113" t="inlineStr">
        <is>
          <t>Renewable energy</t>
        </is>
      </c>
      <c r="I520" s="113" t="inlineStr">
        <is>
          <t>whole economy</t>
        </is>
      </c>
      <c r="J520" s="113" t="inlineStr">
        <is>
          <t>By 2028, the share of non-fossil energy consumption will increase by about 1 percentage point per year on average;</t>
        </is>
      </c>
      <c r="K520" s="113" t="inlineStr">
        <is>
          <t>AP2608.htm</t>
        </is>
      </c>
      <c r="L520" s="113" t="inlineStr">
        <is>
          <t>Energy|Power</t>
        </is>
      </c>
      <c r="M520" s="113" t="inlineStr">
        <is>
          <t>Energy consumption</t>
        </is>
      </c>
    </row>
    <row r="521">
      <c r="A521" s="113" t="n">
        <v>2026</v>
      </c>
      <c r="B521" s="113" t="inlineStr">
        <is>
          <t>share of coal power capacity meeting energy efficiency benchmark levels</t>
        </is>
      </c>
      <c r="C521" s="113" t="inlineStr">
        <is>
          <t>increase by</t>
        </is>
      </c>
      <c r="D521" s="113" t="inlineStr">
        <is>
          <t>15 percentage points (strive)</t>
        </is>
      </c>
      <c r="E521" s="113" t="n"/>
      <c r="F521" s="114" t="n">
        <v>2028</v>
      </c>
      <c r="G521" s="113" t="inlineStr">
        <is>
          <t>r</t>
        </is>
      </c>
      <c r="H521" s="113" t="inlineStr">
        <is>
          <t>Coal-related</t>
        </is>
      </c>
      <c r="I521" s="113" t="inlineStr">
        <is>
          <t>sectors</t>
        </is>
      </c>
      <c r="J521" s="113" t="inlineStr">
        <is>
          <t>Coal consumption for power supply of coal power units will be reasonably controlled, with the share of coal power capacity meeting current energy efficiency benchmark levels striving to increase by 15 percentage points;</t>
        </is>
      </c>
      <c r="K521" s="113" t="inlineStr">
        <is>
          <t>AP2608.htm</t>
        </is>
      </c>
      <c r="L521" s="113" t="inlineStr">
        <is>
          <t>Energy|Power</t>
        </is>
      </c>
      <c r="M521" s="113" t="inlineStr">
        <is>
          <t>Energy consumption</t>
        </is>
      </c>
    </row>
    <row r="522">
      <c r="A522" s="113" t="n">
        <v>2026</v>
      </c>
      <c r="B522" s="113" t="inlineStr">
        <is>
          <t>share of non-fossil energy consumption</t>
        </is>
      </c>
      <c r="C522" s="113" t="inlineStr">
        <is>
          <t>reach</t>
        </is>
      </c>
      <c r="D522" s="113" t="inlineStr">
        <is>
          <t>25%</t>
        </is>
      </c>
      <c r="E522" s="113" t="n"/>
      <c r="F522" s="114" t="n">
        <v>2030</v>
      </c>
      <c r="G522" s="113" t="inlineStr">
        <is>
          <t>r</t>
        </is>
      </c>
      <c r="H522" s="113" t="inlineStr">
        <is>
          <t>Renewable energy</t>
        </is>
      </c>
      <c r="I522" s="113" t="inlineStr">
        <is>
          <t>whole economy</t>
        </is>
      </c>
      <c r="J522" s="113" t="inlineStr">
        <is>
          <t>By 2030, carbon dioxide emissions per unit of GDP will be reduced by 17% compared with 2025, the share of non-fossil energy consumption will reach 25%, ...</t>
        </is>
      </c>
      <c r="K522" s="113" t="inlineStr">
        <is>
          <t>HL2604.htm</t>
        </is>
      </c>
      <c r="L522" s="113" t="inlineStr">
        <is>
          <t>Energy|Power</t>
        </is>
      </c>
      <c r="M522" s="113" t="inlineStr">
        <is>
          <t>Energy consumption</t>
        </is>
      </c>
    </row>
    <row r="523">
      <c r="A523" s="113" t="n">
        <v>2026</v>
      </c>
      <c r="B523" s="113" t="inlineStr">
        <is>
          <t>total installed capacity of wind and solar power generation</t>
        </is>
      </c>
      <c r="C523" s="113" t="inlineStr">
        <is>
          <t>reach</t>
        </is>
      </c>
      <c r="D523" s="113" t="inlineStr">
        <is>
          <t>more than 2.8 billion kilowatts</t>
        </is>
      </c>
      <c r="E523" s="113" t="n"/>
      <c r="F523" s="114" t="n">
        <v>2030</v>
      </c>
      <c r="G523" s="113" t="inlineStr">
        <is>
          <t>s/l-POS</t>
        </is>
      </c>
      <c r="H523" s="113" t="inlineStr">
        <is>
          <t>Renewable energy</t>
        </is>
      </c>
      <c r="I523" s="113" t="inlineStr">
        <is>
          <t>whole economy</t>
        </is>
      </c>
      <c r="J523" s="113" t="inlineStr">
        <is>
          <t>By 2030, total installed wind and solar power capacity will reach more than 2.8 billion kilowatts, conventional hydropower installed capacity will reach around 410 million kilowatts, and installed nuclear power capacity in operation will reach around 110 million kilowatts.</t>
        </is>
      </c>
      <c r="K523" s="113" t="inlineStr">
        <is>
          <t>HL2604.htm</t>
        </is>
      </c>
      <c r="L523" s="113" t="inlineStr">
        <is>
          <t>Energy|Power</t>
        </is>
      </c>
      <c r="M523" s="113" t="inlineStr">
        <is>
          <t>Energy consumption</t>
        </is>
      </c>
    </row>
    <row r="524">
      <c r="A524" s="113" t="n">
        <v>2026</v>
      </c>
      <c r="B524" s="113" t="inlineStr">
        <is>
          <t>installed capacity of conventional hydropower</t>
        </is>
      </c>
      <c r="C524" s="113" t="inlineStr">
        <is>
          <t>reach</t>
        </is>
      </c>
      <c r="D524" s="113" t="inlineStr">
        <is>
          <t>around 410 million kilowatts</t>
        </is>
      </c>
      <c r="E524" s="113" t="n"/>
      <c r="F524" s="114" t="n">
        <v>2030</v>
      </c>
      <c r="G524" s="113" t="inlineStr">
        <is>
          <t>r</t>
        </is>
      </c>
      <c r="H524" s="113" t="inlineStr">
        <is>
          <t>Renewable energy</t>
        </is>
      </c>
      <c r="I524" s="113" t="inlineStr">
        <is>
          <t>whole economy</t>
        </is>
      </c>
      <c r="J524" s="113" t="inlineStr">
        <is>
          <t>By 2030, total installed wind and solar power capacity will reach more than 2.8 billion kilowatts, conventional hydropower installed capacity will reach around 410 million kilowatts, and installed nuclear power capacity in operation will reach around 110 million kilowatts.</t>
        </is>
      </c>
      <c r="K524" s="113" t="inlineStr">
        <is>
          <t>HL2604.htm</t>
        </is>
      </c>
      <c r="L524" s="113" t="inlineStr">
        <is>
          <t>Energy|Power</t>
        </is>
      </c>
      <c r="M524" s="113" t="inlineStr">
        <is>
          <t>Energy consumption</t>
        </is>
      </c>
    </row>
    <row r="525">
      <c r="A525" s="113" t="n">
        <v>2026</v>
      </c>
      <c r="B525" s="113" t="inlineStr">
        <is>
          <t>installed capacity of nuclear power in operation</t>
        </is>
      </c>
      <c r="C525" s="113" t="inlineStr">
        <is>
          <t>reach</t>
        </is>
      </c>
      <c r="D525" s="113" t="inlineStr">
        <is>
          <t>around 110 million kilowatts</t>
        </is>
      </c>
      <c r="E525" s="113" t="n"/>
      <c r="F525" s="114" t="n">
        <v>2030</v>
      </c>
      <c r="G525" s="113" t="inlineStr">
        <is>
          <t>r</t>
        </is>
      </c>
      <c r="H525" s="113" t="inlineStr">
        <is>
          <t>Transitional energy</t>
        </is>
      </c>
      <c r="I525" s="113" t="inlineStr">
        <is>
          <t>whole economy</t>
        </is>
      </c>
      <c r="J525" s="113" t="inlineStr">
        <is>
          <t>By 2030, ... installed nuclear power capacity in operation will reach around 110 million kilowatts.</t>
        </is>
      </c>
      <c r="K525" s="113" t="inlineStr">
        <is>
          <t>HL2604.htm</t>
        </is>
      </c>
      <c r="L525" s="113" t="inlineStr">
        <is>
          <t>Energy|Power</t>
        </is>
      </c>
      <c r="M525" s="113" t="inlineStr">
        <is>
          <t>Energy consumption</t>
        </is>
      </c>
    </row>
    <row r="526">
      <c r="A526" s="113" t="n">
        <v>2026</v>
      </c>
      <c r="B526" s="113" t="inlineStr">
        <is>
          <t>newly added west-to-east power transmission capacity</t>
        </is>
      </c>
      <c r="C526" s="113" t="inlineStr">
        <is>
          <t>reach</t>
        </is>
      </c>
      <c r="D526" s="113" t="inlineStr">
        <is>
          <t>more than 80 million kilowatts</t>
        </is>
      </c>
      <c r="E526" s="113" t="n"/>
      <c r="F526" s="114" t="inlineStr">
        <is>
          <t>15th FYP</t>
        </is>
      </c>
      <c r="G526" s="113" t="inlineStr">
        <is>
          <t>r</t>
        </is>
      </c>
      <c r="H526" s="113" t="inlineStr">
        <is>
          <t>Renewable energy</t>
        </is>
      </c>
      <c r="I526" s="113" t="inlineStr">
        <is>
          <t>whole economy</t>
        </is>
      </c>
      <c r="J526" s="113" t="inlineStr">
        <is>
          <t>Cross-provincial and cross-regional transmission and mutual support capacity will be improved, the construction of UHV transmission channels accelerated, with newly added west-to-east transmission capacity of more than 80 million kilowatts, and inter-provincial power mutual support projects vigorously promoted.</t>
        </is>
      </c>
      <c r="K526" s="113" t="inlineStr">
        <is>
          <t>HL2604.htm</t>
        </is>
      </c>
      <c r="L526" s="113" t="inlineStr">
        <is>
          <t>Energy|Power</t>
        </is>
      </c>
      <c r="M526" s="113" t="inlineStr">
        <is>
          <t>Energy consumption</t>
        </is>
      </c>
    </row>
    <row r="527">
      <c r="A527" s="113" t="n">
        <v>2026</v>
      </c>
      <c r="B527" s="113" t="inlineStr">
        <is>
          <t>installed capacity of pumped-storage hydropower</t>
        </is>
      </c>
      <c r="C527" s="113" t="inlineStr">
        <is>
          <t>reach</t>
        </is>
      </c>
      <c r="D527" s="113" t="inlineStr">
        <is>
          <t>around 160 million kilowatts</t>
        </is>
      </c>
      <c r="E527" s="113" t="n"/>
      <c r="F527" s="114" t="n">
        <v>2030</v>
      </c>
      <c r="G527" s="113" t="inlineStr">
        <is>
          <t>r</t>
        </is>
      </c>
      <c r="H527" s="113" t="inlineStr">
        <is>
          <t>Renewable energy</t>
        </is>
      </c>
      <c r="I527" s="113" t="inlineStr">
        <is>
          <t>whole economy</t>
        </is>
      </c>
      <c r="J527" s="113" t="inlineStr">
        <is>
          <t>By 2030, pumped-storage installed capacity will reach around 160 million kilowatts, and new-type energy storage installed capacity will strive to reach 300 million kilowatts, ...</t>
        </is>
      </c>
      <c r="K527" s="113" t="inlineStr">
        <is>
          <t>HL2604.htm</t>
        </is>
      </c>
      <c r="L527" s="113" t="inlineStr">
        <is>
          <t>Energy|Power</t>
        </is>
      </c>
      <c r="M527" s="113" t="inlineStr">
        <is>
          <t>Energy consumption</t>
        </is>
      </c>
    </row>
    <row r="528">
      <c r="A528" s="113" t="n">
        <v>2026</v>
      </c>
      <c r="B528" s="113" t="inlineStr">
        <is>
          <t>installed capacity of new-type energy storage</t>
        </is>
      </c>
      <c r="C528" s="113" t="inlineStr">
        <is>
          <t>strive to reach</t>
        </is>
      </c>
      <c r="D528" s="113" t="inlineStr">
        <is>
          <t>300 million kilowatts</t>
        </is>
      </c>
      <c r="E528" s="113" t="n"/>
      <c r="F528" s="114" t="n">
        <v>2030</v>
      </c>
      <c r="G528" s="113" t="inlineStr">
        <is>
          <t>r</t>
        </is>
      </c>
      <c r="H528" s="113" t="inlineStr">
        <is>
          <t>Renewable energy</t>
        </is>
      </c>
      <c r="I528" s="113" t="inlineStr">
        <is>
          <t>whole economy</t>
        </is>
      </c>
      <c r="J528" s="113" t="inlineStr">
        <is>
          <t>By 2030, pumped-storage installed capacity will reach around 160 million kilowatts, and new-type energy storage installed capacity will strive to reach 300 million kilowatts, ...</t>
        </is>
      </c>
      <c r="K528" s="113" t="inlineStr">
        <is>
          <t>HL2604.htm</t>
        </is>
      </c>
      <c r="L528" s="113" t="inlineStr">
        <is>
          <t>Energy|Power</t>
        </is>
      </c>
      <c r="M528" s="113" t="inlineStr">
        <is>
          <t>Energy consumption</t>
        </is>
      </c>
    </row>
    <row r="529">
      <c r="A529" s="113" t="n">
        <v>2026</v>
      </c>
      <c r="B529" s="113" t="inlineStr">
        <is>
          <t>national virtual power plant regulation capacity</t>
        </is>
      </c>
      <c r="C529" s="113" t="inlineStr">
        <is>
          <t>reach</t>
        </is>
      </c>
      <c r="D529" s="113" t="inlineStr">
        <is>
          <t>more than 50 million kilowatts</t>
        </is>
      </c>
      <c r="E529" s="113" t="n"/>
      <c r="F529" s="114" t="n">
        <v>2030</v>
      </c>
      <c r="G529" s="113" t="inlineStr">
        <is>
          <t>r</t>
        </is>
      </c>
      <c r="H529" s="113" t="inlineStr">
        <is>
          <t>Renewable energy</t>
        </is>
      </c>
      <c r="I529" s="113" t="inlineStr">
        <is>
          <t>whole economy</t>
        </is>
      </c>
      <c r="J529" s="113" t="inlineStr">
        <is>
          <t>...the maximum regulation capacity of virtual power plants nationwide will reach more than 50 million kilowatts, and power demand response capacity will reach more than 5% of maximum electricity load.</t>
        </is>
      </c>
      <c r="K529" s="113" t="inlineStr">
        <is>
          <t>HL2604.htm</t>
        </is>
      </c>
      <c r="L529" s="113" t="inlineStr">
        <is>
          <t>Energy|Power</t>
        </is>
      </c>
      <c r="M529" s="113" t="inlineStr">
        <is>
          <t>Energy consumption</t>
        </is>
      </c>
    </row>
    <row r="530">
      <c r="A530" s="113" t="n">
        <v>2026</v>
      </c>
      <c r="B530" s="113" t="inlineStr">
        <is>
          <t>share of demand response capacity in maximum electricity load</t>
        </is>
      </c>
      <c r="C530" s="113" t="inlineStr">
        <is>
          <t>reach</t>
        </is>
      </c>
      <c r="D530" s="113" t="inlineStr">
        <is>
          <t>more than 5%</t>
        </is>
      </c>
      <c r="E530" s="113" t="n"/>
      <c r="F530" s="114" t="n">
        <v>2030</v>
      </c>
      <c r="G530" s="113" t="inlineStr">
        <is>
          <t>n</t>
        </is>
      </c>
      <c r="H530" s="113" t="inlineStr">
        <is>
          <t>Renewable energy</t>
        </is>
      </c>
      <c r="I530" s="113" t="inlineStr">
        <is>
          <t>whole economy</t>
        </is>
      </c>
      <c r="J530" s="113" t="inlineStr">
        <is>
          <t>...power demand response capacity will reach more than 5% of maximum electricity load.</t>
        </is>
      </c>
      <c r="K530" s="113" t="inlineStr">
        <is>
          <t>HL2604.htm</t>
        </is>
      </c>
      <c r="L530" s="113" t="inlineStr">
        <is>
          <t>Energy|Power</t>
        </is>
      </c>
      <c r="M530" s="113" t="inlineStr">
        <is>
          <t>Energy consumption</t>
        </is>
      </c>
    </row>
    <row r="531">
      <c r="A531" s="113" t="n">
        <v>2026</v>
      </c>
      <c r="B531" s="113" t="inlineStr">
        <is>
          <t>energy consumption per unit of GDP</t>
        </is>
      </c>
      <c r="C531" s="113" t="inlineStr">
        <is>
          <t>reduce by</t>
        </is>
      </c>
      <c r="D531" s="113" t="inlineStr">
        <is>
          <t>around 10%</t>
        </is>
      </c>
      <c r="E531" s="113" t="n"/>
      <c r="F531" s="114" t="inlineStr">
        <is>
          <t>15th FYP</t>
        </is>
      </c>
      <c r="G531" s="113" t="inlineStr">
        <is>
          <t>n</t>
        </is>
      </c>
      <c r="H531" s="113" t="inlineStr">
        <is>
          <t>Energy efficiency</t>
        </is>
      </c>
      <c r="I531" s="113" t="inlineStr">
        <is>
          <t>whole economy</t>
        </is>
      </c>
      <c r="J531" s="113" t="inlineStr">
        <is>
          <t>...energy consumption per unit of GDP will be reduced by around 10%, with energy savings of more than 150 million tons of standard coal achieved through energy conservation and carbon reduction transformation of key industries.</t>
        </is>
      </c>
      <c r="K531" s="113" t="inlineStr">
        <is>
          <t>HL2604.htm</t>
        </is>
      </c>
      <c r="L531" s="113" t="inlineStr">
        <is>
          <t>Energy|Power</t>
        </is>
      </c>
      <c r="M531" s="113" t="inlineStr">
        <is>
          <t>Energy consumption</t>
        </is>
      </c>
    </row>
    <row r="532">
      <c r="A532" s="113" t="n">
        <v>2026</v>
      </c>
      <c r="B532" s="113" t="inlineStr">
        <is>
          <t>energy savings from energy conservation and carbon reduction transformation in key industries</t>
        </is>
      </c>
      <c r="C532" s="113" t="inlineStr">
        <is>
          <t>achieve</t>
        </is>
      </c>
      <c r="D532" s="113" t="inlineStr">
        <is>
          <t>more than 150 million tons of standard coal</t>
        </is>
      </c>
      <c r="E532" s="113" t="n"/>
      <c r="F532" s="114" t="inlineStr">
        <is>
          <t>15th FYP</t>
        </is>
      </c>
      <c r="G532" s="113" t="inlineStr">
        <is>
          <t>r</t>
        </is>
      </c>
      <c r="H532" s="113" t="inlineStr">
        <is>
          <t>Energy saving</t>
        </is>
      </c>
      <c r="I532" s="113" t="inlineStr">
        <is>
          <t>whole economy</t>
        </is>
      </c>
      <c r="J532" s="113" t="inlineStr">
        <is>
          <t>...energy savings of more than 150 million tons of standard coal will be achieved through energy conservation and carbon reduction transformation of key industries.</t>
        </is>
      </c>
      <c r="K532" s="113" t="inlineStr">
        <is>
          <t>HL2604.htm</t>
        </is>
      </c>
      <c r="L532" s="113" t="inlineStr">
        <is>
          <t>Energy|Power</t>
        </is>
      </c>
      <c r="M532" s="113" t="inlineStr">
        <is>
          <t>Energy consumption</t>
        </is>
      </c>
    </row>
    <row r="533">
      <c r="A533" s="113" t="n">
        <v>2026</v>
      </c>
      <c r="B533" s="113" t="inlineStr">
        <is>
          <t>share of large modern coal mine production capacity</t>
        </is>
      </c>
      <c r="C533" s="113" t="inlineStr">
        <is>
          <t>increase to</t>
        </is>
      </c>
      <c r="D533" s="113" t="inlineStr">
        <is>
          <t>87%</t>
        </is>
      </c>
      <c r="E533" s="113" t="n"/>
      <c r="F533" s="114" t="n">
        <v>2030</v>
      </c>
      <c r="G533" s="113" t="inlineStr">
        <is>
          <t>n</t>
        </is>
      </c>
      <c r="H533" s="113" t="inlineStr">
        <is>
          <t>Coal-related</t>
        </is>
      </c>
      <c r="I533" s="113" t="inlineStr">
        <is>
          <t>sectors</t>
        </is>
      </c>
      <c r="J533" s="113" t="inlineStr">
        <is>
          <t>...the share of large modern coal mine production capacity nationwide will increase to 87%;</t>
        </is>
      </c>
      <c r="K533" s="113" t="inlineStr">
        <is>
          <t>FYP2611.pdf</t>
        </is>
      </c>
      <c r="L533" s="113" t="inlineStr">
        <is>
          <t>Energy|Power</t>
        </is>
      </c>
      <c r="M533" s="113" t="inlineStr">
        <is>
          <t>Power transmission/Energy transportation</t>
        </is>
      </c>
    </row>
    <row r="534">
      <c r="A534" s="0" t="n">
        <v>2026</v>
      </c>
      <c r="B534" s="0" t="inlineStr">
        <is>
          <t>share of intelligent coal mine production capacity</t>
        </is>
      </c>
      <c r="C534" s="0" t="inlineStr">
        <is>
          <t>increase to</t>
        </is>
      </c>
      <c r="D534" s="0" t="inlineStr">
        <is>
          <t>75%</t>
        </is>
      </c>
      <c r="F534" s="0" t="n">
        <v>2030</v>
      </c>
      <c r="G534" s="0" t="inlineStr">
        <is>
          <t>n</t>
        </is>
      </c>
      <c r="H534" s="0" t="inlineStr">
        <is>
          <t>Coal-related</t>
        </is>
      </c>
      <c r="I534" s="0" t="inlineStr">
        <is>
          <t>sectors</t>
        </is>
      </c>
      <c r="J534" s="0" t="inlineStr">
        <is>
          <t>...the share of intelligent coal mine production capacity will increase to 75%;</t>
        </is>
      </c>
      <c r="K534" s="0" t="inlineStr">
        <is>
          <t>FYP2611.pdf</t>
        </is>
      </c>
      <c r="L534" s="0" t="inlineStr">
        <is>
          <t>Energy|Power</t>
        </is>
      </c>
      <c r="M534" s="0" t="inlineStr">
        <is>
          <t>Power supply</t>
        </is>
      </c>
    </row>
    <row r="535">
      <c r="A535" s="0" t="n">
        <v>2026</v>
      </c>
      <c r="B535" s="0" t="inlineStr">
        <is>
          <t>share of output of the five major coal supply guarantee bases in national total</t>
        </is>
      </c>
      <c r="C535" s="0" t="inlineStr">
        <is>
          <t>exceed</t>
        </is>
      </c>
      <c r="D535" s="0" t="inlineStr">
        <is>
          <t>80%</t>
        </is>
      </c>
      <c r="F535" s="0" t="n">
        <v>2030</v>
      </c>
      <c r="G535" s="0" t="inlineStr">
        <is>
          <t>r</t>
        </is>
      </c>
      <c r="H535" s="0" t="inlineStr">
        <is>
          <t>Coal-related</t>
        </is>
      </c>
      <c r="I535" s="0" t="inlineStr">
        <is>
          <t>whole economy</t>
        </is>
      </c>
      <c r="J535" s="0" t="inlineStr">
        <is>
          <t>...by 2030, the output of the five major coal supply guarantee bases will exceed 80% of the national total.</t>
        </is>
      </c>
      <c r="K535" s="0" t="inlineStr">
        <is>
          <t>FYP2611.pdf</t>
        </is>
      </c>
      <c r="L535" s="0" t="inlineStr">
        <is>
          <t>Energy|Power</t>
        </is>
      </c>
      <c r="M535" s="0" t="inlineStr">
        <is>
          <t>Power supply</t>
        </is>
      </c>
    </row>
    <row r="536">
      <c r="A536" s="0" t="n">
        <v>2026</v>
      </c>
      <c r="B536" s="0" t="inlineStr">
        <is>
          <t>coal production capacity reserve</t>
        </is>
      </c>
      <c r="C536" s="0" t="inlineStr">
        <is>
          <t>build</t>
        </is>
      </c>
      <c r="D536" s="0" t="inlineStr">
        <is>
          <t>more than 100 million tons per year</t>
        </is>
      </c>
      <c r="F536" s="0" t="n">
        <v>2030</v>
      </c>
      <c r="G536" s="0" t="inlineStr">
        <is>
          <t>r</t>
        </is>
      </c>
      <c r="H536" s="0" t="inlineStr">
        <is>
          <t>Coal-related</t>
        </is>
      </c>
      <c r="I536" s="0" t="inlineStr">
        <is>
          <t>whole economy</t>
        </is>
      </c>
      <c r="J536" s="0" t="inlineStr">
        <is>
          <t>...by 2030, a coal production capacity reserve of more than 100 million tons per year will be built.</t>
        </is>
      </c>
      <c r="K536" s="0" t="inlineStr">
        <is>
          <t>FYP2611.pdf</t>
        </is>
      </c>
      <c r="L536" s="0" t="inlineStr">
        <is>
          <t>Energy|Power</t>
        </is>
      </c>
      <c r="M536" s="0" t="inlineStr">
        <is>
          <t>Power supply</t>
        </is>
      </c>
    </row>
    <row r="537">
      <c r="A537" s="0" t="n">
        <v>2026</v>
      </c>
      <c r="B537" s="0" t="inlineStr">
        <is>
          <t>share of non-fossil energy in total electricity generation</t>
        </is>
      </c>
      <c r="C537" s="0" t="inlineStr">
        <is>
          <t>reach</t>
        </is>
      </c>
      <c r="D537" s="0" t="inlineStr">
        <is>
          <t>50%</t>
        </is>
      </c>
      <c r="F537" s="0" t="n">
        <v>2030</v>
      </c>
      <c r="G537" s="0" t="inlineStr">
        <is>
          <t>r</t>
        </is>
      </c>
      <c r="H537" s="0" t="inlineStr">
        <is>
          <t>Renewable energy</t>
        </is>
      </c>
      <c r="I537" s="0" t="inlineStr">
        <is>
          <t>whole economy</t>
        </is>
      </c>
      <c r="J537" s="0" t="inlineStr">
        <is>
          <t>By 2030, the new power system will be initially built: a green and low-carbon power supply structure will basically take shape, and the share of non-fossil electricity generation will reach 50%;</t>
        </is>
      </c>
      <c r="K537" s="0" t="inlineStr">
        <is>
          <t>FYP2612.pdf</t>
        </is>
      </c>
      <c r="L537" s="0" t="inlineStr">
        <is>
          <t>Energy|Power</t>
        </is>
      </c>
      <c r="M537" s="0" t="inlineStr">
        <is>
          <t>Other</t>
        </is>
      </c>
    </row>
    <row r="538">
      <c r="A538" s="113" t="n">
        <v>2026</v>
      </c>
      <c r="B538" s="113" t="inlineStr">
        <is>
          <t>scale of high-level new energy consumption</t>
        </is>
      </c>
      <c r="C538" s="113" t="inlineStr">
        <is>
          <t>achieve</t>
        </is>
      </c>
      <c r="D538" s="113" t="inlineStr">
        <is>
          <t>more than 2.8 billion kilowatts</t>
        </is>
      </c>
      <c r="E538" s="113" t="n"/>
      <c r="F538" s="114" t="n">
        <v>2030</v>
      </c>
      <c r="G538" s="113" t="inlineStr">
        <is>
          <t>n</t>
        </is>
      </c>
      <c r="H538" s="113" t="inlineStr">
        <is>
          <t>Renewable energy</t>
        </is>
      </c>
      <c r="I538" s="113" t="inlineStr">
        <is>
          <t>whole economy</t>
        </is>
      </c>
      <c r="J538" s="113" t="inlineStr">
        <is>
          <t>...high-level consumption of more than 2.8 billion kilowatts of new energy will be achieved, and a charging infrastructure network supporting the travel of more than 110 million electric vehicles will be built;</t>
        </is>
      </c>
      <c r="K538" s="113" t="inlineStr">
        <is>
          <t>FYP2612.pdf</t>
        </is>
      </c>
      <c r="L538" s="113" t="inlineStr">
        <is>
          <t>Energy|Power</t>
        </is>
      </c>
      <c r="M538" s="113" t="inlineStr">
        <is>
          <t>Power supply</t>
        </is>
      </c>
    </row>
    <row r="539">
      <c r="A539" s="0" t="n">
        <v>2026</v>
      </c>
      <c r="B539" s="0" t="inlineStr">
        <is>
          <t>electric vehicle scale supported by the charging infrastructure network</t>
        </is>
      </c>
      <c r="C539" s="0" t="inlineStr">
        <is>
          <t>build</t>
        </is>
      </c>
      <c r="D539" s="0" t="inlineStr">
        <is>
          <t>over 110 million vehicles</t>
        </is>
      </c>
      <c r="F539" s="0" t="n">
        <v>2030</v>
      </c>
      <c r="G539" s="0" t="inlineStr">
        <is>
          <t>n</t>
        </is>
      </c>
      <c r="H539" s="0" t="inlineStr">
        <is>
          <t>Green transportation</t>
        </is>
      </c>
      <c r="I539" s="0" t="inlineStr">
        <is>
          <t>whole economy</t>
        </is>
      </c>
      <c r="J539" s="0" t="inlineStr">
        <is>
          <t>...a charging infrastructure network supporting the travel of more than 110 million electric vehicles will be built;</t>
        </is>
      </c>
      <c r="K539" s="0" t="inlineStr">
        <is>
          <t>FYP2612.pdf</t>
        </is>
      </c>
      <c r="L539" s="0" t="inlineStr">
        <is>
          <t>Energy|Power</t>
        </is>
      </c>
      <c r="M539" s="0" t="inlineStr">
        <is>
          <t>Energy consumption</t>
        </is>
      </c>
    </row>
    <row r="540">
      <c r="A540" s="113" t="n">
        <v>2026</v>
      </c>
      <c r="B540" s="113" t="inlineStr">
        <is>
          <t>share of electricity in final energy consumption</t>
        </is>
      </c>
      <c r="C540" s="113" t="inlineStr">
        <is>
          <t>reach</t>
        </is>
      </c>
      <c r="D540" s="113" t="inlineStr">
        <is>
          <t>35%</t>
        </is>
      </c>
      <c r="E540" s="113" t="inlineStr">
        <is>
          <t>30% (2025)</t>
        </is>
      </c>
      <c r="F540" s="114" t="n">
        <v>2030</v>
      </c>
      <c r="G540" s="113" t="inlineStr">
        <is>
          <t>s/l-POS</t>
        </is>
      </c>
      <c r="H540" s="113" t="inlineStr">
        <is>
          <t>Electrification</t>
        </is>
      </c>
      <c r="I540" s="113" t="inlineStr">
        <is>
          <t>whole economy</t>
        </is>
      </c>
      <c r="J540" s="113" t="inlineStr">
        <is>
          <t>By 2030, the share of electricity in final energy consumption will reach 35%.</t>
        </is>
      </c>
      <c r="K540" s="113" t="inlineStr">
        <is>
          <t>FYP2612.pdf</t>
        </is>
      </c>
      <c r="L540" s="113" t="inlineStr">
        <is>
          <t>Energy|Power</t>
        </is>
      </c>
      <c r="M540" s="113" t="inlineStr">
        <is>
          <t>Coal power</t>
        </is>
      </c>
    </row>
    <row r="541">
      <c r="A541" s="113" t="n">
        <v>2026</v>
      </c>
      <c r="B541" s="113" t="inlineStr">
        <is>
          <t>share of non-fossil energy in total installed power generation capacity</t>
        </is>
      </c>
      <c r="C541" s="113" t="inlineStr">
        <is>
          <t>reach</t>
        </is>
      </c>
      <c r="D541" s="113" t="inlineStr">
        <is>
          <t>65%</t>
        </is>
      </c>
      <c r="E541" s="113" t="inlineStr">
        <is>
          <t>61.7% (2025)</t>
        </is>
      </c>
      <c r="F541" s="114" t="n">
        <v>2030</v>
      </c>
      <c r="G541" s="113" t="inlineStr">
        <is>
          <t>n</t>
        </is>
      </c>
      <c r="H541" s="113" t="inlineStr">
        <is>
          <t>Renewable energy</t>
        </is>
      </c>
      <c r="I541" s="113" t="inlineStr">
        <is>
          <t>whole economy</t>
        </is>
      </c>
      <c r="J541" s="113" t="inlineStr">
        <is>
          <t>Indicator table: share of non-fossil energy in total installed power generation capacity, 61.7% in 2025 and 65% in 2030, indicative.</t>
        </is>
      </c>
      <c r="K541" s="113" t="inlineStr">
        <is>
          <t>FYP2612.pdf</t>
        </is>
      </c>
      <c r="L541" s="113" t="inlineStr">
        <is>
          <t>Energy|Power</t>
        </is>
      </c>
      <c r="M541" s="113" t="inlineStr">
        <is>
          <t>Coal power</t>
        </is>
      </c>
    </row>
    <row r="542">
      <c r="A542" s="113" t="n">
        <v>2026</v>
      </c>
      <c r="B542" s="113" t="inlineStr">
        <is>
          <t>share of demand response capacity in maximum electricity load</t>
        </is>
      </c>
      <c r="C542" s="113" t="inlineStr">
        <is>
          <t>exceed</t>
        </is>
      </c>
      <c r="D542" s="113" t="inlineStr">
        <is>
          <t>more than 5%</t>
        </is>
      </c>
      <c r="E542" s="113" t="inlineStr">
        <is>
          <t>more than 3% (2025)</t>
        </is>
      </c>
      <c r="F542" s="114" t="n">
        <v>2030</v>
      </c>
      <c r="G542" s="113" t="inlineStr">
        <is>
          <t>r</t>
        </is>
      </c>
      <c r="H542" s="113" t="inlineStr">
        <is>
          <t>Renewable energy</t>
        </is>
      </c>
      <c r="I542" s="113" t="inlineStr">
        <is>
          <t>whole economy</t>
        </is>
      </c>
      <c r="J542" s="113" t="inlineStr">
        <is>
          <t>Indicator table: demand-side peak-shaving capacity as a share of maximum load, more than 3% in 2025 and more than 5% in 2030, indicative.</t>
        </is>
      </c>
      <c r="K542" s="113" t="inlineStr">
        <is>
          <t>FYP2612.pdf</t>
        </is>
      </c>
      <c r="L542" s="113" t="inlineStr">
        <is>
          <t>Energy|Power</t>
        </is>
      </c>
      <c r="M542" s="113" t="inlineStr">
        <is>
          <t>Coal power</t>
        </is>
      </c>
    </row>
    <row r="543">
      <c r="A543" s="113" t="n">
        <v>2026</v>
      </c>
      <c r="B543" s="113" t="inlineStr">
        <is>
          <t>national new energy utilization rate</t>
        </is>
      </c>
      <c r="C543" s="113" t="inlineStr">
        <is>
          <t>remain at</t>
        </is>
      </c>
      <c r="D543" s="113" t="inlineStr">
        <is>
          <t>around 90%</t>
        </is>
      </c>
      <c r="E543" s="113" t="n"/>
      <c r="F543" s="114" t="n">
        <v>2030</v>
      </c>
      <c r="G543" s="113" t="inlineStr">
        <is>
          <t>n</t>
        </is>
      </c>
      <c r="H543" s="113" t="inlineStr">
        <is>
          <t>Renewable energy</t>
        </is>
      </c>
      <c r="I543" s="113" t="inlineStr">
        <is>
          <t>whole economy</t>
        </is>
      </c>
      <c r="J543" s="113" t="inlineStr">
        <is>
          <t>The development layout of new energy will be optimized, keeping the national new energy utilization rate at around 90% to support the non-fossil energy consumption share target.</t>
        </is>
      </c>
      <c r="K543" s="113" t="inlineStr">
        <is>
          <t>FYP2612.pdf</t>
        </is>
      </c>
      <c r="L543" s="113" t="inlineStr">
        <is>
          <t>Energy|Power</t>
        </is>
      </c>
      <c r="M543" s="113" t="inlineStr">
        <is>
          <t>Coal power</t>
        </is>
      </c>
    </row>
    <row r="544">
      <c r="A544" s="113" t="n">
        <v>2026</v>
      </c>
      <c r="B544" s="113" t="inlineStr">
        <is>
          <t>installed capacity of conventional hydropower</t>
        </is>
      </c>
      <c r="C544" s="113" t="inlineStr">
        <is>
          <t>reach</t>
        </is>
      </c>
      <c r="D544" s="113" t="inlineStr">
        <is>
          <t>around 410 million kilowatts</t>
        </is>
      </c>
      <c r="E544" s="113" t="n"/>
      <c r="F544" s="114" t="n">
        <v>2030</v>
      </c>
      <c r="G544" s="113" t="inlineStr">
        <is>
          <t>r</t>
        </is>
      </c>
      <c r="H544" s="113" t="inlineStr">
        <is>
          <t>Renewable energy</t>
        </is>
      </c>
      <c r="I544" s="113" t="inlineStr">
        <is>
          <t>whole economy</t>
        </is>
      </c>
      <c r="J544" s="113" t="inlineStr">
        <is>
          <t>By 2030, conventional hydropower installed capacity will reach around 410 million kilowatts.</t>
        </is>
      </c>
      <c r="K544" s="113" t="inlineStr">
        <is>
          <t>FYP2612.pdf</t>
        </is>
      </c>
      <c r="L544" s="113" t="inlineStr">
        <is>
          <t>Energy|Power</t>
        </is>
      </c>
      <c r="M544" s="113" t="inlineStr">
        <is>
          <t>Coal power</t>
        </is>
      </c>
    </row>
    <row r="545">
      <c r="A545" s="113" t="n">
        <v>2026</v>
      </c>
      <c r="B545" s="113" t="inlineStr">
        <is>
          <t>installed capacity of biomass, solar thermal, geothermal, ocean and other power generation</t>
        </is>
      </c>
      <c r="C545" s="113" t="inlineStr">
        <is>
          <t>reach</t>
        </is>
      </c>
      <c r="D545" s="113" t="inlineStr">
        <is>
          <t>around 65 million kilowatts</t>
        </is>
      </c>
      <c r="E545" s="113" t="n"/>
      <c r="F545" s="114" t="n">
        <v>2030</v>
      </c>
      <c r="G545" s="113" t="inlineStr">
        <is>
          <t>n</t>
        </is>
      </c>
      <c r="H545" s="113" t="inlineStr">
        <is>
          <t>Renewable energy</t>
        </is>
      </c>
      <c r="I545" s="113" t="inlineStr">
        <is>
          <t>whole economy</t>
        </is>
      </c>
      <c r="J545" s="113" t="inlineStr">
        <is>
          <t>By 2030, the installed capacity of biomass, solar thermal, geothermal, ocean and other power generation will reach around 65 million kilowatts.</t>
        </is>
      </c>
      <c r="K545" s="113" t="inlineStr">
        <is>
          <t>FYP2612.pdf</t>
        </is>
      </c>
      <c r="L545" s="113" t="inlineStr">
        <is>
          <t>Energy|Power</t>
        </is>
      </c>
      <c r="M545" s="113" t="inlineStr">
        <is>
          <t>Coal power</t>
        </is>
      </c>
    </row>
    <row r="546">
      <c r="A546" s="113" t="n">
        <v>2026</v>
      </c>
      <c r="B546" s="113" t="inlineStr">
        <is>
          <t>increase in coal consumption under low-load operating conditions</t>
        </is>
      </c>
      <c r="C546" s="113" t="inlineStr">
        <is>
          <t>control within</t>
        </is>
      </c>
      <c r="D546" s="113" t="inlineStr">
        <is>
          <t>25%</t>
        </is>
      </c>
      <c r="E546" s="113" t="n"/>
      <c r="F546" s="114" t="n">
        <v>2030</v>
      </c>
      <c r="G546" s="113" t="inlineStr">
        <is>
          <t>n</t>
        </is>
      </c>
      <c r="H546" s="113" t="inlineStr">
        <is>
          <t>Coal-related</t>
        </is>
      </c>
      <c r="I546" s="113" t="inlineStr">
        <is>
          <t>enterprises</t>
        </is>
      </c>
      <c r="J546" s="113" t="inlineStr">
        <is>
          <t>(5) Energy conservation and carbon reduction of coal power will be actively promoted: existing coal power units will be retrofitted for high-efficiency operation across wide load ranges, with the increase in coal consumption under low-load operating conditions controlled within 25%.</t>
        </is>
      </c>
      <c r="K546" s="113" t="inlineStr">
        <is>
          <t>FYP2612.pdf</t>
        </is>
      </c>
      <c r="L546" s="113" t="inlineStr">
        <is>
          <t>Energy|Power</t>
        </is>
      </c>
      <c r="M546" s="113" t="inlineStr">
        <is>
          <t>Coal power</t>
        </is>
      </c>
    </row>
    <row r="547">
      <c r="A547" s="113" t="n">
        <v>2026</v>
      </c>
      <c r="B547" s="113" t="inlineStr">
        <is>
          <t>west-to-east power transmission capacity</t>
        </is>
      </c>
      <c r="C547" s="113" t="inlineStr">
        <is>
          <t>exceed</t>
        </is>
      </c>
      <c r="D547" s="113" t="inlineStr">
        <is>
          <t>420 million kilowatts</t>
        </is>
      </c>
      <c r="E547" s="113" t="n"/>
      <c r="F547" s="114" t="n">
        <v>2030</v>
      </c>
      <c r="G547" s="113" t="inlineStr">
        <is>
          <t>r</t>
        </is>
      </c>
      <c r="H547" s="113" t="inlineStr">
        <is>
          <t>Renewable energy</t>
        </is>
      </c>
      <c r="I547" s="113" t="inlineStr">
        <is>
          <t>whole economy</t>
        </is>
      </c>
      <c r="J547" s="113" t="inlineStr">
        <is>
          <t>By 2030, the scale of west-to-east power transmission will exceed 420 million kilowatts.</t>
        </is>
      </c>
      <c r="K547" s="113" t="inlineStr">
        <is>
          <t>FYP2612.pdf</t>
        </is>
      </c>
      <c r="L547" s="113" t="inlineStr">
        <is>
          <t>Energy|Power</t>
        </is>
      </c>
      <c r="M547" s="113" t="inlineStr">
        <is>
          <t>Coal power</t>
        </is>
      </c>
    </row>
    <row r="548">
      <c r="A548" s="113" t="n">
        <v>2026</v>
      </c>
      <c r="B548" s="113" t="inlineStr">
        <is>
          <t>carrying capacity of distribution grids for distributed new energy integration</t>
        </is>
      </c>
      <c r="C548" s="113" t="inlineStr">
        <is>
          <t>reach</t>
        </is>
      </c>
      <c r="D548" s="113" t="inlineStr">
        <is>
          <t>900 million kilowatts</t>
        </is>
      </c>
      <c r="E548" s="113" t="n"/>
      <c r="F548" s="114" t="n">
        <v>2030</v>
      </c>
      <c r="G548" s="113" t="inlineStr">
        <is>
          <t>r</t>
        </is>
      </c>
      <c r="H548" s="113" t="inlineStr">
        <is>
          <t>Renewable energy</t>
        </is>
      </c>
      <c r="I548" s="113" t="inlineStr">
        <is>
          <t>whole economy</t>
        </is>
      </c>
      <c r="J548" s="113" t="inlineStr">
        <is>
          <t>The comprehensive carrying capacity of distribution grids will be enhanced and their regulation capacity improved to support the integration and safe and stable operation of 900 million kilowatts of distributed new energy.</t>
        </is>
      </c>
      <c r="K548" s="113" t="inlineStr">
        <is>
          <t>FYP2612.pdf</t>
        </is>
      </c>
      <c r="L548" s="113" t="inlineStr">
        <is>
          <t>Energy|Power</t>
        </is>
      </c>
      <c r="M548" s="113" t="inlineStr">
        <is>
          <t>Power transmission/Energy transportation</t>
        </is>
      </c>
    </row>
    <row r="549">
      <c r="A549" s="113" t="n">
        <v>2026</v>
      </c>
      <c r="B549" s="113" t="inlineStr">
        <is>
          <t>total charging infrastructure</t>
        </is>
      </c>
      <c r="C549" s="113" t="inlineStr">
        <is>
          <t>exceed</t>
        </is>
      </c>
      <c r="D549" s="113" t="inlineStr">
        <is>
          <t>40 million</t>
        </is>
      </c>
      <c r="E549" s="113" t="n"/>
      <c r="F549" s="114" t="n">
        <v>2030</v>
      </c>
      <c r="G549" s="113" t="inlineStr">
        <is>
          <t>r</t>
        </is>
      </c>
      <c r="H549" s="113" t="inlineStr">
        <is>
          <t>Green transportation</t>
        </is>
      </c>
      <c r="I549" s="113" t="inlineStr">
        <is>
          <t>whole economy</t>
        </is>
      </c>
      <c r="J549" s="113" t="inlineStr">
        <is>
          <t>By 2030, the total number of charging facilities will exceed 40 million, including about 300,000 high-power charging facilities, forming charging service capacity supporting more than 110 million electric vehicles.</t>
        </is>
      </c>
      <c r="K549" s="113" t="inlineStr">
        <is>
          <t>FYP2612.pdf</t>
        </is>
      </c>
      <c r="L549" s="113" t="inlineStr">
        <is>
          <t>Energy|Power</t>
        </is>
      </c>
      <c r="M549" s="113" t="inlineStr">
        <is>
          <t>Power transmission/Energy transportation</t>
        </is>
      </c>
    </row>
    <row r="550">
      <c r="A550" s="113" t="n">
        <v>2026</v>
      </c>
      <c r="B550" s="113" t="inlineStr">
        <is>
          <t>number of high-power charging facilities</t>
        </is>
      </c>
      <c r="C550" s="113" t="inlineStr">
        <is>
          <t>reach</t>
        </is>
      </c>
      <c r="D550" s="113" t="inlineStr">
        <is>
          <t>around 300,000</t>
        </is>
      </c>
      <c r="E550" s="113" t="n"/>
      <c r="F550" s="114" t="n">
        <v>2030</v>
      </c>
      <c r="G550" s="113" t="inlineStr">
        <is>
          <t>n</t>
        </is>
      </c>
      <c r="H550" s="113" t="inlineStr">
        <is>
          <t>Green transportation</t>
        </is>
      </c>
      <c r="I550" s="113" t="inlineStr">
        <is>
          <t>enterprises</t>
        </is>
      </c>
      <c r="J550" s="113" t="inlineStr">
        <is>
          <t>By 2030, the total number of charging facilities will exceed 40 million, including about 300,000 high-power charging facilities, ...</t>
        </is>
      </c>
      <c r="K550" s="113" t="inlineStr">
        <is>
          <t>FYP2612.pdf</t>
        </is>
      </c>
      <c r="L550" s="113" t="inlineStr">
        <is>
          <t>Energy|Power</t>
        </is>
      </c>
      <c r="M550" s="113" t="inlineStr">
        <is>
          <t>Coal power</t>
        </is>
      </c>
    </row>
    <row r="551">
      <c r="A551" s="113" t="n">
        <v>2026</v>
      </c>
      <c r="B551" s="113" t="inlineStr">
        <is>
          <t>national demand-side peak-shaving capacity</t>
        </is>
      </c>
      <c r="C551" s="113" t="inlineStr">
        <is>
          <t>exceed</t>
        </is>
      </c>
      <c r="D551" s="113" t="inlineStr">
        <is>
          <t>100 million kilowatts</t>
        </is>
      </c>
      <c r="E551" s="113" t="n"/>
      <c r="F551" s="114" t="n">
        <v>2030</v>
      </c>
      <c r="G551" s="113" t="inlineStr">
        <is>
          <t>n</t>
        </is>
      </c>
      <c r="H551" s="113" t="inlineStr">
        <is>
          <t>Renewable energy</t>
        </is>
      </c>
      <c r="I551" s="113" t="inlineStr">
        <is>
          <t>whole economy</t>
        </is>
      </c>
      <c r="J551" s="113" t="inlineStr">
        <is>
          <t>By 2030, the national demand-side peak-shaving capacity will exceed 100 million kilowatts.</t>
        </is>
      </c>
      <c r="K551" s="113" t="inlineStr">
        <is>
          <t>FYP2612.pdf</t>
        </is>
      </c>
      <c r="L551" s="113" t="inlineStr">
        <is>
          <t>Energy|Power</t>
        </is>
      </c>
      <c r="M551" s="113" t="inlineStr">
        <is>
          <t>Coal power</t>
        </is>
      </c>
    </row>
    <row r="552">
      <c r="A552" s="113" t="n">
        <v>2026</v>
      </c>
      <c r="B552" s="113" t="inlineStr">
        <is>
          <t>national virtual power plant regulation capacity</t>
        </is>
      </c>
      <c r="C552" s="113" t="inlineStr">
        <is>
          <t>exceed</t>
        </is>
      </c>
      <c r="D552" s="113" t="inlineStr">
        <is>
          <t>50 million kilowatts</t>
        </is>
      </c>
      <c r="E552" s="113" t="n"/>
      <c r="F552" s="114" t="n">
        <v>2030</v>
      </c>
      <c r="G552" s="113" t="inlineStr">
        <is>
          <t>r</t>
        </is>
      </c>
      <c r="H552" s="113" t="inlineStr">
        <is>
          <t>Renewable energy</t>
        </is>
      </c>
      <c r="I552" s="113" t="inlineStr">
        <is>
          <t>whole economy</t>
        </is>
      </c>
      <c r="J552" s="113" t="inlineStr">
        <is>
          <t>By 2030, the maximum regulation capacity of virtual power plants will exceed 50 million kilowatts.</t>
        </is>
      </c>
      <c r="K552" s="113" t="inlineStr">
        <is>
          <t>FYP2612.pdf</t>
        </is>
      </c>
      <c r="L552" s="113" t="inlineStr">
        <is>
          <t>Energy|Power</t>
        </is>
      </c>
      <c r="M552" s="113" t="inlineStr">
        <is>
          <t>Coal power</t>
        </is>
      </c>
    </row>
    <row r="553">
      <c r="A553" s="113" t="n">
        <v>2026</v>
      </c>
      <c r="B553" s="113" t="inlineStr">
        <is>
          <t>installed capacity of pumped-storage hydropower</t>
        </is>
      </c>
      <c r="C553" s="113" t="inlineStr">
        <is>
          <t>reach</t>
        </is>
      </c>
      <c r="D553" s="113" t="inlineStr">
        <is>
          <t>around 160 million kilowatts</t>
        </is>
      </c>
      <c r="E553" s="113" t="n"/>
      <c r="F553" s="114" t="n">
        <v>2030</v>
      </c>
      <c r="G553" s="113" t="inlineStr">
        <is>
          <t>r</t>
        </is>
      </c>
      <c r="H553" s="113" t="inlineStr">
        <is>
          <t>Renewable energy</t>
        </is>
      </c>
      <c r="I553" s="113" t="inlineStr">
        <is>
          <t>whole economy</t>
        </is>
      </c>
      <c r="J553" s="113" t="inlineStr">
        <is>
          <t>By 2030, the national pumped-storage installed capacity will reach around 160 million kilowatts.</t>
        </is>
      </c>
      <c r="K553" s="113" t="inlineStr">
        <is>
          <t>FYP2612.pdf</t>
        </is>
      </c>
      <c r="L553" s="113" t="inlineStr">
        <is>
          <t>Energy|Power</t>
        </is>
      </c>
      <c r="M553" s="113" t="inlineStr">
        <is>
          <t>Power supply</t>
        </is>
      </c>
    </row>
    <row r="554">
      <c r="A554" s="113" t="n">
        <v>2026</v>
      </c>
      <c r="B554" s="113" t="inlineStr">
        <is>
          <t>new-type energy storage added during the 15th FYP period</t>
        </is>
      </c>
      <c r="C554" s="113" t="inlineStr">
        <is>
          <t>reach</t>
        </is>
      </c>
      <c r="D554" s="113" t="inlineStr">
        <is>
          <t>around 160 million kilowatts</t>
        </is>
      </c>
      <c r="E554" s="113" t="n"/>
      <c r="F554" s="114" t="inlineStr">
        <is>
          <t>15th FYP</t>
        </is>
      </c>
      <c r="G554" s="113" t="inlineStr">
        <is>
          <t>n</t>
        </is>
      </c>
      <c r="H554" s="113" t="inlineStr">
        <is>
          <t>Renewable energy</t>
        </is>
      </c>
      <c r="I554" s="113" t="inlineStr">
        <is>
          <t>whole economy</t>
        </is>
      </c>
      <c r="J554" s="113" t="inlineStr">
        <is>
          <t>Around 160 million kilowatts of new-type energy storage will be added during the 15th FYP period, with the national new-type energy storage capacity reaching 300 million kilowatts by 2030.</t>
        </is>
      </c>
      <c r="K554" s="113" t="inlineStr">
        <is>
          <t>FYP2612.pdf</t>
        </is>
      </c>
      <c r="L554" s="113" t="inlineStr">
        <is>
          <t>Energy|Power</t>
        </is>
      </c>
      <c r="M554" s="113" t="inlineStr">
        <is>
          <t>Power supply</t>
        </is>
      </c>
    </row>
    <row r="555">
      <c r="A555" s="113" t="n">
        <v>2026</v>
      </c>
      <c r="B555" s="113" t="inlineStr">
        <is>
          <t>installed capacity of new-type energy storage</t>
        </is>
      </c>
      <c r="C555" s="113" t="inlineStr">
        <is>
          <t>reach</t>
        </is>
      </c>
      <c r="D555" s="113" t="inlineStr">
        <is>
          <t>300 million kilowatts</t>
        </is>
      </c>
      <c r="E555" s="113" t="n"/>
      <c r="F555" s="114" t="n">
        <v>2030</v>
      </c>
      <c r="G555" s="113" t="inlineStr">
        <is>
          <t>r</t>
        </is>
      </c>
      <c r="H555" s="113" t="inlineStr">
        <is>
          <t>Renewable energy</t>
        </is>
      </c>
      <c r="I555" s="113" t="inlineStr">
        <is>
          <t>whole economy</t>
        </is>
      </c>
      <c r="J555" s="113" t="inlineStr">
        <is>
          <t>Around 160 million kilowatts of new-type energy storage will be added during the 15th FYP period, with the national new-type energy storage capacity reaching 300 million kilowatts by 2030.</t>
        </is>
      </c>
      <c r="K555" s="113" t="inlineStr">
        <is>
          <t>FYP2612.pdf</t>
        </is>
      </c>
      <c r="L555" s="113" t="inlineStr">
        <is>
          <t>Energy|Power</t>
        </is>
      </c>
      <c r="M555" s="113" t="inlineStr">
        <is>
          <t>Power supply</t>
        </is>
      </c>
    </row>
    <row r="556">
      <c r="A556" s="113" t="n">
        <v>2026</v>
      </c>
      <c r="B556" s="113" t="inlineStr">
        <is>
          <t>minimum power output of cogeneration units</t>
        </is>
      </c>
      <c r="C556" s="113" t="inlineStr">
        <is>
          <t>reach</t>
        </is>
      </c>
      <c r="D556" s="113" t="inlineStr">
        <is>
          <t>below 40%</t>
        </is>
      </c>
      <c r="E556" s="113" t="n"/>
      <c r="F556" s="114" t="n">
        <v>2030</v>
      </c>
      <c r="G556" s="113" t="inlineStr">
        <is>
          <t>r</t>
        </is>
      </c>
      <c r="H556" s="113" t="inlineStr">
        <is>
          <t>Coal-related</t>
        </is>
      </c>
      <c r="I556" s="113" t="inlineStr">
        <is>
          <t>enterprises</t>
        </is>
      </c>
      <c r="J556" s="113" t="inlineStr">
        <is>
          <t>By 2030, flexibility retrofits of existing units will be carried out to the fullest extent possible, with the minimum power output of cogeneration units reaching below 40%, ...</t>
        </is>
      </c>
      <c r="K556" s="113" t="inlineStr">
        <is>
          <t>FYP2612.pdf</t>
        </is>
      </c>
      <c r="L556" s="113" t="inlineStr">
        <is>
          <t>Energy|Power</t>
        </is>
      </c>
      <c r="M556" s="113" t="inlineStr">
        <is>
          <t>Power supply</t>
        </is>
      </c>
    </row>
    <row r="557">
      <c r="A557" s="113" t="n">
        <v>2026</v>
      </c>
      <c r="B557" s="113" t="inlineStr">
        <is>
          <t>aggregated adjustable charging scale of vehicle-grid interaction</t>
        </is>
      </c>
      <c r="C557" s="113" t="inlineStr">
        <is>
          <t>strive to reach</t>
        </is>
      </c>
      <c r="D557" s="113" t="inlineStr">
        <is>
          <t>50 million kilowatts</t>
        </is>
      </c>
      <c r="E557" s="113" t="n"/>
      <c r="F557" s="114" t="n">
        <v>2030</v>
      </c>
      <c r="G557" s="113" t="inlineStr">
        <is>
          <t>r</t>
        </is>
      </c>
      <c r="H557" s="113" t="inlineStr">
        <is>
          <t>Renewable energy</t>
        </is>
      </c>
      <c r="I557" s="113" t="inlineStr">
        <is>
          <t>whole economy</t>
        </is>
      </c>
      <c r="J557" s="113" t="inlineStr">
        <is>
          <t>By 2030, intelligent orderly charging and bidirectional charging and discharging will be applied at scale, with the aggregated adjustable charging scale of vehicle-grid interaction striving to reach 50 million kilowatts.</t>
        </is>
      </c>
      <c r="K557" s="113" t="inlineStr">
        <is>
          <t>FYP2612.pdf</t>
        </is>
      </c>
      <c r="L557" s="113" t="inlineStr">
        <is>
          <t>Energy|Power</t>
        </is>
      </c>
      <c r="M557" s="113" t="inlineStr">
        <is>
          <t>Power supply</t>
        </is>
      </c>
    </row>
    <row r="558">
      <c r="A558" s="113" t="n">
        <v>2026</v>
      </c>
      <c r="B558" s="113" t="inlineStr">
        <is>
          <t>national power support level of non-fossil power sources</t>
        </is>
      </c>
      <c r="C558" s="113" t="inlineStr">
        <is>
          <t>reach</t>
        </is>
      </c>
      <c r="D558" s="113" t="inlineStr">
        <is>
          <t>around 40%</t>
        </is>
      </c>
      <c r="E558" s="113" t="n"/>
      <c r="F558" s="114" t="n">
        <v>2030</v>
      </c>
      <c r="G558" s="113" t="inlineStr">
        <is>
          <t>n</t>
        </is>
      </c>
      <c r="H558" s="113" t="inlineStr">
        <is>
          <t>Renewable energy</t>
        </is>
      </c>
      <c r="I558" s="113" t="inlineStr">
        <is>
          <t>whole economy</t>
        </is>
      </c>
      <c r="J558" s="113" t="inlineStr">
        <is>
          <t>By 2030, the national power support level of non-fossil power sources will reach around 40%.</t>
        </is>
      </c>
      <c r="K558" s="113" t="inlineStr">
        <is>
          <t>FYP2612.pdf</t>
        </is>
      </c>
      <c r="L558" s="113" t="inlineStr">
        <is>
          <t>Energy|Power</t>
        </is>
      </c>
      <c r="M558" s="113" t="inlineStr">
        <is>
          <t>Power supply</t>
        </is>
      </c>
    </row>
    <row r="559">
      <c r="A559" s="113" t="n">
        <v>2026</v>
      </c>
      <c r="B559" s="113" t="inlineStr">
        <is>
          <t>newly added inter-provincial power mutual support capacity</t>
        </is>
      </c>
      <c r="C559" s="113" t="inlineStr">
        <is>
          <t>reach</t>
        </is>
      </c>
      <c r="D559" s="113" t="inlineStr">
        <is>
          <t>around 40 million kilowatts</t>
        </is>
      </c>
      <c r="E559" s="113" t="n"/>
      <c r="F559" s="114" t="inlineStr">
        <is>
          <t>15th FYP</t>
        </is>
      </c>
      <c r="G559" s="113" t="inlineStr">
        <is>
          <t>r</t>
        </is>
      </c>
      <c r="H559" s="113" t="inlineStr">
        <is>
          <t>Renewable energy</t>
        </is>
      </c>
      <c r="I559" s="113" t="inlineStr">
        <is>
          <t>whole economy</t>
        </is>
      </c>
      <c r="J559" s="113" t="inlineStr">
        <is>
          <t>Around 40 million kilowatts of inter-provincial power mutual support capacity will be added during the 15th FYP period.</t>
        </is>
      </c>
      <c r="K559" s="113" t="inlineStr">
        <is>
          <t>FYP2612.pdf</t>
        </is>
      </c>
      <c r="L559" s="113" t="inlineStr">
        <is>
          <t>Energy|Power</t>
        </is>
      </c>
      <c r="M559" s="113" t="inlineStr">
        <is>
          <t>Power supply</t>
        </is>
      </c>
    </row>
    <row r="560">
      <c r="A560" s="113" t="n">
        <v>2026</v>
      </c>
      <c r="B560" s="113" t="inlineStr">
        <is>
          <t>newly added grid-side independent new-type energy storage capable of peak shaving and supply guarantee</t>
        </is>
      </c>
      <c r="C560" s="113" t="inlineStr">
        <is>
          <t>reach</t>
        </is>
      </c>
      <c r="D560" s="113" t="inlineStr">
        <is>
          <t>around 80 million kilowatts</t>
        </is>
      </c>
      <c r="E560" s="113" t="n"/>
      <c r="F560" s="114" t="inlineStr">
        <is>
          <t>15th FYP</t>
        </is>
      </c>
      <c r="G560" s="113" t="inlineStr">
        <is>
          <t>n</t>
        </is>
      </c>
      <c r="H560" s="113" t="inlineStr">
        <is>
          <t>Renewable energy</t>
        </is>
      </c>
      <c r="I560" s="113" t="inlineStr">
        <is>
          <t>whole economy</t>
        </is>
      </c>
      <c r="J560" s="113" t="inlineStr">
        <is>
          <t>During the 15th FYP period, around 80 million kilowatts of grid-side independent new-type energy storage capable of peak shaving and supply guarantee will be added nationwide, with the equivalent peak-shaving duration striving to reach 4 hours.</t>
        </is>
      </c>
      <c r="K560" s="113" t="inlineStr">
        <is>
          <t>FYP2612.pdf</t>
        </is>
      </c>
      <c r="L560" s="113" t="inlineStr">
        <is>
          <t>Energy|Power</t>
        </is>
      </c>
      <c r="M560" s="113" t="inlineStr">
        <is>
          <t>Power supply</t>
        </is>
      </c>
    </row>
    <row r="561">
      <c r="A561" s="113" t="n">
        <v>2026</v>
      </c>
      <c r="B561" s="113" t="inlineStr">
        <is>
          <t>equivalent peak-shaving duration of grid-side independent new-type energy storage</t>
        </is>
      </c>
      <c r="C561" s="113" t="inlineStr">
        <is>
          <t>strive to reach</t>
        </is>
      </c>
      <c r="D561" s="113" t="inlineStr">
        <is>
          <t>4 hours</t>
        </is>
      </c>
      <c r="E561" s="113" t="n"/>
      <c r="F561" s="114" t="inlineStr">
        <is>
          <t>15th FYP</t>
        </is>
      </c>
      <c r="G561" s="113" t="inlineStr">
        <is>
          <t>n</t>
        </is>
      </c>
      <c r="H561" s="113" t="inlineStr">
        <is>
          <t>Renewable energy</t>
        </is>
      </c>
      <c r="I561" s="113" t="inlineStr">
        <is>
          <t>enterprises</t>
        </is>
      </c>
      <c r="J561" s="113" t="inlineStr">
        <is>
          <t>During the 15th FYP period, around 80 million kilowatts of grid-side independent new-type energy storage capable of peak shaving and supply guarantee will be added nationwide, with the equivalent peak-shaving duration striving to reach 4 hours.</t>
        </is>
      </c>
      <c r="K561" s="113" t="inlineStr">
        <is>
          <t>FYP2612.pdf</t>
        </is>
      </c>
      <c r="L561" s="113" t="inlineStr">
        <is>
          <t>Energy|Power</t>
        </is>
      </c>
      <c r="M561" s="113" t="inlineStr">
        <is>
          <t>Power supply</t>
        </is>
      </c>
    </row>
    <row r="562">
      <c r="A562" s="113" t="n">
        <v>2026</v>
      </c>
      <c r="B562" s="113" t="inlineStr">
        <is>
          <t>grid-side independent new-type energy storage capable of peak shaving and supply guarantee</t>
        </is>
      </c>
      <c r="C562" s="113" t="inlineStr">
        <is>
          <t>reach</t>
        </is>
      </c>
      <c r="D562" s="113" t="inlineStr">
        <is>
          <t>140 million kilowatts</t>
        </is>
      </c>
      <c r="E562" s="113" t="n"/>
      <c r="F562" s="114" t="n">
        <v>2030</v>
      </c>
      <c r="G562" s="113" t="inlineStr">
        <is>
          <t>n</t>
        </is>
      </c>
      <c r="H562" s="113" t="inlineStr">
        <is>
          <t>Renewable energy</t>
        </is>
      </c>
      <c r="I562" s="113" t="inlineStr">
        <is>
          <t>whole economy</t>
        </is>
      </c>
      <c r="J562" s="113" t="inlineStr">
        <is>
          <t>By 2030, grid-side independent new-type energy storage capable of peak shaving and supply guarantee will reach 140 million kilowatts.</t>
        </is>
      </c>
      <c r="K562" s="113" t="inlineStr">
        <is>
          <t>FYP2612.pdf</t>
        </is>
      </c>
      <c r="L562" s="113" t="inlineStr">
        <is>
          <t>Energy|Power</t>
        </is>
      </c>
      <c r="M562" s="113" t="inlineStr">
        <is>
          <t>Power transmission/Energy transportation</t>
        </is>
      </c>
    </row>
    <row r="563">
      <c r="A563" s="117" t="n">
        <v>2026</v>
      </c>
      <c r="B563" s="117" t="inlineStr">
        <is>
          <t>share of clean and efficient coal power units of 600 MW class and above</t>
        </is>
      </c>
      <c r="C563" s="117" t="inlineStr">
        <is>
          <t>increase by</t>
        </is>
      </c>
      <c r="D563" s="117" t="inlineStr">
        <is>
          <t>more than 10 percentage points</t>
        </is>
      </c>
      <c r="E563" s="117" t="n"/>
      <c r="F563" s="118" t="n">
        <v>2030</v>
      </c>
      <c r="G563" s="117" t="inlineStr">
        <is>
          <t>n</t>
        </is>
      </c>
      <c r="H563" s="117" t="inlineStr">
        <is>
          <t>Coal-related</t>
        </is>
      </c>
      <c r="I563" s="117" t="inlineStr">
        <is>
          <t>sectors</t>
        </is>
      </c>
      <c r="J563" s="117" t="inlineStr">
        <is>
          <t>By 2030, the share of clean and efficient coal power units of 600 MW class and above will increase by more than 10 percentage points.</t>
        </is>
      </c>
      <c r="K563" s="117" t="inlineStr">
        <is>
          <t>FYP2612.pdf</t>
        </is>
      </c>
      <c r="L563" s="117" t="inlineStr">
        <is>
          <t>Energy|Power</t>
        </is>
      </c>
      <c r="M563" s="117" t="inlineStr">
        <is>
          <t>Power transmission/Energy transportation</t>
        </is>
      </c>
    </row>
    <row r="564">
      <c r="A564" s="0" t="n">
        <v>2026</v>
      </c>
      <c r="B564" s="0" t="inlineStr">
        <is>
          <t>renewable electricity consumption level in computing facilities and other key areas</t>
        </is>
      </c>
      <c r="C564" s="0" t="inlineStr">
        <is>
          <t>reach</t>
        </is>
      </c>
      <c r="D564" s="0" t="inlineStr">
        <is>
          <t>the level of the provincial renewable electricity consumption responsibility weight</t>
        </is>
      </c>
      <c r="F564" s="0" t="n">
        <v>2030</v>
      </c>
      <c r="G564" s="0" t="inlineStr">
        <is>
          <t>n</t>
        </is>
      </c>
      <c r="H564" s="0" t="inlineStr">
        <is>
          <t>Renewable energy</t>
        </is>
      </c>
      <c r="I564" s="0" t="inlineStr">
        <is>
          <t>sectors</t>
        </is>
      </c>
      <c r="J564" s="0" t="inlineStr">
        <is>
          <t>The main goal is: by 2030, the low-cost, high-efficiency advantages of artificial intelligence will be further demonstrated, deeply empowering green and low-carbon technological innovation and industrial development; the energy efficiency of emerging fields such as computing facilities and 5G base stations will be greatly improved; the renewable electricity consumption level in computing facilities and other key areas will reach the level of the provincial renewable electricity consumption responsibility weight; digital and green transformation in key areas such as agriculture, manufacturing, trade, consumption, and urban operations will be further advanced; the capacity of digital and intelligent technologies to empower ecological and environmental governance will continue to improve; and the coordinated digital-green development model will strongly support the comprehensive green transformation and high-quality development of the economy and society.</t>
        </is>
      </c>
      <c r="K564" s="0" t="inlineStr">
        <is>
          <t>IP2604.htm</t>
        </is>
      </c>
      <c r="L564" s="0" t="inlineStr">
        <is>
          <t>Energy|Power</t>
        </is>
      </c>
      <c r="M564" s="0" t="inlineStr">
        <is>
          <t>Power transmission/Energy transportation</t>
        </is>
      </c>
    </row>
  </sheetData>
  <pageMargins left="0.7" right="0.7" top="0.75" bottom="0.75" header="0.3" footer="0.3"/>
  <pageSetup orientation="portrait" paperSize="9"/>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L176"/>
  <sheetViews>
    <sheetView zoomScale="75" workbookViewId="0">
      <pane ySplit="1" topLeftCell="A2" activePane="bottomLeft" state="frozen"/>
      <selection activeCell="B84" sqref="B84"/>
      <selection pane="bottomLeft" activeCell="A3" sqref="A3:XFD3"/>
    </sheetView>
  </sheetViews>
  <sheetFormatPr baseColWidth="8" defaultColWidth="14" defaultRowHeight="13"/>
  <cols>
    <col width="10.8984375" customWidth="1" style="235" min="1" max="1"/>
    <col width="110" customWidth="1" style="235" min="2" max="2"/>
    <col width="12" customWidth="1" style="235" min="3" max="3"/>
    <col width="23" customWidth="1" style="235" min="4" max="4"/>
    <col width="11" customWidth="1" style="235" min="5" max="5"/>
    <col width="23.8984375" customWidth="1" style="112" min="6" max="6"/>
    <col width="9" customWidth="1" style="235" min="7" max="7"/>
    <col width="24" customWidth="1" style="235" min="8" max="9"/>
    <col width="118" customWidth="1" style="235" min="10" max="10"/>
    <col width="13" customWidth="1" style="235" min="11" max="11"/>
    <col width="14.296875" customWidth="1" style="235" min="12" max="12"/>
    <col width="14" customWidth="1" style="235" min="13" max="13"/>
    <col width="17" customWidth="1" style="235" min="14" max="15"/>
    <col width="10" customWidth="1" style="235" min="16" max="20"/>
  </cols>
  <sheetData>
    <row r="1" ht="18" customHeight="1" s="235">
      <c r="A1" s="89" t="inlineStr">
        <is>
          <t>Announcement_Year</t>
        </is>
      </c>
      <c r="B1" s="89" t="inlineStr">
        <is>
          <t>Metric</t>
        </is>
      </c>
      <c r="C1" s="89" t="inlineStr">
        <is>
          <t>Direction</t>
        </is>
      </c>
      <c r="D1" s="89" t="inlineStr">
        <is>
          <t>Target_Magnitude</t>
        </is>
      </c>
      <c r="E1" s="89" t="inlineStr">
        <is>
          <t>Baseline</t>
        </is>
      </c>
      <c r="F1" s="89" t="inlineStr">
        <is>
          <t>Target_Year_or_Period</t>
        </is>
      </c>
      <c r="G1" s="89" t="inlineStr">
        <is>
          <t>Count</t>
        </is>
      </c>
      <c r="H1" s="89" t="inlineStr">
        <is>
          <t>Target_Category</t>
        </is>
      </c>
      <c r="I1" s="89" t="inlineStr">
        <is>
          <t>Accountability</t>
        </is>
      </c>
      <c r="J1" s="89" t="inlineStr">
        <is>
          <t>Sentence</t>
        </is>
      </c>
      <c r="K1" s="89" t="inlineStr">
        <is>
          <t>Document</t>
        </is>
      </c>
      <c r="L1" s="89" t="inlineStr">
        <is>
          <t>Topic_Label</t>
        </is>
      </c>
    </row>
    <row r="2" ht="18" customHeight="1" s="235">
      <c r="A2" s="119" t="n">
        <v>2013</v>
      </c>
      <c r="B2" s="119" t="inlineStr">
        <is>
          <t xml:space="preserve">alternating current power consumption of aluminum ingots    </t>
        </is>
      </c>
      <c r="C2" s="119" t="inlineStr">
        <is>
          <t>reduce to</t>
        </is>
      </c>
      <c r="D2" s="119" t="inlineStr">
        <is>
          <t>13300  kwh per ton</t>
        </is>
      </c>
      <c r="E2" s="119" t="n"/>
      <c r="F2" s="120" t="inlineStr">
        <is>
          <t>2015</t>
        </is>
      </c>
      <c r="G2" s="119" t="inlineStr">
        <is>
          <t>n</t>
        </is>
      </c>
      <c r="H2" s="119" t="inlineStr">
        <is>
          <t>Energy efficiency</t>
        </is>
      </c>
      <c r="I2" s="119" t="inlineStr">
        <is>
          <t>sectors</t>
        </is>
      </c>
      <c r="J2" s="119" t="inlineStr">
        <is>
          <t>By 2015, the comprehensive alternating current power consumption of aluminum ingots will be reduced to 13,300 kWh per ton.</t>
        </is>
      </c>
      <c r="K2" s="119" t="inlineStr">
        <is>
          <t>DP1301.htm</t>
        </is>
      </c>
      <c r="L2" s="119" t="inlineStr">
        <is>
          <t>Industry</t>
        </is>
      </c>
    </row>
    <row r="3" ht="18" customHeight="1" s="235">
      <c r="A3" s="119" t="n">
        <v>2012</v>
      </c>
      <c r="B3" s="119" t="inlineStr">
        <is>
          <t>average operating efficiency of industrial boilers</t>
        </is>
      </c>
      <c r="C3" s="119" t="inlineStr">
        <is>
          <t>increase by</t>
        </is>
      </c>
      <c r="D3" s="119" t="inlineStr">
        <is>
          <t>5 percentage points</t>
        </is>
      </c>
      <c r="E3" s="119" t="n">
        <v>2010</v>
      </c>
      <c r="F3" s="120" t="inlineStr">
        <is>
          <t>2015</t>
        </is>
      </c>
      <c r="G3" s="119" t="inlineStr">
        <is>
          <t>n</t>
        </is>
      </c>
      <c r="H3" s="119" t="inlineStr">
        <is>
          <t>Energy efficiency</t>
        </is>
      </c>
      <c r="I3" s="119" t="inlineStr">
        <is>
          <t>sectors</t>
        </is>
      </c>
      <c r="J3" s="119" t="inlineStr">
        <is>
          <t>By 2015, the average operating efficiency of industrial boilers will increase by 5 percentage points compared with 2010.</t>
        </is>
      </c>
      <c r="K3" s="119" t="inlineStr">
        <is>
          <t>FYP1201.htm</t>
        </is>
      </c>
      <c r="L3" s="119" t="inlineStr">
        <is>
          <t>Industry</t>
        </is>
      </c>
    </row>
    <row r="4" ht="18" customHeight="1" s="235">
      <c r="A4" s="119" t="n">
        <v>2024</v>
      </c>
      <c r="B4" s="119" t="inlineStr">
        <is>
          <t>average operating efficiency of industrial boilers</t>
        </is>
      </c>
      <c r="C4" s="119" t="inlineStr">
        <is>
          <t>increase by</t>
        </is>
      </c>
      <c r="D4" s="119" t="inlineStr">
        <is>
          <t>5  percentage points</t>
        </is>
      </c>
      <c r="E4" s="119" t="n">
        <v>2021</v>
      </c>
      <c r="F4" s="120" t="n">
        <v>2025</v>
      </c>
      <c r="G4" s="119" t="inlineStr">
        <is>
          <t>n</t>
        </is>
      </c>
      <c r="H4" s="119" t="inlineStr">
        <is>
          <t>Energy efficiency</t>
        </is>
      </c>
      <c r="I4" s="119" t="inlineStr">
        <is>
          <t>sectors</t>
        </is>
      </c>
      <c r="J4" s="119" t="inlineStr">
        <is>
          <t>Compared with 2021, in 2025, the average operating thermal efficiency of industrial boilers will increase by more than 5 percentage points.</t>
        </is>
      </c>
      <c r="K4" s="119" t="inlineStr">
        <is>
          <t>AP2405.htm</t>
        </is>
      </c>
      <c r="L4" s="119" t="inlineStr">
        <is>
          <t>Industry</t>
        </is>
      </c>
    </row>
    <row r="5" ht="18" customHeight="1" s="235">
      <c r="A5" s="119" t="n">
        <v>2012</v>
      </c>
      <c r="B5" s="119" t="inlineStr">
        <is>
          <t>average operating efficiency of industrial kilns</t>
        </is>
      </c>
      <c r="C5" s="119" t="inlineStr">
        <is>
          <t>increase by</t>
        </is>
      </c>
      <c r="D5" s="119" t="inlineStr">
        <is>
          <t>2 percentage points</t>
        </is>
      </c>
      <c r="E5" s="119" t="n">
        <v>2010</v>
      </c>
      <c r="F5" s="120" t="inlineStr">
        <is>
          <t>2015</t>
        </is>
      </c>
      <c r="G5" s="119" t="inlineStr">
        <is>
          <t>n</t>
        </is>
      </c>
      <c r="H5" s="119" t="inlineStr">
        <is>
          <t>Energy efficiency</t>
        </is>
      </c>
      <c r="I5" s="119" t="inlineStr">
        <is>
          <t>sectors</t>
        </is>
      </c>
      <c r="J5" s="119" t="inlineStr">
        <is>
          <t>By 2015, the average operating efficiency of industrial kilns will increase by 2 percentage points compared with 2010.</t>
        </is>
      </c>
      <c r="K5" s="119" t="inlineStr">
        <is>
          <t>FYP1201.htm</t>
        </is>
      </c>
      <c r="L5" s="119" t="inlineStr">
        <is>
          <t>Industry</t>
        </is>
      </c>
    </row>
    <row r="6" ht="18" customHeight="1" s="235">
      <c r="A6" s="119" t="n">
        <v>2013</v>
      </c>
      <c r="B6" s="119" t="inlineStr">
        <is>
          <t>average water consumption for pulp, paper and paperboard production</t>
        </is>
      </c>
      <c r="C6" s="119" t="inlineStr">
        <is>
          <t>reduce to</t>
        </is>
      </c>
      <c r="D6" s="119" t="inlineStr">
        <is>
          <t>70  cubic meters per ton</t>
        </is>
      </c>
      <c r="E6" s="119" t="n"/>
      <c r="F6" s="120" t="inlineStr">
        <is>
          <t>2015</t>
        </is>
      </c>
      <c r="G6" s="119" t="inlineStr">
        <is>
          <t>n</t>
        </is>
      </c>
      <c r="H6" s="119" t="inlineStr">
        <is>
          <t>Resource efficiency</t>
        </is>
      </c>
      <c r="I6" s="119" t="inlineStr">
        <is>
          <t>sectors</t>
        </is>
      </c>
      <c r="J6" s="119" t="inlineStr">
        <is>
          <t>By 2015, the average water consumption for pulp, paper and paperboard production will be reduced to 70 cubic meters per ton.</t>
        </is>
      </c>
      <c r="K6" s="119" t="inlineStr">
        <is>
          <t>DP1301.htm</t>
        </is>
      </c>
      <c r="L6" s="119" t="inlineStr">
        <is>
          <t>Industry</t>
        </is>
      </c>
    </row>
    <row r="7" ht="18" customHeight="1" s="235">
      <c r="A7" s="0" t="n">
        <v>2026</v>
      </c>
      <c r="B7" s="0" t="inlineStr">
        <is>
          <t>carbon dioxide emissions per unit of value added of industries above designated size</t>
        </is>
      </c>
      <c r="C7" s="0" t="inlineStr">
        <is>
          <t>reduce by</t>
        </is>
      </c>
      <c r="D7" s="0" t="inlineStr">
        <is>
          <t>more than 17%</t>
        </is>
      </c>
      <c r="F7" s="0" t="inlineStr">
        <is>
          <t>15th FYP</t>
        </is>
      </c>
      <c r="G7" s="0" t="inlineStr">
        <is>
          <t>r</t>
        </is>
      </c>
      <c r="H7" s="0" t="inlineStr">
        <is>
          <t>Carbon intensity</t>
        </is>
      </c>
      <c r="I7" s="0" t="inlineStr">
        <is>
          <t>sectors</t>
        </is>
      </c>
      <c r="J7" s="0" t="inlineStr">
        <is>
          <t>During the 15th FYP period, carbon dioxide emissions per unit of value added of industries above designated size will be reduced by more than 17%, and energy consumption per unit of value added by more than 10%, ...</t>
        </is>
      </c>
      <c r="K7" s="0" t="inlineStr">
        <is>
          <t>HL2604.htm</t>
        </is>
      </c>
      <c r="L7" s="0" t="inlineStr">
        <is>
          <t>Industry</t>
        </is>
      </c>
    </row>
    <row r="8" ht="18" customHeight="1" s="235">
      <c r="A8" s="0" t="n">
        <v>2026</v>
      </c>
      <c r="B8" s="0" t="inlineStr">
        <is>
          <t>carbon dioxide emissions per unit of value added of industries above designated size</t>
        </is>
      </c>
      <c r="C8" s="0" t="inlineStr">
        <is>
          <t>reduce by</t>
        </is>
      </c>
      <c r="D8" s="0" t="inlineStr">
        <is>
          <t>more than 17% (cumulative over 5 years)</t>
        </is>
      </c>
      <c r="F8" s="0" t="n">
        <v>2030</v>
      </c>
      <c r="G8" s="0" t="inlineStr">
        <is>
          <t>n</t>
        </is>
      </c>
      <c r="H8" s="0" t="inlineStr">
        <is>
          <t>Carbon intensity</t>
        </is>
      </c>
      <c r="I8" s="0" t="inlineStr">
        <is>
          <t>sectors</t>
        </is>
      </c>
      <c r="J8" s="0" t="inlineStr">
        <is>
          <t>Column 1: Reduction in carbon dioxide emissions per unit of value added of industries above designated size (%), more than 17 (cumulative over 5 years).</t>
        </is>
      </c>
      <c r="K8" s="0" t="inlineStr">
        <is>
          <t>FYP2605.htm</t>
        </is>
      </c>
      <c r="L8" s="0" t="inlineStr">
        <is>
          <t>Industry</t>
        </is>
      </c>
    </row>
    <row r="9" ht="18" customHeight="1" s="235">
      <c r="A9" s="119" t="n">
        <v>2024</v>
      </c>
      <c r="B9" s="119" t="inlineStr">
        <is>
          <t>clean production transformation of cement clinker production capacity</t>
        </is>
      </c>
      <c r="C9" s="119" t="inlineStr">
        <is>
          <t>complete</t>
        </is>
      </c>
      <c r="D9" s="119" t="inlineStr">
        <is>
          <t>850 million tons</t>
        </is>
      </c>
      <c r="E9" s="119" t="n"/>
      <c r="F9" s="120" t="inlineStr">
        <is>
          <t>2025</t>
        </is>
      </c>
      <c r="G9" s="119" t="inlineStr">
        <is>
          <t>n</t>
        </is>
      </c>
      <c r="H9" s="119" t="inlineStr">
        <is>
          <t>Industrial transformation</t>
        </is>
      </c>
      <c r="I9" s="119" t="inlineStr">
        <is>
          <t>sectors</t>
        </is>
      </c>
      <c r="J9" s="119" t="inlineStr">
        <is>
          <t>Complete clean production transformation of 850 million tons of cement clinker production capacity by 2025.</t>
        </is>
      </c>
      <c r="K9" s="119" t="inlineStr">
        <is>
          <t>O2406.pdf</t>
        </is>
      </c>
      <c r="L9" s="119" t="inlineStr">
        <is>
          <t>Industry</t>
        </is>
      </c>
    </row>
    <row r="10" ht="18" customHeight="1" s="235">
      <c r="A10" s="119" t="n">
        <v>2021</v>
      </c>
      <c r="B10" s="119" t="inlineStr">
        <is>
          <t>clean production transformation of coking capacity</t>
        </is>
      </c>
      <c r="C10" s="119" t="inlineStr">
        <is>
          <t>complete</t>
        </is>
      </c>
      <c r="D10" s="119" t="inlineStr">
        <is>
          <t>460 million tons</t>
        </is>
      </c>
      <c r="E10" s="119" t="n"/>
      <c r="F10" s="120" t="inlineStr">
        <is>
          <t>2025</t>
        </is>
      </c>
      <c r="G10" s="119" t="inlineStr">
        <is>
          <t>n</t>
        </is>
      </c>
      <c r="H10" s="119" t="inlineStr">
        <is>
          <t>Industrial transformation</t>
        </is>
      </c>
      <c r="I10" s="119" t="inlineStr">
        <is>
          <t>sectors</t>
        </is>
      </c>
      <c r="J10" s="119" t="inlineStr">
        <is>
          <t>By 2025, 460 million tons of coking capacity will be transformed into clean production capacity.</t>
        </is>
      </c>
      <c r="K10" s="119" t="inlineStr">
        <is>
          <t>FYP2101.pdf</t>
        </is>
      </c>
      <c r="L10" s="119" t="inlineStr">
        <is>
          <t>Industry</t>
        </is>
      </c>
    </row>
    <row r="11" ht="18" customHeight="1" s="235">
      <c r="A11" s="119" t="n">
        <v>2021</v>
      </c>
      <c r="B11" s="119" t="inlineStr">
        <is>
          <t>clean production transformation of non-ferrous metal kilns</t>
        </is>
      </c>
      <c r="C11" s="119" t="inlineStr">
        <is>
          <t>complete</t>
        </is>
      </c>
      <c r="D11" s="119" t="inlineStr">
        <is>
          <t>4000 kilns</t>
        </is>
      </c>
      <c r="E11" s="119" t="n"/>
      <c r="F11" s="120" t="inlineStr">
        <is>
          <t>2025</t>
        </is>
      </c>
      <c r="G11" s="119" t="inlineStr">
        <is>
          <t>n</t>
        </is>
      </c>
      <c r="H11" s="119" t="inlineStr">
        <is>
          <t>Industrial transformation</t>
        </is>
      </c>
      <c r="I11" s="119" t="inlineStr">
        <is>
          <t>sectors</t>
        </is>
      </c>
      <c r="J11" s="119" t="inlineStr">
        <is>
          <t>By 2025, about 4,000 non-ferrous metal kilns will have completed clean production transformation.</t>
        </is>
      </c>
      <c r="K11" s="119" t="inlineStr">
        <is>
          <t>FYP2101.pdf</t>
        </is>
      </c>
      <c r="L11" s="119" t="inlineStr">
        <is>
          <t>Industry</t>
        </is>
      </c>
    </row>
    <row r="12" ht="18" customHeight="1" s="235">
      <c r="A12" s="119" t="n">
        <v>2010</v>
      </c>
      <c r="B12" s="119" t="inlineStr">
        <is>
          <t>comprehensive energy consumption per ton of cement</t>
        </is>
      </c>
      <c r="C12" s="119" t="inlineStr">
        <is>
          <t>reduce by</t>
        </is>
      </c>
      <c r="D12" s="119" t="inlineStr">
        <is>
          <t>below 93 kilograms of coal equivalent per ton</t>
        </is>
      </c>
      <c r="E12" s="119" t="n"/>
      <c r="F12" s="120" t="inlineStr">
        <is>
          <t>12th FYP</t>
        </is>
      </c>
      <c r="G12" s="119" t="inlineStr">
        <is>
          <t>n</t>
        </is>
      </c>
      <c r="H12" s="119" t="inlineStr">
        <is>
          <t>Energy efficiency</t>
        </is>
      </c>
      <c r="I12" s="119" t="inlineStr">
        <is>
          <t>sectors</t>
        </is>
      </c>
      <c r="J12" s="119" t="inlineStr">
        <is>
          <t>By the end of the 12th Five-Year Plan period, the national average comparable comprehensive energy consumption of cement clinker production is targeted to fall below 114 kg of standard coal per ton, while the comprehensive energy consumption of cement is targeted to fall below 93 kg of standard coal per ton.</t>
        </is>
      </c>
      <c r="K12" s="119" t="inlineStr">
        <is>
          <t>GO1001.pdf</t>
        </is>
      </c>
      <c r="L12" s="119" t="inlineStr">
        <is>
          <t>Industry</t>
        </is>
      </c>
    </row>
    <row r="13" ht="18" customHeight="1" s="235">
      <c r="A13" s="119" t="n">
        <v>2013</v>
      </c>
      <c r="B13" s="119" t="inlineStr">
        <is>
          <t>comprehensive energy consumption per ton of cement clinker</t>
        </is>
      </c>
      <c r="C13" s="119" t="inlineStr">
        <is>
          <t>reduce to</t>
        </is>
      </c>
      <c r="D13" s="119" t="inlineStr">
        <is>
          <t>112 kilograms of coal equivalent per ton</t>
        </is>
      </c>
      <c r="E13" s="119" t="n"/>
      <c r="F13" s="120" t="inlineStr">
        <is>
          <t>2015</t>
        </is>
      </c>
      <c r="G13" s="119" t="inlineStr">
        <is>
          <t>n</t>
        </is>
      </c>
      <c r="H13" s="119" t="inlineStr">
        <is>
          <t>Energy efficiency</t>
        </is>
      </c>
      <c r="I13" s="119" t="inlineStr">
        <is>
          <t>sectors</t>
        </is>
      </c>
      <c r="J13" s="119" t="inlineStr">
        <is>
          <t>By 2015, the comprehensive energy consumption of cement clinker will be reduced to 112 kg standard coal per ton.</t>
        </is>
      </c>
      <c r="K13" s="119" t="inlineStr">
        <is>
          <t>DP1301.htm</t>
        </is>
      </c>
      <c r="L13" s="119" t="inlineStr">
        <is>
          <t>Industry</t>
        </is>
      </c>
    </row>
    <row r="14" ht="18" customHeight="1" s="235">
      <c r="A14" s="119" t="n">
        <v>2024</v>
      </c>
      <c r="B14" s="119" t="inlineStr">
        <is>
          <t>comprehensive energy consumption per ton of cement clinker</t>
        </is>
      </c>
      <c r="C14" s="119" t="inlineStr">
        <is>
          <t>reduce by</t>
        </is>
      </c>
      <c r="D14" s="119" t="inlineStr">
        <is>
          <t>3.7%</t>
        </is>
      </c>
      <c r="E14" s="119" t="n">
        <v>2020</v>
      </c>
      <c r="F14" s="120" t="n">
        <v>2025</v>
      </c>
      <c r="G14" s="119" t="inlineStr">
        <is>
          <t>s/l-POS</t>
        </is>
      </c>
      <c r="H14" s="119" t="inlineStr">
        <is>
          <t>Energy efficiency</t>
        </is>
      </c>
      <c r="I14" s="119" t="inlineStr">
        <is>
          <t>sectors</t>
        </is>
      </c>
      <c r="J14" s="119" t="inlineStr">
        <is>
          <t>The comprehensive energy consumption per unit of cement clinker product is targeted to decline by 3.7% relative to 2020 levels.</t>
        </is>
      </c>
      <c r="K14" s="119" t="inlineStr">
        <is>
          <t>AP2412.pdf</t>
        </is>
      </c>
      <c r="L14" s="119" t="inlineStr">
        <is>
          <t>Industry</t>
        </is>
      </c>
    </row>
    <row r="15" ht="18" customHeight="1" s="235">
      <c r="A15" s="119" t="n">
        <v>2024</v>
      </c>
      <c r="B15" s="119" t="inlineStr">
        <is>
          <t>comprehensive energy consumption per ton of cement clinker</t>
        </is>
      </c>
      <c r="C15" s="119" t="inlineStr">
        <is>
          <t>reduce by</t>
        </is>
      </c>
      <c r="D15" s="119" t="inlineStr">
        <is>
          <t>more than 3%</t>
        </is>
      </c>
      <c r="E15" s="119" t="n"/>
      <c r="F15" s="120" t="inlineStr">
        <is>
          <t>14th FYP</t>
        </is>
      </c>
      <c r="G15" s="119" t="inlineStr">
        <is>
          <t>n</t>
        </is>
      </c>
      <c r="H15" s="119" t="inlineStr">
        <is>
          <t>Energy efficiency</t>
        </is>
      </c>
      <c r="I15" s="119" t="inlineStr">
        <is>
          <t>sectors</t>
        </is>
      </c>
      <c r="J15" s="119" t="inlineStr">
        <is>
          <t>During the 14th FYP period, the comprehensive energy consumption per unit of cement clinker will be dropped by more than 3%</t>
        </is>
      </c>
      <c r="K15" s="119" t="inlineStr">
        <is>
          <t>HL2401.pdf</t>
        </is>
      </c>
      <c r="L15" s="119" t="inlineStr">
        <is>
          <t>Industry</t>
        </is>
      </c>
    </row>
    <row r="16" ht="18" customHeight="1" s="235">
      <c r="A16" s="119" t="n">
        <v>2010</v>
      </c>
      <c r="B16" s="119" t="inlineStr">
        <is>
          <t>comprehensive energy consumption per ton of cement clinker</t>
        </is>
      </c>
      <c r="C16" s="119" t="inlineStr">
        <is>
          <t>reduce by</t>
        </is>
      </c>
      <c r="D16" s="119" t="inlineStr">
        <is>
          <t>below 114 kilograms of coal equivalent per ton</t>
        </is>
      </c>
      <c r="E16" s="119" t="n"/>
      <c r="F16" s="120" t="inlineStr">
        <is>
          <t>12th FYP</t>
        </is>
      </c>
      <c r="G16" s="119" t="inlineStr">
        <is>
          <t>s/l-NEG</t>
        </is>
      </c>
      <c r="H16" s="119" t="inlineStr">
        <is>
          <t>Energy efficiency</t>
        </is>
      </c>
      <c r="I16" s="119" t="inlineStr">
        <is>
          <t>sectors</t>
        </is>
      </c>
      <c r="J16" s="119" t="inlineStr">
        <is>
          <t>By the end of the 12th Five-Year Plan period, the national average comparable comprehensive energy consumption of cement clinker production is targeted to fall below 114 kg of standard coal per ton, while the comprehensive energy consumption of cement is targeted to fall below 93 kg of standard coal per ton.</t>
        </is>
      </c>
      <c r="K16" s="119" t="inlineStr">
        <is>
          <t>GO1001.pdf</t>
        </is>
      </c>
      <c r="L16" s="119" t="inlineStr">
        <is>
          <t>Industry</t>
        </is>
      </c>
    </row>
    <row r="17" ht="18" customHeight="1" s="235">
      <c r="A17" s="119" t="n">
        <v>2022</v>
      </c>
      <c r="B17" s="119" t="inlineStr">
        <is>
          <t>comprehensive energy consumption per ton of steel</t>
        </is>
      </c>
      <c r="C17" s="119" t="inlineStr">
        <is>
          <t>reduce by</t>
        </is>
      </c>
      <c r="D17" s="119" t="inlineStr">
        <is>
          <t>more than 2%</t>
        </is>
      </c>
      <c r="E17" s="119" t="n">
        <v>2020</v>
      </c>
      <c r="F17" s="120" t="n">
        <v>2025</v>
      </c>
      <c r="G17" s="119" t="inlineStr">
        <is>
          <t>n</t>
        </is>
      </c>
      <c r="H17" s="119" t="inlineStr">
        <is>
          <t>Energy efficiency</t>
        </is>
      </c>
      <c r="I17" s="119" t="inlineStr">
        <is>
          <t>sectors</t>
        </is>
      </c>
      <c r="J17" s="119" t="inlineStr">
        <is>
          <t>By 2025, comprehensive energy consumption per ton of steel will decrease by more than 2%.</t>
        </is>
      </c>
      <c r="K17" s="119" t="inlineStr">
        <is>
          <t>GO2204.htm</t>
        </is>
      </c>
      <c r="L17" s="119" t="inlineStr">
        <is>
          <t>Industry</t>
        </is>
      </c>
    </row>
    <row r="18" ht="18" customHeight="1" s="235">
      <c r="A18" s="119" t="n">
        <v>2016</v>
      </c>
      <c r="B18" s="119" t="inlineStr">
        <is>
          <t>comprehensive energy consumption per ton of steel</t>
        </is>
      </c>
      <c r="C18" s="119" t="inlineStr">
        <is>
          <t>reduce to</t>
        </is>
      </c>
      <c r="D18" s="119" t="inlineStr">
        <is>
          <t>560 kilograms of coal equivalent per ton or below</t>
        </is>
      </c>
      <c r="E18" s="119" t="n"/>
      <c r="F18" s="120" t="n">
        <v>2020</v>
      </c>
      <c r="G18" s="119" t="inlineStr">
        <is>
          <t>n</t>
        </is>
      </c>
      <c r="H18" s="119" t="inlineStr">
        <is>
          <t>Energy efficiency</t>
        </is>
      </c>
      <c r="I18" s="119" t="inlineStr">
        <is>
          <t>sectors</t>
        </is>
      </c>
      <c r="J18" s="119" t="inlineStr">
        <is>
          <t>By 2020, comprehensive energy consumption per tonne of steel will be reduced from 572 kgce/t in 2015 to 560 kgce/t or below.</t>
        </is>
      </c>
      <c r="K18" s="119" t="inlineStr">
        <is>
          <t>FYP1626.pdf</t>
        </is>
      </c>
      <c r="L18" s="119" t="inlineStr">
        <is>
          <t>Industry</t>
        </is>
      </c>
    </row>
    <row r="19" ht="18" customHeight="1" s="235">
      <c r="A19" s="119" t="n">
        <v>2022</v>
      </c>
      <c r="B19" s="119" t="inlineStr">
        <is>
          <t>comprehensive energy consumption per ton of steel</t>
        </is>
      </c>
      <c r="C19" s="119" t="inlineStr">
        <is>
          <t>reduce by</t>
        </is>
      </c>
      <c r="D19" s="119" t="inlineStr">
        <is>
          <t>more than 2%</t>
        </is>
      </c>
      <c r="E19" s="119" t="n">
        <v>2020</v>
      </c>
      <c r="F19" s="120" t="inlineStr">
        <is>
          <t>2025</t>
        </is>
      </c>
      <c r="G19" s="119" t="inlineStr">
        <is>
          <t>r</t>
        </is>
      </c>
      <c r="H19" s="119" t="inlineStr">
        <is>
          <t>Energy efficiency</t>
        </is>
      </c>
      <c r="I19" s="119" t="inlineStr">
        <is>
          <t>sectors</t>
        </is>
      </c>
      <c r="J19" s="119" t="inlineStr">
        <is>
          <t>By 2025, the comprehensive energy consumption per ton of steel will be reduced by more than 2%.</t>
        </is>
      </c>
      <c r="K19" s="119" t="inlineStr">
        <is>
          <t>GO2204.htm</t>
        </is>
      </c>
      <c r="L19" s="119" t="inlineStr">
        <is>
          <t>Industry</t>
        </is>
      </c>
    </row>
    <row r="20" ht="18" customHeight="1" s="235">
      <c r="A20" s="119" t="n">
        <v>2024</v>
      </c>
      <c r="B20" s="119" t="inlineStr">
        <is>
          <t>comprehensive energy consumption per ton of steel</t>
        </is>
      </c>
      <c r="C20" s="119" t="inlineStr">
        <is>
          <t>reduce by</t>
        </is>
      </c>
      <c r="D20" s="119" t="inlineStr">
        <is>
          <t>about 2%</t>
        </is>
      </c>
      <c r="E20" s="119" t="n">
        <v>2020</v>
      </c>
      <c r="F20" s="120" t="inlineStr">
        <is>
          <t>2025</t>
        </is>
      </c>
      <c r="G20" s="119" t="inlineStr">
        <is>
          <t>s/l-NEG</t>
        </is>
      </c>
      <c r="H20" s="119" t="inlineStr">
        <is>
          <t>Energy efficiency</t>
        </is>
      </c>
      <c r="I20" s="119" t="inlineStr">
        <is>
          <t>sectors</t>
        </is>
      </c>
      <c r="J20" s="119" t="inlineStr">
        <is>
          <t>By the end of 2025, the comprehensive energy consumption per ton of steel will be reduced by about 2%.</t>
        </is>
      </c>
      <c r="K20" s="119" t="inlineStr">
        <is>
          <t>AP2405.htm</t>
        </is>
      </c>
      <c r="L20" s="119" t="inlineStr">
        <is>
          <t>Industry</t>
        </is>
      </c>
    </row>
    <row r="21" ht="18" customHeight="1" s="235">
      <c r="A21" s="119" t="n">
        <v>2013</v>
      </c>
      <c r="B21" s="119" t="inlineStr">
        <is>
          <t>comprehensive energy consumption per ton of steel</t>
        </is>
      </c>
      <c r="C21" s="119" t="inlineStr">
        <is>
          <t>reduce to</t>
        </is>
      </c>
      <c r="D21" s="119" t="inlineStr">
        <is>
          <t>580 kilograms of coal equivalent per ton</t>
        </is>
      </c>
      <c r="E21" s="119" t="n"/>
      <c r="F21" s="120" t="inlineStr">
        <is>
          <t>2015</t>
        </is>
      </c>
      <c r="G21" s="119" t="inlineStr">
        <is>
          <t>n</t>
        </is>
      </c>
      <c r="H21" s="119" t="inlineStr">
        <is>
          <t>Energy efficiency</t>
        </is>
      </c>
      <c r="I21" s="119" t="inlineStr">
        <is>
          <t>sectors</t>
        </is>
      </c>
      <c r="J21" s="119" t="inlineStr">
        <is>
          <t>By 2015, the comprehensive energy consumption per ton of steel will be reduced to 580 kilograms of standard coal.</t>
        </is>
      </c>
      <c r="K21" s="119" t="inlineStr">
        <is>
          <t>DP1301.htm</t>
        </is>
      </c>
      <c r="L21" s="119" t="inlineStr">
        <is>
          <t>Industry</t>
        </is>
      </c>
    </row>
    <row r="22" ht="18" customHeight="1" s="235">
      <c r="A22" s="119" t="n">
        <v>2016</v>
      </c>
      <c r="B22" s="119" t="inlineStr">
        <is>
          <t>crude steel production capacity</t>
        </is>
      </c>
      <c r="C22" s="119" t="inlineStr">
        <is>
          <t>reduce by</t>
        </is>
      </c>
      <c r="D22" s="119" t="inlineStr">
        <is>
          <t>100-150 million tons</t>
        </is>
      </c>
      <c r="E22" s="119" t="n"/>
      <c r="F22" s="120" t="inlineStr">
        <is>
          <t>2016-2020</t>
        </is>
      </c>
      <c r="G22" s="119" t="inlineStr">
        <is>
          <t>n</t>
        </is>
      </c>
      <c r="H22" s="119" t="inlineStr">
        <is>
          <t>Production-oriented</t>
        </is>
      </c>
      <c r="I22" s="119" t="inlineStr">
        <is>
          <t>sectors</t>
        </is>
      </c>
      <c r="J22" s="119" t="inlineStr">
        <is>
          <t>Starting from 2016, crude steel production capacity will be further reduced by 100-150 million tons over five years.</t>
        </is>
      </c>
      <c r="K22" s="119" t="inlineStr">
        <is>
          <t>O1602.htm</t>
        </is>
      </c>
      <c r="L22" s="119" t="inlineStr">
        <is>
          <t>Industry</t>
        </is>
      </c>
    </row>
    <row r="23" ht="18" customHeight="1" s="235">
      <c r="A23" s="119" t="n">
        <v>2016</v>
      </c>
      <c r="B23" s="119" t="inlineStr">
        <is>
          <t>crude steel production capacity per year</t>
        </is>
      </c>
      <c r="C23" s="119" t="inlineStr">
        <is>
          <t>reduce to</t>
        </is>
      </c>
      <c r="D23" s="119" t="inlineStr">
        <is>
          <t>less than 1 billion tonnes</t>
        </is>
      </c>
      <c r="E23" s="119" t="n"/>
      <c r="F23" s="120" t="n">
        <v>2020</v>
      </c>
      <c r="G23" s="119" t="inlineStr">
        <is>
          <t>n</t>
        </is>
      </c>
      <c r="H23" s="119" t="inlineStr">
        <is>
          <t>Production-oriented</t>
        </is>
      </c>
      <c r="I23" s="119" t="inlineStr">
        <is>
          <t>sectors</t>
        </is>
      </c>
      <c r="J23" s="119" t="inlineStr">
        <is>
          <t>During the 13th Five-Year Plan period, crude steel production capacity will be reduced from 1.13 billion tonnes in 2015 to less than 1 billion tonnes by 2020, implying a net reduction of 100–150 million tonnes.</t>
        </is>
      </c>
      <c r="K23" s="119" t="inlineStr">
        <is>
          <t>FYP1626.pdf</t>
        </is>
      </c>
      <c r="L23" s="119" t="inlineStr">
        <is>
          <t>Industry</t>
        </is>
      </c>
    </row>
    <row r="24" ht="18" customHeight="1" s="235">
      <c r="A24" s="119" t="n">
        <v>2014</v>
      </c>
      <c r="B24" s="119" t="inlineStr">
        <is>
          <t>desulfurization facilities</t>
        </is>
      </c>
      <c r="C24" s="119" t="inlineStr">
        <is>
          <t>install</t>
        </is>
      </c>
      <c r="D24" s="119" t="inlineStr">
        <is>
          <t>40000  square meters of steel sintering machines</t>
        </is>
      </c>
      <c r="E24" s="119" t="n"/>
      <c r="F24" s="120" t="inlineStr">
        <is>
          <t>2014-2015</t>
        </is>
      </c>
      <c r="G24" s="119" t="inlineStr">
        <is>
          <t>n</t>
        </is>
      </c>
      <c r="H24" s="119" t="inlineStr">
        <is>
          <t>Industrial transformation</t>
        </is>
      </c>
      <c r="I24" s="119" t="inlineStr">
        <is>
          <t>sectors</t>
        </is>
      </c>
      <c r="J24" s="119" t="inlineStr">
        <is>
          <t>Install desulfurization facilities on 40,000 square meters of steel sintering machines</t>
        </is>
      </c>
      <c r="K24" s="119" t="inlineStr">
        <is>
          <t>AP1404.htm</t>
        </is>
      </c>
      <c r="L24" s="119" t="inlineStr">
        <is>
          <t>Industry</t>
        </is>
      </c>
    </row>
    <row r="25" ht="18" customHeight="1" s="235">
      <c r="A25" s="119" t="n">
        <v>2014</v>
      </c>
      <c r="B25" s="119" t="inlineStr">
        <is>
          <t>discharge of major water pollutants per unit of industrial value added in key industries</t>
        </is>
      </c>
      <c r="C25" s="119" t="inlineStr">
        <is>
          <t>reduce by</t>
        </is>
      </c>
      <c r="D25" s="119" t="inlineStr">
        <is>
          <t>more than 30%</t>
        </is>
      </c>
      <c r="E25" s="119" t="n">
        <v>2010</v>
      </c>
      <c r="F25" s="120" t="inlineStr">
        <is>
          <t>2015</t>
        </is>
      </c>
      <c r="G25" s="119" t="inlineStr">
        <is>
          <t>n</t>
        </is>
      </c>
      <c r="H25" s="119" t="inlineStr">
        <is>
          <t>Pollution control</t>
        </is>
      </c>
      <c r="I25" s="119" t="inlineStr">
        <is>
          <t>sectors</t>
        </is>
      </c>
      <c r="J25" s="119" t="inlineStr">
        <is>
          <t>By 2015, the discharge of major water pollutants per unit of industrial value added in key industries will drop by more than 30%.</t>
        </is>
      </c>
      <c r="K25" s="119" t="inlineStr">
        <is>
          <t>AP1404.htm</t>
        </is>
      </c>
      <c r="L25" s="119" t="inlineStr">
        <is>
          <t>Industry</t>
        </is>
      </c>
    </row>
    <row r="26" ht="18" customHeight="1" s="235">
      <c r="A26" s="119" t="n">
        <v>2004</v>
      </c>
      <c r="B26" s="119" t="inlineStr">
        <is>
          <t>efficiency of coal-fired industrial boilers</t>
        </is>
      </c>
      <c r="C26" s="119" t="inlineStr">
        <is>
          <t>increase by</t>
        </is>
      </c>
      <c r="D26" s="119" t="inlineStr">
        <is>
          <t>5  percentage points</t>
        </is>
      </c>
      <c r="E26" s="119" t="n"/>
      <c r="F26" s="120" t="inlineStr">
        <is>
          <t>11th FYP</t>
        </is>
      </c>
      <c r="G26" s="119" t="inlineStr">
        <is>
          <t>n</t>
        </is>
      </c>
      <c r="H26" s="119" t="inlineStr">
        <is>
          <t>Energy efficiency</t>
        </is>
      </c>
      <c r="I26" s="119" t="inlineStr">
        <is>
          <t>sectors</t>
        </is>
      </c>
      <c r="J26" s="119" t="inlineStr">
        <is>
          <t>During the 11th Five-Year Plan period, by implementing advanced technologies such as burning high-quality coal, screening lump coal, solid-sulfur coal, and adopting circulating fluidized bed and pulverized coal combustion to transform or replace existing small and medium-sized coal-fired boilers (kilns), and establishing a scientific management and operation mechanism, the efficiency of coal-fired industrial boilers will increase by 5 percentage points, saving 25 million tons of coal, and the efficiency of coal-fired kilns will increase by 2 percentage points, saving 10 million tons of coal.</t>
        </is>
      </c>
      <c r="K26" s="119" t="inlineStr">
        <is>
          <t>MLT0401.htm</t>
        </is>
      </c>
      <c r="L26" s="119" t="inlineStr">
        <is>
          <t>Industry</t>
        </is>
      </c>
    </row>
    <row r="27" ht="18" customHeight="1" s="235">
      <c r="A27" s="119" t="n">
        <v>2004</v>
      </c>
      <c r="B27" s="119" t="inlineStr">
        <is>
          <t>efficiency of coal-fired industrial boilers</t>
        </is>
      </c>
      <c r="C27" s="119" t="inlineStr">
        <is>
          <t>increase by</t>
        </is>
      </c>
      <c r="D27" s="119" t="inlineStr">
        <is>
          <t>5  percentage points</t>
        </is>
      </c>
      <c r="E27" s="119" t="n"/>
      <c r="F27" s="120" t="inlineStr">
        <is>
          <t>11th FYP</t>
        </is>
      </c>
      <c r="G27" s="119" t="inlineStr">
        <is>
          <t>r</t>
        </is>
      </c>
      <c r="H27" s="119" t="inlineStr">
        <is>
          <t>Energy efficiency</t>
        </is>
      </c>
      <c r="I27" s="119" t="inlineStr">
        <is>
          <t>sectors</t>
        </is>
      </c>
      <c r="J27" s="119" t="inlineStr">
        <is>
          <t>During the 11th Five-Year Plan period, the efficiency of coal-fired industrial boilers will increase by 5 percentage points, saving 25 million tons of coal.</t>
        </is>
      </c>
      <c r="K27" s="119" t="inlineStr">
        <is>
          <t>MLT0401.htm</t>
        </is>
      </c>
      <c r="L27" s="119" t="inlineStr">
        <is>
          <t>Industry</t>
        </is>
      </c>
    </row>
    <row r="28" ht="18" customHeight="1" s="235">
      <c r="A28" s="119" t="n">
        <v>2004</v>
      </c>
      <c r="B28" s="119" t="inlineStr">
        <is>
          <t>efficiency of coal-fired industrial boilers</t>
        </is>
      </c>
      <c r="C28" s="119" t="inlineStr">
        <is>
          <t>increase by</t>
        </is>
      </c>
      <c r="D28" s="119" t="inlineStr">
        <is>
          <t>5  percentage points</t>
        </is>
      </c>
      <c r="E28" s="119" t="n"/>
      <c r="F28" s="120" t="inlineStr">
        <is>
          <t>11th FYP</t>
        </is>
      </c>
      <c r="G28" s="119" t="inlineStr">
        <is>
          <t>r</t>
        </is>
      </c>
      <c r="H28" s="119" t="inlineStr">
        <is>
          <t>Energy efficiency</t>
        </is>
      </c>
      <c r="I28" s="119" t="inlineStr">
        <is>
          <t>sectors</t>
        </is>
      </c>
      <c r="J28" s="119" t="inlineStr">
        <is>
          <t>During the 11th Five-Year Plan period, by implementing advanced technologies such as burning high-quality coal, screening lump coal, solid sulfur coal, and adopting circulating fluidized bed and pulverized coal combustion to transform or replace existing small and medium-sized coal-fired boilers (kilns), and establishing a scientific management and operation mechanism, the efficiency of coal-fired industrial boilers will increase by 5 percentage points, saving 25 million tons of coal.</t>
        </is>
      </c>
      <c r="K28" s="119" t="inlineStr">
        <is>
          <t>MLT0401.pdf</t>
        </is>
      </c>
      <c r="L28" s="119" t="inlineStr">
        <is>
          <t>Industry</t>
        </is>
      </c>
    </row>
    <row r="29" ht="18" customHeight="1" s="235">
      <c r="A29" s="119" t="n">
        <v>2016</v>
      </c>
      <c r="B29" s="119" t="inlineStr">
        <is>
          <t>efficiency of coal-fired industrial boilers</t>
        </is>
      </c>
      <c r="C29" s="119" t="inlineStr">
        <is>
          <t>increase by</t>
        </is>
      </c>
      <c r="D29" s="119" t="inlineStr">
        <is>
          <t>5  percentage points</t>
        </is>
      </c>
      <c r="E29" s="119" t="n"/>
      <c r="F29" s="120" t="inlineStr">
        <is>
          <t>13th FYP</t>
        </is>
      </c>
      <c r="G29" s="119" t="inlineStr">
        <is>
          <t>r</t>
        </is>
      </c>
      <c r="H29" s="119" t="inlineStr">
        <is>
          <t>Energy efficiency</t>
        </is>
      </c>
      <c r="I29" s="119" t="inlineStr">
        <is>
          <t>sectors</t>
        </is>
      </c>
      <c r="J29" s="119" t="inlineStr">
        <is>
          <t>During the 13th Five-Year Plan period, the actual operating efficiency of coal-fired industrial boilers will increase by 5 percentage points.</t>
        </is>
      </c>
      <c r="K29" s="119" t="inlineStr">
        <is>
          <t>FYP1601.htm</t>
        </is>
      </c>
      <c r="L29" s="119" t="inlineStr">
        <is>
          <t>Industry</t>
        </is>
      </c>
    </row>
    <row r="30" ht="18" customHeight="1" s="235">
      <c r="A30" s="119" t="n">
        <v>2012</v>
      </c>
      <c r="B30" s="119" t="inlineStr">
        <is>
          <t xml:space="preserve">efficiency of crystalline silicon cells  </t>
        </is>
      </c>
      <c r="C30" s="119" t="inlineStr">
        <is>
          <t>exceed</t>
        </is>
      </c>
      <c r="D30" s="119" t="inlineStr">
        <is>
          <t>20%</t>
        </is>
      </c>
      <c r="E30" s="119" t="n"/>
      <c r="F30" s="120" t="inlineStr">
        <is>
          <t>12th FYP</t>
        </is>
      </c>
      <c r="G30" s="119" t="inlineStr">
        <is>
          <t>n</t>
        </is>
      </c>
      <c r="H30" s="119" t="inlineStr">
        <is>
          <t>Technology innovation</t>
        </is>
      </c>
      <c r="I30" s="119" t="inlineStr">
        <is>
          <t>sectors</t>
        </is>
      </c>
      <c r="J30" s="119" t="inlineStr">
        <is>
          <t>During the 12th Five-Year Plan period, the efficiency of crystalline silicon cells will exceed 20%.</t>
        </is>
      </c>
      <c r="K30" s="119" t="inlineStr">
        <is>
          <t>FYP1205.pdf</t>
        </is>
      </c>
      <c r="L30" s="119" t="inlineStr">
        <is>
          <t>Industry</t>
        </is>
      </c>
    </row>
    <row r="31" ht="18" customHeight="1" s="235">
      <c r="A31" s="119" t="n">
        <v>2004</v>
      </c>
      <c r="B31" s="119" t="inlineStr">
        <is>
          <t>efficiency of fan, pump, compressor systems</t>
        </is>
      </c>
      <c r="C31" s="119" t="inlineStr">
        <is>
          <t>increase by</t>
        </is>
      </c>
      <c r="D31" s="119" t="inlineStr">
        <is>
          <t>2  percentage points</t>
        </is>
      </c>
      <c r="E31" s="119" t="n"/>
      <c r="F31" s="120" t="inlineStr">
        <is>
          <t>11th FYP</t>
        </is>
      </c>
      <c r="G31" s="119" t="inlineStr">
        <is>
          <t>n</t>
        </is>
      </c>
      <c r="H31" s="119" t="inlineStr">
        <is>
          <t>Technology innovation</t>
        </is>
      </c>
      <c r="I31" s="119" t="inlineStr">
        <is>
          <t>sectors</t>
        </is>
      </c>
      <c r="J31" s="119" t="inlineStr">
        <is>
          <t>During the 11th Five-Year Plan period, the focus will be on promoting high-efficiency energy-saving motors and rare earth permanent magnet motors; implementing high-efficiency energy-saving fan, water pump, and compressor system optimization and transformation in the coal, electricity, nonferrous metals, petrochemical and other industries, and promoting variable frequency speed regulation and automation system control technology to increase operating efficiency by 2 percentage points and save 20 billion kilowatt-hours of electricity annually.</t>
        </is>
      </c>
      <c r="K31" s="119" t="inlineStr">
        <is>
          <t>MLT0401.htm</t>
        </is>
      </c>
      <c r="L31" s="119" t="inlineStr">
        <is>
          <t>Industry</t>
        </is>
      </c>
    </row>
    <row r="32" ht="18" customHeight="1" s="235">
      <c r="A32" s="119" t="n">
        <v>2016</v>
      </c>
      <c r="B32" s="119" t="inlineStr">
        <is>
          <t>efficiency of gas-fired boilers</t>
        </is>
      </c>
      <c r="C32" s="119" t="inlineStr">
        <is>
          <t>reach</t>
        </is>
      </c>
      <c r="D32" s="119" t="inlineStr">
        <is>
          <t>92%</t>
        </is>
      </c>
      <c r="E32" s="119" t="n"/>
      <c r="F32" s="120" t="inlineStr">
        <is>
          <t>2020</t>
        </is>
      </c>
      <c r="G32" s="119" t="inlineStr">
        <is>
          <t>n</t>
        </is>
      </c>
      <c r="H32" s="119" t="inlineStr">
        <is>
          <t>Technology innovation</t>
        </is>
      </c>
      <c r="I32" s="119" t="inlineStr">
        <is>
          <t>sectors</t>
        </is>
      </c>
      <c r="J32" s="119" t="inlineStr">
        <is>
          <t>By 2020, the efficiency of gas-fired boilers will be no less than 92%.</t>
        </is>
      </c>
      <c r="K32" s="119" t="inlineStr">
        <is>
          <t>FYP1601.htm</t>
        </is>
      </c>
      <c r="L32" s="119" t="inlineStr">
        <is>
          <t>Industry</t>
        </is>
      </c>
    </row>
    <row r="33" ht="18" customHeight="1" s="235">
      <c r="A33" s="119" t="n">
        <v>2016</v>
      </c>
      <c r="B33" s="119" t="inlineStr">
        <is>
          <t>efficiency of general equipment such as industrial boilers (kilns), motor (water pumps, fans, air compressors) systems, and transformers</t>
        </is>
      </c>
      <c r="C33" s="119" t="inlineStr">
        <is>
          <t>increase by</t>
        </is>
      </c>
      <c r="D33" s="119" t="inlineStr">
        <is>
          <t>more than 5 percentage points</t>
        </is>
      </c>
      <c r="E33" s="119" t="n">
        <v>2015</v>
      </c>
      <c r="F33" s="120" t="inlineStr">
        <is>
          <t>2020</t>
        </is>
      </c>
      <c r="G33" s="119" t="inlineStr">
        <is>
          <t>n</t>
        </is>
      </c>
      <c r="H33" s="119" t="inlineStr">
        <is>
          <t>Technology innovation</t>
        </is>
      </c>
      <c r="I33" s="119" t="inlineStr">
        <is>
          <t>sectors</t>
        </is>
      </c>
      <c r="J33" s="119" t="inlineStr">
        <is>
          <t>By 2020, we will strive to increase the operating energy efficiency of general equipment such as industrial boilers (kilns), motor (water pumps, fans, air compressors) systems, and transformers by more than 5 percentage points.</t>
        </is>
      </c>
      <c r="K33" s="119" t="inlineStr">
        <is>
          <t>FYP1623.pdf</t>
        </is>
      </c>
      <c r="L33" s="119" t="inlineStr">
        <is>
          <t>Industry</t>
        </is>
      </c>
    </row>
    <row r="34" ht="18" customHeight="1" s="235">
      <c r="A34" s="119" t="n">
        <v>2016</v>
      </c>
      <c r="B34" s="119" t="inlineStr">
        <is>
          <t>efficiency of newly produced coal-fired boilers</t>
        </is>
      </c>
      <c r="C34" s="119" t="inlineStr">
        <is>
          <t>reach</t>
        </is>
      </c>
      <c r="D34" s="119" t="inlineStr">
        <is>
          <t>80%</t>
        </is>
      </c>
      <c r="E34" s="119" t="n"/>
      <c r="F34" s="120" t="inlineStr">
        <is>
          <t>2020</t>
        </is>
      </c>
      <c r="G34" s="119" t="inlineStr">
        <is>
          <t>n</t>
        </is>
      </c>
      <c r="H34" s="119" t="inlineStr">
        <is>
          <t>Technology innovation</t>
        </is>
      </c>
      <c r="I34" s="119" t="inlineStr">
        <is>
          <t>sectors</t>
        </is>
      </c>
      <c r="J34" s="119" t="inlineStr">
        <is>
          <t>By 2020, the efficiency of newly produced coal-fired boilers will be no less than 80%.</t>
        </is>
      </c>
      <c r="K34" s="119" t="inlineStr">
        <is>
          <t>FYP1601.htm</t>
        </is>
      </c>
      <c r="L34" s="119" t="inlineStr">
        <is>
          <t>Industry</t>
        </is>
      </c>
    </row>
    <row r="35" ht="18" customHeight="1" s="235">
      <c r="A35" s="119" t="n">
        <v>2012</v>
      </c>
      <c r="B35" s="119" t="inlineStr">
        <is>
          <t>efficiency of silicon-based thin-film cells</t>
        </is>
      </c>
      <c r="C35" s="119" t="inlineStr">
        <is>
          <t>exceed</t>
        </is>
      </c>
      <c r="D35" s="119" t="inlineStr">
        <is>
          <t>10%</t>
        </is>
      </c>
      <c r="E35" s="119" t="n"/>
      <c r="F35" s="120" t="inlineStr">
        <is>
          <t>12th FYP</t>
        </is>
      </c>
      <c r="G35" s="119" t="inlineStr">
        <is>
          <t>n</t>
        </is>
      </c>
      <c r="H35" s="119" t="inlineStr">
        <is>
          <t>Technology innovation</t>
        </is>
      </c>
      <c r="I35" s="119" t="inlineStr">
        <is>
          <t>sectors</t>
        </is>
      </c>
      <c r="J35" s="119" t="inlineStr">
        <is>
          <t>During the 12th Five-Year Plan period, the efficiency of silicon-based thin-film cells will exceed 10%.</t>
        </is>
      </c>
      <c r="K35" s="119" t="inlineStr">
        <is>
          <t>FYP1205.pdf</t>
        </is>
      </c>
      <c r="L35" s="119" t="inlineStr">
        <is>
          <t>Industry</t>
        </is>
      </c>
    </row>
    <row r="36" ht="18" customHeight="1" s="235">
      <c r="A36" s="119" t="n">
        <v>2013</v>
      </c>
      <c r="B36" s="119" t="inlineStr">
        <is>
          <t xml:space="preserve">energy consumption of calcium carbide    </t>
        </is>
      </c>
      <c r="C36" s="119" t="inlineStr">
        <is>
          <t>reduce to</t>
        </is>
      </c>
      <c r="D36" s="119" t="inlineStr">
        <is>
          <t>1050 kg standard coal per ton</t>
        </is>
      </c>
      <c r="E36" s="119" t="n"/>
      <c r="F36" s="120" t="inlineStr">
        <is>
          <t>2015</t>
        </is>
      </c>
      <c r="G36" s="119" t="inlineStr">
        <is>
          <t>n</t>
        </is>
      </c>
      <c r="H36" s="119" t="inlineStr">
        <is>
          <t>Energy efficiency</t>
        </is>
      </c>
      <c r="I36" s="119" t="inlineStr">
        <is>
          <t>sectors</t>
        </is>
      </c>
      <c r="J36" s="119" t="inlineStr">
        <is>
          <t>By 2015, the comprehensive energy consumption of calcium carbide will be reduced to 1,050 kg standard coal per ton.</t>
        </is>
      </c>
      <c r="K36" s="119" t="inlineStr">
        <is>
          <t>DP1301.htm</t>
        </is>
      </c>
      <c r="L36" s="119" t="inlineStr">
        <is>
          <t>Industry</t>
        </is>
      </c>
    </row>
    <row r="37" ht="18" customHeight="1" s="235">
      <c r="A37" s="119" t="n">
        <v>2013</v>
      </c>
      <c r="B37" s="119" t="inlineStr">
        <is>
          <t>energy consumption of caustic soda (ion membrane)</t>
        </is>
      </c>
      <c r="C37" s="119" t="inlineStr">
        <is>
          <t>reduce to</t>
        </is>
      </c>
      <c r="D37" s="119" t="inlineStr">
        <is>
          <t>330 kg standard coal per ton</t>
        </is>
      </c>
      <c r="E37" s="119" t="n"/>
      <c r="F37" s="120" t="inlineStr">
        <is>
          <t>2015</t>
        </is>
      </c>
      <c r="G37" s="119" t="inlineStr">
        <is>
          <t>n</t>
        </is>
      </c>
      <c r="H37" s="119" t="inlineStr">
        <is>
          <t>Energy efficiency</t>
        </is>
      </c>
      <c r="I37" s="119" t="inlineStr">
        <is>
          <t>sectors</t>
        </is>
      </c>
      <c r="J37" s="119" t="inlineStr">
        <is>
          <t>By 2015, the comprehensive energy consumption of caustic soda (ion membrane) will be reduced to 330 kg standard coal per ton.</t>
        </is>
      </c>
      <c r="K37" s="119" t="inlineStr">
        <is>
          <t>DP1301.htm</t>
        </is>
      </c>
      <c r="L37" s="119" t="inlineStr">
        <is>
          <t>Industry</t>
        </is>
      </c>
    </row>
    <row r="38" ht="18" customHeight="1" s="235">
      <c r="A38" s="119" t="n">
        <v>2013</v>
      </c>
      <c r="B38" s="119" t="inlineStr">
        <is>
          <t xml:space="preserve">energy consumption of copper smelting    </t>
        </is>
      </c>
      <c r="C38" s="119" t="inlineStr">
        <is>
          <t>reduce to</t>
        </is>
      </c>
      <c r="D38" s="119" t="inlineStr">
        <is>
          <t>300 kg of standard coal per ton</t>
        </is>
      </c>
      <c r="E38" s="119" t="n"/>
      <c r="F38" s="120" t="inlineStr">
        <is>
          <t>2015</t>
        </is>
      </c>
      <c r="G38" s="119" t="inlineStr">
        <is>
          <t>n</t>
        </is>
      </c>
      <c r="H38" s="119" t="inlineStr">
        <is>
          <t>Energy efficiency</t>
        </is>
      </c>
      <c r="I38" s="119" t="inlineStr">
        <is>
          <t>sectors</t>
        </is>
      </c>
      <c r="J38" s="119" t="inlineStr">
        <is>
          <t>By 2015, the comprehensive energy consumption of copper smelting will be reduced to 300 kg of standard coal per ton.</t>
        </is>
      </c>
      <c r="K38" s="119" t="inlineStr">
        <is>
          <t>DP1301.htm</t>
        </is>
      </c>
      <c r="L38" s="119" t="inlineStr">
        <is>
          <t>Industry</t>
        </is>
      </c>
    </row>
    <row r="39" ht="18" customHeight="1" s="235">
      <c r="A39" s="119" t="n">
        <v>2013</v>
      </c>
      <c r="B39" s="119" t="inlineStr">
        <is>
          <t xml:space="preserve">energy consumption of crude oil processing  </t>
        </is>
      </c>
      <c r="C39" s="119" t="inlineStr">
        <is>
          <t>reduce to</t>
        </is>
      </c>
      <c r="D39" s="119" t="inlineStr">
        <is>
          <t>86 kg of standard coal per ton</t>
        </is>
      </c>
      <c r="E39" s="119" t="n"/>
      <c r="F39" s="120" t="inlineStr">
        <is>
          <t>2015</t>
        </is>
      </c>
      <c r="G39" s="119" t="inlineStr">
        <is>
          <t>n</t>
        </is>
      </c>
      <c r="H39" s="119" t="inlineStr">
        <is>
          <t>Energy efficiency</t>
        </is>
      </c>
      <c r="I39" s="119" t="inlineStr">
        <is>
          <t>sectors</t>
        </is>
      </c>
      <c r="J39" s="119" t="inlineStr">
        <is>
          <t>By 2015, the comprehensive energy consumption of crude oil processing will drop to 86 kg of standard coal per ton.</t>
        </is>
      </c>
      <c r="K39" s="119" t="inlineStr">
        <is>
          <t>DP1301.htm</t>
        </is>
      </c>
      <c r="L39" s="119" t="inlineStr">
        <is>
          <t>Industry</t>
        </is>
      </c>
    </row>
    <row r="40" ht="18" customHeight="1" s="235">
      <c r="A40" s="119" t="n">
        <v>2013</v>
      </c>
      <c r="B40" s="119" t="inlineStr">
        <is>
          <t>energy consumption of daily-use ceramics</t>
        </is>
      </c>
      <c r="C40" s="119" t="inlineStr">
        <is>
          <t>reduce to</t>
        </is>
      </c>
      <c r="D40" s="119" t="inlineStr">
        <is>
          <t>1110 kg standard coal per ton</t>
        </is>
      </c>
      <c r="E40" s="119" t="n"/>
      <c r="F40" s="120" t="inlineStr">
        <is>
          <t>2015</t>
        </is>
      </c>
      <c r="G40" s="119" t="inlineStr">
        <is>
          <t>n</t>
        </is>
      </c>
      <c r="H40" s="119" t="inlineStr">
        <is>
          <t>Energy efficiency</t>
        </is>
      </c>
      <c r="I40" s="119" t="inlineStr">
        <is>
          <t>sectors</t>
        </is>
      </c>
      <c r="J40" s="119" t="inlineStr">
        <is>
          <t>By 2015, the comprehensive energy consumption of daily-use ceramics will be reduced to 1,110 kg standard coal per ton.</t>
        </is>
      </c>
      <c r="K40" s="119" t="inlineStr">
        <is>
          <t>DP1301.htm</t>
        </is>
      </c>
      <c r="L40" s="119" t="inlineStr">
        <is>
          <t>Industry</t>
        </is>
      </c>
    </row>
    <row r="41" ht="18" customHeight="1" s="235">
      <c r="A41" s="119" t="n">
        <v>2013</v>
      </c>
      <c r="B41" s="119" t="inlineStr">
        <is>
          <t>energy consumption of ethylene</t>
        </is>
      </c>
      <c r="C41" s="119" t="inlineStr">
        <is>
          <t>reduce to</t>
        </is>
      </c>
      <c r="D41" s="119" t="inlineStr">
        <is>
          <t>857 kg of standard coal per ton</t>
        </is>
      </c>
      <c r="E41" s="119" t="n"/>
      <c r="F41" s="120" t="inlineStr">
        <is>
          <t>2015</t>
        </is>
      </c>
      <c r="G41" s="119" t="inlineStr">
        <is>
          <t>n</t>
        </is>
      </c>
      <c r="H41" s="119" t="inlineStr">
        <is>
          <t>Energy efficiency</t>
        </is>
      </c>
      <c r="I41" s="119" t="inlineStr">
        <is>
          <t>sectors</t>
        </is>
      </c>
      <c r="J41" s="119" t="inlineStr">
        <is>
          <t>By 2015, the comprehensive energy consumption of ethylene will drop to 857 kg of standard coal per ton.</t>
        </is>
      </c>
      <c r="K41" s="119" t="inlineStr">
        <is>
          <t>DP1301.htm</t>
        </is>
      </c>
      <c r="L41" s="119" t="inlineStr">
        <is>
          <t>Industry</t>
        </is>
      </c>
    </row>
    <row r="42" ht="18" customHeight="1" s="235">
      <c r="A42" s="119" t="n">
        <v>2013</v>
      </c>
      <c r="B42" s="119" t="inlineStr">
        <is>
          <t xml:space="preserve">energy consumption of flat glass    </t>
        </is>
      </c>
      <c r="C42" s="119" t="inlineStr">
        <is>
          <t>reduce to</t>
        </is>
      </c>
      <c r="D42" s="119" t="inlineStr">
        <is>
          <t>15 kg standard coal per weight box</t>
        </is>
      </c>
      <c r="E42" s="119" t="n"/>
      <c r="F42" s="120" t="inlineStr">
        <is>
          <t>2015</t>
        </is>
      </c>
      <c r="G42" s="119" t="inlineStr">
        <is>
          <t>n</t>
        </is>
      </c>
      <c r="H42" s="119" t="inlineStr">
        <is>
          <t>Energy efficiency</t>
        </is>
      </c>
      <c r="I42" s="119" t="inlineStr">
        <is>
          <t>sectors</t>
        </is>
      </c>
      <c r="J42" s="119" t="inlineStr">
        <is>
          <t>By 2015, the comprehensive energy consumption of flat glass will be reduced to 15 kg standard coal per weight box.</t>
        </is>
      </c>
      <c r="K42" s="119" t="inlineStr">
        <is>
          <t>DP1301.htm</t>
        </is>
      </c>
      <c r="L42" s="119" t="inlineStr">
        <is>
          <t>Industry</t>
        </is>
      </c>
    </row>
    <row r="43" ht="18" customHeight="1" s="235">
      <c r="A43" s="119" t="n">
        <v>2013</v>
      </c>
      <c r="B43" s="119" t="inlineStr">
        <is>
          <t xml:space="preserve">energy consumption of paper and paperboard  </t>
        </is>
      </c>
      <c r="C43" s="119" t="inlineStr">
        <is>
          <t>reduce to</t>
        </is>
      </c>
      <c r="D43" s="119" t="inlineStr">
        <is>
          <t>530 kg standard coal per ton</t>
        </is>
      </c>
      <c r="E43" s="119" t="n"/>
      <c r="F43" s="120" t="inlineStr">
        <is>
          <t>2015</t>
        </is>
      </c>
      <c r="G43" s="119" t="inlineStr">
        <is>
          <t>n</t>
        </is>
      </c>
      <c r="H43" s="119" t="inlineStr">
        <is>
          <t>Energy efficiency</t>
        </is>
      </c>
      <c r="I43" s="119" t="inlineStr">
        <is>
          <t>sectors</t>
        </is>
      </c>
      <c r="J43" s="119" t="inlineStr">
        <is>
          <t>By 2015, the comprehensive energy consumption of paper and paperboard will be reduced to 530 kg standard coal per ton.</t>
        </is>
      </c>
      <c r="K43" s="119" t="inlineStr">
        <is>
          <t>DP1301.htm</t>
        </is>
      </c>
      <c r="L43" s="119" t="inlineStr">
        <is>
          <t>Industry</t>
        </is>
      </c>
    </row>
    <row r="44" ht="18" customHeight="1" s="235">
      <c r="A44" s="119" t="n">
        <v>2013</v>
      </c>
      <c r="B44" s="119" t="inlineStr">
        <is>
          <t>energy consumption of pulp</t>
        </is>
      </c>
      <c r="C44" s="119" t="inlineStr">
        <is>
          <t>reduce to</t>
        </is>
      </c>
      <c r="D44" s="119" t="inlineStr">
        <is>
          <t>370 kg standard coal per ton</t>
        </is>
      </c>
      <c r="E44" s="119" t="n"/>
      <c r="F44" s="120" t="inlineStr">
        <is>
          <t>2015</t>
        </is>
      </c>
      <c r="G44" s="119" t="inlineStr">
        <is>
          <t>n</t>
        </is>
      </c>
      <c r="H44" s="119" t="inlineStr">
        <is>
          <t>Energy efficiency</t>
        </is>
      </c>
      <c r="I44" s="119" t="inlineStr">
        <is>
          <t>sectors</t>
        </is>
      </c>
      <c r="J44" s="119" t="inlineStr">
        <is>
          <t>By 2015, the comprehensive energy consumption of pulp will be reduced to 370 kg standard coal per ton.</t>
        </is>
      </c>
      <c r="K44" s="119" t="inlineStr">
        <is>
          <t>DP1301.htm</t>
        </is>
      </c>
      <c r="L44" s="119" t="inlineStr">
        <is>
          <t>Industry</t>
        </is>
      </c>
    </row>
    <row r="45" ht="18" customHeight="1" s="235">
      <c r="A45" s="119" t="n">
        <v>2013</v>
      </c>
      <c r="B45" s="119" t="inlineStr">
        <is>
          <t xml:space="preserve">energy consumption of synthetic ammonia    </t>
        </is>
      </c>
      <c r="C45" s="119" t="inlineStr">
        <is>
          <t>be less than</t>
        </is>
      </c>
      <c r="D45" s="119" t="inlineStr">
        <is>
          <t>1350 kg standard coal per ton</t>
        </is>
      </c>
      <c r="E45" s="119" t="n"/>
      <c r="F45" s="120" t="inlineStr">
        <is>
          <t>2015</t>
        </is>
      </c>
      <c r="G45" s="119" t="inlineStr">
        <is>
          <t>n</t>
        </is>
      </c>
      <c r="H45" s="119" t="inlineStr">
        <is>
          <t>Energy efficiency</t>
        </is>
      </c>
      <c r="I45" s="119" t="inlineStr">
        <is>
          <t>sectors</t>
        </is>
      </c>
      <c r="J45" s="119" t="inlineStr">
        <is>
          <t>By 2015, the comprehensive energy consumption of synthetic ammonia will be less than 1,350 kg standard coal per ton.</t>
        </is>
      </c>
      <c r="K45" s="119" t="inlineStr">
        <is>
          <t>DP1301.htm</t>
        </is>
      </c>
      <c r="L45" s="119" t="inlineStr">
        <is>
          <t>Industry</t>
        </is>
      </c>
    </row>
    <row r="46" ht="18" customHeight="1" s="235">
      <c r="A46" s="119" t="n">
        <v>2013</v>
      </c>
      <c r="B46" s="119" t="inlineStr">
        <is>
          <t>energy consumption per unit of industrial value added</t>
        </is>
      </c>
      <c r="C46" s="119" t="inlineStr">
        <is>
          <t>reduce by</t>
        </is>
      </c>
      <c r="D46" s="119" t="inlineStr">
        <is>
          <t>21%</t>
        </is>
      </c>
      <c r="E46" s="119" t="n">
        <v>2010</v>
      </c>
      <c r="F46" s="120" t="inlineStr">
        <is>
          <t>2015</t>
        </is>
      </c>
      <c r="G46" s="119" t="inlineStr">
        <is>
          <t>n</t>
        </is>
      </c>
      <c r="H46" s="119" t="inlineStr">
        <is>
          <t>Energy efficiency</t>
        </is>
      </c>
      <c r="I46" s="119" t="inlineStr">
        <is>
          <t>sectors</t>
        </is>
      </c>
      <c r="J46" s="119" t="inlineStr">
        <is>
          <t>By 2015, energy consumption per unit of industrial value added will decrease by 21% compared with 2010.</t>
        </is>
      </c>
      <c r="K46" s="119" t="inlineStr">
        <is>
          <t>DP1301.htm</t>
        </is>
      </c>
      <c r="L46" s="119" t="inlineStr">
        <is>
          <t>Industry</t>
        </is>
      </c>
    </row>
    <row r="47" ht="18" customHeight="1" s="235">
      <c r="A47" s="119" t="n">
        <v>2013</v>
      </c>
      <c r="B47" s="119" t="inlineStr">
        <is>
          <t>energy consumption per unit of industrial value added</t>
        </is>
      </c>
      <c r="C47" s="119" t="inlineStr">
        <is>
          <t>reduce by</t>
        </is>
      </c>
      <c r="D47" s="119" t="inlineStr">
        <is>
          <t>20%</t>
        </is>
      </c>
      <c r="E47" s="119" t="n">
        <v>2012</v>
      </c>
      <c r="F47" s="120" t="inlineStr">
        <is>
          <t>2017</t>
        </is>
      </c>
      <c r="G47" s="119" t="inlineStr">
        <is>
          <t>n</t>
        </is>
      </c>
      <c r="H47" s="119" t="inlineStr">
        <is>
          <t>Energy efficiency</t>
        </is>
      </c>
      <c r="I47" s="119" t="inlineStr">
        <is>
          <t>sectors</t>
        </is>
      </c>
      <c r="J47" s="119" t="inlineStr">
        <is>
          <t>By 2017, the energy consumption per unit of industrial value added will be reduced by about 20% compared with 2012.</t>
        </is>
      </c>
      <c r="K47" s="119" t="inlineStr">
        <is>
          <t>AP1302.htm</t>
        </is>
      </c>
      <c r="L47" s="119" t="inlineStr">
        <is>
          <t>Industry</t>
        </is>
      </c>
    </row>
    <row r="48" ht="18" customHeight="1" s="235">
      <c r="A48" s="119" t="n">
        <v>2013</v>
      </c>
      <c r="B48" s="119" t="inlineStr">
        <is>
          <t>energy consumption per unit of industrial value added in food industry</t>
        </is>
      </c>
      <c r="C48" s="119" t="inlineStr">
        <is>
          <t>reduce by</t>
        </is>
      </c>
      <c r="D48" s="119" t="inlineStr">
        <is>
          <t>16%</t>
        </is>
      </c>
      <c r="E48" s="119" t="n">
        <v>2010</v>
      </c>
      <c r="F48" s="120" t="inlineStr">
        <is>
          <t>2015</t>
        </is>
      </c>
      <c r="G48" s="119" t="inlineStr">
        <is>
          <t>n</t>
        </is>
      </c>
      <c r="H48" s="119" t="inlineStr">
        <is>
          <t>Energy efficiency</t>
        </is>
      </c>
      <c r="I48" s="119" t="inlineStr">
        <is>
          <t>sectors</t>
        </is>
      </c>
      <c r="J48" s="119" t="inlineStr">
        <is>
          <t>By 2015, the energy consumption per unit of industrial value added in the food industry will decrease by 16% compared with 2010.</t>
        </is>
      </c>
      <c r="K48" s="119" t="inlineStr">
        <is>
          <t>DP1301.htm</t>
        </is>
      </c>
      <c r="L48" s="119" t="inlineStr">
        <is>
          <t>Industry</t>
        </is>
      </c>
    </row>
    <row r="49" ht="18" customHeight="1" s="235">
      <c r="A49" s="119" t="n">
        <v>2021</v>
      </c>
      <c r="B49" s="119" t="inlineStr">
        <is>
          <t>energy consumption per unit of industrial value added in national high-tech zones</t>
        </is>
      </c>
      <c r="C49" s="119" t="inlineStr">
        <is>
          <t>reduce to</t>
        </is>
      </c>
      <c r="D49" s="119" t="inlineStr">
        <is>
          <t>below 0.4  tons of standard coal per 10,000 yuan</t>
        </is>
      </c>
      <c r="E49" s="119" t="n"/>
      <c r="F49" s="120" t="inlineStr">
        <is>
          <t>2025</t>
        </is>
      </c>
      <c r="G49" s="119" t="inlineStr">
        <is>
          <t>n</t>
        </is>
      </c>
      <c r="H49" s="119" t="inlineStr">
        <is>
          <t>Energy efficiency</t>
        </is>
      </c>
      <c r="I49" s="119" t="inlineStr">
        <is>
          <t>industrial parks</t>
        </is>
      </c>
      <c r="J49" s="119" t="inlineStr">
        <is>
          <t>By 2025, the comprehensive energy consumption per unit of industrial value added in national high-tech zones will be reduced to below 0.4 tons of standard coal per 10,000 yuan.</t>
        </is>
      </c>
      <c r="K49" s="119" t="inlineStr">
        <is>
          <t>IP2102.htm</t>
        </is>
      </c>
      <c r="L49" s="119" t="inlineStr">
        <is>
          <t>Industry</t>
        </is>
      </c>
    </row>
    <row r="50" ht="18" customHeight="1" s="235">
      <c r="A50" s="119" t="n">
        <v>2021</v>
      </c>
      <c r="B50" s="119" t="inlineStr">
        <is>
          <t>energy consumption per unit of industrial value added in national high-tech zones</t>
        </is>
      </c>
      <c r="C50" s="119" t="inlineStr">
        <is>
          <t>reduce by</t>
        </is>
      </c>
      <c r="D50" s="119" t="inlineStr">
        <is>
          <t>below 0.4 tons of standard coal per 10,000 yuan</t>
        </is>
      </c>
      <c r="E50" s="119" t="n"/>
      <c r="F50" s="120" t="inlineStr">
        <is>
          <t>2025</t>
        </is>
      </c>
      <c r="G50" s="119" t="inlineStr">
        <is>
          <t>r</t>
        </is>
      </c>
      <c r="H50" s="119" t="inlineStr">
        <is>
          <t>Energy efficiency</t>
        </is>
      </c>
      <c r="I50" s="119" t="inlineStr">
        <is>
          <t>industrial parks</t>
        </is>
      </c>
      <c r="J50" s="119" t="inlineStr">
        <is>
          <t>By 2025, the comprehensive energy consumption per unit of industrial value added in national high-tech zones will be reduced to below 0.4 tons of standard coal per 10,000 yuan, among which 50% of national high-tech zones will have a comprehensive energy consumption per unit of industrial value added below 0.3 tons of standard coal per 10,000 yuan; the average annual reduction rate of carbon dioxide emissions per unit of industrial value added will be above 4%, and some high-tech zones will achieve carbon peak.</t>
        </is>
      </c>
      <c r="K50" s="119" t="inlineStr">
        <is>
          <t>IP2102.htm</t>
        </is>
      </c>
      <c r="L50" s="119" t="inlineStr">
        <is>
          <t>Industry</t>
        </is>
      </c>
    </row>
    <row r="51" ht="18" customHeight="1" s="235">
      <c r="A51" s="119" t="n">
        <v>2013</v>
      </c>
      <c r="B51" s="119" t="inlineStr">
        <is>
          <t>energy consumption per unit of industrial value added in textile industry</t>
        </is>
      </c>
      <c r="C51" s="119" t="inlineStr">
        <is>
          <t>reduce by</t>
        </is>
      </c>
      <c r="D51" s="119" t="inlineStr">
        <is>
          <t>20%</t>
        </is>
      </c>
      <c r="E51" s="119" t="n">
        <v>2010</v>
      </c>
      <c r="F51" s="120" t="inlineStr">
        <is>
          <t>2015</t>
        </is>
      </c>
      <c r="G51" s="119" t="inlineStr">
        <is>
          <t>n</t>
        </is>
      </c>
      <c r="H51" s="119" t="inlineStr">
        <is>
          <t>Energy efficiency</t>
        </is>
      </c>
      <c r="I51" s="119" t="inlineStr">
        <is>
          <t>sectors</t>
        </is>
      </c>
      <c r="J51" s="119" t="inlineStr">
        <is>
          <t>By 2015, the energy consumption per unit of industrial value added in the textile industry will drop by 20% compared with 2010.</t>
        </is>
      </c>
      <c r="K51" s="119" t="inlineStr">
        <is>
          <t>DP1301.htm</t>
        </is>
      </c>
      <c r="L51" s="119" t="inlineStr">
        <is>
          <t>Industry</t>
        </is>
      </c>
    </row>
    <row r="52" ht="18" customHeight="1" s="235">
      <c r="A52" s="119" t="n">
        <v>2024</v>
      </c>
      <c r="B52" s="119" t="inlineStr">
        <is>
          <t>energy consumption per unit of value added of industrial enterprises above designated size</t>
        </is>
      </c>
      <c r="C52" s="119" t="inlineStr">
        <is>
          <t>reduce by</t>
        </is>
      </c>
      <c r="D52" s="119" t="inlineStr">
        <is>
          <t>13.5%</t>
        </is>
      </c>
      <c r="E52" s="119" t="n">
        <v>2020</v>
      </c>
      <c r="F52" s="120" t="inlineStr">
        <is>
          <t>2025</t>
        </is>
      </c>
      <c r="G52" s="119" t="inlineStr">
        <is>
          <t>n</t>
        </is>
      </c>
      <c r="H52" s="119" t="inlineStr">
        <is>
          <t>Energy efficiency</t>
        </is>
      </c>
      <c r="I52" s="119" t="inlineStr">
        <is>
          <t>enterprises</t>
        </is>
      </c>
      <c r="J52" s="119" t="inlineStr">
        <is>
          <t>By 2025, energy consumption per unit of value added for industrial enterprises above designated size dropping by 13.5% compared to 2020.</t>
        </is>
      </c>
      <c r="K52" s="119" t="inlineStr">
        <is>
          <t>HL2401.pdf</t>
        </is>
      </c>
      <c r="L52" s="119" t="inlineStr">
        <is>
          <t>Industry</t>
        </is>
      </c>
    </row>
    <row r="53" ht="18" customHeight="1" s="235">
      <c r="A53" s="119" t="n">
        <v>2016</v>
      </c>
      <c r="B53" s="119" t="inlineStr">
        <is>
          <t>energy consumption per unit of value added of industrial enterprises above designated size</t>
        </is>
      </c>
      <c r="C53" s="119" t="inlineStr">
        <is>
          <t>reduce by</t>
        </is>
      </c>
      <c r="D53" s="119" t="inlineStr">
        <is>
          <t>more than 18%</t>
        </is>
      </c>
      <c r="E53" s="119" t="n">
        <v>2015</v>
      </c>
      <c r="F53" s="120" t="inlineStr">
        <is>
          <t>2020</t>
        </is>
      </c>
      <c r="G53" s="119" t="inlineStr">
        <is>
          <t>n</t>
        </is>
      </c>
      <c r="H53" s="119" t="inlineStr">
        <is>
          <t>Energy efficiency</t>
        </is>
      </c>
      <c r="I53" s="119" t="inlineStr">
        <is>
          <t>enterprises</t>
        </is>
      </c>
      <c r="J53" s="119" t="inlineStr">
        <is>
          <t>By 2020, the efficiency and cleanliness of industrial energy utilization will be significantly improved, the energy consumption per unit of value added of industrial enterprises above a certain scale will be reduced by more than 18% compared with 2015.</t>
        </is>
      </c>
      <c r="K53" s="119" t="inlineStr">
        <is>
          <t>FYP1601.htm</t>
        </is>
      </c>
      <c r="L53" s="119" t="inlineStr">
        <is>
          <t>Industry</t>
        </is>
      </c>
    </row>
    <row r="54" ht="18" customHeight="1" s="235">
      <c r="A54" s="119" t="n">
        <v>2016</v>
      </c>
      <c r="B54" s="119" t="inlineStr">
        <is>
          <t>energy consumption per unit of value added of industrial enterprises above designated size</t>
        </is>
      </c>
      <c r="C54" s="119" t="inlineStr">
        <is>
          <t>reduce by</t>
        </is>
      </c>
      <c r="D54" s="119" t="inlineStr">
        <is>
          <t>18%</t>
        </is>
      </c>
      <c r="E54" s="119" t="n">
        <v>2015</v>
      </c>
      <c r="F54" s="120" t="inlineStr">
        <is>
          <t>2020</t>
        </is>
      </c>
      <c r="G54" s="119" t="inlineStr">
        <is>
          <t>r</t>
        </is>
      </c>
      <c r="H54" s="119" t="inlineStr">
        <is>
          <t>Energy efficiency</t>
        </is>
      </c>
      <c r="I54" s="119" t="inlineStr">
        <is>
          <t>enterprises</t>
        </is>
      </c>
      <c r="J54" s="119" t="inlineStr">
        <is>
          <t>By 2020, the efficiency and cleanliness of industrial energy utilization will be significantly improved, the energy consumption per unit of value added of industrial enterprises above a certain scale will be reduced by more than 18% compared with 2015, and the energy utilization efficiency of key energy-consuming industries such as electricity, steel, nonferrous metals, building materials, petroleum, petrochemicals, and chemicals will reach or approach the world's advanced level.</t>
        </is>
      </c>
      <c r="K54" s="119" t="inlineStr">
        <is>
          <t>FYP1601.htm</t>
        </is>
      </c>
      <c r="L54" s="119" t="inlineStr">
        <is>
          <t>Industry</t>
        </is>
      </c>
    </row>
    <row r="55" ht="18" customHeight="1" s="235">
      <c r="A55" s="119" t="n">
        <v>2014</v>
      </c>
      <c r="B55" s="119" t="inlineStr">
        <is>
          <t>energy consumption per unit of value added of industrial enterprises above designated size</t>
        </is>
      </c>
      <c r="C55" s="119" t="inlineStr">
        <is>
          <t>reduce by</t>
        </is>
      </c>
      <c r="D55" s="119" t="inlineStr">
        <is>
          <t>21%</t>
        </is>
      </c>
      <c r="E55" s="119" t="n">
        <v>2010</v>
      </c>
      <c r="F55" s="120" t="inlineStr">
        <is>
          <t>2015</t>
        </is>
      </c>
      <c r="G55" s="119" t="inlineStr">
        <is>
          <t>n</t>
        </is>
      </c>
      <c r="H55" s="119" t="inlineStr">
        <is>
          <t>Energy efficiency</t>
        </is>
      </c>
      <c r="I55" s="119" t="inlineStr">
        <is>
          <t>enterprises</t>
        </is>
      </c>
      <c r="J55" s="119" t="inlineStr">
        <is>
          <t>By 2015, the energy consumption per unit of value added of industrial enterprises above a certain scale  in key energy-consuming industries will be reduced by more than 21% compared with 2010.</t>
        </is>
      </c>
      <c r="K55" s="119" t="inlineStr">
        <is>
          <t>AP1404.htm</t>
        </is>
      </c>
      <c r="L55" s="119" t="inlineStr">
        <is>
          <t>Industry</t>
        </is>
      </c>
    </row>
    <row r="56" ht="18" customHeight="1" s="235">
      <c r="A56" s="0" t="n">
        <v>2026</v>
      </c>
      <c r="B56" s="0" t="inlineStr">
        <is>
          <t>energy consumption per unit of value added of industries above designated size</t>
        </is>
      </c>
      <c r="C56" s="0" t="inlineStr">
        <is>
          <t>reduce by</t>
        </is>
      </c>
      <c r="D56" s="0" t="inlineStr">
        <is>
          <t>more than 10%</t>
        </is>
      </c>
      <c r="F56" s="0" t="inlineStr">
        <is>
          <t>15th FYP</t>
        </is>
      </c>
      <c r="G56" s="0" t="inlineStr">
        <is>
          <t>r</t>
        </is>
      </c>
      <c r="H56" s="0" t="inlineStr">
        <is>
          <t>Energy efficiency</t>
        </is>
      </c>
      <c r="I56" s="0" t="inlineStr">
        <is>
          <t>sectors</t>
        </is>
      </c>
      <c r="J56" s="0" t="inlineStr">
        <is>
          <t>During the 15th FYP period, carbon dioxide emissions per unit of value added of industries above designated size will be reduced by more than 17%, and energy consumption per unit of value added by more than 10%, ...</t>
        </is>
      </c>
      <c r="K56" s="0" t="inlineStr">
        <is>
          <t>HL2604.htm</t>
        </is>
      </c>
      <c r="L56" s="0" t="inlineStr">
        <is>
          <t>Industry</t>
        </is>
      </c>
    </row>
    <row r="57" ht="18" customHeight="1" s="235">
      <c r="A57" s="0" t="n">
        <v>2026</v>
      </c>
      <c r="B57" s="0" t="inlineStr">
        <is>
          <t>energy consumption per unit of value added of industries above designated size</t>
        </is>
      </c>
      <c r="C57" s="0" t="inlineStr">
        <is>
          <t>reduce by</t>
        </is>
      </c>
      <c r="D57" s="0" t="inlineStr">
        <is>
          <t>more than 10% (cumulative over 5 years)</t>
        </is>
      </c>
      <c r="F57" s="0" t="n">
        <v>2030</v>
      </c>
      <c r="G57" s="0" t="inlineStr">
        <is>
          <t>n</t>
        </is>
      </c>
      <c r="H57" s="0" t="inlineStr">
        <is>
          <t>Energy efficiency</t>
        </is>
      </c>
      <c r="I57" s="0" t="inlineStr">
        <is>
          <t>sectors</t>
        </is>
      </c>
      <c r="J57" s="0" t="inlineStr">
        <is>
          <t>Column 1: Indicative indicators for green and low-carbon industrial development during the 15th FYP period: reduction in energy consumption per unit of value added of industries above designated size (%), more than 10 (cumulative over 5 years).</t>
        </is>
      </c>
      <c r="K57" s="0" t="inlineStr">
        <is>
          <t>FYP2605.htm</t>
        </is>
      </c>
      <c r="L57" s="0" t="inlineStr">
        <is>
          <t>Industry</t>
        </is>
      </c>
    </row>
    <row r="58" ht="18" customHeight="1" s="235">
      <c r="A58" s="119" t="n">
        <v>2013</v>
      </c>
      <c r="B58" s="119" t="inlineStr">
        <is>
          <t>energy efficiency of terminal energy-consuming products</t>
        </is>
      </c>
      <c r="C58" s="119" t="inlineStr">
        <is>
          <t>increase by</t>
        </is>
      </c>
      <c r="D58" s="119" t="inlineStr">
        <is>
          <t>more than 15%</t>
        </is>
      </c>
      <c r="E58" s="119" t="n">
        <v>2010</v>
      </c>
      <c r="F58" s="120" t="inlineStr">
        <is>
          <t>2015</t>
        </is>
      </c>
      <c r="G58" s="119" t="inlineStr">
        <is>
          <t>n</t>
        </is>
      </c>
      <c r="H58" s="119" t="inlineStr">
        <is>
          <t>Energy efficiency</t>
        </is>
      </c>
      <c r="I58" s="119" t="inlineStr">
        <is>
          <t>unclear</t>
        </is>
      </c>
      <c r="J58" s="119" t="inlineStr">
        <is>
          <t>By 2015, the energy efficiency of terminal energy-consuming products will improve by more than 15%.</t>
        </is>
      </c>
      <c r="K58" s="119" t="inlineStr">
        <is>
          <t>O1302.htm</t>
        </is>
      </c>
      <c r="L58" s="119" t="inlineStr">
        <is>
          <t>Industry</t>
        </is>
      </c>
    </row>
    <row r="59" ht="18" customHeight="1" s="235">
      <c r="A59" s="119" t="n">
        <v>2014</v>
      </c>
      <c r="B59" s="119" t="inlineStr">
        <is>
          <t>energy savings of 10,000 enterprises in key areas</t>
        </is>
      </c>
      <c r="C59" s="119" t="inlineStr">
        <is>
          <t>achieve</t>
        </is>
      </c>
      <c r="D59" s="119" t="inlineStr">
        <is>
          <t>more than 250 million tons of standard coal</t>
        </is>
      </c>
      <c r="E59" s="119" t="n"/>
      <c r="F59" s="120" t="inlineStr">
        <is>
          <t>2015</t>
        </is>
      </c>
      <c r="G59" s="119" t="inlineStr">
        <is>
          <t>n</t>
        </is>
      </c>
      <c r="H59" s="119" t="inlineStr">
        <is>
          <t>Energy saving</t>
        </is>
      </c>
      <c r="I59" s="119" t="inlineStr">
        <is>
          <t>enterprises</t>
        </is>
      </c>
      <c r="J59" s="119" t="inlineStr">
        <is>
          <t>By the end of 2015, 10,000 enterprises will have achieved energy savings of more than 250 million tons of standard coal.</t>
        </is>
      </c>
      <c r="K59" s="119" t="inlineStr">
        <is>
          <t>AP1404.htm</t>
        </is>
      </c>
      <c r="L59" s="119" t="inlineStr">
        <is>
          <t>Industry</t>
        </is>
      </c>
    </row>
    <row r="60" ht="18" customHeight="1" s="235">
      <c r="A60" s="119" t="n">
        <v>2024</v>
      </c>
      <c r="B60" s="119" t="inlineStr">
        <is>
          <t>energy-saving and carbon-reduction transformation of the building materials industry</t>
        </is>
      </c>
      <c r="C60" s="119" t="inlineStr">
        <is>
          <t>save</t>
        </is>
      </c>
      <c r="D60" s="119" t="inlineStr">
        <is>
          <t>10 million tons of standard coal</t>
        </is>
      </c>
      <c r="E60" s="119" t="n">
        <v>2024</v>
      </c>
      <c r="F60" s="120" t="n">
        <v>2025</v>
      </c>
      <c r="G60" s="119" t="inlineStr">
        <is>
          <t>n</t>
        </is>
      </c>
      <c r="H60" s="119" t="inlineStr">
        <is>
          <t>Energy saving</t>
        </is>
      </c>
      <c r="I60" s="119" t="inlineStr">
        <is>
          <t>sectors</t>
        </is>
      </c>
      <c r="J60" s="119" t="inlineStr">
        <is>
          <t>From 2024 to 2025, the energy-saving and carbon-reduction transformation of the building materials industry will save about 10 million tons of standard coal.</t>
        </is>
      </c>
      <c r="K60" s="119" t="inlineStr">
        <is>
          <t>AP2405.htm</t>
        </is>
      </c>
      <c r="L60" s="119" t="inlineStr">
        <is>
          <t>Industry</t>
        </is>
      </c>
    </row>
    <row r="61" ht="18" customHeight="1" s="235">
      <c r="A61" s="119" t="n">
        <v>2024</v>
      </c>
      <c r="B61" s="119" t="inlineStr">
        <is>
          <t>energy-saving and carbon-reduction transformation of the non-ferrous metals industry</t>
        </is>
      </c>
      <c r="C61" s="119" t="inlineStr">
        <is>
          <t>save</t>
        </is>
      </c>
      <c r="D61" s="119" t="inlineStr">
        <is>
          <t>5 million tons of standard coal</t>
        </is>
      </c>
      <c r="E61" s="119" t="n">
        <v>2024</v>
      </c>
      <c r="F61" s="120" t="n">
        <v>2025</v>
      </c>
      <c r="G61" s="119" t="inlineStr">
        <is>
          <t>n</t>
        </is>
      </c>
      <c r="H61" s="119" t="inlineStr">
        <is>
          <t>Energy saving</t>
        </is>
      </c>
      <c r="I61" s="119" t="inlineStr">
        <is>
          <t>sectors</t>
        </is>
      </c>
      <c r="J61" s="119" t="inlineStr">
        <is>
          <t>From 2024 to 2025, the energy-saving and carbon-reduction transformation of the non-ferrous metals industry will save about 5 million tons of standard coal.</t>
        </is>
      </c>
      <c r="K61" s="119" t="inlineStr">
        <is>
          <t>AP2405.htm</t>
        </is>
      </c>
      <c r="L61" s="119" t="inlineStr">
        <is>
          <t>Industry</t>
        </is>
      </c>
    </row>
    <row r="62" ht="18" customHeight="1" s="235">
      <c r="A62" s="119" t="n">
        <v>2024</v>
      </c>
      <c r="B62" s="119" t="inlineStr">
        <is>
          <t>energy-saving and carbon-reduction transformation of the petrochemical and chemical industry</t>
        </is>
      </c>
      <c r="C62" s="119" t="inlineStr">
        <is>
          <t>save</t>
        </is>
      </c>
      <c r="D62" s="119" t="inlineStr">
        <is>
          <t>40 million tons of standard coal</t>
        </is>
      </c>
      <c r="E62" s="119" t="n">
        <v>2024</v>
      </c>
      <c r="F62" s="120" t="n">
        <v>2025</v>
      </c>
      <c r="G62" s="119" t="inlineStr">
        <is>
          <t>n</t>
        </is>
      </c>
      <c r="H62" s="119" t="inlineStr">
        <is>
          <t>Energy saving</t>
        </is>
      </c>
      <c r="I62" s="119" t="inlineStr">
        <is>
          <t>sectors</t>
        </is>
      </c>
      <c r="J62" s="119" t="inlineStr">
        <is>
          <t>From 2024 to 2025, the energy-saving and carbon-reduction transformation of the petrochemical and chemical industry will save about 40 million tons of standard coal.</t>
        </is>
      </c>
      <c r="K62" s="119" t="inlineStr">
        <is>
          <t>AP2405.htm</t>
        </is>
      </c>
      <c r="L62" s="119" t="inlineStr">
        <is>
          <t>Industry</t>
        </is>
      </c>
    </row>
    <row r="63" ht="18" customHeight="1" s="235">
      <c r="A63" s="119" t="n">
        <v>2024</v>
      </c>
      <c r="B63" s="119" t="inlineStr">
        <is>
          <t xml:space="preserve">energy-saving and carbon-reduction transformation of the steel industry  </t>
        </is>
      </c>
      <c r="C63" s="119" t="inlineStr">
        <is>
          <t>save</t>
        </is>
      </c>
      <c r="D63" s="119" t="inlineStr">
        <is>
          <t>20 million tons of standard coal</t>
        </is>
      </c>
      <c r="E63" s="119" t="n">
        <v>2024</v>
      </c>
      <c r="F63" s="120" t="n">
        <v>2025</v>
      </c>
      <c r="G63" s="119" t="inlineStr">
        <is>
          <t>n</t>
        </is>
      </c>
      <c r="H63" s="119" t="inlineStr">
        <is>
          <t>Energy saving</t>
        </is>
      </c>
      <c r="I63" s="119" t="inlineStr">
        <is>
          <t>sectors</t>
        </is>
      </c>
      <c r="J63" s="119" t="inlineStr">
        <is>
          <t>From 2024 to 2025, the energy-saving and carbon-reduction transformation of the steel industry will save about 20 million tons of standard coal.</t>
        </is>
      </c>
      <c r="K63" s="119" t="inlineStr">
        <is>
          <t>AP2405.htm</t>
        </is>
      </c>
      <c r="L63" s="119" t="inlineStr">
        <is>
          <t>Industry</t>
        </is>
      </c>
    </row>
    <row r="64" ht="18" customHeight="1" s="235">
      <c r="A64" s="119" t="n">
        <v>2024</v>
      </c>
      <c r="B64" s="119" t="inlineStr">
        <is>
          <t>energy-saving and environmental protection industry output value</t>
        </is>
      </c>
      <c r="C64" s="119" t="inlineStr">
        <is>
          <t>reach</t>
        </is>
      </c>
      <c r="D64" s="119" t="inlineStr">
        <is>
          <t>15 trillion yuan</t>
        </is>
      </c>
      <c r="E64" s="119" t="n"/>
      <c r="F64" s="120" t="inlineStr">
        <is>
          <t>2030</t>
        </is>
      </c>
      <c r="G64" s="119" t="inlineStr">
        <is>
          <t>r</t>
        </is>
      </c>
      <c r="H64" s="119" t="inlineStr">
        <is>
          <t>Production-oriented</t>
        </is>
      </c>
      <c r="I64" s="119" t="inlineStr">
        <is>
          <t>sectors</t>
        </is>
      </c>
      <c r="J64" s="119" t="inlineStr">
        <is>
          <t>By 2030, the scale of the energy-saving and environmental protection industry will reach about 15 trillion yuan.</t>
        </is>
      </c>
      <c r="K64" s="119" t="inlineStr">
        <is>
          <t>O2407.htm</t>
        </is>
      </c>
      <c r="L64" s="119" t="inlineStr">
        <is>
          <t>Industry</t>
        </is>
      </c>
    </row>
    <row r="65" ht="18" customHeight="1" s="235">
      <c r="A65" s="119" t="n">
        <v>2024</v>
      </c>
      <c r="B65" s="119" t="inlineStr">
        <is>
          <t>energy-saving and environmental protection industry value</t>
        </is>
      </c>
      <c r="C65" s="119" t="inlineStr">
        <is>
          <t>reach</t>
        </is>
      </c>
      <c r="D65" s="119" t="inlineStr">
        <is>
          <t>15 trillion yuan</t>
        </is>
      </c>
      <c r="E65" s="119" t="n"/>
      <c r="F65" s="120" t="inlineStr">
        <is>
          <t>2030</t>
        </is>
      </c>
      <c r="G65" s="119" t="inlineStr">
        <is>
          <t>n</t>
        </is>
      </c>
      <c r="H65" s="119" t="inlineStr">
        <is>
          <t>Production-oriented</t>
        </is>
      </c>
      <c r="I65" s="119" t="inlineStr">
        <is>
          <t>sectors</t>
        </is>
      </c>
      <c r="J65" s="119" t="inlineStr">
        <is>
          <t>By 2030, the plan targets an energy-saving and environmental protection industry worth approximately 15 trillion yuan</t>
        </is>
      </c>
      <c r="K65" s="119" t="inlineStr">
        <is>
          <t>HL2404.pdf</t>
        </is>
      </c>
      <c r="L65" s="119" t="inlineStr">
        <is>
          <t>Industry</t>
        </is>
      </c>
    </row>
    <row r="66" ht="18" customHeight="1" s="235">
      <c r="A66" s="119" t="n">
        <v>2022</v>
      </c>
      <c r="B66" s="119" t="inlineStr">
        <is>
          <t>green and low-carbon production lines in key industries</t>
        </is>
      </c>
      <c r="C66" s="119" t="inlineStr">
        <is>
          <t>transform and build</t>
        </is>
      </c>
      <c r="D66" s="119" t="inlineStr">
        <is>
          <t>1000 production lines</t>
        </is>
      </c>
      <c r="E66" s="119" t="n"/>
      <c r="F66" s="120" t="inlineStr">
        <is>
          <t>2030</t>
        </is>
      </c>
      <c r="G66" s="119" t="inlineStr">
        <is>
          <t>n</t>
        </is>
      </c>
      <c r="H66" s="119" t="inlineStr">
        <is>
          <t>Industrial transformation</t>
        </is>
      </c>
      <c r="I66" s="119" t="inlineStr">
        <is>
          <t>sectors</t>
        </is>
      </c>
      <c r="J66" s="119" t="inlineStr">
        <is>
          <t>Accelerate the implementation of deep pollutant treatment and ultra-low carbon dioxide emission transformation in key industries such as cement, lime, glass, and ceramics, promote synergistic efficiency in pollution reduction and carbon reduction, and transform and build 1,000 green and low-carbon production lines in key industries by 2030.</t>
        </is>
      </c>
      <c r="K66" s="119" t="inlineStr">
        <is>
          <t>IP2220.htm</t>
        </is>
      </c>
      <c r="L66" s="119" t="inlineStr">
        <is>
          <t>Industry</t>
        </is>
      </c>
    </row>
    <row r="67" ht="18" customHeight="1" s="235">
      <c r="A67" s="119" t="n">
        <v>2016</v>
      </c>
      <c r="B67" s="119" t="inlineStr">
        <is>
          <t>green demonstration factories</t>
        </is>
      </c>
      <c r="C67" s="119" t="inlineStr">
        <is>
          <t>establish</t>
        </is>
      </c>
      <c r="D67" s="119" t="inlineStr">
        <is>
          <t>1000 factories</t>
        </is>
      </c>
      <c r="E67" s="119" t="n"/>
      <c r="F67" s="120" t="inlineStr">
        <is>
          <t>2020</t>
        </is>
      </c>
      <c r="G67" s="119" t="inlineStr">
        <is>
          <t>n</t>
        </is>
      </c>
      <c r="H67" s="119" t="inlineStr">
        <is>
          <t>Production-oriented</t>
        </is>
      </c>
      <c r="I67" s="119" t="inlineStr">
        <is>
          <t>whole economy</t>
        </is>
      </c>
      <c r="J67" s="119" t="inlineStr">
        <is>
          <t>By 2020, 1,000 green demonstration factories will be established.</t>
        </is>
      </c>
      <c r="K67" s="119" t="inlineStr">
        <is>
          <t>DP1601.htm</t>
        </is>
      </c>
      <c r="L67" s="119" t="inlineStr">
        <is>
          <t>Industry</t>
        </is>
      </c>
    </row>
    <row r="68" ht="18" customHeight="1" s="235">
      <c r="A68" s="119" t="n">
        <v>2015</v>
      </c>
      <c r="B68" s="119" t="inlineStr">
        <is>
          <t>green demonstration factories</t>
        </is>
      </c>
      <c r="C68" s="119" t="inlineStr">
        <is>
          <t>build</t>
        </is>
      </c>
      <c r="D68" s="119" t="inlineStr">
        <is>
          <t>1000 factories</t>
        </is>
      </c>
      <c r="E68" s="119" t="n"/>
      <c r="F68" s="120" t="inlineStr">
        <is>
          <t>2020</t>
        </is>
      </c>
      <c r="G68" s="119" t="inlineStr">
        <is>
          <t>r</t>
        </is>
      </c>
      <c r="H68" s="119" t="inlineStr">
        <is>
          <t>Production-oriented</t>
        </is>
      </c>
      <c r="I68" s="119" t="inlineStr">
        <is>
          <t>whole economy</t>
        </is>
      </c>
      <c r="J68" s="119" t="inlineStr">
        <is>
          <t>By 2020, 1,000 green demonstration factories will be built.</t>
        </is>
      </c>
      <c r="K68" s="119" t="inlineStr">
        <is>
          <t>HL1504.htm</t>
        </is>
      </c>
      <c r="L68" s="119" t="inlineStr">
        <is>
          <t>Industry</t>
        </is>
      </c>
    </row>
    <row r="69" ht="18" customHeight="1" s="235">
      <c r="A69" s="119" t="n">
        <v>2015</v>
      </c>
      <c r="B69" s="119" t="inlineStr">
        <is>
          <t>green demonstration parks</t>
        </is>
      </c>
      <c r="C69" s="119" t="inlineStr">
        <is>
          <t>build</t>
        </is>
      </c>
      <c r="D69" s="119" t="inlineStr">
        <is>
          <t>100 parks</t>
        </is>
      </c>
      <c r="E69" s="119" t="n"/>
      <c r="F69" s="120" t="inlineStr">
        <is>
          <t>2020</t>
        </is>
      </c>
      <c r="G69" s="119" t="inlineStr">
        <is>
          <t>n</t>
        </is>
      </c>
      <c r="H69" s="119" t="inlineStr">
        <is>
          <t>Production-oriented</t>
        </is>
      </c>
      <c r="I69" s="119" t="inlineStr">
        <is>
          <t>whole economy</t>
        </is>
      </c>
      <c r="J69" s="119" t="inlineStr">
        <is>
          <t>By 2020, 100 green demonstration parks will be built.</t>
        </is>
      </c>
      <c r="K69" s="119" t="inlineStr">
        <is>
          <t>HL1504.htm</t>
        </is>
      </c>
      <c r="L69" s="119" t="inlineStr">
        <is>
          <t>Industry</t>
        </is>
      </c>
    </row>
    <row r="70" ht="18" customHeight="1" s="235">
      <c r="A70" s="119" t="n">
        <v>2016</v>
      </c>
      <c r="B70" s="119" t="inlineStr">
        <is>
          <t>green demonstration parks</t>
        </is>
      </c>
      <c r="C70" s="119" t="inlineStr">
        <is>
          <t>establish</t>
        </is>
      </c>
      <c r="D70" s="119" t="inlineStr">
        <is>
          <t>100 parks</t>
        </is>
      </c>
      <c r="E70" s="119" t="n"/>
      <c r="F70" s="120" t="inlineStr">
        <is>
          <t>2020</t>
        </is>
      </c>
      <c r="G70" s="119" t="inlineStr">
        <is>
          <t>r</t>
        </is>
      </c>
      <c r="H70" s="119" t="inlineStr">
        <is>
          <t>Production-oriented</t>
        </is>
      </c>
      <c r="I70" s="119" t="inlineStr">
        <is>
          <t>whole economy</t>
        </is>
      </c>
      <c r="J70" s="119" t="inlineStr">
        <is>
          <t>By 2020, 100 green parks with strong demonstration significance and high comprehensive level will be established.</t>
        </is>
      </c>
      <c r="K70" s="119" t="inlineStr">
        <is>
          <t>DP1601.htm</t>
        </is>
      </c>
      <c r="L70" s="119" t="inlineStr">
        <is>
          <t>Industry</t>
        </is>
      </c>
    </row>
    <row r="71" ht="18" customHeight="1" s="235">
      <c r="A71" s="119" t="n">
        <v>2016</v>
      </c>
      <c r="B71" s="119" t="inlineStr">
        <is>
          <t>green design centers</t>
        </is>
      </c>
      <c r="C71" s="119" t="inlineStr">
        <is>
          <t>establish</t>
        </is>
      </c>
      <c r="D71" s="119" t="inlineStr">
        <is>
          <t>100 centers</t>
        </is>
      </c>
      <c r="E71" s="119" t="n"/>
      <c r="F71" s="120" t="inlineStr">
        <is>
          <t>2020</t>
        </is>
      </c>
      <c r="G71" s="119" t="inlineStr">
        <is>
          <t>n</t>
        </is>
      </c>
      <c r="H71" s="119" t="inlineStr">
        <is>
          <t>Production-oriented</t>
        </is>
      </c>
      <c r="I71" s="119" t="inlineStr">
        <is>
          <t>whole economy</t>
        </is>
      </c>
      <c r="J71" s="119" t="inlineStr">
        <is>
          <t>By 2020, we will establish 100 green design centers.</t>
        </is>
      </c>
      <c r="K71" s="119" t="inlineStr">
        <is>
          <t>DP1601.htm</t>
        </is>
      </c>
      <c r="L71" s="119" t="inlineStr">
        <is>
          <t>Industry</t>
        </is>
      </c>
    </row>
    <row r="72" ht="18" customHeight="1" s="235">
      <c r="A72" s="119" t="n">
        <v>2016</v>
      </c>
      <c r="B72" s="119" t="inlineStr">
        <is>
          <t>green design demonstration enterprises</t>
        </is>
      </c>
      <c r="C72" s="119" t="inlineStr">
        <is>
          <t>establish</t>
        </is>
      </c>
      <c r="D72" s="119" t="inlineStr">
        <is>
          <t>100 enterprises</t>
        </is>
      </c>
      <c r="E72" s="119" t="n"/>
      <c r="F72" s="120" t="inlineStr">
        <is>
          <t>2020</t>
        </is>
      </c>
      <c r="G72" s="119" t="inlineStr">
        <is>
          <t>r</t>
        </is>
      </c>
      <c r="H72" s="119" t="inlineStr">
        <is>
          <t>Production-oriented</t>
        </is>
      </c>
      <c r="I72" s="119" t="inlineStr">
        <is>
          <t>whole economy</t>
        </is>
      </c>
      <c r="J72" s="119" t="inlineStr">
        <is>
          <t>By 2020, we will establish 100 green design demonstration enterprises.</t>
        </is>
      </c>
      <c r="K72" s="119" t="inlineStr">
        <is>
          <t>DP1601.htm</t>
        </is>
      </c>
      <c r="L72" s="119" t="inlineStr">
        <is>
          <t>Industry</t>
        </is>
      </c>
    </row>
    <row r="73" ht="18" customHeight="1" s="235">
      <c r="A73" s="119" t="n">
        <v>2016</v>
      </c>
      <c r="B73" s="119" t="inlineStr">
        <is>
          <t>green products</t>
        </is>
      </c>
      <c r="C73" s="119" t="inlineStr">
        <is>
          <t>develop and promote</t>
        </is>
      </c>
      <c r="D73" s="119" t="inlineStr">
        <is>
          <t>10000 products</t>
        </is>
      </c>
      <c r="E73" s="119" t="n"/>
      <c r="F73" s="120" t="inlineStr">
        <is>
          <t>2020</t>
        </is>
      </c>
      <c r="G73" s="119" t="inlineStr">
        <is>
          <t>n</t>
        </is>
      </c>
      <c r="H73" s="119" t="inlineStr">
        <is>
          <t>Production-oriented</t>
        </is>
      </c>
      <c r="I73" s="119" t="inlineStr">
        <is>
          <t>whole economy</t>
        </is>
      </c>
      <c r="J73" s="119" t="inlineStr">
        <is>
          <t>By 2020, we will strive to develop and promote 10,000 green products.</t>
        </is>
      </c>
      <c r="K73" s="119" t="inlineStr">
        <is>
          <t>DP1601.htm</t>
        </is>
      </c>
      <c r="L73" s="119" t="inlineStr">
        <is>
          <t>Industry</t>
        </is>
      </c>
    </row>
    <row r="74" ht="18" customHeight="1" s="235">
      <c r="A74" s="119" t="n">
        <v>2021</v>
      </c>
      <c r="B74" s="119" t="inlineStr">
        <is>
          <t>green products</t>
        </is>
      </c>
      <c r="C74" s="119" t="inlineStr">
        <is>
          <t>develop</t>
        </is>
      </c>
      <c r="D74" s="119" t="inlineStr">
        <is>
          <t>10000 products</t>
        </is>
      </c>
      <c r="E74" s="119" t="n"/>
      <c r="F74" s="120" t="inlineStr">
        <is>
          <t>2025</t>
        </is>
      </c>
      <c r="G74" s="119" t="inlineStr">
        <is>
          <t>r</t>
        </is>
      </c>
      <c r="H74" s="119" t="inlineStr">
        <is>
          <t>Production-oriented</t>
        </is>
      </c>
      <c r="I74" s="119" t="inlineStr">
        <is>
          <t>whole economy</t>
        </is>
      </c>
      <c r="J74" s="119" t="inlineStr">
        <is>
          <t>By 2025, develop and promote 10,000 green products.</t>
        </is>
      </c>
      <c r="K74" s="119" t="inlineStr">
        <is>
          <t>FYP2101.pdf</t>
        </is>
      </c>
      <c r="L74" s="119" t="inlineStr">
        <is>
          <t>Industry</t>
        </is>
      </c>
    </row>
    <row r="75" ht="18" customHeight="1" s="235">
      <c r="A75" s="119" t="n">
        <v>2017</v>
      </c>
      <c r="B75" s="119" t="inlineStr">
        <is>
          <t>heating area target of industrial waste heat</t>
        </is>
      </c>
      <c r="C75" s="119" t="inlineStr">
        <is>
          <t>reach</t>
        </is>
      </c>
      <c r="D75" s="119" t="inlineStr">
        <is>
          <t>200 million square meters</t>
        </is>
      </c>
      <c r="E75" s="119" t="n"/>
      <c r="F75" s="120" t="inlineStr">
        <is>
          <t>2021</t>
        </is>
      </c>
      <c r="G75" s="119" t="inlineStr">
        <is>
          <t>n</t>
        </is>
      </c>
      <c r="H75" s="119" t="inlineStr">
        <is>
          <t>Industrial transformation</t>
        </is>
      </c>
      <c r="I75" s="119" t="inlineStr">
        <is>
          <t>areas</t>
        </is>
      </c>
      <c r="J75" s="119" t="inlineStr">
        <is>
          <t>By 2021, the heating area target of industrial waste heat (excluding power plant waste heat) will reach 200 million square meters.</t>
        </is>
      </c>
      <c r="K75" s="119" t="inlineStr">
        <is>
          <t>PF1701.pdf</t>
        </is>
      </c>
      <c r="L75" s="119" t="inlineStr">
        <is>
          <t>Industry</t>
        </is>
      </c>
    </row>
    <row r="76" ht="18" customHeight="1" s="235">
      <c r="A76" s="119" t="n">
        <v>2012</v>
      </c>
      <c r="B76" s="119" t="inlineStr">
        <is>
          <t>manufacturing capacity of nuclear power equipment</t>
        </is>
      </c>
      <c r="C76" s="119" t="inlineStr">
        <is>
          <t>stabilize at more than</t>
        </is>
      </c>
      <c r="D76" s="119" t="inlineStr">
        <is>
          <t>10 million kilowatts</t>
        </is>
      </c>
      <c r="E76" s="119" t="n"/>
      <c r="F76" s="120" t="inlineStr">
        <is>
          <t>2015</t>
        </is>
      </c>
      <c r="G76" s="119" t="inlineStr">
        <is>
          <t>n</t>
        </is>
      </c>
      <c r="H76" s="119" t="inlineStr">
        <is>
          <t>Production-oriented</t>
        </is>
      </c>
      <c r="I76" s="119" t="inlineStr">
        <is>
          <t>sectors</t>
        </is>
      </c>
      <c r="J76" s="119" t="inlineStr">
        <is>
          <t>By 2015, the manufacturing capacity of nuclear power equipment, including the third generation, will be stabilized at more than 10 million kilowatts.</t>
        </is>
      </c>
      <c r="K76" s="119" t="inlineStr">
        <is>
          <t>FYP1203.htm</t>
        </is>
      </c>
      <c r="L76" s="119" t="inlineStr">
        <is>
          <t>Industry</t>
        </is>
      </c>
    </row>
    <row r="77" ht="18" customHeight="1" s="235">
      <c r="A77" s="119" t="n">
        <v>2016</v>
      </c>
      <c r="B77" s="119" t="inlineStr">
        <is>
          <t>market share of energy-efficient home appliances</t>
        </is>
      </c>
      <c r="C77" s="119" t="inlineStr">
        <is>
          <t>reach</t>
        </is>
      </c>
      <c r="D77" s="119" t="inlineStr">
        <is>
          <t>50%</t>
        </is>
      </c>
      <c r="E77" s="119" t="n"/>
      <c r="F77" s="120" t="inlineStr">
        <is>
          <t>2020</t>
        </is>
      </c>
      <c r="G77" s="119" t="inlineStr">
        <is>
          <t>n</t>
        </is>
      </c>
      <c r="H77" s="119" t="inlineStr">
        <is>
          <t>Production-oriented</t>
        </is>
      </c>
      <c r="I77" s="119" t="inlineStr">
        <is>
          <t>unclear</t>
        </is>
      </c>
      <c r="J77" s="119" t="inlineStr">
        <is>
          <t>By 2020, the market share of energy-saving home appliances such as air conditioners, refrigerators, water heaters, etc. with energy efficiency labels of level 2 or above will reach more than 50%.</t>
        </is>
      </c>
      <c r="K77" s="119" t="inlineStr">
        <is>
          <t>FYP1601.htm</t>
        </is>
      </c>
      <c r="L77" s="119" t="inlineStr">
        <is>
          <t>Industry</t>
        </is>
      </c>
    </row>
    <row r="78" ht="18" customHeight="1" s="235">
      <c r="A78" s="119" t="n">
        <v>2013</v>
      </c>
      <c r="B78" s="119" t="inlineStr">
        <is>
          <t>market share of high-efficiency energy-saving products</t>
        </is>
      </c>
      <c r="C78" s="119" t="inlineStr">
        <is>
          <t>increase to</t>
        </is>
      </c>
      <c r="D78" s="119" t="inlineStr">
        <is>
          <t>more than 50%</t>
        </is>
      </c>
      <c r="E78" s="119" t="n"/>
      <c r="F78" s="120" t="inlineStr">
        <is>
          <t>2015</t>
        </is>
      </c>
      <c r="G78" s="119" t="inlineStr">
        <is>
          <t>n</t>
        </is>
      </c>
      <c r="H78" s="119" t="inlineStr">
        <is>
          <t>Production-oriented</t>
        </is>
      </c>
      <c r="I78" s="119" t="inlineStr">
        <is>
          <t>unclear</t>
        </is>
      </c>
      <c r="J78" s="119" t="inlineStr">
        <is>
          <t>By 2015, the market share of high-efficiency energy-saving products will increase to more than 50%.</t>
        </is>
      </c>
      <c r="K78" s="119" t="inlineStr">
        <is>
          <t>O1302.htm</t>
        </is>
      </c>
      <c r="L78" s="119" t="inlineStr">
        <is>
          <t>Industry</t>
        </is>
      </c>
    </row>
    <row r="79" ht="18" customHeight="1" s="235">
      <c r="A79" s="119" t="n">
        <v>2024</v>
      </c>
      <c r="B79" s="119" t="inlineStr">
        <is>
          <t>national cement clinker production capacity</t>
        </is>
      </c>
      <c r="C79" s="119" t="inlineStr">
        <is>
          <t>control within</t>
        </is>
      </c>
      <c r="D79" s="119" t="inlineStr">
        <is>
          <t>1.8 billion tons</t>
        </is>
      </c>
      <c r="E79" s="119" t="n"/>
      <c r="F79" s="120" t="inlineStr">
        <is>
          <t>2025</t>
        </is>
      </c>
      <c r="G79" s="119" t="inlineStr">
        <is>
          <t>n</t>
        </is>
      </c>
      <c r="H79" s="119" t="inlineStr">
        <is>
          <t>Production-oriented</t>
        </is>
      </c>
      <c r="I79" s="119" t="inlineStr">
        <is>
          <t>whole economy</t>
        </is>
      </c>
      <c r="J79" s="119" t="inlineStr">
        <is>
          <t>By the end of 2025, the national cement clinker production capacity will be controlled at around 1.8 billion tons.</t>
        </is>
      </c>
      <c r="K79" s="119" t="inlineStr">
        <is>
          <t>AP2405.htm</t>
        </is>
      </c>
      <c r="L79" s="119" t="inlineStr">
        <is>
          <t>Industry</t>
        </is>
      </c>
    </row>
    <row r="80" ht="18" customHeight="1" s="235">
      <c r="A80" s="119" t="n">
        <v>2012</v>
      </c>
      <c r="B80" s="119" t="inlineStr">
        <is>
          <t>national low-carbon industry demonstration parks</t>
        </is>
      </c>
      <c r="C80" s="119" t="inlineStr">
        <is>
          <t>form</t>
        </is>
      </c>
      <c r="D80" s="119" t="inlineStr">
        <is>
          <t>80 parks</t>
        </is>
      </c>
      <c r="E80" s="119" t="n"/>
      <c r="F80" s="120" t="inlineStr">
        <is>
          <t>12th FYP</t>
        </is>
      </c>
      <c r="G80" s="119" t="inlineStr">
        <is>
          <t>n</t>
        </is>
      </c>
      <c r="H80" s="119" t="inlineStr">
        <is>
          <t>Industrial transformation</t>
        </is>
      </c>
      <c r="I80" s="119" t="inlineStr">
        <is>
          <t>whole economy</t>
        </is>
      </c>
      <c r="J80" s="119" t="inlineStr">
        <is>
          <t>During the 12th Five-Year Plan period, we will strive to cultivate and form 80 national low-carbon industry demonstration parks in the industrial field.</t>
        </is>
      </c>
      <c r="K80" s="119" t="inlineStr">
        <is>
          <t>AP1201.pdf</t>
        </is>
      </c>
      <c r="L80" s="119" t="inlineStr">
        <is>
          <t>Industry</t>
        </is>
      </c>
    </row>
    <row r="81" ht="18" customHeight="1" s="235">
      <c r="A81" s="119" t="n">
        <v>2026</v>
      </c>
      <c r="B81" s="119" t="inlineStr">
        <is>
          <t>national zero-carbon industrial parks</t>
        </is>
      </c>
      <c r="C81" s="119" t="inlineStr">
        <is>
          <t>build</t>
        </is>
      </c>
      <c r="D81" s="119" t="inlineStr">
        <is>
          <t>around 100 parks</t>
        </is>
      </c>
      <c r="E81" s="119" t="n"/>
      <c r="F81" s="120" t="inlineStr">
        <is>
          <t>15th FYP</t>
        </is>
      </c>
      <c r="G81" s="119" t="inlineStr">
        <is>
          <t>n</t>
        </is>
      </c>
      <c r="H81" s="119" t="inlineStr">
        <is>
          <t>Industrial transformation</t>
        </is>
      </c>
      <c r="I81" s="119" t="inlineStr">
        <is>
          <t>sectoral - industrial parks</t>
        </is>
      </c>
      <c r="J81" s="119" t="inlineStr">
        <is>
          <t>The plan will develop green-energy-based green product manufacturing models according to local conditions and build around 100 national-level zero-carbon industrial parks.</t>
        </is>
      </c>
      <c r="K81" s="119" t="inlineStr">
        <is>
          <t>HL2601.pdf</t>
        </is>
      </c>
      <c r="L81" s="119" t="inlineStr">
        <is>
          <t>Industry</t>
        </is>
      </c>
    </row>
    <row r="82" ht="18" customHeight="1" s="235">
      <c r="A82" s="0" t="n">
        <v>2026</v>
      </c>
      <c r="B82" s="0" t="inlineStr">
        <is>
          <t>national-level zero-carbon industrial parks</t>
        </is>
      </c>
      <c r="C82" s="0" t="inlineStr">
        <is>
          <t>build</t>
        </is>
      </c>
      <c r="D82" s="0" t="inlineStr">
        <is>
          <t>around 100</t>
        </is>
      </c>
      <c r="F82" s="0" t="inlineStr">
        <is>
          <t>15th FYP</t>
        </is>
      </c>
      <c r="G82" s="0" t="inlineStr">
        <is>
          <t>r</t>
        </is>
      </c>
      <c r="H82" s="0" t="inlineStr">
        <is>
          <t>Industrial transformation</t>
        </is>
      </c>
      <c r="I82" s="0" t="inlineStr">
        <is>
          <t>areas</t>
        </is>
      </c>
      <c r="J82" s="0" t="inlineStr">
        <is>
          <t>During the 15th FYP period, around 100 national-level zero-carbon industrial parks and around 500 zero-carbon factories will be built.</t>
        </is>
      </c>
      <c r="K82" s="0" t="inlineStr">
        <is>
          <t>HL2604.htm</t>
        </is>
      </c>
      <c r="L82" s="0" t="inlineStr">
        <is>
          <t>Industry</t>
        </is>
      </c>
    </row>
    <row r="83" ht="18" customHeight="1" s="235">
      <c r="A83" s="119" t="n">
        <v>2016</v>
      </c>
      <c r="B83" s="119" t="inlineStr">
        <is>
          <t>near-zero carbon emission zone demonstration projects</t>
        </is>
      </c>
      <c r="C83" s="119" t="inlineStr">
        <is>
          <t>build</t>
        </is>
      </c>
      <c r="D83" s="119" t="inlineStr">
        <is>
          <t>50</t>
        </is>
      </c>
      <c r="E83" s="119" t="n"/>
      <c r="F83" s="120" t="inlineStr">
        <is>
          <t>2020</t>
        </is>
      </c>
      <c r="G83" s="119" t="inlineStr">
        <is>
          <t>n</t>
        </is>
      </c>
      <c r="H83" s="119" t="inlineStr">
        <is>
          <t>Industrial transformation</t>
        </is>
      </c>
      <c r="I83" s="119" t="inlineStr">
        <is>
          <t>whole economy</t>
        </is>
      </c>
      <c r="J83" s="119" t="inlineStr">
        <is>
          <t>Select restricted development areas and prohibited development areas, ecological functional areas, industrial and mining areas, towns, etc. with mature conditions to carry out near-zero carbon emission zone demonstration projects, and build 50 near-zero carbon emission zone demonstration projects by 2020.</t>
        </is>
      </c>
      <c r="K83" s="119" t="inlineStr">
        <is>
          <t>FYP1615.htm</t>
        </is>
      </c>
      <c r="L83" s="119" t="inlineStr">
        <is>
          <t>Industry</t>
        </is>
      </c>
    </row>
    <row r="84" ht="18" customHeight="1" s="235">
      <c r="A84" s="119" t="n">
        <v>2025</v>
      </c>
      <c r="B84" s="119" t="inlineStr">
        <is>
          <t>new energy vehicle sales</t>
        </is>
      </c>
      <c r="C84" s="119" t="inlineStr">
        <is>
          <t>reach</t>
        </is>
      </c>
      <c r="D84" s="119" t="inlineStr">
        <is>
          <t>around 15.50 million</t>
        </is>
      </c>
      <c r="E84" s="119" t="n"/>
      <c r="F84" s="120" t="n">
        <v>2025</v>
      </c>
      <c r="G84" s="119" t="inlineStr">
        <is>
          <t>n</t>
        </is>
      </c>
      <c r="H84" s="119" t="inlineStr">
        <is>
          <t>Production-oriented</t>
        </is>
      </c>
      <c r="I84" s="119" t="inlineStr">
        <is>
          <t>sectors</t>
        </is>
      </c>
      <c r="J84" s="119" t="inlineStr">
        <is>
          <t>Of this total, new energy vehicle (NEV) sales are expected to be around 15.50 million units, an increase of about 20% year-on-year.</t>
        </is>
      </c>
      <c r="K84" s="119" t="inlineStr">
        <is>
          <t>WOP2502.pdf</t>
        </is>
      </c>
      <c r="L84" s="119" t="inlineStr">
        <is>
          <t>Industry</t>
        </is>
      </c>
    </row>
    <row r="85" ht="18" customHeight="1" s="235">
      <c r="A85" s="119" t="n">
        <v>2016</v>
      </c>
      <c r="B85" s="119" t="inlineStr">
        <is>
          <t>new-energy vehicles annual production and sales</t>
        </is>
      </c>
      <c r="C85" s="119" t="inlineStr">
        <is>
          <t>exceed</t>
        </is>
      </c>
      <c r="D85" s="119" t="inlineStr">
        <is>
          <t>2 million</t>
        </is>
      </c>
      <c r="E85" s="119" t="n"/>
      <c r="F85" s="120" t="inlineStr">
        <is>
          <t>2020</t>
        </is>
      </c>
      <c r="G85" s="119" t="inlineStr">
        <is>
          <t>n</t>
        </is>
      </c>
      <c r="H85" s="119" t="inlineStr">
        <is>
          <t>Production-oriented</t>
        </is>
      </c>
      <c r="I85" s="119" t="inlineStr">
        <is>
          <t>sectors</t>
        </is>
      </c>
      <c r="J85" s="119" t="inlineStr">
        <is>
          <t>By 2020, the annual production and sales will exceed 2 million electric vehicles.</t>
        </is>
      </c>
      <c r="K85" s="119" t="inlineStr">
        <is>
          <t>FYP1613.htm</t>
        </is>
      </c>
      <c r="L85" s="119" t="inlineStr">
        <is>
          <t>Industry</t>
        </is>
      </c>
    </row>
    <row r="86" ht="18" customHeight="1" s="235">
      <c r="A86" s="119" t="n">
        <v>2017</v>
      </c>
      <c r="B86" s="119" t="inlineStr">
        <is>
          <t>new-energy vehicles annual production and sales</t>
        </is>
      </c>
      <c r="C86" s="119" t="inlineStr">
        <is>
          <t>reach</t>
        </is>
      </c>
      <c r="D86" s="119" t="inlineStr">
        <is>
          <t>2 million</t>
        </is>
      </c>
      <c r="E86" s="119" t="n"/>
      <c r="F86" s="120" t="inlineStr">
        <is>
          <t>2020</t>
        </is>
      </c>
      <c r="G86" s="119" t="inlineStr">
        <is>
          <t>r</t>
        </is>
      </c>
      <c r="H86" s="119" t="inlineStr">
        <is>
          <t>Production-oriented</t>
        </is>
      </c>
      <c r="I86" s="119" t="inlineStr">
        <is>
          <t>sectors</t>
        </is>
      </c>
      <c r="J86" s="119" t="inlineStr">
        <is>
          <t>By 2020, the annual production and sales of new energy vehicles will reach 2 million.</t>
        </is>
      </c>
      <c r="K86" s="119" t="inlineStr">
        <is>
          <t>DP1701.htm</t>
        </is>
      </c>
      <c r="L86" s="119" t="inlineStr">
        <is>
          <t>Industry</t>
        </is>
      </c>
    </row>
    <row r="87" ht="18" customHeight="1" s="235">
      <c r="A87" s="119" t="n">
        <v>2012</v>
      </c>
      <c r="B87" s="119" t="inlineStr">
        <is>
          <t>new-energy vehicles annual production capacity</t>
        </is>
      </c>
      <c r="C87" s="119" t="inlineStr">
        <is>
          <t>reach</t>
        </is>
      </c>
      <c r="D87" s="119" t="inlineStr">
        <is>
          <t>2 million</t>
        </is>
      </c>
      <c r="E87" s="119" t="n"/>
      <c r="F87" s="120" t="inlineStr">
        <is>
          <t>2020</t>
        </is>
      </c>
      <c r="G87" s="119" t="inlineStr">
        <is>
          <t>n</t>
        </is>
      </c>
      <c r="H87" s="119" t="inlineStr">
        <is>
          <t>Production-oriented</t>
        </is>
      </c>
      <c r="I87" s="119" t="inlineStr">
        <is>
          <t>sectors</t>
        </is>
      </c>
      <c r="J87" s="119" t="inlineStr">
        <is>
          <t>By 2020, the production capacity of pure electric vehicles and plug-in hybrid vehicles will reach 2 million units.</t>
        </is>
      </c>
      <c r="K87" s="119" t="inlineStr">
        <is>
          <t>DP1201.htm</t>
        </is>
      </c>
      <c r="L87" s="119" t="inlineStr">
        <is>
          <t>Industry</t>
        </is>
      </c>
    </row>
    <row r="88" ht="18" customHeight="1" s="235">
      <c r="A88" s="119" t="n">
        <v>2016</v>
      </c>
      <c r="B88" s="119" t="inlineStr">
        <is>
          <t>new-energy vehicles cumulative production and sales</t>
        </is>
      </c>
      <c r="C88" s="119" t="inlineStr">
        <is>
          <t>exceed</t>
        </is>
      </c>
      <c r="D88" s="119" t="inlineStr">
        <is>
          <t>5 million</t>
        </is>
      </c>
      <c r="E88" s="119" t="n"/>
      <c r="F88" s="120" t="inlineStr">
        <is>
          <t>2020</t>
        </is>
      </c>
      <c r="G88" s="119" t="inlineStr">
        <is>
          <t>r</t>
        </is>
      </c>
      <c r="H88" s="119" t="inlineStr">
        <is>
          <t>Production-oriented</t>
        </is>
      </c>
      <c r="I88" s="119" t="inlineStr">
        <is>
          <t>sectors</t>
        </is>
      </c>
      <c r="J88" s="119" t="inlineStr">
        <is>
          <t>By 2020, the annual production and sales will exceed 2 million, and the cumulative production and sales will exceed 5 million electric vehicles.</t>
        </is>
      </c>
      <c r="K88" s="119" t="inlineStr">
        <is>
          <t>FYP1613.htm</t>
        </is>
      </c>
      <c r="L88" s="119" t="inlineStr">
        <is>
          <t>Industry</t>
        </is>
      </c>
    </row>
    <row r="89" ht="18" customHeight="1" s="235">
      <c r="A89" s="119" t="n">
        <v>2012</v>
      </c>
      <c r="B89" s="119" t="inlineStr">
        <is>
          <t>new-energy vehicles cumulative production and sales</t>
        </is>
      </c>
      <c r="C89" s="119" t="inlineStr">
        <is>
          <t>reach</t>
        </is>
      </c>
      <c r="D89" s="120" t="n">
        <v>500000</v>
      </c>
      <c r="E89" s="120" t="n"/>
      <c r="F89" s="120" t="n">
        <v>2015</v>
      </c>
      <c r="G89" s="119" t="inlineStr">
        <is>
          <t>n</t>
        </is>
      </c>
      <c r="H89" s="119" t="inlineStr">
        <is>
          <t>Production-oriented</t>
        </is>
      </c>
      <c r="I89" s="119" t="inlineStr">
        <is>
          <t>sectors</t>
        </is>
      </c>
      <c r="J89" s="119" t="inlineStr">
        <is>
          <t>By 2015, the cumulative production and sales of pure electric vehicles and plug-in hybrid vehicles will strive to reach 500,000 units.</t>
        </is>
      </c>
      <c r="K89" s="119" t="inlineStr">
        <is>
          <t>DP1201.htm</t>
        </is>
      </c>
      <c r="L89" s="119" t="inlineStr">
        <is>
          <t>Industry</t>
        </is>
      </c>
    </row>
    <row r="90" ht="18" customHeight="1" s="235">
      <c r="A90" s="119" t="n">
        <v>2012</v>
      </c>
      <c r="B90" s="119" t="inlineStr">
        <is>
          <t>new-energy vehicles cumulative production and sales</t>
        </is>
      </c>
      <c r="C90" s="119" t="inlineStr">
        <is>
          <t>exceed</t>
        </is>
      </c>
      <c r="D90" s="119" t="inlineStr">
        <is>
          <t>5 million</t>
        </is>
      </c>
      <c r="E90" s="119" t="n"/>
      <c r="F90" s="120" t="inlineStr">
        <is>
          <t>2020</t>
        </is>
      </c>
      <c r="G90" s="119" t="inlineStr">
        <is>
          <t>n</t>
        </is>
      </c>
      <c r="H90" s="119" t="inlineStr">
        <is>
          <t>Production-oriented</t>
        </is>
      </c>
      <c r="I90" s="119" t="inlineStr">
        <is>
          <t>sectors</t>
        </is>
      </c>
      <c r="J90" s="119" t="inlineStr">
        <is>
          <t>By 2020, the cumulative production and sales of of pure electric vehicles and plug-in hybrid vehicles will exceed 5 million units, and the fuel cell vehicle and automotive hydrogen energy industries will develop in tandem with the international level.</t>
        </is>
      </c>
      <c r="K90" s="119" t="inlineStr">
        <is>
          <t>DP1201.htm</t>
        </is>
      </c>
      <c r="L90" s="119" t="inlineStr">
        <is>
          <t>Industry</t>
        </is>
      </c>
    </row>
    <row r="91" ht="18" customHeight="1" s="235">
      <c r="A91" s="119" t="n">
        <v>2021</v>
      </c>
      <c r="B91" s="119" t="inlineStr">
        <is>
          <t>new energy vehicles share in total annual automobile sales</t>
        </is>
      </c>
      <c r="C91" s="119" t="inlineStr">
        <is>
          <t>reach</t>
        </is>
      </c>
      <c r="D91" s="119" t="inlineStr">
        <is>
          <t>40%</t>
        </is>
      </c>
      <c r="E91" s="119" t="n"/>
      <c r="F91" s="119" t="inlineStr">
        <is>
          <t>2030</t>
        </is>
      </c>
      <c r="G91" s="119" t="inlineStr">
        <is>
          <t>r</t>
        </is>
      </c>
      <c r="H91" s="119" t="inlineStr">
        <is>
          <t>Production-oriented</t>
        </is>
      </c>
      <c r="I91" s="119" t="inlineStr">
        <is>
          <t>whole economy</t>
        </is>
      </c>
      <c r="J91" s="119" t="inlineStr">
        <is>
          <t>By 2030, the proportion of new energy and clean energy-powered vehicles will reach about 40% of all the vehicles sold in that year</t>
        </is>
      </c>
      <c r="K91" s="119" t="inlineStr">
        <is>
          <t>HL2104.pdf</t>
        </is>
      </c>
      <c r="L91" s="119" t="inlineStr">
        <is>
          <t>Industry</t>
        </is>
      </c>
    </row>
    <row r="92" ht="18" customHeight="1" s="235">
      <c r="A92" s="119" t="n">
        <v>2023</v>
      </c>
      <c r="B92" s="119" t="inlineStr">
        <is>
          <t>new energy vehicles share in total annual automobile sales</t>
        </is>
      </c>
      <c r="C92" s="119" t="inlineStr">
        <is>
          <t>reach</t>
        </is>
      </c>
      <c r="D92" s="119" t="inlineStr">
        <is>
          <t>40%</t>
        </is>
      </c>
      <c r="E92" s="119" t="n"/>
      <c r="F92" s="119" t="inlineStr">
        <is>
          <t>2030</t>
        </is>
      </c>
      <c r="G92" s="119" t="inlineStr">
        <is>
          <t>n</t>
        </is>
      </c>
      <c r="H92" s="119" t="inlineStr">
        <is>
          <t>Production-oriented</t>
        </is>
      </c>
      <c r="I92" s="119" t="inlineStr">
        <is>
          <t>whole economy</t>
        </is>
      </c>
      <c r="J92" s="119" t="inlineStr">
        <is>
          <t>By 2030, around 40% of newly added vehicles each year will be powered by renewable and clean energy sources</t>
        </is>
      </c>
      <c r="K92" s="119" t="inlineStr">
        <is>
          <t>HL2302.pdf</t>
        </is>
      </c>
      <c r="L92" s="119" t="inlineStr">
        <is>
          <t>Industry</t>
        </is>
      </c>
    </row>
    <row r="93" ht="18" customHeight="1" s="235">
      <c r="A93" s="119" t="n">
        <v>2021</v>
      </c>
      <c r="B93" s="119" t="inlineStr">
        <is>
          <t>new energy vehicles share in total annual automobile sales</t>
        </is>
      </c>
      <c r="C93" s="119" t="inlineStr">
        <is>
          <t>reach</t>
        </is>
      </c>
      <c r="D93" s="119" t="inlineStr">
        <is>
          <t>20%</t>
        </is>
      </c>
      <c r="E93" s="119" t="n"/>
      <c r="F93" s="119" t="inlineStr">
        <is>
          <t>2025</t>
        </is>
      </c>
      <c r="G93" s="119" t="inlineStr">
        <is>
          <t>r</t>
        </is>
      </c>
      <c r="H93" s="119" t="inlineStr">
        <is>
          <t>Production-oriented</t>
        </is>
      </c>
      <c r="I93" s="119" t="inlineStr">
        <is>
          <t>whole economy</t>
        </is>
      </c>
      <c r="J93" s="119" t="inlineStr">
        <is>
          <t>By 2025, the sales volume of new energy vehicles will reach about 20% of the total new car sales, and the proportion of railway and water freight volume will further increase.</t>
        </is>
      </c>
      <c r="K93" s="119" t="inlineStr">
        <is>
          <t>FYP2107.htm</t>
        </is>
      </c>
      <c r="L93" s="119" t="inlineStr">
        <is>
          <t>Industry</t>
        </is>
      </c>
    </row>
    <row r="94" ht="18" customHeight="1" s="235">
      <c r="A94" s="119" t="n">
        <v>2021</v>
      </c>
      <c r="B94" s="119" t="inlineStr">
        <is>
          <t>new energy vehicles share in total annual automobile sales</t>
        </is>
      </c>
      <c r="C94" s="119" t="inlineStr">
        <is>
          <t>reach</t>
        </is>
      </c>
      <c r="D94" s="119" t="inlineStr">
        <is>
          <t>40%</t>
        </is>
      </c>
      <c r="E94" s="119" t="n"/>
      <c r="F94" s="119" t="inlineStr">
        <is>
          <t>2030</t>
        </is>
      </c>
      <c r="G94" s="119" t="inlineStr">
        <is>
          <t>r</t>
        </is>
      </c>
      <c r="H94" s="119" t="inlineStr">
        <is>
          <t>Production-oriented</t>
        </is>
      </c>
      <c r="I94" s="119" t="inlineStr">
        <is>
          <t>whole economy</t>
        </is>
      </c>
      <c r="J94" s="119" t="inlineStr">
        <is>
          <t>By 2030, the share of incremental vehicles fueled by new and clean energy will reach around 40%</t>
        </is>
      </c>
      <c r="K94" s="119" t="inlineStr">
        <is>
          <t>HL2102.pdf</t>
        </is>
      </c>
      <c r="L94" s="119" t="inlineStr">
        <is>
          <t>Industry</t>
        </is>
      </c>
    </row>
    <row r="95" ht="18" customHeight="1" s="235">
      <c r="A95" s="119" t="n">
        <v>2017</v>
      </c>
      <c r="B95" s="119" t="inlineStr">
        <is>
          <t>new energy vehicles share in total automobile production and sales</t>
        </is>
      </c>
      <c r="C95" s="119" t="inlineStr">
        <is>
          <t>account for</t>
        </is>
      </c>
      <c r="D95" s="119" t="inlineStr">
        <is>
          <t>20%</t>
        </is>
      </c>
      <c r="E95" s="119" t="n"/>
      <c r="F95" s="119" t="inlineStr">
        <is>
          <t>2025</t>
        </is>
      </c>
      <c r="G95" s="119" t="inlineStr">
        <is>
          <t>n</t>
        </is>
      </c>
      <c r="H95" s="119" t="inlineStr">
        <is>
          <t>Production-oriented</t>
        </is>
      </c>
      <c r="I95" s="119" t="inlineStr">
        <is>
          <t>whole economy</t>
        </is>
      </c>
      <c r="J95" s="119" t="inlineStr">
        <is>
          <t>By 2025, new energy vehicles will account for more than 20% of automobile production and sales.</t>
        </is>
      </c>
      <c r="K95" s="119" t="inlineStr">
        <is>
          <t>DP1701.htm</t>
        </is>
      </c>
      <c r="L95" s="119" t="inlineStr">
        <is>
          <t>Industry</t>
        </is>
      </c>
    </row>
    <row r="96" ht="18" customHeight="1" s="235">
      <c r="A96" s="119" t="n">
        <v>2024</v>
      </c>
      <c r="B96" s="119" t="inlineStr">
        <is>
          <t>new energy vehicles share in total automobile production and sales</t>
        </is>
      </c>
      <c r="C96" s="119" t="inlineStr">
        <is>
          <t>reach</t>
        </is>
      </c>
      <c r="D96" s="119" t="inlineStr">
        <is>
          <t>45%</t>
        </is>
      </c>
      <c r="E96" s="119" t="n"/>
      <c r="F96" s="119" t="inlineStr">
        <is>
          <t>2027</t>
        </is>
      </c>
      <c r="G96" s="119" t="inlineStr">
        <is>
          <t>n</t>
        </is>
      </c>
      <c r="H96" s="119" t="inlineStr">
        <is>
          <t>Production-oriented</t>
        </is>
      </c>
      <c r="I96" s="119" t="inlineStr">
        <is>
          <t>whole economy</t>
        </is>
      </c>
      <c r="J96" s="119" t="inlineStr">
        <is>
          <t>By 2027, the proportion of new energy vehicles in new vehicles will strive to reach 45%.</t>
        </is>
      </c>
      <c r="K96" s="119" t="inlineStr">
        <is>
          <t>O2405.htm</t>
        </is>
      </c>
      <c r="L96" s="119" t="inlineStr">
        <is>
          <t>Industry</t>
        </is>
      </c>
    </row>
    <row r="97" ht="18" customHeight="1" s="235">
      <c r="A97" s="119" t="n">
        <v>2024</v>
      </c>
      <c r="B97" s="119" t="inlineStr">
        <is>
          <t xml:space="preserve">new energy vehicles share in total automobile sales in key areas for air pollution prevention and control </t>
        </is>
      </c>
      <c r="C97" s="119" t="inlineStr">
        <is>
          <t>account for</t>
        </is>
      </c>
      <c r="D97" s="119" t="inlineStr">
        <is>
          <t>50%</t>
        </is>
      </c>
      <c r="E97" s="119" t="n"/>
      <c r="F97" s="119" t="inlineStr">
        <is>
          <t>2030</t>
        </is>
      </c>
      <c r="G97" s="119" t="inlineStr">
        <is>
          <t>n</t>
        </is>
      </c>
      <c r="H97" s="119" t="inlineStr">
        <is>
          <t>Production-oriented</t>
        </is>
      </c>
      <c r="I97" s="119" t="inlineStr">
        <is>
          <t>areas</t>
        </is>
      </c>
      <c r="J97" s="119" t="inlineStr">
        <is>
          <t>By 2030, the sales volume of new energy vehicles in the key regions for air pollution control will account for around 50% of the total new vehicle sales.</t>
        </is>
      </c>
      <c r="K97" s="119" t="inlineStr">
        <is>
          <t>HL2401.pdf</t>
        </is>
      </c>
      <c r="L97" s="119" t="inlineStr">
        <is>
          <t>Industry</t>
        </is>
      </c>
    </row>
    <row r="98" ht="18" customHeight="1" s="235">
      <c r="A98" s="119" t="n">
        <v>2022</v>
      </c>
      <c r="B98" s="119" t="inlineStr">
        <is>
          <t>number of energy-saving and low-carbon building materials technologies</t>
        </is>
      </c>
      <c r="C98" s="119" t="inlineStr">
        <is>
          <t>promote</t>
        </is>
      </c>
      <c r="D98" s="119" t="inlineStr">
        <is>
          <t>100</t>
        </is>
      </c>
      <c r="E98" s="119" t="n"/>
      <c r="F98" s="120" t="inlineStr">
        <is>
          <t>2030</t>
        </is>
      </c>
      <c r="G98" s="119" t="inlineStr">
        <is>
          <t>n</t>
        </is>
      </c>
      <c r="H98" s="119" t="inlineStr">
        <is>
          <t>Production-oriented</t>
        </is>
      </c>
      <c r="I98" s="119" t="inlineStr">
        <is>
          <t>sectors</t>
        </is>
      </c>
      <c r="J98" s="119" t="inlineStr">
        <is>
          <t>A number of energy-saving and low-carbon building materials technologies and equipment are selected and announced every year, and by 2030, a total of more than 100 items of  of energy-saving and low-carbon building materials technologies and equipment will be promoted.</t>
        </is>
      </c>
      <c r="K98" s="119" t="inlineStr">
        <is>
          <t>IP2220.htm</t>
        </is>
      </c>
      <c r="L98" s="119" t="inlineStr">
        <is>
          <t>Industry</t>
        </is>
      </c>
    </row>
    <row r="99" ht="18" customHeight="1" s="235">
      <c r="A99" s="119" t="n">
        <v>2012</v>
      </c>
      <c r="B99" s="119" t="inlineStr">
        <is>
          <t>number of energy-saving service companies</t>
        </is>
      </c>
      <c r="C99" s="119" t="inlineStr">
        <is>
          <t>increase to</t>
        </is>
      </c>
      <c r="D99" s="119" t="n">
        <v>2000</v>
      </c>
      <c r="E99" s="119" t="n"/>
      <c r="F99" s="120" t="inlineStr">
        <is>
          <t>2015</t>
        </is>
      </c>
      <c r="G99" s="119" t="inlineStr">
        <is>
          <t>n</t>
        </is>
      </c>
      <c r="H99" s="119" t="inlineStr">
        <is>
          <t>Production-oriented</t>
        </is>
      </c>
      <c r="I99" s="119" t="inlineStr">
        <is>
          <t>sectors</t>
        </is>
      </c>
      <c r="J99" s="119" t="inlineStr">
        <is>
          <t>By 2015, the number of energy-saving service companies will grow to more than 2,000.</t>
        </is>
      </c>
      <c r="K99" s="119" t="inlineStr">
        <is>
          <t>FYP1201.htm</t>
        </is>
      </c>
      <c r="L99" s="119" t="inlineStr">
        <is>
          <t>Industry</t>
        </is>
      </c>
    </row>
    <row r="100" ht="18" customHeight="1" s="235">
      <c r="A100" s="0" t="n">
        <v>2026</v>
      </c>
      <c r="B100" s="0" t="inlineStr">
        <is>
          <t>number of zero-carbon factories built</t>
        </is>
      </c>
      <c r="C100" s="0" t="inlineStr">
        <is>
          <t>build</t>
        </is>
      </c>
      <c r="D100" s="0" t="inlineStr">
        <is>
          <t>around 500</t>
        </is>
      </c>
      <c r="F100" s="0" t="inlineStr">
        <is>
          <t>15th FYP</t>
        </is>
      </c>
      <c r="G100" s="0" t="inlineStr">
        <is>
          <t>r</t>
        </is>
      </c>
      <c r="H100" s="0" t="inlineStr">
        <is>
          <t>Industrial transformation</t>
        </is>
      </c>
      <c r="I100" s="0" t="inlineStr">
        <is>
          <t>enterprises</t>
        </is>
      </c>
      <c r="J100" s="0" t="inlineStr">
        <is>
          <t>During the 15th FYP period, around 100 national-level zero-carbon industrial parks and around 500 zero-carbon factories will be built.</t>
        </is>
      </c>
      <c r="K100" s="0" t="inlineStr">
        <is>
          <t>HL2604.htm</t>
        </is>
      </c>
      <c r="L100" s="0" t="inlineStr">
        <is>
          <t>Industry</t>
        </is>
      </c>
    </row>
    <row r="101" ht="18" customHeight="1" s="235">
      <c r="A101" s="0" t="n">
        <v>2026</v>
      </c>
      <c r="B101" s="0" t="inlineStr">
        <is>
          <t>number of zero-carbon factories built</t>
        </is>
      </c>
      <c r="C101" s="0" t="inlineStr">
        <is>
          <t>build</t>
        </is>
      </c>
      <c r="D101" s="0" t="inlineStr">
        <is>
          <t>500</t>
        </is>
      </c>
      <c r="F101" s="0" t="n">
        <v>2030</v>
      </c>
      <c r="G101" s="0" t="inlineStr">
        <is>
          <t>n</t>
        </is>
      </c>
      <c r="H101" s="0" t="inlineStr">
        <is>
          <t>Industrial transformation</t>
        </is>
      </c>
      <c r="I101" s="0" t="inlineStr">
        <is>
          <t>enterprises</t>
        </is>
      </c>
      <c r="J101" s="0" t="inlineStr">
        <is>
          <t>Column 1: Number of zero-carbon factories built (units), 500 by 2030.</t>
        </is>
      </c>
      <c r="K101" s="0" t="inlineStr">
        <is>
          <t>FYP2605.htm</t>
        </is>
      </c>
      <c r="L101" s="0" t="inlineStr">
        <is>
          <t>Industry</t>
        </is>
      </c>
    </row>
    <row r="102" ht="18" customHeight="1" s="235">
      <c r="A102" s="119" t="n">
        <v>2016</v>
      </c>
      <c r="B102" s="119" t="inlineStr">
        <is>
          <t>output value of bio-industry</t>
        </is>
      </c>
      <c r="C102" s="119" t="inlineStr">
        <is>
          <t>reach</t>
        </is>
      </c>
      <c r="D102" s="119" t="inlineStr">
        <is>
          <t>8-10 trillion yuan</t>
        </is>
      </c>
      <c r="E102" s="119" t="n"/>
      <c r="F102" s="120" t="inlineStr">
        <is>
          <t>2020</t>
        </is>
      </c>
      <c r="G102" s="119" t="inlineStr">
        <is>
          <t>n</t>
        </is>
      </c>
      <c r="H102" s="119" t="inlineStr">
        <is>
          <t>Production-oriented</t>
        </is>
      </c>
      <c r="I102" s="119" t="inlineStr">
        <is>
          <t>sectors</t>
        </is>
      </c>
      <c r="J102" s="119" t="inlineStr">
        <is>
          <t>By 2020, the scale of the bio-industry will reach 8-10 trillion yuan, forming a group of new bio-technology enterprises and bio-economic clusters with strong international competitiveness.</t>
        </is>
      </c>
      <c r="K102" s="119" t="inlineStr">
        <is>
          <t>FYP1613.htm</t>
        </is>
      </c>
      <c r="L102" s="119" t="inlineStr">
        <is>
          <t>Industry</t>
        </is>
      </c>
    </row>
    <row r="103" ht="18" customHeight="1" s="235">
      <c r="A103" s="119" t="n">
        <v>2016</v>
      </c>
      <c r="B103" s="119" t="inlineStr">
        <is>
          <t>output value of green and low-carbon industries such as energy conservation and environmental protection, new energy equipment, and new energy vehicles</t>
        </is>
      </c>
      <c r="C103" s="119" t="inlineStr">
        <is>
          <t>exceed</t>
        </is>
      </c>
      <c r="D103" s="119" t="inlineStr">
        <is>
          <t>10 trillion yuan</t>
        </is>
      </c>
      <c r="E103" s="119" t="n"/>
      <c r="F103" s="120" t="inlineStr">
        <is>
          <t>2020</t>
        </is>
      </c>
      <c r="G103" s="119" t="inlineStr">
        <is>
          <t>n</t>
        </is>
      </c>
      <c r="H103" s="119" t="inlineStr">
        <is>
          <t>Production-oriented</t>
        </is>
      </c>
      <c r="I103" s="119" t="inlineStr">
        <is>
          <t>sectors</t>
        </is>
      </c>
      <c r="J103" s="119" t="inlineStr">
        <is>
          <t>By 2020, the total output value of green and low-carbon industries such as energy conservation and environmental protection, new energy equipment, and new energy vehicles will exceed 10 trillion yuan, becoming pillar industries.</t>
        </is>
      </c>
      <c r="K103" s="119" t="inlineStr">
        <is>
          <t>FYP1601.htm</t>
        </is>
      </c>
      <c r="L103" s="119" t="inlineStr">
        <is>
          <t>Industry</t>
        </is>
      </c>
    </row>
    <row r="104" ht="18" customHeight="1" s="235">
      <c r="A104" s="119" t="n">
        <v>2016</v>
      </c>
      <c r="B104" s="119" t="inlineStr">
        <is>
          <t xml:space="preserve">output value of high-efficiency and energy-saving industry </t>
        </is>
      </c>
      <c r="C104" s="119" t="inlineStr">
        <is>
          <t>reach</t>
        </is>
      </c>
      <c r="D104" s="119" t="inlineStr">
        <is>
          <t>3 trillion yuan</t>
        </is>
      </c>
      <c r="E104" s="119" t="n"/>
      <c r="F104" s="120" t="inlineStr">
        <is>
          <t>2020</t>
        </is>
      </c>
      <c r="G104" s="119" t="inlineStr">
        <is>
          <t>n</t>
        </is>
      </c>
      <c r="H104" s="119" t="inlineStr">
        <is>
          <t>Production-oriented</t>
        </is>
      </c>
      <c r="I104" s="119" t="inlineStr">
        <is>
          <t>sectors</t>
        </is>
      </c>
      <c r="J104" s="119" t="inlineStr">
        <is>
          <t>By 2020, the output value of the high-efficiency and energy-saving industry will strive to reach 3 trillion yuan.</t>
        </is>
      </c>
      <c r="K104" s="119" t="inlineStr">
        <is>
          <t>FYP1613.htm</t>
        </is>
      </c>
      <c r="L104" s="119" t="inlineStr">
        <is>
          <t>Industry</t>
        </is>
      </c>
    </row>
    <row r="105" ht="18" customHeight="1" s="235">
      <c r="A105" s="119" t="n">
        <v>2013</v>
      </c>
      <c r="B105" s="119" t="inlineStr">
        <is>
          <t xml:space="preserve">output value of remanufacturing industry  </t>
        </is>
      </c>
      <c r="C105" s="119" t="inlineStr">
        <is>
          <t>reach</t>
        </is>
      </c>
      <c r="D105" s="119" t="inlineStr">
        <is>
          <t>50 billion yuan</t>
        </is>
      </c>
      <c r="E105" s="119" t="n"/>
      <c r="F105" s="120" t="inlineStr">
        <is>
          <t>2015</t>
        </is>
      </c>
      <c r="G105" s="119" t="inlineStr">
        <is>
          <t>n</t>
        </is>
      </c>
      <c r="H105" s="119" t="inlineStr">
        <is>
          <t>Production-oriented</t>
        </is>
      </c>
      <c r="I105" s="119" t="inlineStr">
        <is>
          <t>sectors</t>
        </is>
      </c>
      <c r="J105" s="119" t="inlineStr">
        <is>
          <t>By 2015, the annual output value of the remanufacturing industry will reach about 50 billion yuan.</t>
        </is>
      </c>
      <c r="K105" s="119" t="inlineStr">
        <is>
          <t>DP1301.htm</t>
        </is>
      </c>
      <c r="L105" s="119" t="inlineStr">
        <is>
          <t>Industry</t>
        </is>
      </c>
    </row>
    <row r="106" ht="18" customHeight="1" s="235">
      <c r="A106" s="119" t="n">
        <v>2016</v>
      </c>
      <c r="B106" s="119" t="inlineStr">
        <is>
          <t xml:space="preserve">output value of remanufacturing industry  </t>
        </is>
      </c>
      <c r="C106" s="119" t="inlineStr">
        <is>
          <t>reach</t>
        </is>
      </c>
      <c r="D106" s="119" t="inlineStr">
        <is>
          <t>200 billion yuan</t>
        </is>
      </c>
      <c r="E106" s="119" t="n"/>
      <c r="F106" s="120" t="inlineStr">
        <is>
          <t>2020</t>
        </is>
      </c>
      <c r="G106" s="119" t="inlineStr">
        <is>
          <t>n</t>
        </is>
      </c>
      <c r="H106" s="119" t="inlineStr">
        <is>
          <t>Production-oriented</t>
        </is>
      </c>
      <c r="I106" s="119" t="inlineStr">
        <is>
          <t>sectors</t>
        </is>
      </c>
      <c r="J106" s="119" t="inlineStr">
        <is>
          <t>By 2020, the scale of the remanufacturing industry will reach 200 billion yuan.</t>
        </is>
      </c>
      <c r="K106" s="119" t="inlineStr">
        <is>
          <t>DP1601.htm</t>
        </is>
      </c>
      <c r="L106" s="119" t="inlineStr">
        <is>
          <t>Industry</t>
        </is>
      </c>
    </row>
    <row r="107" ht="18" customHeight="1" s="235">
      <c r="A107" s="119" t="n">
        <v>2012</v>
      </c>
      <c r="B107" s="119" t="inlineStr">
        <is>
          <t>output value of the energy-saving service industry</t>
        </is>
      </c>
      <c r="C107" s="119" t="inlineStr">
        <is>
          <t>reach</t>
        </is>
      </c>
      <c r="D107" s="119" t="inlineStr">
        <is>
          <t>300 billion yuan</t>
        </is>
      </c>
      <c r="E107" s="119" t="n"/>
      <c r="F107" s="120" t="inlineStr">
        <is>
          <t>2015</t>
        </is>
      </c>
      <c r="G107" s="119" t="inlineStr">
        <is>
          <t>n</t>
        </is>
      </c>
      <c r="H107" s="119" t="inlineStr">
        <is>
          <t>Production-oriented</t>
        </is>
      </c>
      <c r="I107" s="119" t="inlineStr">
        <is>
          <t>sectors</t>
        </is>
      </c>
      <c r="J107" s="119" t="inlineStr">
        <is>
          <t>By 2015, the total output value of the energy-saving service industry will reach 300 billion yuan.</t>
        </is>
      </c>
      <c r="K107" s="119" t="inlineStr">
        <is>
          <t>FYP1201.htm</t>
        </is>
      </c>
      <c r="L107" s="119" t="inlineStr">
        <is>
          <t>Industry</t>
        </is>
      </c>
    </row>
    <row r="108" ht="18" customHeight="1" s="235">
      <c r="A108" s="119" t="n">
        <v>2013</v>
      </c>
      <c r="B108" s="119" t="inlineStr">
        <is>
          <t>penetration rate of coke oven dry quenching in key steel enterprises</t>
        </is>
      </c>
      <c r="C108" s="119" t="inlineStr">
        <is>
          <t>reach</t>
        </is>
      </c>
      <c r="D108" s="119" t="inlineStr">
        <is>
          <t>95%</t>
        </is>
      </c>
      <c r="E108" s="119" t="n"/>
      <c r="F108" s="120" t="inlineStr">
        <is>
          <t>2015</t>
        </is>
      </c>
      <c r="G108" s="119" t="inlineStr">
        <is>
          <t>n</t>
        </is>
      </c>
      <c r="H108" s="119" t="inlineStr">
        <is>
          <t>Industrial transformation</t>
        </is>
      </c>
      <c r="I108" s="119" t="inlineStr">
        <is>
          <t>enterprises</t>
        </is>
      </c>
      <c r="J108" s="119" t="inlineStr">
        <is>
          <t>By 2015, the penetration rate of coke oven dry quenching in key steel enterprises will reach more than 95%.</t>
        </is>
      </c>
      <c r="K108" s="119" t="inlineStr">
        <is>
          <t>DP1301.htm</t>
        </is>
      </c>
      <c r="L108" s="119" t="inlineStr">
        <is>
          <t>Industry</t>
        </is>
      </c>
    </row>
    <row r="109" ht="18" customHeight="1" s="235">
      <c r="A109" s="119" t="n">
        <v>2024</v>
      </c>
      <c r="B109" s="119" t="inlineStr">
        <is>
          <t>pilot enterprises and industrial parks for carbon emission management</t>
        </is>
      </c>
      <c r="C109" s="119" t="inlineStr">
        <is>
          <t>build</t>
        </is>
      </c>
      <c r="D109" s="119" t="inlineStr">
        <is>
          <t>100</t>
        </is>
      </c>
      <c r="E109" s="119" t="n"/>
      <c r="F109" s="120" t="inlineStr">
        <is>
          <t>2025</t>
        </is>
      </c>
      <c r="G109" s="119" t="inlineStr">
        <is>
          <t>n</t>
        </is>
      </c>
      <c r="H109" s="119" t="inlineStr">
        <is>
          <t>Industrial transformation</t>
        </is>
      </c>
      <c r="I109" s="119" t="inlineStr">
        <is>
          <t>whole economy</t>
        </is>
      </c>
      <c r="J109" s="119" t="inlineStr">
        <is>
          <t>By 2025, 100 pilot enterprises and industrial parks for carbon emission management will be built.</t>
        </is>
      </c>
      <c r="K109" s="119" t="inlineStr">
        <is>
          <t>AP2415.htm</t>
        </is>
      </c>
      <c r="L109" s="119" t="inlineStr">
        <is>
          <t>Industry</t>
        </is>
      </c>
    </row>
    <row r="110" ht="18" customHeight="1" s="235">
      <c r="A110" s="0" t="n">
        <v>2026</v>
      </c>
      <c r="B110" s="0" t="inlineStr">
        <is>
          <t>production capacity below the energy efficiency baseline</t>
        </is>
      </c>
      <c r="C110" s="0" t="inlineStr">
        <is>
          <t>eliminate</t>
        </is>
      </c>
      <c r="D110" s="0" t="inlineStr">
        <is>
          <t>basically cleared to zero</t>
        </is>
      </c>
      <c r="F110" s="0" t="n">
        <v>2028</v>
      </c>
      <c r="G110" s="0" t="inlineStr">
        <is>
          <t>n</t>
        </is>
      </c>
      <c r="H110" s="0" t="inlineStr">
        <is>
          <t>Energy efficiency</t>
        </is>
      </c>
      <c r="I110" s="0" t="inlineStr">
        <is>
          <t>sectors</t>
        </is>
      </c>
      <c r="J110" s="0" t="inlineStr">
        <is>
          <t>...capacity below the energy efficiency baseline will be basically cleared to zero, and cumulative energy savings of more than 100 million tons of standard coal and carbon dioxide reductions of more than 200 million tons will be achieved.</t>
        </is>
      </c>
      <c r="K110" s="0" t="inlineStr">
        <is>
          <t>AP2607.htm</t>
        </is>
      </c>
      <c r="L110" s="0" t="inlineStr">
        <is>
          <t>Industry</t>
        </is>
      </c>
    </row>
    <row r="111" ht="18" customHeight="1" s="235">
      <c r="A111" s="119" t="n">
        <v>2024</v>
      </c>
      <c r="B111" s="119" t="inlineStr">
        <is>
          <t>production capacity of refining, ethylene, synthetic ammonia and calcium carbide industries above energy efficiency benchmark level</t>
        </is>
      </c>
      <c r="C111" s="119" t="inlineStr">
        <is>
          <t>account for</t>
        </is>
      </c>
      <c r="D111" s="119" t="inlineStr">
        <is>
          <t>30%</t>
        </is>
      </c>
      <c r="E111" s="119" t="n"/>
      <c r="F111" s="120" t="inlineStr">
        <is>
          <t>2025</t>
        </is>
      </c>
      <c r="G111" s="119" t="inlineStr">
        <is>
          <t>n</t>
        </is>
      </c>
      <c r="H111" s="119" t="inlineStr">
        <is>
          <t>Energy efficiency</t>
        </is>
      </c>
      <c r="I111" s="119" t="inlineStr">
        <is>
          <t>sectors</t>
        </is>
      </c>
      <c r="J111" s="119" t="inlineStr">
        <is>
          <t>By the end of 2025, the production capacity of the refining, ethylene, synthetic ammonia and calcium carbide industries above the energy efficiency benchmark level will account for more than 30%.</t>
        </is>
      </c>
      <c r="K111" s="119" t="inlineStr">
        <is>
          <t>AP2405.htm</t>
        </is>
      </c>
      <c r="L111" s="119" t="inlineStr">
        <is>
          <t>Industry</t>
        </is>
      </c>
    </row>
    <row r="112" ht="18" customHeight="1" s="235">
      <c r="A112" s="119" t="n">
        <v>2024</v>
      </c>
      <c r="B112" s="119" t="inlineStr">
        <is>
          <t>proportion of advanced energy-consuming equipment in central and state organs</t>
        </is>
      </c>
      <c r="C112" s="119" t="inlineStr">
        <is>
          <t>reach</t>
        </is>
      </c>
      <c r="D112" s="119" t="inlineStr">
        <is>
          <t>80%</t>
        </is>
      </c>
      <c r="E112" s="119" t="n"/>
      <c r="F112" s="120" t="inlineStr">
        <is>
          <t>2025</t>
        </is>
      </c>
      <c r="G112" s="119" t="inlineStr">
        <is>
          <t>n</t>
        </is>
      </c>
      <c r="H112" s="119" t="inlineStr">
        <is>
          <t>Energy efficiency</t>
        </is>
      </c>
      <c r="I112" s="119" t="inlineStr">
        <is>
          <t>public institutions</t>
        </is>
      </c>
      <c r="J112" s="119" t="inlineStr">
        <is>
          <t>By the end of 2025, the proportion of advanced energy-consuming equipment such as new boilers, power transformers, elevators, heating, refrigeration, etc. in central and state organs will reach 80%.</t>
        </is>
      </c>
      <c r="K112" s="119" t="inlineStr">
        <is>
          <t>AP2405.htm</t>
        </is>
      </c>
      <c r="L112" s="119" t="inlineStr">
        <is>
          <t>Industry</t>
        </is>
      </c>
    </row>
    <row r="113" ht="18" customHeight="1" s="235">
      <c r="A113" s="119" t="n">
        <v>2024</v>
      </c>
      <c r="B113" s="119" t="inlineStr">
        <is>
          <t>proportion of cement clinker production capacity retrofits in key regions</t>
        </is>
      </c>
      <c r="C113" s="119" t="inlineStr">
        <is>
          <t>reach</t>
        </is>
      </c>
      <c r="D113" s="119" t="inlineStr">
        <is>
          <t>100%</t>
        </is>
      </c>
      <c r="E113" s="119" t="n"/>
      <c r="F113" s="120" t="n">
        <v>2028</v>
      </c>
      <c r="G113" s="119" t="inlineStr">
        <is>
          <t>n</t>
        </is>
      </c>
      <c r="H113" s="119" t="inlineStr">
        <is>
          <t>Industrial transformation</t>
        </is>
      </c>
      <c r="I113" s="119" t="inlineStr">
        <is>
          <t>sectors</t>
        </is>
      </c>
      <c r="J113" s="119" t="inlineStr">
        <is>
          <t>By the end of 2028, cement clinker producers in key regions are expected to have basically completed the retrofits, while nationwide efforts aim for 80% of cement clinker production capacity to complete the transformation.</t>
        </is>
      </c>
      <c r="K113" s="119" t="inlineStr">
        <is>
          <t>O2406.pdf</t>
        </is>
      </c>
      <c r="L113" s="119" t="inlineStr">
        <is>
          <t>Industry</t>
        </is>
      </c>
    </row>
    <row r="114" ht="18" customHeight="1" s="235">
      <c r="A114" s="119" t="n">
        <v>2024</v>
      </c>
      <c r="B114" s="119" t="inlineStr">
        <is>
          <t>proportion of cement clinker production capacity retrofits nationwide</t>
        </is>
      </c>
      <c r="C114" s="119" t="inlineStr">
        <is>
          <t>reach</t>
        </is>
      </c>
      <c r="D114" s="119" t="inlineStr">
        <is>
          <t>80%</t>
        </is>
      </c>
      <c r="E114" s="119" t="n"/>
      <c r="F114" s="120" t="n">
        <v>2028</v>
      </c>
      <c r="G114" s="119" t="inlineStr">
        <is>
          <t>n</t>
        </is>
      </c>
      <c r="H114" s="119" t="inlineStr">
        <is>
          <t>Industrial transformation</t>
        </is>
      </c>
      <c r="I114" s="119" t="inlineStr">
        <is>
          <t>sectors</t>
        </is>
      </c>
      <c r="J114" s="119" t="inlineStr">
        <is>
          <t>By the end of 2028, cement clinker producers in key regions are expected to have basically completed the retrofits, while nationwide efforts aim for 80% of cement clinker production capacity to complete the transformation.</t>
        </is>
      </c>
      <c r="K114" s="119" t="inlineStr">
        <is>
          <t>O2406.pdf</t>
        </is>
      </c>
      <c r="L114" s="119" t="inlineStr">
        <is>
          <t>Industry</t>
        </is>
      </c>
    </row>
    <row r="115" ht="18" customHeight="1" s="235">
      <c r="A115" s="119" t="n">
        <v>2013</v>
      </c>
      <c r="B115" s="119" t="inlineStr">
        <is>
          <t>proportion of cement kiln waste co-processing production lines</t>
        </is>
      </c>
      <c r="C115" s="119" t="inlineStr">
        <is>
          <t>reach</t>
        </is>
      </c>
      <c r="D115" s="119" t="inlineStr">
        <is>
          <t>not less than 10%</t>
        </is>
      </c>
      <c r="E115" s="119" t="n"/>
      <c r="F115" s="120" t="n">
        <v>2015</v>
      </c>
      <c r="G115" s="119" t="inlineStr">
        <is>
          <t>n</t>
        </is>
      </c>
      <c r="H115" s="119" t="inlineStr">
        <is>
          <t>Resource efficiency</t>
        </is>
      </c>
      <c r="I115" s="119" t="inlineStr">
        <is>
          <t>sectors</t>
        </is>
      </c>
      <c r="J115" s="119" t="inlineStr">
        <is>
          <t>The proportion of cement production lines using existing cement kilns for harmless co-processing of municipal solid waste and industrial waste will be not less than 10%.</t>
        </is>
      </c>
      <c r="K115" s="119" t="inlineStr">
        <is>
          <t>GO1302.htm</t>
        </is>
      </c>
      <c r="L115" s="119" t="inlineStr">
        <is>
          <t>Industry</t>
        </is>
      </c>
    </row>
    <row r="116" ht="18" customHeight="1" s="235">
      <c r="A116" s="119" t="n">
        <v>2024</v>
      </c>
      <c r="B116" s="119" t="inlineStr">
        <is>
          <t>proportion of direct alloying of molten</t>
        </is>
      </c>
      <c r="C116" s="119" t="inlineStr">
        <is>
          <t>increase to</t>
        </is>
      </c>
      <c r="D116" s="119" t="inlineStr">
        <is>
          <t>more than 90%</t>
        </is>
      </c>
      <c r="E116" s="119" t="n"/>
      <c r="F116" s="120" t="inlineStr">
        <is>
          <t>2025</t>
        </is>
      </c>
      <c r="G116" s="119" t="inlineStr">
        <is>
          <t>n</t>
        </is>
      </c>
      <c r="H116" s="119" t="inlineStr">
        <is>
          <t>Industrial transformation</t>
        </is>
      </c>
      <c r="I116" s="119" t="inlineStr">
        <is>
          <t>sectors</t>
        </is>
      </c>
      <c r="J116" s="119" t="inlineStr">
        <is>
          <t>By the end of 2025, the proportion of direct alloying of molten aluminum will increase to more than 90%.</t>
        </is>
      </c>
      <c r="K116" s="119" t="inlineStr">
        <is>
          <t>AP2405.htm</t>
        </is>
      </c>
      <c r="L116" s="119" t="inlineStr">
        <is>
          <t>Industry</t>
        </is>
      </c>
    </row>
    <row r="117" ht="18" customHeight="1" s="235">
      <c r="A117" s="119" t="n">
        <v>2022</v>
      </c>
      <c r="B117" s="119" t="inlineStr">
        <is>
          <t>proportion of direct alloying of molten</t>
        </is>
      </c>
      <c r="C117" s="119" t="inlineStr">
        <is>
          <t>increase to</t>
        </is>
      </c>
      <c r="D117" s="119" t="inlineStr">
        <is>
          <t>more than 90%</t>
        </is>
      </c>
      <c r="E117" s="119" t="n"/>
      <c r="F117" s="120" t="inlineStr">
        <is>
          <t>2025</t>
        </is>
      </c>
      <c r="G117" s="119" t="inlineStr">
        <is>
          <t>r</t>
        </is>
      </c>
      <c r="H117" s="119" t="inlineStr">
        <is>
          <t>Industrial transformation</t>
        </is>
      </c>
      <c r="I117" s="119" t="inlineStr">
        <is>
          <t>sectors</t>
        </is>
      </c>
      <c r="J117" s="119" t="inlineStr">
        <is>
          <t>By 2025, the proportion of direct alloying of molten aluminum will increase to more than 90%.</t>
        </is>
      </c>
      <c r="K117" s="119" t="inlineStr">
        <is>
          <t>IP2221.htm</t>
        </is>
      </c>
      <c r="L117" s="119" t="inlineStr">
        <is>
          <t>Industry</t>
        </is>
      </c>
    </row>
    <row r="118" ht="18" customHeight="1" s="235">
      <c r="A118" s="119" t="n">
        <v>2022</v>
      </c>
      <c r="B118" s="119" t="inlineStr">
        <is>
          <t>proportion of electric furnace steel output in total crude steel output</t>
        </is>
      </c>
      <c r="C118" s="119" t="inlineStr">
        <is>
          <t>increase to</t>
        </is>
      </c>
      <c r="D118" s="119" t="inlineStr">
        <is>
          <t>more than 15%</t>
        </is>
      </c>
      <c r="E118" s="119" t="n"/>
      <c r="F118" s="120" t="n">
        <v>2025</v>
      </c>
      <c r="G118" s="119" t="inlineStr">
        <is>
          <t>n</t>
        </is>
      </c>
      <c r="H118" s="119" t="inlineStr">
        <is>
          <t>Industrial transformation</t>
        </is>
      </c>
      <c r="I118" s="119" t="inlineStr">
        <is>
          <t>sectors</t>
        </is>
      </c>
      <c r="J118" s="119" t="inlineStr">
        <is>
          <t>By 2025, the process structure of the steel industry will be significantly optimized, and the proportion of electric furnace steel output in total crude steel output will increase to more than 15%.</t>
        </is>
      </c>
      <c r="K118" s="119" t="inlineStr">
        <is>
          <t>GO2204.htm</t>
        </is>
      </c>
      <c r="L118" s="119" t="inlineStr">
        <is>
          <t>Industry</t>
        </is>
      </c>
    </row>
    <row r="119" ht="18" customHeight="1" s="235">
      <c r="A119" s="119" t="n">
        <v>2024</v>
      </c>
      <c r="B119" s="119" t="inlineStr">
        <is>
          <t>proportion of electric furnace steel output in total crude steel output</t>
        </is>
      </c>
      <c r="C119" s="119" t="inlineStr">
        <is>
          <t>increase to</t>
        </is>
      </c>
      <c r="D119" s="119" t="inlineStr">
        <is>
          <t>15%</t>
        </is>
      </c>
      <c r="E119" s="119" t="n"/>
      <c r="F119" s="120" t="inlineStr">
        <is>
          <t>2025</t>
        </is>
      </c>
      <c r="G119" s="119" t="inlineStr">
        <is>
          <t>r</t>
        </is>
      </c>
      <c r="H119" s="119" t="inlineStr">
        <is>
          <t>Industrial transformation</t>
        </is>
      </c>
      <c r="I119" s="119" t="inlineStr">
        <is>
          <t>sectors</t>
        </is>
      </c>
      <c r="J119" s="119" t="inlineStr">
        <is>
          <t>By the end of 2025, the proportion of electric furnace steel production in total crude steel production will be increased to 15%.</t>
        </is>
      </c>
      <c r="K119" s="119" t="inlineStr">
        <is>
          <t>AP2405.htm</t>
        </is>
      </c>
      <c r="L119" s="119" t="inlineStr">
        <is>
          <t>Industry</t>
        </is>
      </c>
    </row>
    <row r="120" ht="18" customHeight="1" s="235">
      <c r="A120" s="119" t="n">
        <v>2013</v>
      </c>
      <c r="B120" s="119" t="inlineStr">
        <is>
          <t>proportion of energy-saving internal combustion engine products in society</t>
        </is>
      </c>
      <c r="C120" s="119" t="inlineStr">
        <is>
          <t>account for</t>
        </is>
      </c>
      <c r="D120" s="119" t="inlineStr">
        <is>
          <t>60%</t>
        </is>
      </c>
      <c r="E120" s="119" t="n"/>
      <c r="F120" s="120" t="inlineStr">
        <is>
          <t>2015</t>
        </is>
      </c>
      <c r="G120" s="119" t="inlineStr">
        <is>
          <t>n</t>
        </is>
      </c>
      <c r="H120" s="119" t="inlineStr">
        <is>
          <t>Energy efficiency</t>
        </is>
      </c>
      <c r="I120" s="119" t="inlineStr">
        <is>
          <t>unclear</t>
        </is>
      </c>
      <c r="J120" s="119" t="inlineStr">
        <is>
          <t>By 2015, energy-saving internal combustion engine products will account for 60% of the total internal combustion engine products in the society. Compared with 2010, the fuel consumption rate of internal combustion engines will be reduced by 6%-10%, saving 20 million tons of commercial fuel, reducing carbon dioxide emissions by 62 million tons, reducing nitrogen oxide emissions by 10%, and saving 15 million tons of commercial fuel by using alternative fuels; cultivate a number of key remanufacturing enterprises for automobile and engineering machinery engines; realize the localization and large-scale production and manufacturing equipment of high-efficiency, energy-saving and environmentally friendly internal combustion engine hosts and their parts; establish policies, regulations and standards system for energy conservation and emission reduction of internal combustion engine products.</t>
        </is>
      </c>
      <c r="K120" s="119" t="inlineStr">
        <is>
          <t>O1301.htm</t>
        </is>
      </c>
      <c r="L120" s="119" t="inlineStr">
        <is>
          <t>Industry</t>
        </is>
      </c>
    </row>
    <row r="121" ht="18" customHeight="1" s="235">
      <c r="A121" s="119" t="n">
        <v>2024</v>
      </c>
      <c r="B121" s="119" t="inlineStr">
        <is>
          <t>proportion of high-efficiency energy-saving products in household refrigeration equipment in operation</t>
        </is>
      </c>
      <c r="C121" s="119" t="inlineStr">
        <is>
          <t>reach</t>
        </is>
      </c>
      <c r="D121" s="119" t="inlineStr">
        <is>
          <t>more than 60%</t>
        </is>
      </c>
      <c r="E121" s="119" t="n"/>
      <c r="F121" s="120" t="n">
        <v>2025</v>
      </c>
      <c r="G121" s="119" t="inlineStr">
        <is>
          <t>n</t>
        </is>
      </c>
      <c r="H121" s="119" t="inlineStr">
        <is>
          <t>Energy efficiency</t>
        </is>
      </c>
      <c r="I121" s="119" t="inlineStr">
        <is>
          <t>unclear</t>
        </is>
      </c>
      <c r="J121" s="119" t="inlineStr">
        <is>
          <t>Compared with 2021, in 2025, the proportion of high-efficiency energy-saving products in household refrigeration equipment in operation will reach 60%.</t>
        </is>
      </c>
      <c r="K121" s="119" t="inlineStr">
        <is>
          <t>AP2405.htm</t>
        </is>
      </c>
      <c r="L121" s="119" t="inlineStr">
        <is>
          <t>Industry</t>
        </is>
      </c>
    </row>
    <row r="122" ht="18" customHeight="1" s="235">
      <c r="A122" s="119" t="n">
        <v>2024</v>
      </c>
      <c r="B122" s="119" t="inlineStr">
        <is>
          <t>proportion of high-efficiency energy-saving products in industrial and commercial refrigeration equipment in operation</t>
        </is>
      </c>
      <c r="C122" s="119" t="inlineStr">
        <is>
          <t>reach</t>
        </is>
      </c>
      <c r="D122" s="119" t="inlineStr">
        <is>
          <t>40%</t>
        </is>
      </c>
      <c r="E122" s="119" t="n"/>
      <c r="F122" s="120" t="n">
        <v>2025</v>
      </c>
      <c r="G122" s="119" t="inlineStr">
        <is>
          <t>n</t>
        </is>
      </c>
      <c r="H122" s="119" t="inlineStr">
        <is>
          <t>Energy efficiency</t>
        </is>
      </c>
      <c r="I122" s="119" t="inlineStr">
        <is>
          <t>unclear</t>
        </is>
      </c>
      <c r="J122" s="119" t="inlineStr">
        <is>
          <t>Compared with 2021, in 2025, the proportion of high-efficiency energy-saving products in industrial and commercial refrigeration equipment in operation will reach 40%.</t>
        </is>
      </c>
      <c r="K122" s="119" t="inlineStr">
        <is>
          <t>AP2405.htm</t>
        </is>
      </c>
      <c r="L122" s="119" t="inlineStr">
        <is>
          <t>Industry</t>
        </is>
      </c>
    </row>
    <row r="123" ht="18" customHeight="1" s="235">
      <c r="A123" s="119" t="n">
        <v>2024</v>
      </c>
      <c r="B123" s="119" t="inlineStr">
        <is>
          <t>proportion of high-efficiency energy-saving transformers in operation</t>
        </is>
      </c>
      <c r="C123" s="119" t="inlineStr">
        <is>
          <t>increase by</t>
        </is>
      </c>
      <c r="D123" s="119" t="inlineStr">
        <is>
          <t>10  percentage points</t>
        </is>
      </c>
      <c r="E123" s="119" t="n">
        <v>2021</v>
      </c>
      <c r="F123" s="120" t="n">
        <v>2025</v>
      </c>
      <c r="G123" s="119" t="inlineStr">
        <is>
          <t>n</t>
        </is>
      </c>
      <c r="H123" s="119" t="inlineStr">
        <is>
          <t>Energy efficiency</t>
        </is>
      </c>
      <c r="I123" s="119" t="inlineStr">
        <is>
          <t>unclear</t>
        </is>
      </c>
      <c r="J123" s="119" t="inlineStr">
        <is>
          <t>Compared with 2021, in 2025, the proportion of high-efficiency energy-saving transformers in operation will increase by more than 10 percentage points.</t>
        </is>
      </c>
      <c r="K123" s="119" t="inlineStr">
        <is>
          <t>AP2405.htm</t>
        </is>
      </c>
      <c r="L123" s="119" t="inlineStr">
        <is>
          <t>Industry</t>
        </is>
      </c>
    </row>
    <row r="124" ht="18" customHeight="1" s="235">
      <c r="A124" s="119" t="n">
        <v>2021</v>
      </c>
      <c r="B124" s="119" t="inlineStr">
        <is>
          <t>proportion of national high-tech zones with a comprehensive energy consumption per unit of industrial value added below 0.3 tons of standard coal per 10,000 yuan</t>
        </is>
      </c>
      <c r="C124" s="119" t="inlineStr">
        <is>
          <t>reach</t>
        </is>
      </c>
      <c r="D124" s="119" t="inlineStr">
        <is>
          <t>50%</t>
        </is>
      </c>
      <c r="E124" s="119" t="n"/>
      <c r="F124" s="120" t="inlineStr">
        <is>
          <t>2025</t>
        </is>
      </c>
      <c r="G124" s="119" t="inlineStr">
        <is>
          <t>n</t>
        </is>
      </c>
      <c r="H124" s="119" t="inlineStr">
        <is>
          <t>Energy efficiency</t>
        </is>
      </c>
      <c r="I124" s="119" t="inlineStr">
        <is>
          <t>areas</t>
        </is>
      </c>
      <c r="J124" s="119" t="inlineStr">
        <is>
          <t>By 2025, 50% of national high-tech zones will have a comprehensive energy consumption per unit of industrial value added below 0.3 tons of standard coal per 10,000 yuan.</t>
        </is>
      </c>
      <c r="K124" s="119" t="inlineStr">
        <is>
          <t>IP2102.htm</t>
        </is>
      </c>
      <c r="L124" s="119" t="inlineStr">
        <is>
          <t>Industry</t>
        </is>
      </c>
    </row>
    <row r="125" ht="18" customHeight="1" s="235">
      <c r="A125" s="119" t="n">
        <v>2024</v>
      </c>
      <c r="B125" s="119" t="inlineStr">
        <is>
          <t>proportion of production capacity above energy efficiency benchmark level in cement and ceramic industries</t>
        </is>
      </c>
      <c r="C125" s="119" t="inlineStr">
        <is>
          <t>reach</t>
        </is>
      </c>
      <c r="D125" s="119" t="inlineStr">
        <is>
          <t>30%</t>
        </is>
      </c>
      <c r="E125" s="119" t="n"/>
      <c r="F125" s="120" t="inlineStr">
        <is>
          <t>2025</t>
        </is>
      </c>
      <c r="G125" s="119" t="inlineStr">
        <is>
          <t>n</t>
        </is>
      </c>
      <c r="H125" s="119" t="inlineStr">
        <is>
          <t>Energy efficiency</t>
        </is>
      </c>
      <c r="I125" s="119" t="inlineStr">
        <is>
          <t>sectors</t>
        </is>
      </c>
      <c r="J125" s="119" t="inlineStr">
        <is>
          <t>By the end of 2025, the proportion of production capacity above the energy efficiency benchmark level in the cement and ceramic industries will reach 30%.</t>
        </is>
      </c>
      <c r="K125" s="119" t="inlineStr">
        <is>
          <t>AP2405.htm</t>
        </is>
      </c>
      <c r="L125" s="119" t="inlineStr">
        <is>
          <t>Industry</t>
        </is>
      </c>
    </row>
    <row r="126" ht="18" customHeight="1" s="235">
      <c r="A126" s="119" t="n">
        <v>2024</v>
      </c>
      <c r="B126" s="119" t="inlineStr">
        <is>
          <t>proportion of production capacity above energy efficiency benchmark level in copper, lead and zinc smelting</t>
        </is>
      </c>
      <c r="C126" s="119" t="inlineStr">
        <is>
          <t>reach</t>
        </is>
      </c>
      <c r="D126" s="119" t="inlineStr">
        <is>
          <t>50%</t>
        </is>
      </c>
      <c r="E126" s="119" t="n"/>
      <c r="F126" s="120" t="inlineStr">
        <is>
          <t>2025</t>
        </is>
      </c>
      <c r="G126" s="119" t="inlineStr">
        <is>
          <t>n</t>
        </is>
      </c>
      <c r="H126" s="119" t="inlineStr">
        <is>
          <t>Energy efficiency</t>
        </is>
      </c>
      <c r="I126" s="119" t="inlineStr">
        <is>
          <t>sectors</t>
        </is>
      </c>
      <c r="J126" s="119" t="inlineStr">
        <is>
          <t>By the end of 2025, the proportion of production capacity above the energy efficiency benchmark level in copper, lead and zinc smelting will reach 50%.</t>
        </is>
      </c>
      <c r="K126" s="119" t="inlineStr">
        <is>
          <t>AP2405.htm</t>
        </is>
      </c>
      <c r="L126" s="119" t="inlineStr">
        <is>
          <t>Industry</t>
        </is>
      </c>
    </row>
    <row r="127" ht="18" customHeight="1" s="235">
      <c r="A127" s="119" t="n">
        <v>2024</v>
      </c>
      <c r="B127" s="119" t="inlineStr">
        <is>
          <t>proportion of production capacity above energy efficiency benchmark level in electrolytic aluminum industry</t>
        </is>
      </c>
      <c r="C127" s="119" t="inlineStr">
        <is>
          <t>reach</t>
        </is>
      </c>
      <c r="D127" s="119" t="inlineStr">
        <is>
          <t>30%</t>
        </is>
      </c>
      <c r="E127" s="119" t="n"/>
      <c r="F127" s="120" t="inlineStr">
        <is>
          <t>2025</t>
        </is>
      </c>
      <c r="G127" s="119" t="inlineStr">
        <is>
          <t>n</t>
        </is>
      </c>
      <c r="H127" s="119" t="inlineStr">
        <is>
          <t>Energy efficiency</t>
        </is>
      </c>
      <c r="I127" s="119" t="inlineStr">
        <is>
          <t>sectors</t>
        </is>
      </c>
      <c r="J127" s="119" t="inlineStr">
        <is>
          <t>By the end of 2025, the proportion of production capacity above the energy efficiency benchmark level in the electrolytic aluminum industry will reach 30%.</t>
        </is>
      </c>
      <c r="K127" s="119" t="inlineStr">
        <is>
          <t>AP2405.htm</t>
        </is>
      </c>
      <c r="L127" s="119" t="inlineStr">
        <is>
          <t>Industry</t>
        </is>
      </c>
    </row>
    <row r="128" ht="18" customHeight="1" s="235">
      <c r="A128" s="119" t="n">
        <v>2024</v>
      </c>
      <c r="B128" s="119" t="inlineStr">
        <is>
          <t>proportion of production capacity above energy efficiency benchmark level in flat glass industry</t>
        </is>
      </c>
      <c r="C128" s="119" t="inlineStr">
        <is>
          <t>reach</t>
        </is>
      </c>
      <c r="D128" s="119" t="inlineStr">
        <is>
          <t>20%</t>
        </is>
      </c>
      <c r="E128" s="119" t="n"/>
      <c r="F128" s="120" t="inlineStr">
        <is>
          <t>2025</t>
        </is>
      </c>
      <c r="G128" s="119" t="inlineStr">
        <is>
          <t>n</t>
        </is>
      </c>
      <c r="H128" s="119" t="inlineStr">
        <is>
          <t>Energy efficiency</t>
        </is>
      </c>
      <c r="I128" s="119" t="inlineStr">
        <is>
          <t>sectors</t>
        </is>
      </c>
      <c r="J128" s="119" t="inlineStr">
        <is>
          <t>By the end of 2025, the proportion of production capacity above the energy efficiency benchmark level in the flat glass industry will reach 20%.</t>
        </is>
      </c>
      <c r="K128" s="119" t="inlineStr">
        <is>
          <t>AP2405.htm</t>
        </is>
      </c>
      <c r="L128" s="119" t="inlineStr">
        <is>
          <t>Industry</t>
        </is>
      </c>
    </row>
    <row r="129" ht="18" customHeight="1" s="235">
      <c r="A129" s="119" t="n">
        <v>2024</v>
      </c>
      <c r="B129" s="119" t="inlineStr">
        <is>
          <t>proportion of production capacity above energy efficiency benchmark level in steel industry</t>
        </is>
      </c>
      <c r="C129" s="119" t="inlineStr">
        <is>
          <t>reach</t>
        </is>
      </c>
      <c r="D129" s="119" t="inlineStr">
        <is>
          <t>30%</t>
        </is>
      </c>
      <c r="E129" s="119" t="n"/>
      <c r="F129" s="120" t="inlineStr">
        <is>
          <t>2025</t>
        </is>
      </c>
      <c r="G129" s="119" t="inlineStr">
        <is>
          <t>n</t>
        </is>
      </c>
      <c r="H129" s="119" t="inlineStr">
        <is>
          <t>Energy efficiency</t>
        </is>
      </c>
      <c r="I129" s="119" t="inlineStr">
        <is>
          <t>sectors</t>
        </is>
      </c>
      <c r="J129" s="119" t="inlineStr">
        <is>
          <t>By the end of 2025, the proportion of production capacity above the energy efficiency benchmark level in the steel industry will reach 30%.</t>
        </is>
      </c>
      <c r="K129" s="119" t="inlineStr">
        <is>
          <t>AP2405.htm</t>
        </is>
      </c>
      <c r="L129" s="119" t="inlineStr">
        <is>
          <t>Industry</t>
        </is>
      </c>
    </row>
    <row r="130" ht="18" customHeight="1" s="235">
      <c r="A130" s="119" t="n">
        <v>2021</v>
      </c>
      <c r="B130" s="119" t="inlineStr">
        <is>
          <t>proportion of production capacity that reaches benchmark levels in key industries such as steel, electrolytic aluminum, cement, flat glass, refining, ethylene, synthetic ammonia, and calcium carbide and data centers</t>
        </is>
      </c>
      <c r="C130" s="119" t="inlineStr">
        <is>
          <t>exceed</t>
        </is>
      </c>
      <c r="D130" s="119" t="inlineStr">
        <is>
          <t>30%</t>
        </is>
      </c>
      <c r="E130" s="119" t="n"/>
      <c r="F130" s="120" t="inlineStr">
        <is>
          <t>2025</t>
        </is>
      </c>
      <c r="G130" s="119" t="inlineStr">
        <is>
          <t>n</t>
        </is>
      </c>
      <c r="H130" s="119" t="inlineStr">
        <is>
          <t>Energy efficiency</t>
        </is>
      </c>
      <c r="I130" s="119" t="inlineStr">
        <is>
          <t>sectors</t>
        </is>
      </c>
      <c r="J130" s="119" t="inlineStr">
        <is>
          <t>By 2025, through the implementation of energy-saving and carbon-reduction actions, the proportion of production capacity that reaches benchmark levels in key industries and data centers such as steel, electrolytic aluminum, cement, flat glass, refining, ethylene, synthetic ammonia, and calcium carbide will exceed 30%, the overall energy efficiency level of the industry will be significantly improved, the carbon emission intensity will be significantly reduced, and the green and low-carbon development capabilities will be significantly enhanced.</t>
        </is>
      </c>
      <c r="K130" s="119" t="inlineStr">
        <is>
          <t>O2102.htm</t>
        </is>
      </c>
      <c r="L130" s="119" t="inlineStr">
        <is>
          <t>Industry</t>
        </is>
      </c>
    </row>
    <row r="131" ht="18" customHeight="1" s="235">
      <c r="A131" s="119" t="n">
        <v>2013</v>
      </c>
      <c r="B131" s="119" t="inlineStr">
        <is>
          <t>proportion of pure low-temperature waste heat power generation in cement production lines</t>
        </is>
      </c>
      <c r="C131" s="119" t="inlineStr">
        <is>
          <t>increase to</t>
        </is>
      </c>
      <c r="D131" s="119" t="inlineStr">
        <is>
          <t>70%</t>
        </is>
      </c>
      <c r="E131" s="119" t="n"/>
      <c r="F131" s="120" t="inlineStr">
        <is>
          <t>2015</t>
        </is>
      </c>
      <c r="G131" s="119" t="inlineStr">
        <is>
          <t>n</t>
        </is>
      </c>
      <c r="H131" s="119" t="inlineStr">
        <is>
          <t>Energy efficiency</t>
        </is>
      </c>
      <c r="I131" s="119" t="inlineStr">
        <is>
          <t>sectors</t>
        </is>
      </c>
      <c r="J131" s="119" t="inlineStr">
        <is>
          <t>By 2015, the proportion of pure low-temperature waste heat power generation in cement production lines will be increased to more than 70%.</t>
        </is>
      </c>
      <c r="K131" s="119" t="inlineStr">
        <is>
          <t>DP1301.htm</t>
        </is>
      </c>
      <c r="L131" s="119" t="inlineStr">
        <is>
          <t>Industry</t>
        </is>
      </c>
    </row>
    <row r="132" ht="18" customHeight="1" s="235">
      <c r="A132" s="119" t="n">
        <v>2024</v>
      </c>
      <c r="B132" s="119" t="inlineStr">
        <is>
          <t>proportion of renewable energy used in electrolytic aluminum</t>
        </is>
      </c>
      <c r="C132" s="119" t="inlineStr">
        <is>
          <t>reach</t>
        </is>
      </c>
      <c r="D132" s="119" t="inlineStr">
        <is>
          <t>more than 30%</t>
        </is>
      </c>
      <c r="E132" s="119" t="n"/>
      <c r="F132" s="120" t="inlineStr">
        <is>
          <t>2030</t>
        </is>
      </c>
      <c r="G132" s="119" t="inlineStr">
        <is>
          <t>n</t>
        </is>
      </c>
      <c r="H132" s="119" t="inlineStr">
        <is>
          <t>Renewable energy</t>
        </is>
      </c>
      <c r="I132" s="119" t="inlineStr">
        <is>
          <t>sectors</t>
        </is>
      </c>
      <c r="J132" s="119" t="inlineStr">
        <is>
          <t>By 2030, the proportion of renewable energy used in electrolytic aluminum will reach more than 30%.</t>
        </is>
      </c>
      <c r="K132" s="119" t="inlineStr">
        <is>
          <t>GO2401.htm</t>
        </is>
      </c>
      <c r="L132" s="119" t="inlineStr">
        <is>
          <t>Industry</t>
        </is>
      </c>
    </row>
    <row r="133" ht="18" customHeight="1" s="235">
      <c r="A133" s="119" t="n">
        <v>2022</v>
      </c>
      <c r="B133" s="119" t="inlineStr">
        <is>
          <t>proportion of renewable energy used in electrolytic aluminum</t>
        </is>
      </c>
      <c r="C133" s="119" t="inlineStr">
        <is>
          <t>reach</t>
        </is>
      </c>
      <c r="D133" s="119" t="inlineStr">
        <is>
          <t>more than 30%</t>
        </is>
      </c>
      <c r="E133" s="119" t="n"/>
      <c r="F133" s="120" t="inlineStr">
        <is>
          <t>15th FYP</t>
        </is>
      </c>
      <c r="G133" s="119" t="inlineStr">
        <is>
          <t>r</t>
        </is>
      </c>
      <c r="H133" s="119" t="inlineStr">
        <is>
          <t>Renewable energy</t>
        </is>
      </c>
      <c r="I133" s="119" t="inlineStr">
        <is>
          <t>sectors</t>
        </is>
      </c>
      <c r="J133" s="119" t="inlineStr">
        <is>
          <t>During the 15th Five-Year Plan period, the energy consumption structure of the non-ferrous metals industry improved significantly, the proportion of renewable energy used in electrolytic aluminum will reach more than 30%, and a green, low-carbon, circular development industrial system will basically be established.</t>
        </is>
      </c>
      <c r="K133" s="119" t="inlineStr">
        <is>
          <t>IP2221.htm</t>
        </is>
      </c>
      <c r="L133" s="119" t="inlineStr">
        <is>
          <t>Industry</t>
        </is>
      </c>
    </row>
    <row r="134" ht="18" customHeight="1" s="235">
      <c r="A134" s="119" t="n">
        <v>2024</v>
      </c>
      <c r="B134" s="119" t="inlineStr">
        <is>
          <t>proportion of renewable energy used in electrolytic aluminum</t>
        </is>
      </c>
      <c r="C134" s="119" t="inlineStr">
        <is>
          <t>reach</t>
        </is>
      </c>
      <c r="D134" s="119" t="inlineStr">
        <is>
          <t>over 30%</t>
        </is>
      </c>
      <c r="E134" s="119" t="n"/>
      <c r="F134" s="120" t="inlineStr">
        <is>
          <t>15th FYP</t>
        </is>
      </c>
      <c r="G134" s="119" t="inlineStr">
        <is>
          <t>r</t>
        </is>
      </c>
      <c r="H134" s="119" t="inlineStr">
        <is>
          <t>Renewable energy</t>
        </is>
      </c>
      <c r="I134" s="119" t="inlineStr">
        <is>
          <t>sectors</t>
        </is>
      </c>
      <c r="J134" s="119" t="inlineStr">
        <is>
          <t>During the "15th Five-Year Plan" period, renewable energy usage in electrolytic aluminum will reaching over 30%.</t>
        </is>
      </c>
      <c r="K134" s="119" t="inlineStr">
        <is>
          <t>HL2401.pdf</t>
        </is>
      </c>
      <c r="L134" s="119" t="inlineStr">
        <is>
          <t>Industry</t>
        </is>
      </c>
    </row>
    <row r="135" ht="18" customHeight="1" s="235">
      <c r="A135" s="119" t="n">
        <v>2023</v>
      </c>
      <c r="B135" s="119" t="inlineStr">
        <is>
          <t>proportion of short-process steelmaking</t>
        </is>
      </c>
      <c r="C135" s="119" t="inlineStr">
        <is>
          <t>reach</t>
        </is>
      </c>
      <c r="D135" s="119" t="inlineStr">
        <is>
          <t>15%</t>
        </is>
      </c>
      <c r="E135" s="119" t="n"/>
      <c r="F135" s="120" t="inlineStr">
        <is>
          <t>2025</t>
        </is>
      </c>
      <c r="G135" s="119" t="inlineStr">
        <is>
          <t>n</t>
        </is>
      </c>
      <c r="H135" s="119" t="inlineStr">
        <is>
          <t>Industrial transformation</t>
        </is>
      </c>
      <c r="I135" s="119" t="inlineStr">
        <is>
          <t>sectors</t>
        </is>
      </c>
      <c r="J135" s="119" t="inlineStr">
        <is>
          <t>By 2025, the proportion of short-process steelmaking output will reach 15%.</t>
        </is>
      </c>
      <c r="K135" s="119" t="inlineStr">
        <is>
          <t>AP2304.htm</t>
        </is>
      </c>
      <c r="L135" s="119" t="inlineStr">
        <is>
          <t>Industry</t>
        </is>
      </c>
    </row>
    <row r="136" ht="18" customHeight="1" s="235">
      <c r="A136" s="119" t="n">
        <v>2024</v>
      </c>
      <c r="B136" s="119" t="inlineStr">
        <is>
          <t>proportion of short-process steelmaking</t>
        </is>
      </c>
      <c r="C136" s="119" t="inlineStr">
        <is>
          <t>reach</t>
        </is>
      </c>
      <c r="D136" s="119" t="inlineStr">
        <is>
          <t>more than 20%</t>
        </is>
      </c>
      <c r="E136" s="119" t="n"/>
      <c r="F136" s="120" t="inlineStr">
        <is>
          <t>2030</t>
        </is>
      </c>
      <c r="G136" s="119" t="inlineStr">
        <is>
          <t>n</t>
        </is>
      </c>
      <c r="H136" s="119" t="inlineStr">
        <is>
          <t>Industrial transformation</t>
        </is>
      </c>
      <c r="I136" s="119" t="inlineStr">
        <is>
          <t>sectors</t>
        </is>
      </c>
      <c r="J136" s="119" t="inlineStr">
        <is>
          <t>By 2030, the proportion of short-process steelmaking will reach more than 20%.</t>
        </is>
      </c>
      <c r="K136" s="119" t="inlineStr">
        <is>
          <t>GO2401.htm</t>
        </is>
      </c>
      <c r="L136" s="119" t="inlineStr">
        <is>
          <t>Industry</t>
        </is>
      </c>
    </row>
    <row r="137" ht="18" customHeight="1" s="235">
      <c r="A137" s="119" t="n">
        <v>2024</v>
      </c>
      <c r="B137" s="119" t="inlineStr">
        <is>
          <t>proportion of short-process steelmaking</t>
        </is>
      </c>
      <c r="C137" s="119" t="inlineStr">
        <is>
          <t>account for</t>
        </is>
      </c>
      <c r="D137" s="119" t="inlineStr">
        <is>
          <t>15%</t>
        </is>
      </c>
      <c r="E137" s="119" t="n"/>
      <c r="F137" s="120" t="inlineStr">
        <is>
          <t>2025</t>
        </is>
      </c>
      <c r="G137" s="119" t="inlineStr">
        <is>
          <t>r</t>
        </is>
      </c>
      <c r="H137" s="119" t="inlineStr">
        <is>
          <t>Industrial transformation</t>
        </is>
      </c>
      <c r="I137" s="119" t="inlineStr">
        <is>
          <t>sectors</t>
        </is>
      </c>
      <c r="J137" s="119" t="inlineStr">
        <is>
          <t>by 2025, short-process steelmaking will account for over 15%</t>
        </is>
      </c>
      <c r="K137" s="119" t="inlineStr">
        <is>
          <t>HL2401.pdf</t>
        </is>
      </c>
      <c r="L137" s="119" t="inlineStr">
        <is>
          <t>Industry</t>
        </is>
      </c>
    </row>
    <row r="138" ht="18" customHeight="1" s="235">
      <c r="A138" s="119" t="n">
        <v>2024</v>
      </c>
      <c r="B138" s="119" t="inlineStr">
        <is>
          <t>proportion of short-process steel-making</t>
        </is>
      </c>
      <c r="C138" s="119" t="inlineStr">
        <is>
          <t>account for</t>
        </is>
      </c>
      <c r="D138" s="119" t="inlineStr">
        <is>
          <t>20%</t>
        </is>
      </c>
      <c r="E138" s="119" t="n"/>
      <c r="F138" s="120" t="inlineStr">
        <is>
          <t>2030</t>
        </is>
      </c>
      <c r="G138" s="119" t="inlineStr">
        <is>
          <t>r</t>
        </is>
      </c>
      <c r="H138" s="119" t="inlineStr">
        <is>
          <t>Industrial transformation</t>
        </is>
      </c>
      <c r="I138" s="119" t="inlineStr">
        <is>
          <t>sectors</t>
        </is>
      </c>
      <c r="J138" s="119" t="inlineStr">
        <is>
          <t>by 2030, short-process steel-making will account for over 20%.</t>
        </is>
      </c>
      <c r="K138" s="119" t="inlineStr">
        <is>
          <t>HL2401.pdf</t>
        </is>
      </c>
      <c r="L138" s="119" t="inlineStr">
        <is>
          <t>Industry</t>
        </is>
      </c>
    </row>
    <row r="139" ht="18" customHeight="1" s="235">
      <c r="A139" s="119" t="n">
        <v>2021</v>
      </c>
      <c r="B139" s="119" t="inlineStr">
        <is>
          <t>proportion of solvent-based industrial coatings</t>
        </is>
      </c>
      <c r="C139" s="119" t="inlineStr">
        <is>
          <t>reduce by</t>
        </is>
      </c>
      <c r="D139" s="119" t="inlineStr">
        <is>
          <t>20  percentage points</t>
        </is>
      </c>
      <c r="E139" s="119" t="n">
        <v>2020</v>
      </c>
      <c r="F139" s="120" t="inlineStr">
        <is>
          <t>2025</t>
        </is>
      </c>
      <c r="G139" s="119" t="inlineStr">
        <is>
          <t>n</t>
        </is>
      </c>
      <c r="H139" s="119" t="inlineStr">
        <is>
          <t>Pollution control</t>
        </is>
      </c>
      <c r="I139" s="119" t="inlineStr">
        <is>
          <t>sectors</t>
        </is>
      </c>
      <c r="J139" s="119" t="inlineStr">
        <is>
          <t>By 2025, the proportion of solvent-based industrial coatings used will be reduced by 20 percentage points.</t>
        </is>
      </c>
      <c r="K139" s="119" t="inlineStr">
        <is>
          <t>FYP2107.htm</t>
        </is>
      </c>
      <c r="L139" s="119" t="inlineStr">
        <is>
          <t>Industry</t>
        </is>
      </c>
    </row>
    <row r="140" ht="18" customHeight="1" s="235">
      <c r="A140" s="119" t="n">
        <v>2021</v>
      </c>
      <c r="B140" s="119" t="inlineStr">
        <is>
          <t>proportion of solvent-based inks used</t>
        </is>
      </c>
      <c r="C140" s="119" t="inlineStr">
        <is>
          <t>reduce by</t>
        </is>
      </c>
      <c r="D140" s="119" t="inlineStr">
        <is>
          <t>10  percentage points</t>
        </is>
      </c>
      <c r="E140" s="119" t="n">
        <v>2020</v>
      </c>
      <c r="F140" s="120" t="inlineStr">
        <is>
          <t>2025</t>
        </is>
      </c>
      <c r="G140" s="119" t="inlineStr">
        <is>
          <t>n</t>
        </is>
      </c>
      <c r="H140" s="119" t="inlineStr">
        <is>
          <t>Pollution control</t>
        </is>
      </c>
      <c r="I140" s="119" t="inlineStr">
        <is>
          <t>sectors</t>
        </is>
      </c>
      <c r="J140" s="119" t="inlineStr">
        <is>
          <t>By 2025, the proportion of solvent-based inks used will be reduced by 10 percentage points.</t>
        </is>
      </c>
      <c r="K140" s="119" t="inlineStr">
        <is>
          <t>FYP2107.htm</t>
        </is>
      </c>
      <c r="L140" s="119" t="inlineStr">
        <is>
          <t>Industry</t>
        </is>
      </c>
    </row>
    <row r="141" ht="18" customHeight="1" s="235">
      <c r="A141" s="119" t="n">
        <v>2013</v>
      </c>
      <c r="B141" s="119" t="inlineStr">
        <is>
          <t>proportion of waste heat power generation in glass production lines</t>
        </is>
      </c>
      <c r="C141" s="119" t="inlineStr">
        <is>
          <t>increase to</t>
        </is>
      </c>
      <c r="D141" s="119" t="inlineStr">
        <is>
          <t>30%</t>
        </is>
      </c>
      <c r="E141" s="119" t="n"/>
      <c r="F141" s="120" t="inlineStr">
        <is>
          <t>2015</t>
        </is>
      </c>
      <c r="G141" s="119" t="inlineStr">
        <is>
          <t>n</t>
        </is>
      </c>
      <c r="H141" s="119" t="inlineStr">
        <is>
          <t>Energy efficiency</t>
        </is>
      </c>
      <c r="I141" s="119" t="inlineStr">
        <is>
          <t>sectors</t>
        </is>
      </c>
      <c r="J141" s="119" t="inlineStr">
        <is>
          <t>By 2015, the proportion of waste heat power generation in glass production lines will be increased to more than 30%.</t>
        </is>
      </c>
      <c r="K141" s="119" t="inlineStr">
        <is>
          <t>DP1301.htm</t>
        </is>
      </c>
      <c r="L141" s="119" t="inlineStr">
        <is>
          <t>Industry</t>
        </is>
      </c>
    </row>
    <row r="142" ht="18" customHeight="1" s="235">
      <c r="A142" s="0" t="n">
        <v>2026</v>
      </c>
      <c r="B142" s="0" t="inlineStr">
        <is>
          <t>reduction in water consumption per unit of industrial value added</t>
        </is>
      </c>
      <c r="C142" s="0" t="inlineStr">
        <is>
          <t>reduce by</t>
        </is>
      </c>
      <c r="D142" s="0" t="inlineStr">
        <is>
          <t>10% (cumulative over 5 years)</t>
        </is>
      </c>
      <c r="F142" s="0" t="n">
        <v>2030</v>
      </c>
      <c r="G142" s="0" t="inlineStr">
        <is>
          <t>n</t>
        </is>
      </c>
      <c r="H142" s="0" t="inlineStr">
        <is>
          <t>Resource efficiency</t>
        </is>
      </c>
      <c r="I142" s="0" t="inlineStr">
        <is>
          <t>sectors</t>
        </is>
      </c>
      <c r="J142" s="0" t="inlineStr">
        <is>
          <t>Column 1: Reduction in water consumption per unit of industrial value added (%), 10 (cumulative over 5 years).</t>
        </is>
      </c>
      <c r="K142" s="0" t="inlineStr">
        <is>
          <t>FYP2605.htm</t>
        </is>
      </c>
      <c r="L142" s="0" t="inlineStr">
        <is>
          <t>Industry</t>
        </is>
      </c>
    </row>
    <row r="143" ht="18" customHeight="1" s="235">
      <c r="A143" s="119" t="n">
        <v>2016</v>
      </c>
      <c r="B143" s="119" t="inlineStr">
        <is>
          <t>self-sufficiency rate for major key materials</t>
        </is>
      </c>
      <c r="C143" s="119" t="inlineStr">
        <is>
          <t>achieve</t>
        </is>
      </c>
      <c r="D143" s="119" t="inlineStr">
        <is>
          <t>70%</t>
        </is>
      </c>
      <c r="E143" s="119" t="n"/>
      <c r="F143" s="120" t="inlineStr">
        <is>
          <t>2020</t>
        </is>
      </c>
      <c r="G143" s="119" t="inlineStr">
        <is>
          <t>n</t>
        </is>
      </c>
      <c r="H143" s="119" t="inlineStr">
        <is>
          <t>Industrial transformation</t>
        </is>
      </c>
      <c r="I143" s="119" t="inlineStr">
        <is>
          <t>unclear</t>
        </is>
      </c>
      <c r="J143" s="119" t="inlineStr">
        <is>
          <t>By 2020, we will strive to have a number of new materials enter the global supply chain, achieve a self-sufficiency rate of over 70% for major key materials, and initially realize my country's strategic transformation from a major materials country to a strong materials country.</t>
        </is>
      </c>
      <c r="K143" s="119" t="inlineStr">
        <is>
          <t>FYP1613.htm</t>
        </is>
      </c>
      <c r="L143" s="119" t="inlineStr">
        <is>
          <t>Industry</t>
        </is>
      </c>
    </row>
    <row r="144" ht="18" customHeight="1" s="235">
      <c r="A144" s="119" t="n">
        <v>2014</v>
      </c>
      <c r="B144" s="119" t="inlineStr">
        <is>
          <t>share of advanced and efficient boilers</t>
        </is>
      </c>
      <c r="C144" s="119" t="inlineStr">
        <is>
          <t>reach</t>
        </is>
      </c>
      <c r="D144" s="119" t="inlineStr">
        <is>
          <t>50%</t>
        </is>
      </c>
      <c r="E144" s="119" t="n"/>
      <c r="F144" s="120" t="inlineStr">
        <is>
          <t>2020</t>
        </is>
      </c>
      <c r="G144" s="119" t="inlineStr">
        <is>
          <t>n</t>
        </is>
      </c>
      <c r="H144" s="119" t="inlineStr">
        <is>
          <t>Energy efficiency</t>
        </is>
      </c>
      <c r="I144" s="119" t="inlineStr">
        <is>
          <t>unclear</t>
        </is>
      </c>
      <c r="J144" s="119" t="inlineStr">
        <is>
          <t>By 2020, the existing inefficient furnaces and kilns that do not meet emission standards will be basically eliminated or upgraded, and advanced and efficient boilers will account for more than 50%.</t>
        </is>
      </c>
      <c r="K144" s="119" t="inlineStr">
        <is>
          <t>O1401.htm</t>
        </is>
      </c>
      <c r="L144" s="119" t="inlineStr">
        <is>
          <t>Industry</t>
        </is>
      </c>
    </row>
    <row r="145" ht="18" customHeight="1" s="235">
      <c r="A145" s="119" t="n">
        <v>2024</v>
      </c>
      <c r="B145" s="119" t="inlineStr">
        <is>
          <t>share of key energy-consuming units covered by energy-saving supervision</t>
        </is>
      </c>
      <c r="C145" s="119" t="inlineStr">
        <is>
          <t>reach</t>
        </is>
      </c>
      <c r="D145" s="119" t="inlineStr">
        <is>
          <t>60%</t>
        </is>
      </c>
      <c r="E145" s="119" t="n"/>
      <c r="F145" s="120" t="inlineStr">
        <is>
          <t>2024</t>
        </is>
      </c>
      <c r="G145" s="119" t="inlineStr">
        <is>
          <t>n</t>
        </is>
      </c>
      <c r="H145" s="119" t="inlineStr">
        <is>
          <t>Energy saving</t>
        </is>
      </c>
      <c r="I145" s="119" t="inlineStr">
        <is>
          <t>enterprises</t>
        </is>
      </c>
      <c r="J145" s="119" t="inlineStr">
        <is>
          <t>By the end of 2024, all regions will complete energy-saving supervision of more than 60% of key energy-consuming units.</t>
        </is>
      </c>
      <c r="K145" s="119" t="inlineStr">
        <is>
          <t>AP2405.htm</t>
        </is>
      </c>
      <c r="L145" s="119" t="inlineStr">
        <is>
          <t>Industry</t>
        </is>
      </c>
    </row>
    <row r="146" ht="18" customHeight="1" s="235">
      <c r="A146" s="119" t="n">
        <v>2024</v>
      </c>
      <c r="B146" s="119" t="inlineStr">
        <is>
          <t>share of manufacturing output generated by green factories</t>
        </is>
      </c>
      <c r="C146" s="119" t="inlineStr">
        <is>
          <t>account for</t>
        </is>
      </c>
      <c r="D146" s="119" t="inlineStr">
        <is>
          <t>40%</t>
        </is>
      </c>
      <c r="E146" s="119" t="n"/>
      <c r="F146" s="120" t="inlineStr">
        <is>
          <t>2030</t>
        </is>
      </c>
      <c r="G146" s="119" t="inlineStr">
        <is>
          <t>n</t>
        </is>
      </c>
      <c r="H146" s="119" t="inlineStr">
        <is>
          <t>Production-oriented</t>
        </is>
      </c>
      <c r="I146" s="119" t="inlineStr">
        <is>
          <t>sectors</t>
        </is>
      </c>
      <c r="J146" s="119" t="inlineStr">
        <is>
          <t>By 2030, the output value of green factories at all levels will account for more than 40% of the total output value of the manufacturing industry.</t>
        </is>
      </c>
      <c r="K146" s="119" t="inlineStr">
        <is>
          <t>GO2401.htm</t>
        </is>
      </c>
      <c r="L146" s="119" t="inlineStr">
        <is>
          <t>Industry</t>
        </is>
      </c>
    </row>
    <row r="147" ht="18" customHeight="1" s="235">
      <c r="A147" s="0" t="n">
        <v>2026</v>
      </c>
      <c r="B147" s="0" t="inlineStr">
        <is>
          <t>share of output value of green factories in total manufacturing output</t>
        </is>
      </c>
      <c r="C147" s="0" t="inlineStr">
        <is>
          <t>reach</t>
        </is>
      </c>
      <c r="D147" s="0" t="inlineStr">
        <is>
          <t>45%</t>
        </is>
      </c>
      <c r="E147" s="0" t="inlineStr">
        <is>
          <t>30% (2025)</t>
        </is>
      </c>
      <c r="F147" s="0" t="n">
        <v>2030</v>
      </c>
      <c r="G147" s="0" t="inlineStr">
        <is>
          <t>s/l-POS</t>
        </is>
      </c>
      <c r="H147" s="0" t="inlineStr">
        <is>
          <t>Production-oriented</t>
        </is>
      </c>
      <c r="I147" s="0" t="inlineStr">
        <is>
          <t>sectors</t>
        </is>
      </c>
      <c r="J147" s="0" t="inlineStr">
        <is>
          <t>Column 1: Share of output value of green factories at all levels in total output of manufacturing industries above designated size (%), 30 in 2025 and 45 in 2030.</t>
        </is>
      </c>
      <c r="K147" s="0" t="inlineStr">
        <is>
          <t>FYP2605.htm</t>
        </is>
      </c>
      <c r="L147" s="0" t="inlineStr">
        <is>
          <t>Industry</t>
        </is>
      </c>
    </row>
    <row r="148" ht="18" customHeight="1" s="235">
      <c r="A148" s="0" t="n">
        <v>2026</v>
      </c>
      <c r="B148" s="0" t="inlineStr">
        <is>
          <t>share of production capacity meeting energy efficiency benchmark levels in key industries</t>
        </is>
      </c>
      <c r="C148" s="0" t="inlineStr">
        <is>
          <t>increase by</t>
        </is>
      </c>
      <c r="D148" s="0" t="inlineStr">
        <is>
          <t>increase by 20 percentage points on average</t>
        </is>
      </c>
      <c r="F148" s="0" t="n">
        <v>2028</v>
      </c>
      <c r="G148" s="0" t="inlineStr">
        <is>
          <t>n</t>
        </is>
      </c>
      <c r="H148" s="0" t="inlineStr">
        <is>
          <t>Energy efficiency</t>
        </is>
      </c>
      <c r="I148" s="0" t="inlineStr">
        <is>
          <t>sectors</t>
        </is>
      </c>
      <c r="J148" s="0" t="inlineStr">
        <is>
          <t>By the end of 2028, the share of production capacity meeting current energy efficiency benchmark levels in key industries including steel, electrolytic aluminum, cement, flat glass, oil refining, ethylene, synthetic ammonia and methanol will increase by 20 percentage points on average, ...</t>
        </is>
      </c>
      <c r="K148" s="0" t="inlineStr">
        <is>
          <t>AP2607.htm</t>
        </is>
      </c>
      <c r="L148" s="0" t="inlineStr">
        <is>
          <t>Industry</t>
        </is>
      </c>
    </row>
    <row r="149" ht="18" customHeight="1" s="235">
      <c r="A149" s="119" t="n">
        <v>2024</v>
      </c>
      <c r="B149" s="119" t="inlineStr">
        <is>
          <t>share of steel production capacity completing ultra-low-emissions transformation</t>
        </is>
      </c>
      <c r="C149" s="119" t="inlineStr">
        <is>
          <t>complete</t>
        </is>
      </c>
      <c r="D149" s="119" t="inlineStr">
        <is>
          <t>80%</t>
        </is>
      </c>
      <c r="E149" s="119" t="n"/>
      <c r="F149" s="120" t="inlineStr">
        <is>
          <t>2025</t>
        </is>
      </c>
      <c r="G149" s="119" t="inlineStr">
        <is>
          <t>r</t>
        </is>
      </c>
      <c r="H149" s="119" t="inlineStr">
        <is>
          <t>Industrial transformation</t>
        </is>
      </c>
      <c r="I149" s="119" t="inlineStr">
        <is>
          <t>whole economy</t>
        </is>
      </c>
      <c r="J149" s="119" t="inlineStr">
        <is>
          <t>By the end of 2025, more than 80% of the country's steel production capacity will complete ultra-low emission transformation.</t>
        </is>
      </c>
      <c r="K149" s="119" t="inlineStr">
        <is>
          <t>AP2405.htm</t>
        </is>
      </c>
      <c r="L149" s="119" t="inlineStr">
        <is>
          <t>Industry</t>
        </is>
      </c>
    </row>
    <row r="150" ht="18" customHeight="1" s="235">
      <c r="A150" s="119" t="n">
        <v>2022</v>
      </c>
      <c r="B150" s="119" t="inlineStr">
        <is>
          <t>share of steel production capacity completing ultra-low-emissions transformation</t>
        </is>
      </c>
      <c r="C150" s="119" t="inlineStr">
        <is>
          <t>transform</t>
        </is>
      </c>
      <c r="D150" s="119" t="inlineStr">
        <is>
          <t>more than 80%</t>
        </is>
      </c>
      <c r="E150" s="119" t="n"/>
      <c r="F150" s="120" t="inlineStr">
        <is>
          <t>2025</t>
        </is>
      </c>
      <c r="G150" s="119" t="inlineStr">
        <is>
          <t>n</t>
        </is>
      </c>
      <c r="H150" s="119" t="inlineStr">
        <is>
          <t>Industrial transformation</t>
        </is>
      </c>
      <c r="I150" s="119" t="inlineStr">
        <is>
          <t>sectors</t>
        </is>
      </c>
      <c r="J150" s="119" t="inlineStr">
        <is>
          <t>By 2025, more than 80% of steel production capacity will undergo ultra-low emission transformation.</t>
        </is>
      </c>
      <c r="K150" s="119" t="inlineStr">
        <is>
          <t>GO2204.htm</t>
        </is>
      </c>
      <c r="L150" s="119" t="inlineStr">
        <is>
          <t>Industry</t>
        </is>
      </c>
    </row>
    <row r="151" ht="18" customHeight="1" s="235">
      <c r="A151" s="119" t="n">
        <v>2023</v>
      </c>
      <c r="B151" s="119" t="inlineStr">
        <is>
          <t>share of steel production capacity completing ultra-low-emissions transformation</t>
        </is>
      </c>
      <c r="C151" s="119" t="inlineStr">
        <is>
          <t>complete</t>
        </is>
      </c>
      <c r="D151" s="119" t="inlineStr">
        <is>
          <t>more than 80%</t>
        </is>
      </c>
      <c r="E151" s="119" t="n"/>
      <c r="F151" s="120" t="inlineStr">
        <is>
          <t>2025</t>
        </is>
      </c>
      <c r="G151" s="119" t="inlineStr">
        <is>
          <t>r</t>
        </is>
      </c>
      <c r="H151" s="119" t="inlineStr">
        <is>
          <t>Industrial transformation</t>
        </is>
      </c>
      <c r="I151" s="119" t="inlineStr">
        <is>
          <t>sectors</t>
        </is>
      </c>
      <c r="J151" s="119" t="inlineStr">
        <is>
          <t>By 2025, more than 80% of the country's steel production capacity will have completed ultra-low emission transformation tasks</t>
        </is>
      </c>
      <c r="K151" s="119" t="inlineStr">
        <is>
          <t>AP2304.htm</t>
        </is>
      </c>
      <c r="L151" s="119" t="inlineStr">
        <is>
          <t>Industry</t>
        </is>
      </c>
    </row>
    <row r="152" ht="18" customHeight="1" s="235">
      <c r="A152" s="119" t="n">
        <v>2013</v>
      </c>
      <c r="B152" s="119" t="inlineStr">
        <is>
          <t>share of waste treated through cement-kiln co-processing</t>
        </is>
      </c>
      <c r="C152" s="119" t="inlineStr">
        <is>
          <t>reach</t>
        </is>
      </c>
      <c r="D152" s="119" t="inlineStr">
        <is>
          <t>10%</t>
        </is>
      </c>
      <c r="E152" s="119" t="n"/>
      <c r="F152" s="120" t="inlineStr">
        <is>
          <t>2015</t>
        </is>
      </c>
      <c r="G152" s="119" t="inlineStr">
        <is>
          <t>n</t>
        </is>
      </c>
      <c r="H152" s="119" t="inlineStr">
        <is>
          <t>Resource efficiency</t>
        </is>
      </c>
      <c r="I152" s="119" t="inlineStr">
        <is>
          <t>sectors</t>
        </is>
      </c>
      <c r="J152" s="119" t="inlineStr">
        <is>
          <t>By 2015, 10% of all waste production lines should be treating their waste through cement kiln co-processing.</t>
        </is>
      </c>
      <c r="K152" s="119" t="inlineStr">
        <is>
          <t>DP1301.htm</t>
        </is>
      </c>
      <c r="L152" s="119" t="inlineStr">
        <is>
          <t>Industry</t>
        </is>
      </c>
    </row>
    <row r="153" ht="18" customHeight="1" s="235">
      <c r="A153" s="119" t="n">
        <v>2014</v>
      </c>
      <c r="B153" s="119" t="inlineStr">
        <is>
          <t>small boilers phase out</t>
        </is>
      </c>
      <c r="C153" s="119" t="inlineStr">
        <is>
          <t>phase out</t>
        </is>
      </c>
      <c r="D153" s="119" t="inlineStr">
        <is>
          <t>50000 boilers</t>
        </is>
      </c>
      <c r="E153" s="119" t="n"/>
      <c r="F153" s="120" t="inlineStr">
        <is>
          <t>2014</t>
        </is>
      </c>
      <c r="G153" s="119" t="inlineStr">
        <is>
          <t>n</t>
        </is>
      </c>
      <c r="H153" s="119" t="inlineStr">
        <is>
          <t>Industrial transformation</t>
        </is>
      </c>
      <c r="I153" s="119" t="inlineStr">
        <is>
          <t>unclear</t>
        </is>
      </c>
      <c r="J153" s="119" t="inlineStr">
        <is>
          <t>phase out 50,000 small boilers in 2014</t>
        </is>
      </c>
      <c r="K153" s="119" t="inlineStr">
        <is>
          <t>AP1404.htm</t>
        </is>
      </c>
      <c r="L153" s="119" t="inlineStr">
        <is>
          <t>Industry</t>
        </is>
      </c>
    </row>
    <row r="154" ht="18" customHeight="1" s="235">
      <c r="A154" s="119" t="n">
        <v>2024</v>
      </c>
      <c r="B154" s="119" t="inlineStr">
        <is>
          <t>standards needed for carbon peak by 2030</t>
        </is>
      </c>
      <c r="C154" s="119" t="inlineStr">
        <is>
          <t>formulate</t>
        </is>
      </c>
      <c r="D154" s="119" t="inlineStr">
        <is>
          <t>500</t>
        </is>
      </c>
      <c r="E154" s="119" t="n"/>
      <c r="F154" s="120" t="inlineStr">
        <is>
          <t>2030</t>
        </is>
      </c>
      <c r="G154" s="119" t="inlineStr">
        <is>
          <t>n</t>
        </is>
      </c>
      <c r="H154" s="119" t="inlineStr">
        <is>
          <t>Industrial transformation</t>
        </is>
      </c>
      <c r="I154" s="119" t="inlineStr">
        <is>
          <t>unclear</t>
        </is>
      </c>
      <c r="J154" s="119" t="inlineStr">
        <is>
          <t>We will give full play to the role of relevant standardization technical organizations, and in accordance with the principles of demand orientation, advanced applicability, and priority for urgent needs, accelerate the formulation of national standards, industry standards, and group standards for carbon emissions basic general, accounting and reporting, low-carbon technologies and equipment, and complete the formulation and revision of more than 500 standards urgently needed for carbon peak by 2030.</t>
        </is>
      </c>
      <c r="K154" s="119" t="inlineStr">
        <is>
          <t>GO2401.htm</t>
        </is>
      </c>
      <c r="L154" s="119" t="inlineStr">
        <is>
          <t>Industry</t>
        </is>
      </c>
    </row>
    <row r="155" ht="18" customHeight="1" s="235">
      <c r="A155" s="119" t="n">
        <v>2016</v>
      </c>
      <c r="B155" s="119" t="inlineStr">
        <is>
          <t>total energy consumption in the steel industry</t>
        </is>
      </c>
      <c r="C155" s="119" t="inlineStr">
        <is>
          <t>reduce by</t>
        </is>
      </c>
      <c r="D155" s="119" t="inlineStr">
        <is>
          <t>more than 10%</t>
        </is>
      </c>
      <c r="E155" s="119" t="n"/>
      <c r="F155" s="120" t="inlineStr">
        <is>
          <t>13th FYP</t>
        </is>
      </c>
      <c r="G155" s="119" t="inlineStr">
        <is>
          <t>n</t>
        </is>
      </c>
      <c r="H155" s="119" t="inlineStr">
        <is>
          <t>Energy efficiency</t>
        </is>
      </c>
      <c r="I155" s="119" t="inlineStr">
        <is>
          <t>sectors</t>
        </is>
      </c>
      <c r="J155" s="119" t="inlineStr">
        <is>
          <t>During the 13th Five-Year Plan period, total energy consumption in the steel industry will decline by more than 10%.</t>
        </is>
      </c>
      <c r="K155" s="119" t="inlineStr">
        <is>
          <t>FYP1626.pdf</t>
        </is>
      </c>
      <c r="L155" s="119" t="inlineStr">
        <is>
          <t>Industry</t>
        </is>
      </c>
    </row>
    <row r="156" ht="18" customHeight="1" s="235">
      <c r="A156" s="119" t="n">
        <v>2013</v>
      </c>
      <c r="B156" s="119" t="inlineStr">
        <is>
          <t>total steel production capacity</t>
        </is>
      </c>
      <c r="C156" s="119" t="inlineStr">
        <is>
          <t>reduce by</t>
        </is>
      </c>
      <c r="D156" s="119" t="inlineStr">
        <is>
          <t>more than 80 million tons</t>
        </is>
      </c>
      <c r="E156" s="119" t="n"/>
      <c r="F156" s="120" t="inlineStr">
        <is>
          <t>2013-2015</t>
        </is>
      </c>
      <c r="G156" s="119" t="inlineStr">
        <is>
          <t>n</t>
        </is>
      </c>
      <c r="H156" s="119" t="inlineStr">
        <is>
          <t>Production-oriented</t>
        </is>
      </c>
      <c r="I156" s="119" t="inlineStr">
        <is>
          <t>sectors</t>
        </is>
      </c>
      <c r="J156" s="119" t="inlineStr">
        <is>
          <t>The total production capacity of the steel industry will be reduced by more than 80 million tons.</t>
        </is>
      </c>
      <c r="K156" s="119" t="inlineStr">
        <is>
          <t>GO1302.htm</t>
        </is>
      </c>
      <c r="L156" s="119" t="inlineStr">
        <is>
          <t>Industry</t>
        </is>
      </c>
    </row>
    <row r="157" ht="18" customHeight="1" s="235">
      <c r="A157" s="119" t="n">
        <v>2024</v>
      </c>
      <c r="B157" s="119" t="inlineStr">
        <is>
          <t>ultra-low emission transformation of cement clinker production capacity in key areas for air pollution control</t>
        </is>
      </c>
      <c r="C157" s="119" t="inlineStr">
        <is>
          <t>transform</t>
        </is>
      </c>
      <c r="D157" s="119" t="inlineStr">
        <is>
          <t>50%</t>
        </is>
      </c>
      <c r="E157" s="119" t="n"/>
      <c r="F157" s="120" t="inlineStr">
        <is>
          <t>2025</t>
        </is>
      </c>
      <c r="G157" s="119" t="inlineStr">
        <is>
          <t>n</t>
        </is>
      </c>
      <c r="H157" s="119" t="inlineStr">
        <is>
          <t>Industrial transformation</t>
        </is>
      </c>
      <c r="I157" s="119" t="inlineStr">
        <is>
          <t>areas</t>
        </is>
      </c>
      <c r="J157" s="119" t="inlineStr">
        <is>
          <t>By the end of 2025, 50% of cement clinker production capacity will be transformed.</t>
        </is>
      </c>
      <c r="K157" s="119" t="inlineStr">
        <is>
          <t>O2406.pdf</t>
        </is>
      </c>
      <c r="L157" s="119" t="inlineStr">
        <is>
          <t>Industry</t>
        </is>
      </c>
    </row>
    <row r="158" ht="18" customHeight="1" s="235">
      <c r="A158" s="119" t="n">
        <v>2024</v>
      </c>
      <c r="B158" s="119" t="inlineStr">
        <is>
          <t>ultra-low emission transformation of cement clinker production capacity in key areas for air pollution control</t>
        </is>
      </c>
      <c r="C158" s="119" t="inlineStr">
        <is>
          <t>complete</t>
        </is>
      </c>
      <c r="D158" s="119" t="inlineStr">
        <is>
          <t>50%</t>
        </is>
      </c>
      <c r="E158" s="119" t="n"/>
      <c r="F158" s="120" t="inlineStr">
        <is>
          <t>2025</t>
        </is>
      </c>
      <c r="G158" s="119" t="inlineStr">
        <is>
          <t>r</t>
        </is>
      </c>
      <c r="H158" s="119" t="inlineStr">
        <is>
          <t>Industrial transformation</t>
        </is>
      </c>
      <c r="I158" s="119" t="inlineStr">
        <is>
          <t>areas</t>
        </is>
      </c>
      <c r="J158" s="119" t="inlineStr">
        <is>
          <t>By the end of 2025, about 50% of cement clinker production capacity in key areas for air pollution control will have completed ultra-low emission transformation.</t>
        </is>
      </c>
      <c r="K158" s="119" t="inlineStr">
        <is>
          <t>AP2405.htm</t>
        </is>
      </c>
      <c r="L158" s="119" t="inlineStr">
        <is>
          <t>Industry</t>
        </is>
      </c>
    </row>
    <row r="159" ht="18" customHeight="1" s="235">
      <c r="A159" s="119" t="n">
        <v>2021</v>
      </c>
      <c r="B159" s="119" t="inlineStr">
        <is>
          <t>ultra-low emission transformation of steel production capacity</t>
        </is>
      </c>
      <c r="C159" s="119" t="inlineStr">
        <is>
          <t>transform</t>
        </is>
      </c>
      <c r="D159" s="119" t="inlineStr">
        <is>
          <t>530 million tons</t>
        </is>
      </c>
      <c r="E159" s="119" t="n"/>
      <c r="F159" s="120" t="inlineStr">
        <is>
          <t>2025</t>
        </is>
      </c>
      <c r="G159" s="119" t="inlineStr">
        <is>
          <t>n</t>
        </is>
      </c>
      <c r="H159" s="119" t="inlineStr">
        <is>
          <t>Industrial transformation</t>
        </is>
      </c>
      <c r="I159" s="119" t="inlineStr">
        <is>
          <t>sectors</t>
        </is>
      </c>
      <c r="J159" s="119" t="inlineStr">
        <is>
          <t>By 2025, 530 million tons of steel production capacity will be transformed into ultra-low emission capacity.</t>
        </is>
      </c>
      <c r="K159" s="119" t="inlineStr">
        <is>
          <t>FYP2101.pdf</t>
        </is>
      </c>
      <c r="L159" s="119" t="inlineStr">
        <is>
          <t>Industry</t>
        </is>
      </c>
    </row>
    <row r="160" ht="18" customHeight="1" s="235">
      <c r="A160" s="119" t="n">
        <v>2021</v>
      </c>
      <c r="B160" s="119" t="inlineStr">
        <is>
          <t>ultra-low emission transformation of steel production capacity</t>
        </is>
      </c>
      <c r="C160" s="119" t="inlineStr">
        <is>
          <t>achieve</t>
        </is>
      </c>
      <c r="D160" s="119" t="inlineStr">
        <is>
          <t>530 million tons of steel</t>
        </is>
      </c>
      <c r="E160" s="119" t="n"/>
      <c r="F160" s="120" t="inlineStr">
        <is>
          <t>2025</t>
        </is>
      </c>
      <c r="G160" s="119" t="inlineStr">
        <is>
          <t>r</t>
        </is>
      </c>
      <c r="H160" s="119" t="inlineStr">
        <is>
          <t>Industrial transformation</t>
        </is>
      </c>
      <c r="I160" s="119" t="inlineStr">
        <is>
          <t>sectors</t>
        </is>
      </c>
      <c r="J160" s="119" t="inlineStr">
        <is>
          <t>By 2025, complete ultra-low emission transformation of 530 million tons of steel production capacity, and fully achieve ultra-low emissions for coal-fired boilers in key areas for air pollution prevention and control.</t>
        </is>
      </c>
      <c r="K160" s="119" t="inlineStr">
        <is>
          <t>FYP2107.htm</t>
        </is>
      </c>
      <c r="L160" s="119" t="inlineStr">
        <is>
          <t>Industry</t>
        </is>
      </c>
    </row>
    <row r="161" ht="18" customHeight="1" s="235">
      <c r="A161" s="119" t="n">
        <v>2013</v>
      </c>
      <c r="B161" s="119" t="inlineStr">
        <is>
          <t>use of concrete with a standard compressive strength of more than 60 Mpa of the total use</t>
        </is>
      </c>
      <c r="C161" s="119" t="inlineStr">
        <is>
          <t>reach</t>
        </is>
      </c>
      <c r="D161" s="119" t="inlineStr">
        <is>
          <t>10%</t>
        </is>
      </c>
      <c r="E161" s="119" t="n"/>
      <c r="F161" s="120" t="inlineStr">
        <is>
          <t>2015</t>
        </is>
      </c>
      <c r="G161" s="119" t="inlineStr">
        <is>
          <t>n</t>
        </is>
      </c>
      <c r="H161" s="119" t="inlineStr">
        <is>
          <t>Industrial transformation</t>
        </is>
      </c>
      <c r="I161" s="119" t="inlineStr">
        <is>
          <t>sectors</t>
        </is>
      </c>
      <c r="J161" s="119" t="inlineStr">
        <is>
          <t>By the end of 2015, the use of concrete with a standard compressive strength of more than 60 MPa will reach 10% of the total use.</t>
        </is>
      </c>
      <c r="K161" s="119" t="inlineStr">
        <is>
          <t>AP1301.htm</t>
        </is>
      </c>
      <c r="L161" s="119" t="inlineStr">
        <is>
          <t>Industry</t>
        </is>
      </c>
    </row>
    <row r="162" ht="18" customHeight="1" s="235">
      <c r="A162" s="119" t="n">
        <v>2013</v>
      </c>
      <c r="B162" s="119" t="inlineStr">
        <is>
          <t>use of hot-rolled ribbed steel bars with a yield strength of more than 400 Mpa</t>
        </is>
      </c>
      <c r="C162" s="119" t="inlineStr">
        <is>
          <t>reach</t>
        </is>
      </c>
      <c r="D162" s="119" t="inlineStr">
        <is>
          <t>45%</t>
        </is>
      </c>
      <c r="E162" s="119" t="n"/>
      <c r="F162" s="120" t="inlineStr">
        <is>
          <t>2015</t>
        </is>
      </c>
      <c r="G162" s="119" t="inlineStr">
        <is>
          <t>n</t>
        </is>
      </c>
      <c r="H162" s="119" t="inlineStr">
        <is>
          <t>Industrial transformation</t>
        </is>
      </c>
      <c r="I162" s="119" t="inlineStr">
        <is>
          <t>sectors</t>
        </is>
      </c>
      <c r="J162" s="119" t="inlineStr">
        <is>
          <t>By the end of 2015, the use of hot-rolled ribbed steel bars with a yield strength of more than 400 MPa will reach 45% of the total use.</t>
        </is>
      </c>
      <c r="K162" s="119" t="inlineStr">
        <is>
          <t>AP1301.htm</t>
        </is>
      </c>
      <c r="L162" s="119" t="inlineStr">
        <is>
          <t>Industry</t>
        </is>
      </c>
    </row>
    <row r="163" ht="18" customHeight="1" s="235">
      <c r="A163" s="119" t="n">
        <v>2016</v>
      </c>
      <c r="B163" s="119" t="inlineStr">
        <is>
          <t>use of mercury in key industries</t>
        </is>
      </c>
      <c r="C163" s="119" t="inlineStr">
        <is>
          <t>reduce by</t>
        </is>
      </c>
      <c r="D163" s="119" t="inlineStr">
        <is>
          <t>280  tons/year</t>
        </is>
      </c>
      <c r="E163" s="119" t="n">
        <v>2015</v>
      </c>
      <c r="F163" s="120" t="inlineStr">
        <is>
          <t>2020</t>
        </is>
      </c>
      <c r="G163" s="119" t="inlineStr">
        <is>
          <t>n</t>
        </is>
      </c>
      <c r="H163" s="119" t="inlineStr">
        <is>
          <t>Industrial transformation</t>
        </is>
      </c>
      <c r="I163" s="119" t="inlineStr">
        <is>
          <t>sectors</t>
        </is>
      </c>
      <c r="J163" s="119" t="inlineStr">
        <is>
          <t>By 2020, the use of mercury will be reduced by 280 tons/year.</t>
        </is>
      </c>
      <c r="K163" s="119" t="inlineStr">
        <is>
          <t>DP1601.htm</t>
        </is>
      </c>
      <c r="L163" s="119" t="inlineStr">
        <is>
          <t>Industry</t>
        </is>
      </c>
    </row>
    <row r="164" ht="18" customHeight="1" s="235">
      <c r="A164" s="119" t="n">
        <v>2021</v>
      </c>
      <c r="B164" s="119" t="inlineStr">
        <is>
          <t>use of solvent-based adhesives</t>
        </is>
      </c>
      <c r="C164" s="119" t="inlineStr">
        <is>
          <t>reduce by</t>
        </is>
      </c>
      <c r="D164" s="119" t="inlineStr">
        <is>
          <t>20%</t>
        </is>
      </c>
      <c r="E164" s="119" t="n">
        <v>2020</v>
      </c>
      <c r="F164" s="120" t="inlineStr">
        <is>
          <t>2025</t>
        </is>
      </c>
      <c r="G164" s="119" t="inlineStr">
        <is>
          <t>n</t>
        </is>
      </c>
      <c r="H164" s="119" t="inlineStr">
        <is>
          <t>Pollution control</t>
        </is>
      </c>
      <c r="I164" s="119" t="inlineStr">
        <is>
          <t>sectors</t>
        </is>
      </c>
      <c r="J164" s="119" t="inlineStr">
        <is>
          <t>By 2025, the use of solvent-based adhesives will be reduced by 20%.</t>
        </is>
      </c>
      <c r="K164" s="119" t="inlineStr">
        <is>
          <t>FYP2107.htm</t>
        </is>
      </c>
      <c r="L164" s="119" t="inlineStr">
        <is>
          <t>Industry</t>
        </is>
      </c>
    </row>
    <row r="165" ht="18" customHeight="1" s="235">
      <c r="A165" s="119" t="n">
        <v>2013</v>
      </c>
      <c r="B165" s="119" t="inlineStr">
        <is>
          <t xml:space="preserve">utilization rate of desulfurized gypsum </t>
        </is>
      </c>
      <c r="C165" s="119" t="inlineStr">
        <is>
          <t>reach</t>
        </is>
      </c>
      <c r="D165" s="119" t="inlineStr">
        <is>
          <t>80%</t>
        </is>
      </c>
      <c r="E165" s="119" t="n"/>
      <c r="F165" s="120" t="inlineStr">
        <is>
          <t>2015</t>
        </is>
      </c>
      <c r="G165" s="119" t="inlineStr">
        <is>
          <t>n</t>
        </is>
      </c>
      <c r="H165" s="119" t="inlineStr">
        <is>
          <t>Recycling</t>
        </is>
      </c>
      <c r="I165" s="119" t="inlineStr">
        <is>
          <t>sectors</t>
        </is>
      </c>
      <c r="J165" s="119" t="inlineStr">
        <is>
          <t>By 2015, the comprehensive utilization rate of desulfurized gypsum will reach 80%.</t>
        </is>
      </c>
      <c r="K165" s="119" t="inlineStr">
        <is>
          <t>DP1301.htm</t>
        </is>
      </c>
      <c r="L165" s="119" t="inlineStr">
        <is>
          <t>Industry</t>
        </is>
      </c>
    </row>
    <row r="166" ht="18" customHeight="1" s="235">
      <c r="A166" s="119" t="n">
        <v>2013</v>
      </c>
      <c r="B166" s="119" t="inlineStr">
        <is>
          <t xml:space="preserve">utilization rate of red mud    </t>
        </is>
      </c>
      <c r="C166" s="119" t="inlineStr">
        <is>
          <t>reach</t>
        </is>
      </c>
      <c r="D166" s="119" t="inlineStr">
        <is>
          <t>20%</t>
        </is>
      </c>
      <c r="E166" s="119" t="n"/>
      <c r="F166" s="120" t="inlineStr">
        <is>
          <t>2015</t>
        </is>
      </c>
      <c r="G166" s="119" t="inlineStr">
        <is>
          <t>n</t>
        </is>
      </c>
      <c r="H166" s="119" t="inlineStr">
        <is>
          <t>Recycling</t>
        </is>
      </c>
      <c r="I166" s="119" t="inlineStr">
        <is>
          <t>sectors</t>
        </is>
      </c>
      <c r="J166" s="119" t="inlineStr">
        <is>
          <t>By 2015, the comprehensive utilization rate of red mud will reach 20%.</t>
        </is>
      </c>
      <c r="K166" s="119" t="inlineStr">
        <is>
          <t>DP1301.htm</t>
        </is>
      </c>
      <c r="L166" s="119" t="inlineStr">
        <is>
          <t>Industry</t>
        </is>
      </c>
    </row>
    <row r="167" ht="18" customHeight="1" s="235">
      <c r="A167" s="119" t="n">
        <v>2013</v>
      </c>
      <c r="B167" s="119" t="inlineStr">
        <is>
          <t xml:space="preserve">water consumption per ton of steel  </t>
        </is>
      </c>
      <c r="C167" s="119" t="inlineStr">
        <is>
          <t>reduce to</t>
        </is>
      </c>
      <c r="D167" s="119" t="inlineStr">
        <is>
          <t>4  cubic meters</t>
        </is>
      </c>
      <c r="E167" s="119" t="n"/>
      <c r="F167" s="120" t="inlineStr">
        <is>
          <t>2015</t>
        </is>
      </c>
      <c r="G167" s="119" t="inlineStr">
        <is>
          <t>n</t>
        </is>
      </c>
      <c r="H167" s="119" t="inlineStr">
        <is>
          <t>Resource efficiency</t>
        </is>
      </c>
      <c r="I167" s="119" t="inlineStr">
        <is>
          <t>sectors</t>
        </is>
      </c>
      <c r="J167" s="119" t="inlineStr">
        <is>
          <t>By 2015, the water consumption per ton of steel will be reduced to 4 cubic meters.</t>
        </is>
      </c>
      <c r="K167" s="119" t="inlineStr">
        <is>
          <t>DP1301.htm</t>
        </is>
      </c>
      <c r="L167" s="119" t="inlineStr">
        <is>
          <t>Industry</t>
        </is>
      </c>
    </row>
    <row r="168" ht="18" customHeight="1" s="235">
      <c r="A168" s="119" t="n">
        <v>2024</v>
      </c>
      <c r="B168" s="119" t="inlineStr">
        <is>
          <t>water consumption per unit of GDP</t>
        </is>
      </c>
      <c r="C168" s="119" t="inlineStr">
        <is>
          <t>reduce by</t>
        </is>
      </c>
      <c r="D168" s="119" t="inlineStr">
        <is>
          <t>16%</t>
        </is>
      </c>
      <c r="E168" s="119" t="n">
        <v>2020</v>
      </c>
      <c r="F168" s="120" t="inlineStr">
        <is>
          <t>2025</t>
        </is>
      </c>
      <c r="G168" s="119" t="inlineStr">
        <is>
          <t>n</t>
        </is>
      </c>
      <c r="H168" s="119" t="inlineStr">
        <is>
          <t>Resource efficiency</t>
        </is>
      </c>
      <c r="I168" s="119" t="inlineStr">
        <is>
          <t>sectors</t>
        </is>
      </c>
      <c r="J168" s="119" t="inlineStr">
        <is>
          <t>By 2025, water consumption per RMB 10,000 of GDP and per RMB 10,000 of industrial value added will be reduced by approximately 16% compared to 2020 levels</t>
        </is>
      </c>
      <c r="K168" s="119" t="inlineStr">
        <is>
          <t>HL2401.pdf</t>
        </is>
      </c>
      <c r="L168" s="119" t="inlineStr">
        <is>
          <t>Industry</t>
        </is>
      </c>
    </row>
    <row r="169" ht="18" customHeight="1" s="235">
      <c r="A169" s="119" t="n">
        <v>2024</v>
      </c>
      <c r="B169" s="119" t="inlineStr">
        <is>
          <t>water consumption per unit of industrial value added</t>
        </is>
      </c>
      <c r="C169" s="119" t="inlineStr">
        <is>
          <t>reduce by</t>
        </is>
      </c>
      <c r="D169" s="119" t="inlineStr">
        <is>
          <t>16%</t>
        </is>
      </c>
      <c r="E169" s="119" t="n">
        <v>2020</v>
      </c>
      <c r="F169" s="120" t="inlineStr">
        <is>
          <t>2025</t>
        </is>
      </c>
      <c r="G169" s="119" t="inlineStr">
        <is>
          <t>n</t>
        </is>
      </c>
      <c r="H169" s="119" t="inlineStr">
        <is>
          <t>Resource efficiency</t>
        </is>
      </c>
      <c r="I169" s="119" t="inlineStr">
        <is>
          <t>sectors</t>
        </is>
      </c>
      <c r="J169" s="119" t="inlineStr">
        <is>
          <t>By 2025, water consumption per RMB 10,000 of GDP and per RMB 10,000 of industrial value added will be reduced by approximately 16% compared to 2020 levels</t>
        </is>
      </c>
      <c r="K169" s="119" t="inlineStr">
        <is>
          <t>HL2401.pdf</t>
        </is>
      </c>
      <c r="L169" s="119" t="inlineStr">
        <is>
          <t>Industry</t>
        </is>
      </c>
    </row>
    <row r="170" ht="18" customHeight="1" s="235">
      <c r="A170" s="119" t="n">
        <v>2015</v>
      </c>
      <c r="B170" s="119" t="inlineStr">
        <is>
          <t>water consumption per unit of industrial value added</t>
        </is>
      </c>
      <c r="C170" s="119" t="inlineStr">
        <is>
          <t>reduce to</t>
        </is>
      </c>
      <c r="D170" s="119" t="inlineStr">
        <is>
          <t>65 cubic meters</t>
        </is>
      </c>
      <c r="E170" s="119" t="n"/>
      <c r="F170" s="120" t="inlineStr">
        <is>
          <t>2020</t>
        </is>
      </c>
      <c r="G170" s="119" t="inlineStr">
        <is>
          <t>n</t>
        </is>
      </c>
      <c r="H170" s="119" t="inlineStr">
        <is>
          <t>Resource efficiency</t>
        </is>
      </c>
      <c r="I170" s="119" t="inlineStr">
        <is>
          <t>sectors</t>
        </is>
      </c>
      <c r="J170" s="119" t="inlineStr">
        <is>
          <t>By 2020, the water consumption per 10,000 yuan of industrial value added will be reduced to below 65 cubic meters.</t>
        </is>
      </c>
      <c r="K170" s="119" t="inlineStr">
        <is>
          <t>HL1503.htm</t>
        </is>
      </c>
      <c r="L170" s="119" t="inlineStr">
        <is>
          <t>Industry</t>
        </is>
      </c>
    </row>
    <row r="171" ht="18" customHeight="1" s="235">
      <c r="A171" s="119" t="n">
        <v>2019</v>
      </c>
      <c r="B171" s="119" t="inlineStr">
        <is>
          <t>water consumption per unit of industrial value added</t>
        </is>
      </c>
      <c r="C171" s="119" t="inlineStr">
        <is>
          <t>reduce to</t>
        </is>
      </c>
      <c r="D171" s="119" t="inlineStr">
        <is>
          <t>65  m3</t>
        </is>
      </c>
      <c r="E171" s="119" t="n"/>
      <c r="F171" s="120" t="inlineStr">
        <is>
          <t>2020</t>
        </is>
      </c>
      <c r="G171" s="119" t="inlineStr">
        <is>
          <t>r</t>
        </is>
      </c>
      <c r="H171" s="119" t="inlineStr">
        <is>
          <t>Resource efficiency</t>
        </is>
      </c>
      <c r="I171" s="119" t="inlineStr">
        <is>
          <t>sectors</t>
        </is>
      </c>
      <c r="J171" s="119" t="inlineStr">
        <is>
          <t>By 2020, water consumption per ten thousand Yuan of industrial value added will fall to 65 m3.</t>
        </is>
      </c>
      <c r="K171" s="119" t="inlineStr">
        <is>
          <t>HL1902.pdf</t>
        </is>
      </c>
      <c r="L171" s="119" t="inlineStr">
        <is>
          <t>Industry</t>
        </is>
      </c>
    </row>
    <row r="172" ht="18" customHeight="1" s="235">
      <c r="A172" s="119" t="n">
        <v>2013</v>
      </c>
      <c r="B172" s="119" t="inlineStr">
        <is>
          <t>water consumption per unit of industrial value added</t>
        </is>
      </c>
      <c r="C172" s="119" t="inlineStr">
        <is>
          <t>reduce by</t>
        </is>
      </c>
      <c r="D172" s="119" t="inlineStr">
        <is>
          <t>30%</t>
        </is>
      </c>
      <c r="E172" s="119" t="n">
        <v>2010</v>
      </c>
      <c r="F172" s="120" t="inlineStr">
        <is>
          <t>2015</t>
        </is>
      </c>
      <c r="G172" s="119" t="inlineStr">
        <is>
          <t>n</t>
        </is>
      </c>
      <c r="H172" s="119" t="inlineStr">
        <is>
          <t>Resource efficiency</t>
        </is>
      </c>
      <c r="I172" s="119" t="inlineStr">
        <is>
          <t>sectors</t>
        </is>
      </c>
      <c r="J172" s="119" t="inlineStr">
        <is>
          <t>By 2015, water consumption per unit of industrial value added will decrease by 30% compared with 2010.</t>
        </is>
      </c>
      <c r="K172" s="119" t="inlineStr">
        <is>
          <t>DP1301.htm</t>
        </is>
      </c>
      <c r="L172" s="119" t="inlineStr">
        <is>
          <t>Industry</t>
        </is>
      </c>
    </row>
    <row r="173" ht="18" customHeight="1" s="235">
      <c r="A173" s="119" t="n">
        <v>2013</v>
      </c>
      <c r="B173" s="119" t="inlineStr">
        <is>
          <t>water consumption per unit of industrial value added in food industry</t>
        </is>
      </c>
      <c r="C173" s="119" t="inlineStr">
        <is>
          <t>reduce by</t>
        </is>
      </c>
      <c r="D173" s="119" t="inlineStr">
        <is>
          <t>30%</t>
        </is>
      </c>
      <c r="E173" s="119" t="n">
        <v>2010</v>
      </c>
      <c r="F173" s="120" t="inlineStr">
        <is>
          <t>2015</t>
        </is>
      </c>
      <c r="G173" s="119" t="inlineStr">
        <is>
          <t>n</t>
        </is>
      </c>
      <c r="H173" s="119" t="inlineStr">
        <is>
          <t>Resource efficiency</t>
        </is>
      </c>
      <c r="I173" s="119" t="inlineStr">
        <is>
          <t>sectors</t>
        </is>
      </c>
      <c r="J173" s="119" t="inlineStr">
        <is>
          <t>By 2015, the water consumption per unit of industrial value added in the food industry will decrease by 30% compared with 2010.</t>
        </is>
      </c>
      <c r="K173" s="119" t="inlineStr">
        <is>
          <t>DP1301.htm</t>
        </is>
      </c>
      <c r="L173" s="119" t="inlineStr">
        <is>
          <t>Industry</t>
        </is>
      </c>
    </row>
    <row r="174" ht="18" customHeight="1" s="235">
      <c r="A174" s="119" t="n">
        <v>2013</v>
      </c>
      <c r="B174" s="119" t="inlineStr">
        <is>
          <t>water consumption per unit of industrial value added in petroleum and petrochemical industry</t>
        </is>
      </c>
      <c r="C174" s="119" t="inlineStr">
        <is>
          <t>reduce by</t>
        </is>
      </c>
      <c r="D174" s="119" t="inlineStr">
        <is>
          <t>30%</t>
        </is>
      </c>
      <c r="E174" s="119" t="n">
        <v>2010</v>
      </c>
      <c r="F174" s="120" t="inlineStr">
        <is>
          <t>2015</t>
        </is>
      </c>
      <c r="G174" s="119" t="inlineStr">
        <is>
          <t>n</t>
        </is>
      </c>
      <c r="H174" s="119" t="inlineStr">
        <is>
          <t>Resource efficiency</t>
        </is>
      </c>
      <c r="I174" s="119" t="inlineStr">
        <is>
          <t>sectors</t>
        </is>
      </c>
      <c r="J174" s="119" t="inlineStr">
        <is>
          <t>By 2015, the water consumption per unit of industrial value added in the petroleum and petrochemical industry will be reduced by 30% compared with 2010.</t>
        </is>
      </c>
      <c r="K174" s="119" t="inlineStr">
        <is>
          <t>DP1301.htm</t>
        </is>
      </c>
      <c r="L174" s="119" t="inlineStr">
        <is>
          <t>Industry</t>
        </is>
      </c>
    </row>
    <row r="175" ht="18" customHeight="1" s="235">
      <c r="A175" s="119" t="n">
        <v>2013</v>
      </c>
      <c r="B175" s="119" t="inlineStr">
        <is>
          <t>water consumption per unit of industrial value added in textile industry</t>
        </is>
      </c>
      <c r="C175" s="119" t="inlineStr">
        <is>
          <t>reduce by</t>
        </is>
      </c>
      <c r="D175" s="119" t="inlineStr">
        <is>
          <t>30%</t>
        </is>
      </c>
      <c r="E175" s="119" t="n">
        <v>2010</v>
      </c>
      <c r="F175" s="120" t="inlineStr">
        <is>
          <t>2015</t>
        </is>
      </c>
      <c r="G175" s="119" t="inlineStr">
        <is>
          <t>n</t>
        </is>
      </c>
      <c r="H175" s="119" t="inlineStr">
        <is>
          <t>Resource efficiency</t>
        </is>
      </c>
      <c r="I175" s="119" t="inlineStr">
        <is>
          <t>sectors</t>
        </is>
      </c>
      <c r="J175" s="119" t="inlineStr">
        <is>
          <t>By 2015, the water consumption per unit of industrial value added in the textile industry will drop by 30% compared with 2010.</t>
        </is>
      </c>
      <c r="K175" s="119" t="inlineStr">
        <is>
          <t>DP1301.htm</t>
        </is>
      </c>
      <c r="L175" s="119" t="inlineStr">
        <is>
          <t>Industry</t>
        </is>
      </c>
    </row>
    <row r="176" ht="18" customHeight="1" s="235">
      <c r="A176" s="121" t="n">
        <v>2021</v>
      </c>
      <c r="B176" s="121" t="inlineStr">
        <is>
          <t>water efficiency "leaders" from high water-consuming industries such as steel, refining, coal chemical industry, papermaking, food, and textile printing and dyeing</t>
        </is>
      </c>
      <c r="C176" s="121" t="inlineStr">
        <is>
          <t>select</t>
        </is>
      </c>
      <c r="D176" s="121" t="inlineStr">
        <is>
          <t>50</t>
        </is>
      </c>
      <c r="E176" s="121" t="n"/>
      <c r="F176" s="122" t="n">
        <v>2025</v>
      </c>
      <c r="G176" s="121" t="inlineStr">
        <is>
          <t>n</t>
        </is>
      </c>
      <c r="H176" s="121" t="inlineStr">
        <is>
          <t>Resource efficiency</t>
        </is>
      </c>
      <c r="I176" s="121" t="inlineStr">
        <is>
          <t>enterprises</t>
        </is>
      </c>
      <c r="J176" s="121" t="inlineStr">
        <is>
          <t>By 2025, 50 water efficiency "leaders" will be selected from high water-consuming industries such as steel, refining, coal chemical industry, papermaking, food, and textile printing and dyeing to create water-saving benchmarks.</t>
        </is>
      </c>
      <c r="K176" s="121" t="inlineStr">
        <is>
          <t>FYP2101.pdf</t>
        </is>
      </c>
      <c r="L176" s="121" t="inlineStr">
        <is>
          <t>Industry</t>
        </is>
      </c>
    </row>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row r="200" ht="18" customHeight="1" s="235"/>
    <row r="201" ht="18" customHeight="1" s="235"/>
    <row r="202" ht="18" customHeight="1" s="235"/>
    <row r="203" ht="18" customHeight="1" s="235"/>
    <row r="204" ht="18" customHeight="1" s="235"/>
    <row r="205" ht="18" customHeight="1" s="235"/>
    <row r="206" ht="18" customHeight="1" s="235"/>
    <row r="207" ht="18" customHeight="1" s="235"/>
    <row r="208" ht="18" customHeight="1" s="235"/>
    <row r="209" ht="18" customHeight="1" s="235"/>
    <row r="210" ht="18" customHeight="1" s="235"/>
    <row r="211" ht="18" customHeight="1" s="235"/>
    <row r="212" ht="18" customHeight="1" s="235"/>
    <row r="213" ht="18" customHeight="1" s="235"/>
    <row r="214" ht="18" customHeight="1" s="235"/>
    <row r="215" ht="18" customHeight="1" s="235"/>
    <row r="216" ht="18" customHeight="1" s="235"/>
    <row r="217" ht="18" customHeight="1" s="235"/>
    <row r="218" ht="18" customHeight="1" s="235"/>
    <row r="219" ht="18" customHeight="1" s="235"/>
    <row r="220" ht="18" customHeight="1" s="235"/>
    <row r="221" ht="18" customHeight="1" s="235"/>
    <row r="222" ht="18" customHeight="1" s="235"/>
    <row r="223"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L98"/>
  <sheetViews>
    <sheetView zoomScale="75" workbookViewId="0">
      <selection activeCell="J18" sqref="J18"/>
    </sheetView>
  </sheetViews>
  <sheetFormatPr baseColWidth="8" defaultColWidth="14" defaultRowHeight="13"/>
  <cols>
    <col width="10.7968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05" customWidth="1" style="235" min="13" max="13"/>
    <col width="17" customWidth="1" style="235" min="14" max="15"/>
    <col width="13" customWidth="1" style="235" min="16" max="20"/>
  </cols>
  <sheetData>
    <row r="1" ht="18" customHeight="1" s="235">
      <c r="A1" s="89" t="inlineStr">
        <is>
          <t>Announcement_Year</t>
        </is>
      </c>
      <c r="B1" s="89" t="inlineStr">
        <is>
          <t>Metric</t>
        </is>
      </c>
      <c r="C1" s="89" t="inlineStr">
        <is>
          <t>Direction</t>
        </is>
      </c>
      <c r="D1" s="89" t="inlineStr">
        <is>
          <t>Target_Magnitude</t>
        </is>
      </c>
      <c r="E1" s="89" t="inlineStr">
        <is>
          <t>Baseline</t>
        </is>
      </c>
      <c r="F1" s="89" t="inlineStr">
        <is>
          <t>Target_Year_or_Period</t>
        </is>
      </c>
      <c r="G1" s="89" t="inlineStr">
        <is>
          <t>Count</t>
        </is>
      </c>
      <c r="H1" s="89" t="inlineStr">
        <is>
          <t>Target_Category</t>
        </is>
      </c>
      <c r="I1" s="89" t="inlineStr">
        <is>
          <t>Accountability</t>
        </is>
      </c>
      <c r="J1" s="89" t="inlineStr">
        <is>
          <t>Sentence</t>
        </is>
      </c>
      <c r="K1" s="89" t="inlineStr">
        <is>
          <t>Document</t>
        </is>
      </c>
      <c r="L1" s="89" t="inlineStr">
        <is>
          <t>Topic_Label</t>
        </is>
      </c>
    </row>
    <row r="2" ht="18" customHeight="1" s="235">
      <c r="A2" s="123" t="n">
        <v>2024</v>
      </c>
      <c r="B2" s="123" t="inlineStr">
        <is>
          <t>building area covered by geothermal energy building applications</t>
        </is>
      </c>
      <c r="C2" s="123" t="inlineStr">
        <is>
          <t>cover</t>
        </is>
      </c>
      <c r="D2" s="123" t="inlineStr">
        <is>
          <t>more than 100 million m2</t>
        </is>
      </c>
      <c r="E2" s="123" t="n"/>
      <c r="F2" s="123" t="inlineStr">
        <is>
          <t>2025</t>
        </is>
      </c>
      <c r="G2" s="123" t="inlineStr">
        <is>
          <t>n</t>
        </is>
      </c>
      <c r="H2" s="123" t="inlineStr">
        <is>
          <t>Renewable energy</t>
        </is>
      </c>
      <c r="I2" s="123" t="inlineStr">
        <is>
          <t>areas</t>
        </is>
      </c>
      <c r="J2" s="123" t="inlineStr">
        <is>
          <t>By 2025, geothermal energy building applications will cover more than 100 million m2</t>
        </is>
      </c>
      <c r="K2" s="124" t="inlineStr">
        <is>
          <t>HL2401.pdf</t>
        </is>
      </c>
      <c r="L2" s="123" t="inlineStr">
        <is>
          <t>Buildings</t>
        </is>
      </c>
    </row>
    <row r="3" ht="18" customHeight="1" s="235">
      <c r="A3" s="123" t="n">
        <v>2017</v>
      </c>
      <c r="B3" s="123" t="inlineStr">
        <is>
          <t>building area of ​​clean heating with biomass energy</t>
        </is>
      </c>
      <c r="C3" s="123" t="inlineStr">
        <is>
          <t>reach</t>
        </is>
      </c>
      <c r="D3" s="123" t="inlineStr">
        <is>
          <t>2.1 billion square meters</t>
        </is>
      </c>
      <c r="E3" s="123" t="n"/>
      <c r="F3" s="123" t="inlineStr">
        <is>
          <t>2021</t>
        </is>
      </c>
      <c r="G3" s="123" t="inlineStr">
        <is>
          <t>n</t>
        </is>
      </c>
      <c r="H3" s="123" t="inlineStr">
        <is>
          <t>Renewable energy</t>
        </is>
      </c>
      <c r="I3" s="123" t="inlineStr">
        <is>
          <t>areas</t>
        </is>
      </c>
      <c r="J3" s="123" t="inlineStr">
        <is>
          <t>By 2021, the area of ​​clean heating with biomass energy will reach 2.1 billion square meters, including: 1 billion square meters of agricultural and forestry biomass cogeneration heating area, 500 million square meters of urban domestic waste cogeneration heating area, 500 million square meters of biomass pelletized fuel heating area, and more than 100 million square meters of biogas and other biomass gasification heating area.</t>
        </is>
      </c>
      <c r="K3" s="124" t="inlineStr">
        <is>
          <t>PF1701.pdf</t>
        </is>
      </c>
      <c r="L3" s="123" t="inlineStr">
        <is>
          <t>Buildings</t>
        </is>
      </c>
    </row>
    <row r="4" ht="18" customHeight="1" s="235">
      <c r="A4" s="123" t="n">
        <v>2017</v>
      </c>
      <c r="B4" s="123" t="inlineStr">
        <is>
          <t>clean coal-fired central heating area</t>
        </is>
      </c>
      <c r="C4" s="123" t="inlineStr">
        <is>
          <t>reach</t>
        </is>
      </c>
      <c r="D4" s="123" t="inlineStr">
        <is>
          <t>11 billion square meters</t>
        </is>
      </c>
      <c r="E4" s="123" t="n"/>
      <c r="F4" s="123" t="inlineStr">
        <is>
          <t>2021</t>
        </is>
      </c>
      <c r="G4" s="123" t="inlineStr">
        <is>
          <t>n</t>
        </is>
      </c>
      <c r="H4" s="123" t="inlineStr">
        <is>
          <t>Coal-related</t>
        </is>
      </c>
      <c r="I4" s="123" t="inlineStr">
        <is>
          <t>areas</t>
        </is>
      </c>
      <c r="J4" s="123" t="inlineStr">
        <is>
          <t>By 2021, the clean coal-fired central heating area will reach 11 billion square meters, including 8 billion square meters of ultra-low emission cogeneration and 3 billion square meters of ultra-low emission boiler rooms.</t>
        </is>
      </c>
      <c r="K4" s="124" t="inlineStr">
        <is>
          <t>PF1701.pdf</t>
        </is>
      </c>
      <c r="L4" s="123" t="inlineStr">
        <is>
          <t>Buildings</t>
        </is>
      </c>
    </row>
    <row r="5" ht="18" customHeight="1" s="235">
      <c r="A5" s="123" t="n">
        <v>2018</v>
      </c>
      <c r="B5" s="123" t="inlineStr">
        <is>
          <t>clean heating rate in northern areas</t>
        </is>
      </c>
      <c r="C5" s="123" t="inlineStr">
        <is>
          <t>reach</t>
        </is>
      </c>
      <c r="D5" s="123" t="inlineStr">
        <is>
          <t>70%</t>
        </is>
      </c>
      <c r="E5" s="123" t="n"/>
      <c r="F5" s="125" t="n">
        <v>2021</v>
      </c>
      <c r="G5" s="123" t="inlineStr">
        <is>
          <t>n</t>
        </is>
      </c>
      <c r="H5" s="123" t="inlineStr">
        <is>
          <t>Electrification</t>
        </is>
      </c>
      <c r="I5" s="123" t="inlineStr">
        <is>
          <t>areas</t>
        </is>
      </c>
      <c r="J5" s="123" t="inlineStr">
        <is>
          <t>In 2017, NDRC released the Plan for Clean Heating in Winter Season in Northern Areas (2017-2021), proposing to increase the clean heating rate for northern areas to 50% by 2019 and 70% by 2021, and forming a clean heating pattern in which scattered coal is substituted by natural gas and electricity in Beijing-Tianjin-Hebei region and air pollution transmission channels including “2+26” cities.</t>
        </is>
      </c>
      <c r="K5" s="124" t="inlineStr">
        <is>
          <t>HL1801.pdf</t>
        </is>
      </c>
      <c r="L5" s="123" t="inlineStr">
        <is>
          <t>Buildings</t>
        </is>
      </c>
    </row>
    <row r="6" ht="18" customHeight="1" s="235">
      <c r="A6" s="123" t="n">
        <v>2018</v>
      </c>
      <c r="B6" s="123" t="inlineStr">
        <is>
          <t>clean heating rate in northern areas</t>
        </is>
      </c>
      <c r="C6" s="123" t="inlineStr">
        <is>
          <t>reach</t>
        </is>
      </c>
      <c r="D6" s="123" t="inlineStr">
        <is>
          <t>50%</t>
        </is>
      </c>
      <c r="E6" s="123" t="n"/>
      <c r="F6" s="125" t="n">
        <v>2019</v>
      </c>
      <c r="G6" s="123" t="inlineStr">
        <is>
          <t>n</t>
        </is>
      </c>
      <c r="H6" s="123" t="inlineStr">
        <is>
          <t>Electrification</t>
        </is>
      </c>
      <c r="I6" s="123" t="inlineStr">
        <is>
          <t>areas</t>
        </is>
      </c>
      <c r="J6" s="123" t="inlineStr">
        <is>
          <t>In 2017, NDRC released the Plan for Clean Heating in Winter Season in Northern Areas (2017-2021), proposing to increase the clean heating rate for northern areas to 50% by 2019 and 70% by 2021, and forming a clean heating pattern in which scattered coal is substituted by natural gas and electricity in Beijing-Tianjin-Hebei region and air pollution transmission channels including “2+26” cities.</t>
        </is>
      </c>
      <c r="K6" s="124" t="inlineStr">
        <is>
          <t>HL1801.pdf</t>
        </is>
      </c>
      <c r="L6" s="123" t="inlineStr">
        <is>
          <t>Buildings</t>
        </is>
      </c>
    </row>
    <row r="7" ht="18" customHeight="1" s="235">
      <c r="A7" s="123" t="n">
        <v>2019</v>
      </c>
      <c r="B7" s="123" t="inlineStr">
        <is>
          <t>clean heating rate in northern areas</t>
        </is>
      </c>
      <c r="C7" s="123" t="inlineStr">
        <is>
          <t>reach</t>
        </is>
      </c>
      <c r="D7" s="123" t="inlineStr">
        <is>
          <t>50%</t>
        </is>
      </c>
      <c r="E7" s="123" t="n"/>
      <c r="F7" s="123" t="inlineStr">
        <is>
          <t>2019</t>
        </is>
      </c>
      <c r="G7" s="123" t="inlineStr">
        <is>
          <t>r</t>
        </is>
      </c>
      <c r="H7" s="123" t="inlineStr">
        <is>
          <t>Electrification</t>
        </is>
      </c>
      <c r="I7" s="123" t="inlineStr">
        <is>
          <t>areas</t>
        </is>
      </c>
      <c r="J7" s="123" t="inlineStr">
        <is>
          <t>proposing that by 2019 the clean heating rate in northern areas should have reached 50% with 74 million tons of bulk coal (including coal for low-efficiency small boilers) replaced</t>
        </is>
      </c>
      <c r="K7" s="124" t="inlineStr">
        <is>
          <t>HL1903.pdf</t>
        </is>
      </c>
      <c r="L7" s="123" t="inlineStr">
        <is>
          <t>Buildings</t>
        </is>
      </c>
    </row>
    <row r="8" ht="18" customHeight="1" s="235">
      <c r="A8" s="123" t="n">
        <v>2019</v>
      </c>
      <c r="B8" s="123" t="inlineStr">
        <is>
          <t>clean heating rate in northern areas</t>
        </is>
      </c>
      <c r="C8" s="123" t="inlineStr">
        <is>
          <t>reach</t>
        </is>
      </c>
      <c r="D8" s="123" t="inlineStr">
        <is>
          <t>70%</t>
        </is>
      </c>
      <c r="E8" s="123" t="n"/>
      <c r="F8" s="123" t="inlineStr">
        <is>
          <t>2021</t>
        </is>
      </c>
      <c r="G8" s="123" t="inlineStr">
        <is>
          <t>r</t>
        </is>
      </c>
      <c r="H8" s="123" t="inlineStr">
        <is>
          <t>Electrification</t>
        </is>
      </c>
      <c r="I8" s="123" t="inlineStr">
        <is>
          <t>areas</t>
        </is>
      </c>
      <c r="J8" s="123" t="inlineStr">
        <is>
          <t>by 2021 the clean heating rate in northern areas should have reached 70% with 150 million tons of bulk coal (including coal for low-efficiency small boilers) replaced.</t>
        </is>
      </c>
      <c r="K8" s="124" t="inlineStr">
        <is>
          <t>HL1903.pdf</t>
        </is>
      </c>
      <c r="L8" s="123" t="inlineStr">
        <is>
          <t>Buildings</t>
        </is>
      </c>
    </row>
    <row r="9" ht="18" customHeight="1" s="235">
      <c r="A9" s="0" t="n">
        <v>2026</v>
      </c>
      <c r="B9" s="0" t="inlineStr">
        <is>
          <t>demonstration units of conservation-oriented public institutions</t>
        </is>
      </c>
      <c r="C9" s="0" t="inlineStr">
        <is>
          <t>create</t>
        </is>
      </c>
      <c r="D9" s="0" t="inlineStr">
        <is>
          <t>no more than 2000</t>
        </is>
      </c>
      <c r="F9" s="0" t="n">
        <v>2030</v>
      </c>
      <c r="G9" s="0" t="inlineStr">
        <is>
          <t>r</t>
        </is>
      </c>
      <c r="H9" s="0" t="inlineStr">
        <is>
          <t>Energy saving</t>
        </is>
      </c>
      <c r="I9" s="0" t="inlineStr">
        <is>
          <t>enterprises</t>
        </is>
      </c>
      <c r="J9" s="0" t="inlineStr">
        <is>
          <t>Creation indicators will be optimized and creation effectiveness strictly controlled, creating no more than 2000 high-standard demonstration units of conservation-oriented public institutions.</t>
        </is>
      </c>
      <c r="K9" s="0" t="inlineStr">
        <is>
          <t>WOP2601.htm</t>
        </is>
      </c>
      <c r="L9" s="0" t="inlineStr">
        <is>
          <t>Buildings</t>
        </is>
      </c>
    </row>
    <row r="10" ht="18" customHeight="1" s="235">
      <c r="A10" s="0" t="n">
        <v>2026</v>
      </c>
      <c r="B10" s="0" t="inlineStr">
        <is>
          <t>direct carbon emissions per unit of building area</t>
        </is>
      </c>
      <c r="C10" s="0" t="inlineStr">
        <is>
          <t>reduce by</t>
        </is>
      </c>
      <c r="D10" s="0" t="inlineStr">
        <is>
          <t>3%</t>
        </is>
      </c>
      <c r="F10" s="0" t="inlineStr">
        <is>
          <t>15th FYP</t>
        </is>
      </c>
      <c r="G10" s="0" t="inlineStr">
        <is>
          <t>n</t>
        </is>
      </c>
      <c r="H10" s="0" t="inlineStr">
        <is>
          <t>Carbon intensity</t>
        </is>
      </c>
      <c r="I10" s="0" t="inlineStr">
        <is>
          <t>whole economy</t>
        </is>
      </c>
      <c r="J10" s="0" t="inlineStr">
        <is>
          <t>During the 15th FYP period, direct carbon emissions per unit of building area will be reduced by 3%.</t>
        </is>
      </c>
      <c r="K10" s="0" t="inlineStr">
        <is>
          <t>HL2604.htm</t>
        </is>
      </c>
      <c r="L10" s="0" t="inlineStr">
        <is>
          <t>Buildings</t>
        </is>
      </c>
    </row>
    <row r="11" ht="18" customHeight="1" s="235">
      <c r="A11" s="123" t="n">
        <v>2021</v>
      </c>
      <c r="B11" s="123" t="inlineStr">
        <is>
          <t>distributed photovoltaic installation rate in newly built industrial parks and new large public buildings</t>
        </is>
      </c>
      <c r="C11" s="123" t="inlineStr">
        <is>
          <t>reach</t>
        </is>
      </c>
      <c r="D11" s="123" t="inlineStr">
        <is>
          <t>50%</t>
        </is>
      </c>
      <c r="E11" s="123" t="n"/>
      <c r="F11" s="123" t="inlineStr">
        <is>
          <t>14th FYP</t>
        </is>
      </c>
      <c r="G11" s="123" t="inlineStr">
        <is>
          <t>n</t>
        </is>
      </c>
      <c r="H11" s="123" t="inlineStr">
        <is>
          <t>Renewable energy</t>
        </is>
      </c>
      <c r="I11" s="123" t="inlineStr">
        <is>
          <t>public institutions</t>
        </is>
      </c>
      <c r="J11" s="123" t="inlineStr">
        <is>
          <t>During the 14th Five-Year Plan period, the distributed photovoltaic installation rate in newly built industrial parks and new large public buildings will reach more than 50%.</t>
        </is>
      </c>
      <c r="K11" s="124" t="inlineStr">
        <is>
          <t>FYP2106.pdf</t>
        </is>
      </c>
      <c r="L11" s="123" t="inlineStr">
        <is>
          <t>Buildings</t>
        </is>
      </c>
    </row>
    <row r="12" ht="18" customHeight="1" s="235">
      <c r="A12" s="123" t="n">
        <v>2004</v>
      </c>
      <c r="B12" s="123" t="inlineStr">
        <is>
          <t>electricity savings through high-efficiency and energy-saving lighting systems</t>
        </is>
      </c>
      <c r="C12" s="123" t="inlineStr">
        <is>
          <t>save</t>
        </is>
      </c>
      <c r="D12" s="123" t="inlineStr">
        <is>
          <t>29 billion kWh</t>
        </is>
      </c>
      <c r="E12" s="123" t="n"/>
      <c r="F12" s="123" t="inlineStr">
        <is>
          <t>11th FYP</t>
        </is>
      </c>
      <c r="G12" s="123" t="inlineStr">
        <is>
          <t>n</t>
        </is>
      </c>
      <c r="H12" s="123" t="inlineStr">
        <is>
          <t>Energy saving</t>
        </is>
      </c>
      <c r="I12" s="123" t="inlineStr">
        <is>
          <t>unclear</t>
        </is>
      </c>
      <c r="J12" s="123" t="inlineStr">
        <is>
          <t>During the 11th Five-Year Plan period, the focus is on promoting high-efficiency and energy-saving lighting systems, rare earth tri-color fluorescent lamps in public facilities, hotels, shopping malls, office buildings, sports stadiums, and residents, and automating the production and assembly lines of high-efficiency lighting appliances, which can save 29 billion kilowatt-hours of electricity.</t>
        </is>
      </c>
      <c r="K12" s="124" t="inlineStr">
        <is>
          <t>MLT0401.htm</t>
        </is>
      </c>
      <c r="L12" s="123" t="inlineStr">
        <is>
          <t>Buildings</t>
        </is>
      </c>
    </row>
    <row r="13" ht="18" customHeight="1" s="235">
      <c r="A13" s="123" t="n">
        <v>2024</v>
      </c>
      <c r="B13" s="123" t="inlineStr">
        <is>
          <t xml:space="preserve">energy consumption per capita in public institutions    </t>
        </is>
      </c>
      <c r="C13" s="123" t="inlineStr">
        <is>
          <t>reduce by</t>
        </is>
      </c>
      <c r="D13" s="123" t="inlineStr">
        <is>
          <t>6%</t>
        </is>
      </c>
      <c r="E13" s="123" t="n">
        <v>2020</v>
      </c>
      <c r="F13" s="123" t="inlineStr">
        <is>
          <t>2025</t>
        </is>
      </c>
      <c r="G13" s="123" t="inlineStr">
        <is>
          <t>n</t>
        </is>
      </c>
      <c r="H13" s="123" t="inlineStr">
        <is>
          <t>Energy efficiency</t>
        </is>
      </c>
      <c r="I13" s="123" t="inlineStr">
        <is>
          <t>public institutions</t>
        </is>
      </c>
      <c r="J13" s="123" t="inlineStr">
        <is>
          <t>By the end of 2025, per capita comprehensive energy consumption of public institutions will be reduced by 6% compared with 2020.</t>
        </is>
      </c>
      <c r="K13" s="124" t="inlineStr">
        <is>
          <t>AP2405.htm</t>
        </is>
      </c>
      <c r="L13" s="123" t="inlineStr">
        <is>
          <t>Buildings</t>
        </is>
      </c>
    </row>
    <row r="14" ht="18" customHeight="1" s="235">
      <c r="A14" s="123" t="n">
        <v>2016</v>
      </c>
      <c r="B14" s="123" t="inlineStr">
        <is>
          <t xml:space="preserve">energy consumption per capita in public institutions    </t>
        </is>
      </c>
      <c r="C14" s="123" t="inlineStr">
        <is>
          <t>reduce by</t>
        </is>
      </c>
      <c r="D14" s="123" t="inlineStr">
        <is>
          <t>11%</t>
        </is>
      </c>
      <c r="E14" s="123" t="n">
        <v>2015</v>
      </c>
      <c r="F14" s="123" t="inlineStr">
        <is>
          <t>2020</t>
        </is>
      </c>
      <c r="G14" s="123" t="inlineStr">
        <is>
          <t>n</t>
        </is>
      </c>
      <c r="H14" s="123" t="inlineStr">
        <is>
          <t>Energy efficiency</t>
        </is>
      </c>
      <c r="I14" s="123" t="inlineStr">
        <is>
          <t>public institutions</t>
        </is>
      </c>
      <c r="J14" s="123" t="inlineStr">
        <is>
          <t>In 2020, the energy consumption per unit of building area and per capita energy consumption of public institutions decreased by 10% and 11% respectively compared with 2015.</t>
        </is>
      </c>
      <c r="K14" s="124" t="inlineStr">
        <is>
          <t>FYP1601.htm</t>
        </is>
      </c>
      <c r="L14" s="123" t="inlineStr">
        <is>
          <t>Buildings</t>
        </is>
      </c>
    </row>
    <row r="15" ht="18" customHeight="1" s="235">
      <c r="A15" s="123" t="n">
        <v>2004</v>
      </c>
      <c r="B15" s="123" t="inlineStr">
        <is>
          <t>energy consumption per capita of central state organs</t>
        </is>
      </c>
      <c r="C15" s="123" t="inlineStr">
        <is>
          <t>reduce by</t>
        </is>
      </c>
      <c r="D15" s="123" t="inlineStr">
        <is>
          <t>10%</t>
        </is>
      </c>
      <c r="E15" s="123" t="n">
        <v>2002</v>
      </c>
      <c r="F15" s="123" t="inlineStr">
        <is>
          <t>2010</t>
        </is>
      </c>
      <c r="G15" s="123" t="inlineStr">
        <is>
          <t>n</t>
        </is>
      </c>
      <c r="H15" s="123" t="inlineStr">
        <is>
          <t>Energy efficiency</t>
        </is>
      </c>
      <c r="I15" s="123" t="inlineStr">
        <is>
          <t>public institutions</t>
        </is>
      </c>
      <c r="J15" s="123" t="inlineStr">
        <is>
          <t>By 2010, the energy consumption per unit building area and per capita for central state organs will decrease by 10% from 2002 levels.</t>
        </is>
      </c>
      <c r="K15" s="124" t="inlineStr">
        <is>
          <t>MLT0401.htm</t>
        </is>
      </c>
      <c r="L15" s="123" t="inlineStr">
        <is>
          <t>Buildings</t>
        </is>
      </c>
    </row>
    <row r="16" ht="18" customHeight="1" s="235">
      <c r="A16" s="123" t="n">
        <v>2004</v>
      </c>
      <c r="B16" s="123" t="inlineStr">
        <is>
          <t>energy consumption per unit building floor area of central state organs</t>
        </is>
      </c>
      <c r="C16" s="123" t="inlineStr">
        <is>
          <t>reduce by</t>
        </is>
      </c>
      <c r="D16" s="123" t="inlineStr">
        <is>
          <t>10%</t>
        </is>
      </c>
      <c r="E16" s="123" t="n">
        <v>2002</v>
      </c>
      <c r="F16" s="123" t="inlineStr">
        <is>
          <t>2010</t>
        </is>
      </c>
      <c r="G16" s="123" t="inlineStr">
        <is>
          <t>n</t>
        </is>
      </c>
      <c r="H16" s="123" t="inlineStr">
        <is>
          <t>Energy efficiency</t>
        </is>
      </c>
      <c r="I16" s="123" t="inlineStr">
        <is>
          <t>public institutions</t>
        </is>
      </c>
      <c r="J16" s="123" t="inlineStr">
        <is>
          <t>By 2010, the energy consumption per unit building area and per capita for central state organs will decrease by 10% from 2002 levels.</t>
        </is>
      </c>
      <c r="K16" s="124" t="inlineStr">
        <is>
          <t>MLT0401.htm</t>
        </is>
      </c>
      <c r="L16" s="123" t="inlineStr">
        <is>
          <t>Buildings</t>
        </is>
      </c>
    </row>
    <row r="17" ht="18" customHeight="1" s="235">
      <c r="A17" s="123" t="n">
        <v>2014</v>
      </c>
      <c r="B17" s="123" t="inlineStr">
        <is>
          <t>energy consumption per unit building floor area of public institutions</t>
        </is>
      </c>
      <c r="C17" s="123" t="inlineStr">
        <is>
          <t>reduce by</t>
        </is>
      </c>
      <c r="D17" s="123" t="inlineStr">
        <is>
          <t>12%</t>
        </is>
      </c>
      <c r="E17" s="123" t="n"/>
      <c r="F17" s="125" t="inlineStr">
        <is>
          <t>12th FYP</t>
        </is>
      </c>
      <c r="G17" s="123" t="inlineStr">
        <is>
          <t>n</t>
        </is>
      </c>
      <c r="H17" s="123" t="inlineStr">
        <is>
          <t>Energy efficiency</t>
        </is>
      </c>
      <c r="I17" s="123" t="inlineStr">
        <is>
          <t>public institutions</t>
        </is>
      </c>
      <c r="J17" s="123" t="inlineStr">
        <is>
          <t>From 2014 to 2015, the energy consumption per unit building area of public institutions across the country will decrease by 2.2% annually, and efforts are made to exceed the target of a 12% reduction during the 12th Five-Year Plan period.</t>
        </is>
      </c>
      <c r="K17" s="124" t="inlineStr">
        <is>
          <t>AP1404.htm</t>
        </is>
      </c>
      <c r="L17" s="123" t="inlineStr">
        <is>
          <t>Buildings</t>
        </is>
      </c>
    </row>
    <row r="18" ht="18" customHeight="1" s="235">
      <c r="A18" s="123" t="n">
        <v>2024</v>
      </c>
      <c r="B18" s="123" t="inlineStr">
        <is>
          <t>energy consumption per unit building floor area of public institutions</t>
        </is>
      </c>
      <c r="C18" s="123" t="inlineStr">
        <is>
          <t>reduce by</t>
        </is>
      </c>
      <c r="D18" s="125" t="inlineStr">
        <is>
          <t>5%</t>
        </is>
      </c>
      <c r="E18" s="126" t="n">
        <v>2020</v>
      </c>
      <c r="F18" s="125" t="inlineStr">
        <is>
          <t>2025</t>
        </is>
      </c>
      <c r="G18" s="123" t="inlineStr">
        <is>
          <t>n</t>
        </is>
      </c>
      <c r="H18" s="123" t="inlineStr">
        <is>
          <t>Energy efficiency</t>
        </is>
      </c>
      <c r="I18" s="123" t="inlineStr">
        <is>
          <t>public institutions</t>
        </is>
      </c>
      <c r="J18" s="123" t="inlineStr">
        <is>
          <t>By the end of 2025, the energy consumption per unit building area of public institutions will be reduced by 5% compared with 2020.</t>
        </is>
      </c>
      <c r="K18" s="124" t="inlineStr">
        <is>
          <t>AP2405.htm</t>
        </is>
      </c>
      <c r="L18" s="123" t="inlineStr">
        <is>
          <t>Buildings</t>
        </is>
      </c>
    </row>
    <row r="19" ht="18" customHeight="1" s="235">
      <c r="A19" s="123" t="n">
        <v>2016</v>
      </c>
      <c r="B19" s="123" t="inlineStr">
        <is>
          <t>energy consumption per unit building floor area of public institutions</t>
        </is>
      </c>
      <c r="C19" s="123" t="inlineStr">
        <is>
          <t>reduce by</t>
        </is>
      </c>
      <c r="D19" s="123" t="inlineStr">
        <is>
          <t>10%</t>
        </is>
      </c>
      <c r="E19" s="123" t="n">
        <v>2015</v>
      </c>
      <c r="F19" s="123" t="inlineStr">
        <is>
          <t>2020</t>
        </is>
      </c>
      <c r="G19" s="123" t="inlineStr">
        <is>
          <t>n</t>
        </is>
      </c>
      <c r="H19" s="123" t="inlineStr">
        <is>
          <t>Energy efficiency</t>
        </is>
      </c>
      <c r="I19" s="123" t="inlineStr">
        <is>
          <t>areas</t>
        </is>
      </c>
      <c r="J19" s="123" t="inlineStr">
        <is>
          <t>In 2020, the energy consumption per unit of building area and per capita energy consumption of public institutions will decrease by 10% and 11% respectively compared with 2015.</t>
        </is>
      </c>
      <c r="K19" s="124" t="inlineStr">
        <is>
          <t>FYP1601.htm</t>
        </is>
      </c>
      <c r="L19" s="123" t="inlineStr">
        <is>
          <t>Buildings</t>
        </is>
      </c>
    </row>
    <row r="20" ht="18" customHeight="1" s="235">
      <c r="A20" s="123" t="n">
        <v>2026</v>
      </c>
      <c r="B20" s="123" t="inlineStr">
        <is>
          <t>energy consumption per unit building floor area of public institutions</t>
        </is>
      </c>
      <c r="C20" s="123" t="inlineStr">
        <is>
          <t>reduce by</t>
        </is>
      </c>
      <c r="D20" s="127" t="inlineStr">
        <is>
          <t>5%</t>
        </is>
      </c>
      <c r="E20" s="123" t="n"/>
      <c r="F20" s="123" t="inlineStr">
        <is>
          <t>15th FYP</t>
        </is>
      </c>
      <c r="G20" s="123" t="inlineStr">
        <is>
          <t>n</t>
        </is>
      </c>
      <c r="H20" s="123" t="inlineStr">
        <is>
          <t>Energy efficiency</t>
        </is>
      </c>
      <c r="I20" s="123" t="inlineStr">
        <is>
          <t>public institutions</t>
        </is>
      </c>
      <c r="J20" s="123" t="inlineStr">
        <is>
          <t>The plan will reduce building-area energy consumption in public institutions by 5%.</t>
        </is>
      </c>
      <c r="K20" s="124" t="inlineStr">
        <is>
          <t>HL2601.pdf</t>
        </is>
      </c>
      <c r="L20" s="123" t="inlineStr">
        <is>
          <t>Buildings</t>
        </is>
      </c>
    </row>
    <row r="21" ht="18" customHeight="1" s="235">
      <c r="A21" s="0" t="n">
        <v>2026</v>
      </c>
      <c r="B21" s="0" t="inlineStr">
        <is>
          <t>energy consumption per unit building floor area of public institutions</t>
        </is>
      </c>
      <c r="C21" s="0" t="inlineStr">
        <is>
          <t>reduce by</t>
        </is>
      </c>
      <c r="D21" s="0" t="inlineStr">
        <is>
          <t>5%</t>
        </is>
      </c>
      <c r="F21" s="0" t="inlineStr">
        <is>
          <t>15th FYP</t>
        </is>
      </c>
      <c r="G21" s="0" t="inlineStr">
        <is>
          <t>r</t>
        </is>
      </c>
      <c r="H21" s="0" t="inlineStr">
        <is>
          <t>Energy efficiency</t>
        </is>
      </c>
      <c r="I21" s="0" t="inlineStr">
        <is>
          <t>enterprises</t>
        </is>
      </c>
      <c r="J21" s="0" t="inlineStr">
        <is>
          <t>During the 15th FYP period, energy consumption per unit of building area of public institutions will be reduced by 5%, and carbon emissions by 8.5%.</t>
        </is>
      </c>
      <c r="K21" s="0" t="inlineStr">
        <is>
          <t>HL2604.htm</t>
        </is>
      </c>
      <c r="L21" s="0" t="inlineStr">
        <is>
          <t>Buildings</t>
        </is>
      </c>
    </row>
    <row r="22" ht="18" customHeight="1" s="235">
      <c r="A22" s="0" t="n">
        <v>2026</v>
      </c>
      <c r="B22" s="0" t="inlineStr">
        <is>
          <t>energy consumption per unit building floor area of public institutions</t>
        </is>
      </c>
      <c r="C22" s="0" t="inlineStr">
        <is>
          <t>reduce by</t>
        </is>
      </c>
      <c r="D22" s="0" t="inlineStr">
        <is>
          <t>5%</t>
        </is>
      </c>
      <c r="E22" s="0" t="n">
        <v>2025</v>
      </c>
      <c r="F22" s="0" t="n">
        <v>2030</v>
      </c>
      <c r="G22" s="0" t="inlineStr">
        <is>
          <t>r</t>
        </is>
      </c>
      <c r="H22" s="0" t="inlineStr">
        <is>
          <t>Energy efficiency</t>
        </is>
      </c>
      <c r="I22" s="0" t="inlineStr">
        <is>
          <t>enterprises</t>
        </is>
      </c>
      <c r="J22" s="0" t="inlineStr">
        <is>
          <t>...by 2030, carbon emissions per unit of building area of public institutions within the statistical scope will be reduced by 8.5%, energy consumption per unit of building area by 5%, and per capita water consumption by 3%, and total carbon emissions of public institutions will peak as early as possible before 2030.</t>
        </is>
      </c>
      <c r="K22" s="0" t="inlineStr">
        <is>
          <t>WOP2601.htm</t>
        </is>
      </c>
      <c r="L22" s="0" t="inlineStr">
        <is>
          <t>Buildings</t>
        </is>
      </c>
    </row>
    <row r="23" ht="18" customHeight="1" s="235">
      <c r="A23" s="123" t="n">
        <v>2021</v>
      </c>
      <c r="B23" s="123" t="inlineStr">
        <is>
          <t>energy-saving public institutions demonstration units</t>
        </is>
      </c>
      <c r="C23" s="123" t="inlineStr">
        <is>
          <t>establish</t>
        </is>
      </c>
      <c r="D23" s="125" t="inlineStr">
        <is>
          <t>2000 units</t>
        </is>
      </c>
      <c r="E23" s="123" t="n"/>
      <c r="F23" s="123" t="inlineStr">
        <is>
          <t>2025</t>
        </is>
      </c>
      <c r="G23" s="123" t="inlineStr">
        <is>
          <t>n</t>
        </is>
      </c>
      <c r="H23" s="123" t="inlineStr">
        <is>
          <t>Energy saving</t>
        </is>
      </c>
      <c r="I23" s="123" t="inlineStr">
        <is>
          <t>public institutions</t>
        </is>
      </c>
      <c r="J23" s="123" t="inlineStr">
        <is>
          <t>By 2025, 2,000 energy-saving public institutions will be established as demonstration units.</t>
        </is>
      </c>
      <c r="K23" s="124" t="inlineStr">
        <is>
          <t>FYP2107.htm</t>
        </is>
      </c>
      <c r="L23" s="123" t="inlineStr">
        <is>
          <t>Buildings</t>
        </is>
      </c>
    </row>
    <row r="24" ht="18" customHeight="1" s="235">
      <c r="A24" s="123" t="n">
        <v>2010</v>
      </c>
      <c r="B24" s="123" t="inlineStr">
        <is>
          <t>energy-saving renovation and heat metering of residential buildings in northern heating areas</t>
        </is>
      </c>
      <c r="C24" s="123" t="inlineStr">
        <is>
          <t>complete</t>
        </is>
      </c>
      <c r="D24" s="123" t="inlineStr">
        <is>
          <t>50 million square meters</t>
        </is>
      </c>
      <c r="E24" s="123" t="n"/>
      <c r="F24" s="123" t="inlineStr">
        <is>
          <t>11th FYP</t>
        </is>
      </c>
      <c r="G24" s="123" t="inlineStr">
        <is>
          <t>n</t>
        </is>
      </c>
      <c r="H24" s="123" t="inlineStr">
        <is>
          <t>Energy efficiency</t>
        </is>
      </c>
      <c r="I24" s="123" t="inlineStr">
        <is>
          <t>areas</t>
        </is>
      </c>
      <c r="J24" s="123" t="inlineStr">
        <is>
          <t>By the end of 2010, China will complete heat metering and energy-saving renovation of 50 million square meters of residential buildings in northern heating areas.</t>
        </is>
      </c>
      <c r="K24" s="124" t="inlineStr">
        <is>
          <t>N1001.htm</t>
        </is>
      </c>
      <c r="L24" s="123" t="inlineStr">
        <is>
          <t>Buildings</t>
        </is>
      </c>
    </row>
    <row r="25" ht="18" customHeight="1" s="235">
      <c r="A25" s="123" t="n">
        <v>2012</v>
      </c>
      <c r="B25" s="123" t="inlineStr">
        <is>
          <t>energy-saving renovation and heat metering of residential buildings in northern heating areas</t>
        </is>
      </c>
      <c r="C25" s="123" t="inlineStr">
        <is>
          <t>complete</t>
        </is>
      </c>
      <c r="D25" s="123" t="inlineStr">
        <is>
          <t>400 million square meters</t>
        </is>
      </c>
      <c r="E25" s="123" t="n"/>
      <c r="F25" s="123" t="inlineStr">
        <is>
          <t>12th FYP</t>
        </is>
      </c>
      <c r="G25" s="123" t="inlineStr">
        <is>
          <t>n</t>
        </is>
      </c>
      <c r="H25" s="123" t="inlineStr">
        <is>
          <t>Energy efficiency</t>
        </is>
      </c>
      <c r="I25" s="123" t="inlineStr">
        <is>
          <t>areas</t>
        </is>
      </c>
      <c r="J25" s="123" t="inlineStr">
        <is>
          <t>By 2015, a total of more than 400 million square meters of heat metering and energy-saving renovations will be completed in existing residential buildings in northern heating areas.</t>
        </is>
      </c>
      <c r="K25" s="124" t="inlineStr">
        <is>
          <t>FYP1201.htm</t>
        </is>
      </c>
      <c r="L25" s="123" t="inlineStr">
        <is>
          <t>Buildings</t>
        </is>
      </c>
    </row>
    <row r="26" ht="18" customHeight="1" s="235">
      <c r="A26" s="123" t="n">
        <v>2014</v>
      </c>
      <c r="B26" s="123" t="inlineStr">
        <is>
          <t>energy-saving renovation and heat metering of residential buildings in northern heating areas</t>
        </is>
      </c>
      <c r="C26" s="123" t="inlineStr">
        <is>
          <t>complete</t>
        </is>
      </c>
      <c r="D26" s="123" t="inlineStr">
        <is>
          <t>300 million square meters</t>
        </is>
      </c>
      <c r="E26" s="123" t="n"/>
      <c r="F26" s="123" t="inlineStr">
        <is>
          <t>12th FYP</t>
        </is>
      </c>
      <c r="G26" s="123" t="inlineStr">
        <is>
          <t>s/l-NEG</t>
        </is>
      </c>
      <c r="H26" s="123" t="inlineStr">
        <is>
          <t>Energy efficiency</t>
        </is>
      </c>
      <c r="I26" s="123" t="inlineStr">
        <is>
          <t>areas</t>
        </is>
      </c>
      <c r="J26" s="123" t="inlineStr">
        <is>
          <t>By 2015, 300 million square meters of existing residential buildings in northern heating areas will be completed with heat metering and energy-saving renovation.</t>
        </is>
      </c>
      <c r="K26" s="124" t="inlineStr">
        <is>
          <t>AP1404.htm</t>
        </is>
      </c>
      <c r="L26" s="123" t="inlineStr">
        <is>
          <t>Buildings</t>
        </is>
      </c>
    </row>
    <row r="27" ht="18" customHeight="1" s="235">
      <c r="A27" s="123" t="n">
        <v>2013</v>
      </c>
      <c r="B27" s="123" t="inlineStr">
        <is>
          <t>energy-saving renovation and heat metering of residential buildings in northern heating areas</t>
        </is>
      </c>
      <c r="C27" s="123" t="inlineStr">
        <is>
          <t>complete</t>
        </is>
      </c>
      <c r="D27" s="123" t="inlineStr">
        <is>
          <t>400 million square meters</t>
        </is>
      </c>
      <c r="E27" s="123" t="n"/>
      <c r="F27" s="123" t="inlineStr">
        <is>
          <t>12th FYP</t>
        </is>
      </c>
      <c r="G27" s="123" t="inlineStr">
        <is>
          <t>r</t>
        </is>
      </c>
      <c r="H27" s="123" t="inlineStr">
        <is>
          <t>Energy efficiency</t>
        </is>
      </c>
      <c r="I27" s="123" t="inlineStr">
        <is>
          <t>areas</t>
        </is>
      </c>
      <c r="J27" s="123" t="inlineStr">
        <is>
          <t>During the 12th Five-Year Plan period, more than 400 million square meters of existing residential buildings in northern heating areas will be metered and renovated for energy conservation.</t>
        </is>
      </c>
      <c r="K27" s="124" t="inlineStr">
        <is>
          <t>AP1301.htm</t>
        </is>
      </c>
      <c r="L27" s="123" t="inlineStr">
        <is>
          <t>Buildings</t>
        </is>
      </c>
    </row>
    <row r="28" ht="18" customHeight="1" s="235">
      <c r="A28" s="123" t="n">
        <v>2024</v>
      </c>
      <c r="B28" s="123" t="inlineStr">
        <is>
          <t>energy-saving renovation of existing buildings</t>
        </is>
      </c>
      <c r="C28" s="123" t="inlineStr">
        <is>
          <t>complete</t>
        </is>
      </c>
      <c r="D28" s="123" t="inlineStr">
        <is>
          <t>350 million m2</t>
        </is>
      </c>
      <c r="E28" s="123" t="n">
        <v>2020</v>
      </c>
      <c r="F28" s="123" t="inlineStr">
        <is>
          <t>2025</t>
        </is>
      </c>
      <c r="G28" s="123" t="inlineStr">
        <is>
          <t>n</t>
        </is>
      </c>
      <c r="H28" s="123" t="inlineStr">
        <is>
          <t>Energy efficiency</t>
        </is>
      </c>
      <c r="I28" s="123" t="inlineStr">
        <is>
          <t>building owners</t>
        </is>
      </c>
      <c r="J28" s="123" t="inlineStr">
        <is>
          <t>By 2025, energy efficiency retrofits will be completed for over 350 million m2 of existing buildings</t>
        </is>
      </c>
      <c r="K28" s="124" t="inlineStr">
        <is>
          <t>HL2401.pdf</t>
        </is>
      </c>
      <c r="L28" s="123" t="inlineStr">
        <is>
          <t>Buildings</t>
        </is>
      </c>
    </row>
    <row r="29" ht="18" customHeight="1" s="235">
      <c r="A29" s="123" t="n">
        <v>2024</v>
      </c>
      <c r="B29" s="123" t="inlineStr">
        <is>
          <t>energy-saving renovation of existing buildings</t>
        </is>
      </c>
      <c r="C29" s="123" t="inlineStr">
        <is>
          <t>increase by</t>
        </is>
      </c>
      <c r="D29" s="123" t="inlineStr">
        <is>
          <t>200 million square meters</t>
        </is>
      </c>
      <c r="E29" s="123" t="n">
        <v>2023</v>
      </c>
      <c r="F29" s="123" t="inlineStr">
        <is>
          <t>2025</t>
        </is>
      </c>
      <c r="G29" s="123" t="inlineStr">
        <is>
          <t>n</t>
        </is>
      </c>
      <c r="H29" s="123" t="inlineStr">
        <is>
          <t>Energy efficiency</t>
        </is>
      </c>
      <c r="I29" s="123" t="inlineStr">
        <is>
          <t>building owners</t>
        </is>
      </c>
      <c r="J29" s="123" t="inlineStr">
        <is>
          <t>By 2025, the area of energy-saving renovation of existing buildings will increase by more than 200 million square meters compared with 2023.</t>
        </is>
      </c>
      <c r="K29" s="124" t="inlineStr">
        <is>
          <t>WOP2403.htm</t>
        </is>
      </c>
      <c r="L29" s="123" t="inlineStr">
        <is>
          <t>Buildings</t>
        </is>
      </c>
    </row>
    <row r="30" ht="18" customHeight="1" s="235">
      <c r="A30" s="123" t="n">
        <v>2010</v>
      </c>
      <c r="B30" s="123" t="inlineStr">
        <is>
          <t>energy-saving renovation of existing buildings</t>
        </is>
      </c>
      <c r="C30" s="123" t="inlineStr">
        <is>
          <t>complete</t>
        </is>
      </c>
      <c r="D30" s="123" t="inlineStr">
        <is>
          <t>150 million square meters</t>
        </is>
      </c>
      <c r="E30" s="123" t="n"/>
      <c r="F30" s="123" t="inlineStr">
        <is>
          <t>11th FYP</t>
        </is>
      </c>
      <c r="G30" s="123" t="inlineStr">
        <is>
          <t>n</t>
        </is>
      </c>
      <c r="H30" s="123" t="inlineStr">
        <is>
          <t>Energy efficiency</t>
        </is>
      </c>
      <c r="I30" s="123" t="inlineStr">
        <is>
          <t>building owners</t>
        </is>
      </c>
      <c r="J30" s="123" t="inlineStr">
        <is>
          <t>By 2010, China will ensure the completion of 150 million square meters of energy-saving renovation during the 11th Five-Year Plan period.</t>
        </is>
      </c>
      <c r="K30" s="124" t="inlineStr">
        <is>
          <t>N1001.htm</t>
        </is>
      </c>
      <c r="L30" s="123" t="inlineStr">
        <is>
          <t>Buildings</t>
        </is>
      </c>
    </row>
    <row r="31" ht="18" customHeight="1" s="235">
      <c r="A31" s="123" t="n">
        <v>2013</v>
      </c>
      <c r="B31" s="123" t="inlineStr">
        <is>
          <t>energy-saving renovation of existing buildings</t>
        </is>
      </c>
      <c r="C31" s="123" t="inlineStr">
        <is>
          <t>renovate</t>
        </is>
      </c>
      <c r="D31" s="123" t="inlineStr">
        <is>
          <t>400 million square meters</t>
        </is>
      </c>
      <c r="E31" s="123" t="n"/>
      <c r="F31" s="123" t="inlineStr">
        <is>
          <t>12th FYP</t>
        </is>
      </c>
      <c r="G31" s="123" t="inlineStr">
        <is>
          <t>r</t>
        </is>
      </c>
      <c r="H31" s="123" t="inlineStr">
        <is>
          <t>Energy efficiency</t>
        </is>
      </c>
      <c r="I31" s="123" t="inlineStr">
        <is>
          <t>building owners</t>
        </is>
      </c>
      <c r="J31" s="123" t="inlineStr">
        <is>
          <t>During the 12th Five-Year Plan period, more than 400 million square meters will be renovated, and regions with conditions are encouraged to exceed the task.</t>
        </is>
      </c>
      <c r="K31" s="124" t="inlineStr">
        <is>
          <t>AP1301.htm</t>
        </is>
      </c>
      <c r="L31" s="123" t="inlineStr">
        <is>
          <t>Buildings</t>
        </is>
      </c>
    </row>
    <row r="32" ht="18" customHeight="1" s="235">
      <c r="A32" s="123" t="n">
        <v>2016</v>
      </c>
      <c r="B32" s="123" t="inlineStr">
        <is>
          <t>energy-saving renovation of existing residential buildings</t>
        </is>
      </c>
      <c r="C32" s="123" t="inlineStr">
        <is>
          <t>complete</t>
        </is>
      </c>
      <c r="D32" s="123" t="inlineStr">
        <is>
          <t>500 million square meters</t>
        </is>
      </c>
      <c r="E32" s="123" t="n"/>
      <c r="F32" s="123" t="inlineStr">
        <is>
          <t>13th FYP</t>
        </is>
      </c>
      <c r="G32" s="123" t="inlineStr">
        <is>
          <t>n</t>
        </is>
      </c>
      <c r="H32" s="123" t="inlineStr">
        <is>
          <t>Energy efficiency</t>
        </is>
      </c>
      <c r="I32" s="123" t="inlineStr">
        <is>
          <t>building owners</t>
        </is>
      </c>
      <c r="J32" s="123" t="inlineStr">
        <is>
          <t>Strengthen the energy-saving renovation of existing residential buildings, implement renovation of an area of ​​more than 500 million square meters before 2020.</t>
        </is>
      </c>
      <c r="K32" s="124" t="inlineStr">
        <is>
          <t>FYP1601.htm</t>
        </is>
      </c>
      <c r="L32" s="123" t="inlineStr">
        <is>
          <t>Buildings</t>
        </is>
      </c>
    </row>
    <row r="33" ht="18" customHeight="1" s="235">
      <c r="A33" s="123" t="n">
        <v>2013</v>
      </c>
      <c r="B33" s="123" t="inlineStr">
        <is>
          <t>energy-saving renovation of existing residential buildings in hot summer and cold winter areas</t>
        </is>
      </c>
      <c r="C33" s="123" t="inlineStr">
        <is>
          <t>complete</t>
        </is>
      </c>
      <c r="D33" s="123" t="inlineStr">
        <is>
          <t>50 million square meters</t>
        </is>
      </c>
      <c r="E33" s="123" t="n"/>
      <c r="F33" s="123" t="inlineStr">
        <is>
          <t>12th FYP</t>
        </is>
      </c>
      <c r="G33" s="123" t="inlineStr">
        <is>
          <t>r</t>
        </is>
      </c>
      <c r="H33" s="123" t="inlineStr">
        <is>
          <t>Energy efficiency</t>
        </is>
      </c>
      <c r="I33" s="123" t="inlineStr">
        <is>
          <t>areas</t>
        </is>
      </c>
      <c r="J33" s="123" t="inlineStr">
        <is>
          <t>During the 12th Five-Year Plan period, more than 50 million square meters of renovation will be completed.</t>
        </is>
      </c>
      <c r="K33" s="124" t="inlineStr">
        <is>
          <t>AP1301.htm</t>
        </is>
      </c>
      <c r="L33" s="123" t="inlineStr">
        <is>
          <t>Buildings</t>
        </is>
      </c>
    </row>
    <row r="34" ht="18" customHeight="1" s="235">
      <c r="A34" s="123" t="n">
        <v>2013</v>
      </c>
      <c r="B34" s="123" t="inlineStr">
        <is>
          <t>energy-saving renovation of existing residential buildings in hot summer and cold winter areas</t>
        </is>
      </c>
      <c r="C34" s="123" t="inlineStr">
        <is>
          <t>renovate</t>
        </is>
      </c>
      <c r="D34" s="123" t="inlineStr">
        <is>
          <t>50 million square meters</t>
        </is>
      </c>
      <c r="E34" s="123" t="n"/>
      <c r="F34" s="123" t="inlineStr">
        <is>
          <t>12th FYP</t>
        </is>
      </c>
      <c r="G34" s="123" t="inlineStr">
        <is>
          <t>n</t>
        </is>
      </c>
      <c r="H34" s="123" t="inlineStr">
        <is>
          <t>Energy efficiency</t>
        </is>
      </c>
      <c r="I34" s="123" t="inlineStr">
        <is>
          <t>areas</t>
        </is>
      </c>
      <c r="J34" s="123" t="inlineStr">
        <is>
          <t>During the 12th Five-Year Plan period, 50 million square meters of existing residential buildings in hot summer and cold winter areas will be renovated for energy conservation.</t>
        </is>
      </c>
      <c r="K34" s="124" t="inlineStr">
        <is>
          <t>AP1301.htm</t>
        </is>
      </c>
      <c r="L34" s="123" t="inlineStr">
        <is>
          <t>Buildings</t>
        </is>
      </c>
    </row>
    <row r="35" ht="18" customHeight="1" s="235">
      <c r="A35" s="123" t="n">
        <v>2012</v>
      </c>
      <c r="B35" s="123" t="inlineStr">
        <is>
          <t>energy-saving renovation of existing residential buildings in hot summer and cold winter areas</t>
        </is>
      </c>
      <c r="C35" s="123" t="inlineStr">
        <is>
          <t>complete</t>
        </is>
      </c>
      <c r="D35" s="123" t="inlineStr">
        <is>
          <t>50 million square meters</t>
        </is>
      </c>
      <c r="E35" s="123" t="n"/>
      <c r="F35" s="123" t="inlineStr">
        <is>
          <t>2015</t>
        </is>
      </c>
      <c r="G35" s="123" t="inlineStr">
        <is>
          <t>r</t>
        </is>
      </c>
      <c r="H35" s="123" t="inlineStr">
        <is>
          <t>Energy efficiency</t>
        </is>
      </c>
      <c r="I35" s="123" t="inlineStr">
        <is>
          <t>areas</t>
        </is>
      </c>
      <c r="J35" s="123" t="inlineStr">
        <is>
          <t>By 2015, 50 million square meters of energy-saving renovations will be completed in existing residential buildings in hot summer and cold winter areas,</t>
        </is>
      </c>
      <c r="K35" s="124" t="inlineStr">
        <is>
          <t>FYP1201.htm</t>
        </is>
      </c>
      <c r="L35" s="123" t="inlineStr">
        <is>
          <t>Buildings</t>
        </is>
      </c>
    </row>
    <row r="36" ht="18" customHeight="1" s="235">
      <c r="A36" s="123" t="n">
        <v>2012</v>
      </c>
      <c r="B36" s="123" t="inlineStr">
        <is>
          <t>energy-saving renovation of public buildings</t>
        </is>
      </c>
      <c r="C36" s="123" t="inlineStr">
        <is>
          <t>complete</t>
        </is>
      </c>
      <c r="D36" s="123" t="inlineStr">
        <is>
          <t>60 million square meters</t>
        </is>
      </c>
      <c r="E36" s="123" t="n"/>
      <c r="F36" s="123" t="inlineStr">
        <is>
          <t>2011-2015</t>
        </is>
      </c>
      <c r="G36" s="123" t="inlineStr">
        <is>
          <t>n</t>
        </is>
      </c>
      <c r="H36" s="123" t="inlineStr">
        <is>
          <t>Energy efficiency</t>
        </is>
      </c>
      <c r="I36" s="123" t="inlineStr">
        <is>
          <t>public institutions</t>
        </is>
      </c>
      <c r="J36" s="123" t="inlineStr">
        <is>
          <t>By 2015, a total of 60 million square meters of energy-saving renovations will be completed in public buildings.</t>
        </is>
      </c>
      <c r="K36" s="124" t="inlineStr">
        <is>
          <t>FYP1201.htm</t>
        </is>
      </c>
      <c r="L36" s="123" t="inlineStr">
        <is>
          <t>Buildings</t>
        </is>
      </c>
    </row>
    <row r="37" ht="18" customHeight="1" s="235">
      <c r="A37" s="123" t="n">
        <v>2013</v>
      </c>
      <c r="B37" s="123" t="inlineStr">
        <is>
          <t>energy-saving renovation of public buildings</t>
        </is>
      </c>
      <c r="C37" s="123" t="inlineStr">
        <is>
          <t>renovate</t>
        </is>
      </c>
      <c r="D37" s="123" t="inlineStr">
        <is>
          <t>60 million square meters</t>
        </is>
      </c>
      <c r="E37" s="123" t="n"/>
      <c r="F37" s="123" t="inlineStr">
        <is>
          <t>12th FYP</t>
        </is>
      </c>
      <c r="G37" s="123" t="inlineStr">
        <is>
          <t>r</t>
        </is>
      </c>
      <c r="H37" s="123" t="inlineStr">
        <is>
          <t>Energy efficiency</t>
        </is>
      </c>
      <c r="I37" s="123" t="inlineStr">
        <is>
          <t>public institutions</t>
        </is>
      </c>
      <c r="J37" s="123" t="inlineStr">
        <is>
          <t>During the 12th Five-Year Plan period, 60 million square meters of public buildings will be renovated.</t>
        </is>
      </c>
      <c r="K37" s="124" t="inlineStr">
        <is>
          <t>AP1301.htm</t>
        </is>
      </c>
      <c r="L37" s="123" t="inlineStr">
        <is>
          <t>Buildings</t>
        </is>
      </c>
    </row>
    <row r="38" ht="18" customHeight="1" s="235">
      <c r="A38" s="123" t="n">
        <v>2013</v>
      </c>
      <c r="B38" s="123" t="inlineStr">
        <is>
          <t>energy-saving renovation of public buildings</t>
        </is>
      </c>
      <c r="C38" s="123" t="inlineStr">
        <is>
          <t>renovate</t>
        </is>
      </c>
      <c r="D38" s="123" t="inlineStr">
        <is>
          <t>120 million square meters</t>
        </is>
      </c>
      <c r="E38" s="123" t="n"/>
      <c r="F38" s="123" t="inlineStr">
        <is>
          <t>12th FYP</t>
        </is>
      </c>
      <c r="G38" s="123" t="inlineStr">
        <is>
          <t>r</t>
        </is>
      </c>
      <c r="H38" s="123" t="inlineStr">
        <is>
          <t>Energy efficiency</t>
        </is>
      </c>
      <c r="I38" s="123" t="inlineStr">
        <is>
          <t>public institutions</t>
        </is>
      </c>
      <c r="J38" s="123" t="inlineStr">
        <is>
          <t>During the 12th Five-Year Plan period, 120 million square meters of public buildings and office buildings of public institutions will be renovated for energy conservation.</t>
        </is>
      </c>
      <c r="K38" s="124" t="inlineStr">
        <is>
          <t>AP1301.htm</t>
        </is>
      </c>
      <c r="L38" s="123" t="inlineStr">
        <is>
          <t>Buildings</t>
        </is>
      </c>
    </row>
    <row r="39" ht="18" customHeight="1" s="235">
      <c r="A39" s="123" t="n">
        <v>2012</v>
      </c>
      <c r="B39" s="123" t="inlineStr">
        <is>
          <t>energy-saving renovation of public institution office buildings</t>
        </is>
      </c>
      <c r="C39" s="123" t="inlineStr">
        <is>
          <t>complete</t>
        </is>
      </c>
      <c r="D39" s="123" t="inlineStr">
        <is>
          <t>60 million square meters</t>
        </is>
      </c>
      <c r="E39" s="123" t="n"/>
      <c r="F39" s="123" t="inlineStr">
        <is>
          <t>2015</t>
        </is>
      </c>
      <c r="G39" s="123" t="inlineStr">
        <is>
          <t>r</t>
        </is>
      </c>
      <c r="H39" s="123" t="inlineStr">
        <is>
          <t>Energy efficiency</t>
        </is>
      </c>
      <c r="I39" s="123" t="inlineStr">
        <is>
          <t>public institutions</t>
        </is>
      </c>
      <c r="J39" s="123" t="inlineStr">
        <is>
          <t>By 2015, 60 million square meters of energy-saving renovations will be completed in office buildings of public institutions.</t>
        </is>
      </c>
      <c r="K39" s="124" t="inlineStr">
        <is>
          <t>FYP1201.htm</t>
        </is>
      </c>
      <c r="L39" s="123" t="inlineStr">
        <is>
          <t>Buildings</t>
        </is>
      </c>
    </row>
    <row r="40" ht="18" customHeight="1" s="235">
      <c r="A40" s="123" t="n">
        <v>2013</v>
      </c>
      <c r="B40" s="123" t="inlineStr">
        <is>
          <t>energy-saving renovation of public institution office buildings</t>
        </is>
      </c>
      <c r="C40" s="123" t="inlineStr">
        <is>
          <t>renovate</t>
        </is>
      </c>
      <c r="D40" s="123" t="inlineStr">
        <is>
          <t>60 million square meters</t>
        </is>
      </c>
      <c r="E40" s="123" t="n"/>
      <c r="F40" s="123" t="inlineStr">
        <is>
          <t>12th FYP</t>
        </is>
      </c>
      <c r="G40" s="123" t="inlineStr">
        <is>
          <t>r</t>
        </is>
      </c>
      <c r="H40" s="123" t="inlineStr">
        <is>
          <t>Energy efficiency</t>
        </is>
      </c>
      <c r="I40" s="123" t="inlineStr">
        <is>
          <t>public institutions</t>
        </is>
      </c>
      <c r="J40" s="123" t="inlineStr">
        <is>
          <t>During the 12th Five-Year Plan period, 60 million square meters of public institution office buildings will be renovated.</t>
        </is>
      </c>
      <c r="K40" s="124" t="inlineStr">
        <is>
          <t>AP1301.htm</t>
        </is>
      </c>
      <c r="L40" s="123" t="inlineStr">
        <is>
          <t>Buildings</t>
        </is>
      </c>
    </row>
    <row r="41" ht="18" customHeight="1" s="235">
      <c r="A41" s="123" t="n">
        <v>2013</v>
      </c>
      <c r="B41" s="123" t="inlineStr">
        <is>
          <t>energy-saving renovation of rural dilapidated houses</t>
        </is>
      </c>
      <c r="C41" s="123" t="inlineStr">
        <is>
          <t>renovate</t>
        </is>
      </c>
      <c r="D41" s="123" t="inlineStr">
        <is>
          <t>400000  sets</t>
        </is>
      </c>
      <c r="E41" s="123" t="n"/>
      <c r="F41" s="123" t="inlineStr">
        <is>
          <t>12th FYP</t>
        </is>
      </c>
      <c r="G41" s="123" t="inlineStr">
        <is>
          <t>n</t>
        </is>
      </c>
      <c r="H41" s="123" t="inlineStr">
        <is>
          <t>Energy efficiency</t>
        </is>
      </c>
      <c r="I41" s="123" t="inlineStr">
        <is>
          <t>unclear</t>
        </is>
      </c>
      <c r="J41" s="123" t="inlineStr">
        <is>
          <t>During the 12th Five-Year Plan period, 400,000 sets of rural dilapidated houses will be renovated for energy conservation.</t>
        </is>
      </c>
      <c r="K41" s="124" t="inlineStr">
        <is>
          <t>AP1301.htm</t>
        </is>
      </c>
      <c r="L41" s="123" t="inlineStr">
        <is>
          <t>Buildings</t>
        </is>
      </c>
    </row>
    <row r="42" ht="18" customHeight="1" s="235">
      <c r="A42" s="123" t="n">
        <v>2017</v>
      </c>
      <c r="B42" s="123" t="inlineStr">
        <is>
          <t>geothermal heating area</t>
        </is>
      </c>
      <c r="C42" s="123" t="inlineStr">
        <is>
          <t>reach</t>
        </is>
      </c>
      <c r="D42" s="123" t="inlineStr">
        <is>
          <t>1 billion square meters</t>
        </is>
      </c>
      <c r="E42" s="123" t="n"/>
      <c r="F42" s="123" t="inlineStr">
        <is>
          <t>2021</t>
        </is>
      </c>
      <c r="G42" s="123" t="inlineStr">
        <is>
          <t>n</t>
        </is>
      </c>
      <c r="H42" s="123" t="inlineStr">
        <is>
          <t>Renewable energy</t>
        </is>
      </c>
      <c r="I42" s="123" t="inlineStr">
        <is>
          <t>areas</t>
        </is>
      </c>
      <c r="J42" s="123" t="inlineStr">
        <is>
          <t xml:space="preserve"> By 2021, the geothermal heating area will reach 1 billion square meters, including 500 million square meters of medium-deep geothermal heating and 500 million square meters of shallow geothermal heating (including ground source and water source heat pumps in electric heating).</t>
        </is>
      </c>
      <c r="K42" s="124" t="inlineStr">
        <is>
          <t>PF1701.pdf</t>
        </is>
      </c>
      <c r="L42" s="123" t="inlineStr">
        <is>
          <t>Buildings</t>
        </is>
      </c>
    </row>
    <row r="43" ht="18" customHeight="1" s="235">
      <c r="A43" s="123" t="n">
        <v>2022</v>
      </c>
      <c r="B43" s="123" t="inlineStr">
        <is>
          <t>loss rate of building materials on construction sites</t>
        </is>
      </c>
      <c r="C43" s="123" t="inlineStr">
        <is>
          <t>reduce by</t>
        </is>
      </c>
      <c r="D43" s="123" t="inlineStr">
        <is>
          <t>20%</t>
        </is>
      </c>
      <c r="E43" s="123" t="n">
        <v>2020</v>
      </c>
      <c r="F43" s="125" t="n">
        <v>2030</v>
      </c>
      <c r="G43" s="123" t="inlineStr">
        <is>
          <t>n</t>
        </is>
      </c>
      <c r="H43" s="123" t="inlineStr">
        <is>
          <t>Resource efficiency</t>
        </is>
      </c>
      <c r="I43" s="123" t="inlineStr">
        <is>
          <t>building owners</t>
        </is>
      </c>
      <c r="J43" s="123" t="inlineStr">
        <is>
          <t>Promote factory-based precision processing and refined management of building materials, and by 2030, the loss rate of building materials on construction sites will be reduced by 20% compared with 2020.</t>
        </is>
      </c>
      <c r="K43" s="124" t="inlineStr">
        <is>
          <t>IP2219.htm</t>
        </is>
      </c>
      <c r="L43" s="123" t="inlineStr">
        <is>
          <t>Buildings</t>
        </is>
      </c>
    </row>
    <row r="44" ht="18" customHeight="1" s="235">
      <c r="A44" s="123" t="n">
        <v>2024</v>
      </c>
      <c r="B44" s="123" t="inlineStr">
        <is>
          <t>nationwide PV installed capacity on buildings</t>
        </is>
      </c>
      <c r="C44" s="123" t="inlineStr">
        <is>
          <t>increase by</t>
        </is>
      </c>
      <c r="D44" s="123" t="inlineStr">
        <is>
          <t>over 50 GW</t>
        </is>
      </c>
      <c r="E44" s="123" t="n">
        <v>2024</v>
      </c>
      <c r="F44" s="123" t="inlineStr">
        <is>
          <t>2025</t>
        </is>
      </c>
      <c r="G44" s="123" t="inlineStr">
        <is>
          <t>n</t>
        </is>
      </c>
      <c r="H44" s="123" t="inlineStr">
        <is>
          <t>Renewable energy</t>
        </is>
      </c>
      <c r="I44" s="123" t="inlineStr">
        <is>
          <t>building owners</t>
        </is>
      </c>
      <c r="J44" s="123" t="inlineStr">
        <is>
          <t>By 2025, nationwide PV installed capacity on buildings will increase by over 50 GW</t>
        </is>
      </c>
      <c r="K44" s="124" t="inlineStr">
        <is>
          <t>HL2401.pdf</t>
        </is>
      </c>
      <c r="L44" s="123" t="inlineStr">
        <is>
          <t>Buildings</t>
        </is>
      </c>
    </row>
    <row r="45" ht="18" customHeight="1" s="235">
      <c r="A45" s="128" t="n">
        <v>2014</v>
      </c>
      <c r="B45" s="123" t="inlineStr">
        <is>
          <t>new green building area</t>
        </is>
      </c>
      <c r="C45" s="128" t="inlineStr">
        <is>
          <t>add</t>
        </is>
      </c>
      <c r="D45" s="128" t="inlineStr">
        <is>
          <t>300 million square meters</t>
        </is>
      </c>
      <c r="E45" s="128" t="n"/>
      <c r="F45" s="128" t="inlineStr">
        <is>
          <t>2014-2015</t>
        </is>
      </c>
      <c r="G45" s="128" t="inlineStr">
        <is>
          <t>n</t>
        </is>
      </c>
      <c r="H45" s="123" t="inlineStr">
        <is>
          <t>Energy efficiency</t>
        </is>
      </c>
      <c r="I45" s="128" t="inlineStr">
        <is>
          <t>areas</t>
        </is>
      </c>
      <c r="J45" s="128" t="inlineStr">
        <is>
          <t>By 2015, 300 million square meters of new green buildings will be added.</t>
        </is>
      </c>
      <c r="K45" s="128" t="inlineStr">
        <is>
          <t>AP1404.htm</t>
        </is>
      </c>
      <c r="L45" s="123" t="inlineStr">
        <is>
          <t>Buildings</t>
        </is>
      </c>
    </row>
    <row r="46" ht="18" customHeight="1" s="235">
      <c r="A46" s="123" t="n">
        <v>2013</v>
      </c>
      <c r="B46" s="123" t="inlineStr">
        <is>
          <t>new green building area</t>
        </is>
      </c>
      <c r="C46" s="123" t="inlineStr">
        <is>
          <t>exceed</t>
        </is>
      </c>
      <c r="D46" s="123" t="inlineStr">
        <is>
          <t>1 billion square meters</t>
        </is>
      </c>
      <c r="E46" s="123" t="n"/>
      <c r="F46" s="123" t="inlineStr">
        <is>
          <t>2015</t>
        </is>
      </c>
      <c r="G46" s="123" t="inlineStr">
        <is>
          <t>n</t>
        </is>
      </c>
      <c r="H46" s="123" t="inlineStr">
        <is>
          <t>Energy efficiency</t>
        </is>
      </c>
      <c r="I46" s="123" t="inlineStr">
        <is>
          <t>areas</t>
        </is>
      </c>
      <c r="J46" s="123" t="inlineStr">
        <is>
          <t>By 2015, the newly added green building area will exceed 1 billion square meters.</t>
        </is>
      </c>
      <c r="K46" s="124" t="inlineStr">
        <is>
          <t>O1302.htm</t>
        </is>
      </c>
      <c r="L46" s="123" t="inlineStr">
        <is>
          <t>Buildings</t>
        </is>
      </c>
    </row>
    <row r="47" ht="18" customHeight="1" s="235">
      <c r="A47" s="123" t="n">
        <v>2013</v>
      </c>
      <c r="B47" s="123" t="inlineStr">
        <is>
          <t>new green building area</t>
        </is>
      </c>
      <c r="C47" s="123" t="inlineStr">
        <is>
          <t>complete</t>
        </is>
      </c>
      <c r="D47" s="123" t="inlineStr">
        <is>
          <t>1 billion square meters</t>
        </is>
      </c>
      <c r="E47" s="123" t="n"/>
      <c r="F47" s="123" t="inlineStr">
        <is>
          <t>12th FYP</t>
        </is>
      </c>
      <c r="G47" s="123" t="inlineStr">
        <is>
          <t>r</t>
        </is>
      </c>
      <c r="H47" s="123" t="inlineStr">
        <is>
          <t>Energy efficiency</t>
        </is>
      </c>
      <c r="I47" s="123" t="inlineStr">
        <is>
          <t>areas</t>
        </is>
      </c>
      <c r="J47" s="123" t="inlineStr">
        <is>
          <t>During the 12th Five-Year Plan period, 1 billion square meters of new green buildings will be completed.</t>
        </is>
      </c>
      <c r="K47" s="124" t="inlineStr">
        <is>
          <t>AP1301.htm</t>
        </is>
      </c>
      <c r="L47" s="123" t="inlineStr">
        <is>
          <t>Buildings</t>
        </is>
      </c>
    </row>
    <row r="48" ht="18" customHeight="1" s="235">
      <c r="A48" s="123" t="n">
        <v>2024</v>
      </c>
      <c r="B48" s="123" t="inlineStr">
        <is>
          <t>new ultra-low-energy and near-zero-energy building area</t>
        </is>
      </c>
      <c r="C48" s="123" t="inlineStr">
        <is>
          <t>increase by</t>
        </is>
      </c>
      <c r="D48" s="123" t="inlineStr">
        <is>
          <t>20 million square meters</t>
        </is>
      </c>
      <c r="E48" s="123" t="n">
        <v>2023</v>
      </c>
      <c r="F48" s="123" t="inlineStr">
        <is>
          <t>2025</t>
        </is>
      </c>
      <c r="G48" s="123" t="inlineStr">
        <is>
          <t>r</t>
        </is>
      </c>
      <c r="H48" s="123" t="inlineStr">
        <is>
          <t>Energy saving</t>
        </is>
      </c>
      <c r="I48" s="123" t="inlineStr">
        <is>
          <t>areas</t>
        </is>
      </c>
      <c r="J48" s="123" t="inlineStr">
        <is>
          <t>By the end of 2025, the area of ​​new ultra-low energy consumption buildings and near-zero energy consumption buildings will increase by more than 20 million square meters compared with 2023.</t>
        </is>
      </c>
      <c r="K48" s="124" t="inlineStr">
        <is>
          <t>AP2405.htm</t>
        </is>
      </c>
      <c r="L48" s="123" t="inlineStr">
        <is>
          <t>Buildings</t>
        </is>
      </c>
    </row>
    <row r="49" ht="18" customHeight="1" s="235">
      <c r="A49" s="123" t="n">
        <v>2024</v>
      </c>
      <c r="B49" s="123" t="inlineStr">
        <is>
          <t>new ultra-low-energy and near-zero-energy building area</t>
        </is>
      </c>
      <c r="C49" s="123" t="inlineStr">
        <is>
          <t>construct</t>
        </is>
      </c>
      <c r="D49" s="123" t="inlineStr">
        <is>
          <t>50 million square meters</t>
        </is>
      </c>
      <c r="E49" s="123" t="n"/>
      <c r="F49" s="123" t="inlineStr">
        <is>
          <t>14th FYP</t>
        </is>
      </c>
      <c r="G49" s="123" t="inlineStr">
        <is>
          <t>n</t>
        </is>
      </c>
      <c r="H49" s="123" t="inlineStr">
        <is>
          <t>Energy saving</t>
        </is>
      </c>
      <c r="I49" s="123" t="inlineStr">
        <is>
          <t>areas</t>
        </is>
      </c>
      <c r="J49" s="123" t="inlineStr">
        <is>
          <t>By 2025, more than 50 million m2 of ultralow and near-zero energy buildings will be constructed.</t>
        </is>
      </c>
      <c r="K49" s="124" t="inlineStr">
        <is>
          <t>HL2401.pdf</t>
        </is>
      </c>
      <c r="L49" s="123" t="inlineStr">
        <is>
          <t>Buildings</t>
        </is>
      </c>
    </row>
    <row r="50" ht="18" customHeight="1" s="235">
      <c r="A50" s="123" t="n">
        <v>2017</v>
      </c>
      <c r="B50" s="123" t="inlineStr">
        <is>
          <t>new ultra-low-energy and near-zero-energy building area</t>
        </is>
      </c>
      <c r="C50" s="123" t="inlineStr">
        <is>
          <t>build</t>
        </is>
      </c>
      <c r="D50" s="123" t="inlineStr">
        <is>
          <t>10 million square meters</t>
        </is>
      </c>
      <c r="E50" s="123" t="n"/>
      <c r="F50" s="123" t="inlineStr">
        <is>
          <t>13th FYP</t>
        </is>
      </c>
      <c r="G50" s="123" t="inlineStr">
        <is>
          <t>n</t>
        </is>
      </c>
      <c r="H50" s="123" t="inlineStr">
        <is>
          <t>Energy saving</t>
        </is>
      </c>
      <c r="I50" s="123" t="inlineStr">
        <is>
          <t>areas</t>
        </is>
      </c>
      <c r="J50" s="123" t="inlineStr">
        <is>
          <t>By 2020, build more than 10 million square meters of ultra-low energy consumption and near-zero energy consumption building demonstration projects.</t>
        </is>
      </c>
      <c r="K50" s="124" t="inlineStr">
        <is>
          <t>FYP1706.pdf</t>
        </is>
      </c>
      <c r="L50" s="123" t="inlineStr">
        <is>
          <t>Buildings</t>
        </is>
      </c>
    </row>
    <row r="51" ht="18" customHeight="1" s="235">
      <c r="A51" s="123" t="n">
        <v>2024</v>
      </c>
      <c r="B51" s="123" t="inlineStr">
        <is>
          <t>new ultra-low-energy and near-zero-energy building area</t>
        </is>
      </c>
      <c r="C51" s="123" t="inlineStr">
        <is>
          <t>increase by</t>
        </is>
      </c>
      <c r="D51" s="123" t="inlineStr">
        <is>
          <t>20 million square meters</t>
        </is>
      </c>
      <c r="E51" s="123" t="n">
        <v>2023</v>
      </c>
      <c r="F51" s="123" t="inlineStr">
        <is>
          <t>2025</t>
        </is>
      </c>
      <c r="G51" s="123" t="inlineStr">
        <is>
          <t>r</t>
        </is>
      </c>
      <c r="H51" s="123" t="inlineStr">
        <is>
          <t>Energy saving</t>
        </is>
      </c>
      <c r="I51" s="123" t="inlineStr">
        <is>
          <t>areas</t>
        </is>
      </c>
      <c r="J51" s="123" t="inlineStr">
        <is>
          <t>By 2025, the area of new ultra-low energy consumption and near-zero energy consumption buildings will increase by more than 20 million square meters compared with 2023.</t>
        </is>
      </c>
      <c r="K51" s="124" t="inlineStr">
        <is>
          <t>WOP2403.htm</t>
        </is>
      </c>
      <c r="L51" s="123" t="inlineStr">
        <is>
          <t>Buildings</t>
        </is>
      </c>
    </row>
    <row r="52" ht="18" customHeight="1" s="235">
      <c r="A52" s="123" t="n">
        <v>2013</v>
      </c>
      <c r="B52" s="123" t="inlineStr">
        <is>
          <t>newly added renewable energy building application area</t>
        </is>
      </c>
      <c r="C52" s="123" t="inlineStr">
        <is>
          <t>reach</t>
        </is>
      </c>
      <c r="D52" s="123" t="inlineStr">
        <is>
          <t>2.5 billion square meters</t>
        </is>
      </c>
      <c r="E52" s="123" t="n"/>
      <c r="F52" s="123" t="inlineStr">
        <is>
          <t>2015</t>
        </is>
      </c>
      <c r="G52" s="123" t="inlineStr">
        <is>
          <t>n</t>
        </is>
      </c>
      <c r="H52" s="123" t="inlineStr">
        <is>
          <t>Renewable energy</t>
        </is>
      </c>
      <c r="I52" s="123" t="inlineStr">
        <is>
          <t>areas</t>
        </is>
      </c>
      <c r="J52" s="123" t="inlineStr">
        <is>
          <t>By the end of 2015, the newly added renewable energy building application area will be 2.5 billion square meters.</t>
        </is>
      </c>
      <c r="K52" s="124" t="inlineStr">
        <is>
          <t>AP1301.htm</t>
        </is>
      </c>
      <c r="L52" s="123" t="inlineStr">
        <is>
          <t>Buildings</t>
        </is>
      </c>
    </row>
    <row r="53" ht="18" customHeight="1" s="235">
      <c r="A53" s="0" t="n">
        <v>2026</v>
      </c>
      <c r="B53" s="0" t="inlineStr">
        <is>
          <t>number of energy efficiency benchmark public institutions</t>
        </is>
      </c>
      <c r="C53" s="0" t="inlineStr">
        <is>
          <t>select</t>
        </is>
      </c>
      <c r="D53" s="0" t="inlineStr">
        <is>
          <t>around 200</t>
        </is>
      </c>
      <c r="F53" s="0" t="n">
        <v>2030</v>
      </c>
      <c r="G53" s="0" t="inlineStr">
        <is>
          <t>r</t>
        </is>
      </c>
      <c r="H53" s="0" t="inlineStr">
        <is>
          <t>Energy efficiency</t>
        </is>
      </c>
      <c r="I53" s="0" t="inlineStr">
        <is>
          <t>enterprises</t>
        </is>
      </c>
      <c r="J53" s="0" t="inlineStr">
        <is>
          <t>Around 200 energy efficiency benchmark public institutions and around 200 water efficiency benchmark public institutions will be selected, ...</t>
        </is>
      </c>
      <c r="K53" s="0" t="inlineStr">
        <is>
          <t>WOP2601.htm</t>
        </is>
      </c>
      <c r="L53" s="0" t="inlineStr">
        <is>
          <t>Buildings</t>
        </is>
      </c>
    </row>
    <row r="54" ht="18" customHeight="1" s="235">
      <c r="A54" s="123" t="n">
        <v>2012</v>
      </c>
      <c r="B54" s="123" t="inlineStr">
        <is>
          <t>number of households using Coalbed Methane</t>
        </is>
      </c>
      <c r="C54" s="123" t="inlineStr">
        <is>
          <t>reach</t>
        </is>
      </c>
      <c r="D54" s="123" t="inlineStr">
        <is>
          <t>3.2 million</t>
        </is>
      </c>
      <c r="E54" s="123" t="n"/>
      <c r="F54" s="123" t="inlineStr">
        <is>
          <t>2015</t>
        </is>
      </c>
      <c r="G54" s="123" t="inlineStr">
        <is>
          <t>n</t>
        </is>
      </c>
      <c r="H54" s="123" t="inlineStr">
        <is>
          <t>Transitional energy</t>
        </is>
      </c>
      <c r="I54" s="123" t="inlineStr">
        <is>
          <t>building owners</t>
        </is>
      </c>
      <c r="J54" s="123" t="inlineStr">
        <is>
          <t>by 2015; other projected development targets are that 3.2 million households will be using CBM.</t>
        </is>
      </c>
      <c r="K54" s="124" t="inlineStr">
        <is>
          <t>HL1202.pdf</t>
        </is>
      </c>
      <c r="L54" s="123" t="inlineStr">
        <is>
          <t>Buildings</t>
        </is>
      </c>
    </row>
    <row r="55" ht="18" customHeight="1" s="235">
      <c r="A55" s="0" t="n">
        <v>2026</v>
      </c>
      <c r="B55" s="0" t="inlineStr">
        <is>
          <t>number of water efficiency benchmark public institutions</t>
        </is>
      </c>
      <c r="C55" s="0" t="inlineStr">
        <is>
          <t>select</t>
        </is>
      </c>
      <c r="D55" s="0" t="inlineStr">
        <is>
          <t>around 200</t>
        </is>
      </c>
      <c r="F55" s="0" t="n">
        <v>2030</v>
      </c>
      <c r="G55" s="0" t="inlineStr">
        <is>
          <t>n</t>
        </is>
      </c>
      <c r="H55" s="0" t="inlineStr">
        <is>
          <t>Resource efficiency</t>
        </is>
      </c>
      <c r="I55" s="0" t="inlineStr">
        <is>
          <t>enterprises</t>
        </is>
      </c>
      <c r="J55" s="0" t="inlineStr">
        <is>
          <t>Around 200 energy efficiency benchmark public institutions and around 200 water efficiency benchmark public institutions will be selected, ...</t>
        </is>
      </c>
      <c r="K55" s="0" t="inlineStr">
        <is>
          <t>WOP2601.htm</t>
        </is>
      </c>
      <c r="L55" s="0" t="inlineStr">
        <is>
          <t>Buildings</t>
        </is>
      </c>
    </row>
    <row r="56" ht="18" customHeight="1" s="235">
      <c r="A56" s="123" t="n">
        <v>2004</v>
      </c>
      <c r="B56" s="123" t="inlineStr">
        <is>
          <t>penetration rate of centralized heating in cities</t>
        </is>
      </c>
      <c r="C56" s="123" t="inlineStr">
        <is>
          <t>increase to</t>
        </is>
      </c>
      <c r="D56" s="123" t="inlineStr">
        <is>
          <t>40%</t>
        </is>
      </c>
      <c r="E56" s="123" t="n"/>
      <c r="F56" s="123" t="inlineStr">
        <is>
          <t>2010</t>
        </is>
      </c>
      <c r="G56" s="123" t="inlineStr">
        <is>
          <t>n</t>
        </is>
      </c>
      <c r="H56" s="123" t="inlineStr">
        <is>
          <t>Energy efficiency</t>
        </is>
      </c>
      <c r="I56" s="123" t="inlineStr">
        <is>
          <t>cities</t>
        </is>
      </c>
      <c r="J56" s="123" t="inlineStr">
        <is>
          <t>By 2010, the penetration rate of centralized heating in cities will increase from 27% in 2002 to 40%.</t>
        </is>
      </c>
      <c r="K56" s="124" t="inlineStr">
        <is>
          <t>MLT0401.htm</t>
        </is>
      </c>
      <c r="L56" s="123" t="inlineStr">
        <is>
          <t>Buildings</t>
        </is>
      </c>
    </row>
    <row r="57" ht="18" customHeight="1" s="235">
      <c r="A57" s="123" t="n">
        <v>2004</v>
      </c>
      <c r="B57" s="123" t="inlineStr">
        <is>
          <t>penetration rate of centralized heating in cities</t>
        </is>
      </c>
      <c r="C57" s="123" t="inlineStr">
        <is>
          <t>increase to</t>
        </is>
      </c>
      <c r="D57" s="123" t="inlineStr">
        <is>
          <t>40%</t>
        </is>
      </c>
      <c r="E57" s="123" t="n"/>
      <c r="F57" s="123" t="inlineStr">
        <is>
          <t>2010</t>
        </is>
      </c>
      <c r="G57" s="123" t="inlineStr">
        <is>
          <t>r</t>
        </is>
      </c>
      <c r="H57" s="123" t="inlineStr">
        <is>
          <t>Energy efficiency</t>
        </is>
      </c>
      <c r="I57" s="123" t="inlineStr">
        <is>
          <t>cities</t>
        </is>
      </c>
      <c r="J57" s="123" t="inlineStr">
        <is>
          <t>By 2010, the penetration rate of centralized heating in cities will increase from 27% in 2002 to 40%, with 40 million kilowatts of new cogeneration units for heating, saving 35 million tons of standard coal annually.</t>
        </is>
      </c>
      <c r="K57" s="124" t="inlineStr">
        <is>
          <t>MLT0401.htm</t>
        </is>
      </c>
      <c r="L57" s="123" t="inlineStr">
        <is>
          <t>Buildings</t>
        </is>
      </c>
    </row>
    <row r="58" ht="18" customHeight="1" s="235">
      <c r="A58" s="123" t="n">
        <v>2013</v>
      </c>
      <c r="B58" s="123" t="inlineStr">
        <is>
          <t>per capita electricity consumption in residential buildings</t>
        </is>
      </c>
      <c r="C58" s="123" t="inlineStr">
        <is>
          <t>increase to</t>
        </is>
      </c>
      <c r="D58" s="123" t="inlineStr">
        <is>
          <t>620  kwh</t>
        </is>
      </c>
      <c r="E58" s="123" t="n"/>
      <c r="F58" s="123" t="inlineStr">
        <is>
          <t>2015</t>
        </is>
      </c>
      <c r="G58" s="123" t="inlineStr">
        <is>
          <t>n</t>
        </is>
      </c>
      <c r="H58" s="123" t="inlineStr">
        <is>
          <t>Electrification</t>
        </is>
      </c>
      <c r="I58" s="123" t="inlineStr">
        <is>
          <t>building owners</t>
        </is>
      </c>
      <c r="J58" s="123" t="inlineStr">
        <is>
          <t>Residential per capita electricity consumption will increase to 620 kWh by 2015.</t>
        </is>
      </c>
      <c r="K58" s="124" t="inlineStr">
        <is>
          <t>FYP1302.htm</t>
        </is>
      </c>
      <c r="L58" s="123" t="inlineStr">
        <is>
          <t>Buildings</t>
        </is>
      </c>
    </row>
    <row r="59" ht="18" customHeight="1" s="235">
      <c r="A59" s="0" t="n">
        <v>2026</v>
      </c>
      <c r="B59" s="0" t="inlineStr">
        <is>
          <t>per capita water consumption in public institutions</t>
        </is>
      </c>
      <c r="C59" s="0" t="inlineStr">
        <is>
          <t>reduce by</t>
        </is>
      </c>
      <c r="D59" s="0" t="inlineStr">
        <is>
          <t>3%</t>
        </is>
      </c>
      <c r="E59" s="0" t="n">
        <v>2025</v>
      </c>
      <c r="F59" s="0" t="n">
        <v>2030</v>
      </c>
      <c r="G59" s="0" t="inlineStr">
        <is>
          <t>n</t>
        </is>
      </c>
      <c r="H59" s="0" t="inlineStr">
        <is>
          <t>Resource efficiency</t>
        </is>
      </c>
      <c r="I59" s="0" t="inlineStr">
        <is>
          <t>enterprises</t>
        </is>
      </c>
      <c r="J59" s="0" t="inlineStr">
        <is>
          <t>...per capita water consumption will be reduced by 3%, and total carbon emissions of public institutions will peak as early as possible before 2030.</t>
        </is>
      </c>
      <c r="K59" s="0" t="inlineStr">
        <is>
          <t>WOP2601.htm</t>
        </is>
      </c>
      <c r="L59" s="0" t="inlineStr">
        <is>
          <t>Buildings</t>
        </is>
      </c>
    </row>
    <row r="60" ht="18" customHeight="1" s="235">
      <c r="A60" s="123" t="n">
        <v>2024</v>
      </c>
      <c r="B60" s="123" t="inlineStr">
        <is>
          <t>percentage of prefabricated buildings of new urban buildings</t>
        </is>
      </c>
      <c r="C60" s="123" t="inlineStr">
        <is>
          <t>account for</t>
        </is>
      </c>
      <c r="D60" s="123" t="inlineStr">
        <is>
          <t>30%</t>
        </is>
      </c>
      <c r="E60" s="123" t="n"/>
      <c r="F60" s="123" t="inlineStr">
        <is>
          <t>2025</t>
        </is>
      </c>
      <c r="G60" s="123" t="inlineStr">
        <is>
          <t>n</t>
        </is>
      </c>
      <c r="H60" s="123" t="inlineStr">
        <is>
          <t>Resource efficiency</t>
        </is>
      </c>
      <c r="I60" s="123" t="inlineStr">
        <is>
          <t>cities</t>
        </is>
      </c>
      <c r="J60" s="123" t="inlineStr">
        <is>
          <t>By 2025, prefabricated buildings will account for 30% of urban new buildings</t>
        </is>
      </c>
      <c r="K60" s="124" t="inlineStr">
        <is>
          <t>HL2401.pdf</t>
        </is>
      </c>
      <c r="L60" s="123" t="inlineStr">
        <is>
          <t>Buildings</t>
        </is>
      </c>
    </row>
    <row r="61" ht="18" customHeight="1" s="235">
      <c r="A61" s="123" t="n">
        <v>2023</v>
      </c>
      <c r="B61" s="123" t="inlineStr">
        <is>
          <t>percentage of prefabricated buildings of new urban buildings</t>
        </is>
      </c>
      <c r="C61" s="123" t="inlineStr">
        <is>
          <t>account for</t>
        </is>
      </c>
      <c r="D61" s="123" t="inlineStr">
        <is>
          <t>30%</t>
        </is>
      </c>
      <c r="E61" s="123" t="n"/>
      <c r="F61" s="123" t="inlineStr">
        <is>
          <t>2025</t>
        </is>
      </c>
      <c r="G61" s="123" t="inlineStr">
        <is>
          <t>r</t>
        </is>
      </c>
      <c r="H61" s="123" t="inlineStr">
        <is>
          <t>Resource efficiency</t>
        </is>
      </c>
      <c r="I61" s="123" t="inlineStr">
        <is>
          <t>cities</t>
        </is>
      </c>
      <c r="J61" s="123" t="inlineStr">
        <is>
          <t>By 2025, prefabricated buildings will account for 30% of newly built construction area</t>
        </is>
      </c>
      <c r="K61" s="124" t="inlineStr">
        <is>
          <t>AP2304.htm</t>
        </is>
      </c>
      <c r="L61" s="123" t="inlineStr">
        <is>
          <t>Buildings</t>
        </is>
      </c>
    </row>
    <row r="62" ht="18" customHeight="1" s="235">
      <c r="A62" s="123" t="n">
        <v>2022</v>
      </c>
      <c r="B62" s="123" t="inlineStr">
        <is>
          <t>photovoltaic coverage rate on roofs of new buildings of public institutions</t>
        </is>
      </c>
      <c r="C62" s="123" t="inlineStr">
        <is>
          <t>reach</t>
        </is>
      </c>
      <c r="D62" s="123" t="inlineStr">
        <is>
          <t>50%</t>
        </is>
      </c>
      <c r="E62" s="123" t="n"/>
      <c r="F62" s="123" t="inlineStr">
        <is>
          <t>2025</t>
        </is>
      </c>
      <c r="G62" s="123" t="inlineStr">
        <is>
          <t>n</t>
        </is>
      </c>
      <c r="H62" s="123" t="inlineStr">
        <is>
          <t>Renewable energy</t>
        </is>
      </c>
      <c r="I62" s="123" t="inlineStr">
        <is>
          <t>public institutions</t>
        </is>
      </c>
      <c r="J62" s="123" t="inlineStr">
        <is>
          <t>By 2025, the photovoltaic coverage rate on the roofs of new buildings of public institutions will strive to reach 50%; public institutions are encouraged to install photovoltaic or solar thermal facilities in existing buildings.</t>
        </is>
      </c>
      <c r="K62" s="124" t="inlineStr">
        <is>
          <t>IP2208.htm</t>
        </is>
      </c>
      <c r="L62" s="123" t="inlineStr">
        <is>
          <t>Buildings</t>
        </is>
      </c>
    </row>
    <row r="63" ht="18" customHeight="1" s="235">
      <c r="A63" s="123" t="n">
        <v>2024</v>
      </c>
      <c r="B63" s="123" t="inlineStr">
        <is>
          <t>photovoltaic coverage rate on roofs of new public institution buildings and new factory buildings</t>
        </is>
      </c>
      <c r="C63" s="123" t="inlineStr">
        <is>
          <t>reach</t>
        </is>
      </c>
      <c r="D63" s="123" t="inlineStr">
        <is>
          <t>50%</t>
        </is>
      </c>
      <c r="E63" s="123" t="n"/>
      <c r="F63" s="123" t="inlineStr">
        <is>
          <t>2025</t>
        </is>
      </c>
      <c r="G63" s="123" t="inlineStr">
        <is>
          <t>r</t>
        </is>
      </c>
      <c r="H63" s="123" t="inlineStr">
        <is>
          <t>Renewable energy</t>
        </is>
      </c>
      <c r="I63" s="123" t="inlineStr">
        <is>
          <t>public institutions</t>
        </is>
      </c>
      <c r="J63" s="123" t="inlineStr">
        <is>
          <t>By the end of 2025, the photovoltaic coverage rate on the roofs of new public institution buildings and new factory buildings will strive to reach 50%.</t>
        </is>
      </c>
      <c r="K63" s="124" t="inlineStr">
        <is>
          <t>AP2405.htm</t>
        </is>
      </c>
      <c r="L63" s="123" t="inlineStr">
        <is>
          <t>Buildings</t>
        </is>
      </c>
    </row>
    <row r="64" ht="18" customHeight="1" s="235">
      <c r="A64" s="123" t="n">
        <v>2021</v>
      </c>
      <c r="B64" s="123" t="inlineStr">
        <is>
          <t>power usage effectiveness of data centers</t>
        </is>
      </c>
      <c r="C64" s="123" t="inlineStr">
        <is>
          <t>remain under</t>
        </is>
      </c>
      <c r="D64" s="123" t="inlineStr">
        <is>
          <t>1.5</t>
        </is>
      </c>
      <c r="E64" s="123" t="n"/>
      <c r="F64" s="123" t="inlineStr">
        <is>
          <t>2025</t>
        </is>
      </c>
      <c r="G64" s="123" t="inlineStr">
        <is>
          <t>n</t>
        </is>
      </c>
      <c r="H64" s="123" t="inlineStr">
        <is>
          <t>Energy efficiency</t>
        </is>
      </c>
      <c r="I64" s="123" t="inlineStr">
        <is>
          <t>enterprises</t>
        </is>
      </c>
      <c r="J64" s="123" t="inlineStr">
        <is>
          <t>By 2025, the energy efficiency of data centers will generally not exceed 1.5.</t>
        </is>
      </c>
      <c r="K64" s="124" t="inlineStr">
        <is>
          <t>O2102.htm</t>
        </is>
      </c>
      <c r="L64" s="123" t="inlineStr">
        <is>
          <t>Buildings</t>
        </is>
      </c>
    </row>
    <row r="65" ht="18" customHeight="1" s="235">
      <c r="A65" s="123" t="n">
        <v>2021</v>
      </c>
      <c r="B65" s="123" t="inlineStr">
        <is>
          <t>power usage effectiveness of newly built large and above data centers</t>
        </is>
      </c>
      <c r="C65" s="123" t="inlineStr">
        <is>
          <t>reduce to</t>
        </is>
      </c>
      <c r="D65" s="123" t="inlineStr">
        <is>
          <t>below 1.35</t>
        </is>
      </c>
      <c r="E65" s="123" t="n"/>
      <c r="F65" s="123" t="inlineStr">
        <is>
          <t>2021</t>
        </is>
      </c>
      <c r="G65" s="123" t="inlineStr">
        <is>
          <t>n</t>
        </is>
      </c>
      <c r="H65" s="123" t="inlineStr">
        <is>
          <t>Energy efficiency</t>
        </is>
      </c>
      <c r="I65" s="123" t="inlineStr">
        <is>
          <t>enterprises</t>
        </is>
      </c>
      <c r="J65" s="123" t="inlineStr">
        <is>
          <t>By the end of 2021, the Power Usage Effectiveness of newly built large and above data centers will be reduced to below 1.35.</t>
        </is>
      </c>
      <c r="K65" s="124" t="inlineStr">
        <is>
          <t>AP2108.htm</t>
        </is>
      </c>
      <c r="L65" s="123" t="inlineStr">
        <is>
          <t>Buildings</t>
        </is>
      </c>
    </row>
    <row r="66" ht="18" customHeight="1" s="235">
      <c r="A66" s="123" t="n">
        <v>2024</v>
      </c>
      <c r="B66" s="123" t="inlineStr">
        <is>
          <t>proportion of area of new green buildings in newly-increased areas of buildings in cities and towns</t>
        </is>
      </c>
      <c r="C66" s="123" t="inlineStr">
        <is>
          <t>reach</t>
        </is>
      </c>
      <c r="D66" s="123" t="inlineStr">
        <is>
          <t>95%</t>
        </is>
      </c>
      <c r="E66" s="123" t="n"/>
      <c r="F66" s="123" t="inlineStr">
        <is>
          <t>2023</t>
        </is>
      </c>
      <c r="G66" s="123" t="inlineStr">
        <is>
          <t>n</t>
        </is>
      </c>
      <c r="H66" s="123" t="inlineStr">
        <is>
          <t>Energy efficiency</t>
        </is>
      </c>
      <c r="I66" s="123" t="inlineStr">
        <is>
          <t>cities</t>
        </is>
      </c>
      <c r="J66" s="123" t="inlineStr">
        <is>
          <t>By 2023, the proportion of the area of new green buildings in the newly-increased areas of buildings in cities and towns reached 95%</t>
        </is>
      </c>
      <c r="K66" s="124" t="inlineStr">
        <is>
          <t>HL2404.pdf</t>
        </is>
      </c>
      <c r="L66" s="123" t="inlineStr">
        <is>
          <t>Buildings</t>
        </is>
      </c>
    </row>
    <row r="67" ht="18" customHeight="1" s="235">
      <c r="A67" s="123" t="n">
        <v>2004</v>
      </c>
      <c r="B67" s="123" t="inlineStr">
        <is>
          <t>proportion of building area of government agencies renovated to meet energy-saving standards</t>
        </is>
      </c>
      <c r="C67" s="123" t="inlineStr">
        <is>
          <t>reach</t>
        </is>
      </c>
      <c r="D67" s="123" t="inlineStr">
        <is>
          <t>20%</t>
        </is>
      </c>
      <c r="E67" s="123" t="n"/>
      <c r="F67" s="123" t="inlineStr">
        <is>
          <t>2010</t>
        </is>
      </c>
      <c r="G67" s="123" t="inlineStr">
        <is>
          <t>n</t>
        </is>
      </c>
      <c r="H67" s="123" t="inlineStr">
        <is>
          <t>Energy efficiency</t>
        </is>
      </c>
      <c r="I67" s="123" t="inlineStr">
        <is>
          <t>public institutions</t>
        </is>
      </c>
      <c r="J67" s="123" t="inlineStr">
        <is>
          <t>By 2010, the building area of government agencies renovated to meet energy-saving standards will reach 20% of the total.</t>
        </is>
      </c>
      <c r="K67" s="124" t="inlineStr">
        <is>
          <t>MLT0401.htm</t>
        </is>
      </c>
      <c r="L67" s="123" t="inlineStr">
        <is>
          <t>Buildings</t>
        </is>
      </c>
    </row>
    <row r="68" ht="18" customHeight="1" s="235">
      <c r="A68" s="123" t="n">
        <v>2024</v>
      </c>
      <c r="B68" s="123" t="inlineStr">
        <is>
          <t>proportion of coal consumption in public institutions</t>
        </is>
      </c>
      <c r="C68" s="123" t="inlineStr">
        <is>
          <t>reduce below</t>
        </is>
      </c>
      <c r="D68" s="123" t="inlineStr">
        <is>
          <t>13%</t>
        </is>
      </c>
      <c r="E68" s="123" t="n"/>
      <c r="F68" s="123" t="inlineStr">
        <is>
          <t>2025</t>
        </is>
      </c>
      <c r="G68" s="123" t="inlineStr">
        <is>
          <t>n</t>
        </is>
      </c>
      <c r="H68" s="123" t="inlineStr">
        <is>
          <t>Coal-related</t>
        </is>
      </c>
      <c r="I68" s="123" t="inlineStr">
        <is>
          <t>public institutions</t>
        </is>
      </c>
      <c r="J68" s="123" t="inlineStr">
        <is>
          <t>By the end of 2025, the proportion of coal consumption in public institutions will drop to below 13%.</t>
        </is>
      </c>
      <c r="K68" s="124" t="inlineStr">
        <is>
          <t>AP2405.htm</t>
        </is>
      </c>
      <c r="L68" s="123" t="inlineStr">
        <is>
          <t>Buildings</t>
        </is>
      </c>
    </row>
    <row r="69" ht="18" customHeight="1" s="235">
      <c r="A69" s="0" t="n">
        <v>2026</v>
      </c>
      <c r="B69" s="0" t="inlineStr">
        <is>
          <t>proportion of coal consumption in public institutions</t>
        </is>
      </c>
      <c r="C69" s="0" t="inlineStr">
        <is>
          <t>control within</t>
        </is>
      </c>
      <c r="D69" s="0" t="inlineStr">
        <is>
          <t>5%</t>
        </is>
      </c>
      <c r="F69" s="0" t="n">
        <v>2030</v>
      </c>
      <c r="G69" s="0" t="inlineStr">
        <is>
          <t>s/l-POS</t>
        </is>
      </c>
      <c r="H69" s="0" t="inlineStr">
        <is>
          <t>Coal-related</t>
        </is>
      </c>
      <c r="I69" s="0" t="inlineStr">
        <is>
          <t>enterprises</t>
        </is>
      </c>
      <c r="J69" s="0" t="inlineStr">
        <is>
          <t>Coal and other fossil energy consumption in public institutions will be strictly controlled... with the proportion of coal in total energy consumption of public institutions nationwide controlled within 5%, and regions with suitable conditions achieving zero coal combustion.</t>
        </is>
      </c>
      <c r="K69" s="0" t="inlineStr">
        <is>
          <t>WOP2601.htm</t>
        </is>
      </c>
      <c r="L69" s="0" t="inlineStr">
        <is>
          <t>Buildings</t>
        </is>
      </c>
    </row>
    <row r="70" ht="18" customHeight="1" s="235">
      <c r="A70" s="123" t="n">
        <v>2024</v>
      </c>
      <c r="B70" s="123" t="inlineStr">
        <is>
          <t>proportion of electricity consumption in building energy consumption</t>
        </is>
      </c>
      <c r="C70" s="123" t="inlineStr">
        <is>
          <t>exceed</t>
        </is>
      </c>
      <c r="D70" s="123" t="inlineStr">
        <is>
          <t>55%</t>
        </is>
      </c>
      <c r="E70" s="123" t="n"/>
      <c r="F70" s="123" t="inlineStr">
        <is>
          <t>2025</t>
        </is>
      </c>
      <c r="G70" s="123" t="inlineStr">
        <is>
          <t>n</t>
        </is>
      </c>
      <c r="H70" s="123" t="inlineStr">
        <is>
          <t>Electrification</t>
        </is>
      </c>
      <c r="I70" s="123" t="inlineStr">
        <is>
          <t>building owners</t>
        </is>
      </c>
      <c r="J70" s="123" t="inlineStr">
        <is>
          <t>By 2025, the proportion of electricity consumption in building energy consumption will exceed 55%.</t>
        </is>
      </c>
      <c r="K70" s="124" t="inlineStr">
        <is>
          <t>WOP2403.htm</t>
        </is>
      </c>
      <c r="L70" s="123" t="inlineStr">
        <is>
          <t>Buildings</t>
        </is>
      </c>
    </row>
    <row r="71" ht="18" customHeight="1" s="235">
      <c r="A71" s="123" t="n">
        <v>2024</v>
      </c>
      <c r="B71" s="123" t="inlineStr">
        <is>
          <t>proportion of electricity consumption in building energy consumption</t>
        </is>
      </c>
      <c r="C71" s="123" t="inlineStr">
        <is>
          <t>comprise</t>
        </is>
      </c>
      <c r="D71" s="123" t="inlineStr">
        <is>
          <t>55%</t>
        </is>
      </c>
      <c r="E71" s="123" t="n"/>
      <c r="F71" s="123" t="inlineStr">
        <is>
          <t>2025</t>
        </is>
      </c>
      <c r="G71" s="123" t="inlineStr">
        <is>
          <t>r</t>
        </is>
      </c>
      <c r="H71" s="123" t="inlineStr">
        <is>
          <t>Electrification</t>
        </is>
      </c>
      <c r="I71" s="123" t="inlineStr">
        <is>
          <t>building owners</t>
        </is>
      </c>
      <c r="J71" s="123" t="inlineStr">
        <is>
          <t>By 2025, electricity will comprise over 55% of building energy consumption.</t>
        </is>
      </c>
      <c r="K71" s="124" t="inlineStr">
        <is>
          <t>HL2401.pdf</t>
        </is>
      </c>
      <c r="L71" s="123" t="inlineStr">
        <is>
          <t>Buildings</t>
        </is>
      </c>
    </row>
    <row r="72" ht="18" customHeight="1" s="235">
      <c r="A72" s="123" t="n">
        <v>2017</v>
      </c>
      <c r="B72" s="123" t="inlineStr">
        <is>
          <t>proportion of green building materials used in new urban buildings</t>
        </is>
      </c>
      <c r="C72" s="123" t="inlineStr">
        <is>
          <t>exceed</t>
        </is>
      </c>
      <c r="D72" s="123" t="inlineStr">
        <is>
          <t>40%</t>
        </is>
      </c>
      <c r="E72" s="123" t="n"/>
      <c r="F72" s="123" t="inlineStr">
        <is>
          <t>2020</t>
        </is>
      </c>
      <c r="G72" s="123" t="inlineStr">
        <is>
          <t>n</t>
        </is>
      </c>
      <c r="H72" s="123" t="inlineStr">
        <is>
          <t>Resource efficiency</t>
        </is>
      </c>
      <c r="I72" s="123" t="inlineStr">
        <is>
          <t>cities</t>
        </is>
      </c>
      <c r="J72" s="123" t="inlineStr">
        <is>
          <t>By 2020, the proportion of green building materials used in new urban buildings will exceed 40%.</t>
        </is>
      </c>
      <c r="K72" s="124" t="inlineStr">
        <is>
          <t>FYP1706.pdf</t>
        </is>
      </c>
      <c r="L72" s="123" t="inlineStr">
        <is>
          <t>Buildings</t>
        </is>
      </c>
    </row>
    <row r="73" ht="18" customHeight="1" s="235">
      <c r="A73" s="123" t="n">
        <v>2014</v>
      </c>
      <c r="B73" s="123" t="inlineStr">
        <is>
          <t>proportion of green buildings in urban areas</t>
        </is>
      </c>
      <c r="C73" s="123" t="inlineStr">
        <is>
          <t>reach</t>
        </is>
      </c>
      <c r="D73" s="123" t="inlineStr">
        <is>
          <t>50%</t>
        </is>
      </c>
      <c r="E73" s="123" t="n"/>
      <c r="F73" s="123" t="inlineStr">
        <is>
          <t>2020</t>
        </is>
      </c>
      <c r="G73" s="123" t="inlineStr">
        <is>
          <t>r</t>
        </is>
      </c>
      <c r="H73" s="123" t="inlineStr">
        <is>
          <t>Energy efficiency</t>
        </is>
      </c>
      <c r="I73" s="123" t="inlineStr">
        <is>
          <t>cities</t>
        </is>
      </c>
      <c r="J73" s="123" t="inlineStr">
        <is>
          <t>By 2020, the proportion of green buildings in urban areas will reach 50% of new buildings.</t>
        </is>
      </c>
      <c r="K73" s="124" t="inlineStr">
        <is>
          <t>AP1401.htm</t>
        </is>
      </c>
      <c r="L73" s="123" t="inlineStr">
        <is>
          <t>Buildings</t>
        </is>
      </c>
    </row>
    <row r="74" ht="18" customHeight="1" s="235">
      <c r="A74" s="123" t="n">
        <v>2016</v>
      </c>
      <c r="B74" s="123" t="inlineStr">
        <is>
          <t>proportion of green buildings in urban areas in new buildings</t>
        </is>
      </c>
      <c r="C74" s="123" t="inlineStr">
        <is>
          <t>reach</t>
        </is>
      </c>
      <c r="D74" s="123" t="inlineStr">
        <is>
          <t>50%</t>
        </is>
      </c>
      <c r="E74" s="123" t="n"/>
      <c r="F74" s="123" t="inlineStr">
        <is>
          <t>2020</t>
        </is>
      </c>
      <c r="G74" s="123" t="inlineStr">
        <is>
          <t>n</t>
        </is>
      </c>
      <c r="H74" s="123" t="inlineStr">
        <is>
          <t>Energy efficiency</t>
        </is>
      </c>
      <c r="I74" s="123" t="inlineStr">
        <is>
          <t>cities</t>
        </is>
      </c>
      <c r="J74" s="123" t="inlineStr">
        <is>
          <t>Promote energy-saving renovation of existing buildings, strengthen energy conservation of new buildings, and promote green buildings. By 2020, the proportion of green buildings in urban areas will reach 50% of new buildings.</t>
        </is>
      </c>
      <c r="K74" s="124" t="inlineStr">
        <is>
          <t>FYP1615.htm</t>
        </is>
      </c>
      <c r="L74" s="123" t="inlineStr">
        <is>
          <t>Buildings</t>
        </is>
      </c>
    </row>
    <row r="75" ht="18" customHeight="1" s="235">
      <c r="A75" s="123" t="n">
        <v>2024</v>
      </c>
      <c r="B75" s="123" t="inlineStr">
        <is>
          <t>proportion of high-efficiency energy-saving products in general lighting equipment in operation</t>
        </is>
      </c>
      <c r="C75" s="123" t="inlineStr">
        <is>
          <t>reach</t>
        </is>
      </c>
      <c r="D75" s="123" t="inlineStr">
        <is>
          <t>50%</t>
        </is>
      </c>
      <c r="E75" s="123" t="n"/>
      <c r="F75" s="125" t="n">
        <v>2025</v>
      </c>
      <c r="G75" s="123" t="inlineStr">
        <is>
          <t>n</t>
        </is>
      </c>
      <c r="H75" s="123" t="inlineStr">
        <is>
          <t>Energy efficiency</t>
        </is>
      </c>
      <c r="I75" s="123" t="inlineStr">
        <is>
          <t>unclear</t>
        </is>
      </c>
      <c r="J75" s="123" t="inlineStr">
        <is>
          <t>Compared with 2021, in 2025, the proportion of high-efficiency energy-saving products in general lighting equipment in operation will reach 50%.</t>
        </is>
      </c>
      <c r="K75" s="124" t="inlineStr">
        <is>
          <t>AP2405.htm</t>
        </is>
      </c>
      <c r="L75" s="123" t="inlineStr">
        <is>
          <t>Buildings</t>
        </is>
      </c>
    </row>
    <row r="76" ht="18" customHeight="1" s="235">
      <c r="A76" s="123" t="n">
        <v>2023</v>
      </c>
      <c r="B76" s="123" t="inlineStr">
        <is>
          <t>proportion of new factories and public sector buildings installing rooftop solar panels</t>
        </is>
      </c>
      <c r="C76" s="123" t="inlineStr">
        <is>
          <t>reach</t>
        </is>
      </c>
      <c r="D76" s="123" t="inlineStr">
        <is>
          <t>60%</t>
        </is>
      </c>
      <c r="E76" s="123" t="n"/>
      <c r="F76" s="123" t="inlineStr">
        <is>
          <t>2025</t>
        </is>
      </c>
      <c r="G76" s="123" t="inlineStr">
        <is>
          <t>n</t>
        </is>
      </c>
      <c r="H76" s="123" t="inlineStr">
        <is>
          <t>Renewable energy</t>
        </is>
      </c>
      <c r="I76" s="123" t="inlineStr">
        <is>
          <t>sectors</t>
        </is>
      </c>
      <c r="J76" s="123" t="inlineStr">
        <is>
          <t>By 2025, 60% of new factories and public sector buildings will be installed with rooftop solar panels.</t>
        </is>
      </c>
      <c r="K76" s="124" t="inlineStr">
        <is>
          <t>HL2302.pdf</t>
        </is>
      </c>
      <c r="L76" s="123" t="inlineStr">
        <is>
          <t>Buildings</t>
        </is>
      </c>
    </row>
    <row r="77" ht="18" customHeight="1" s="235">
      <c r="A77" s="123" t="n">
        <v>2021</v>
      </c>
      <c r="B77" s="123" t="inlineStr">
        <is>
          <t>proportion of new public sector buildings installing rooftop solar panels</t>
        </is>
      </c>
      <c r="C77" s="123" t="inlineStr">
        <is>
          <t>reach</t>
        </is>
      </c>
      <c r="D77" s="123" t="inlineStr">
        <is>
          <t>50%</t>
        </is>
      </c>
      <c r="E77" s="123" t="n"/>
      <c r="F77" s="123" t="inlineStr">
        <is>
          <t>2025</t>
        </is>
      </c>
      <c r="G77" s="123" t="inlineStr">
        <is>
          <t>n</t>
        </is>
      </c>
      <c r="H77" s="123" t="inlineStr">
        <is>
          <t>Renewable energy</t>
        </is>
      </c>
      <c r="I77" s="123" t="inlineStr">
        <is>
          <t>sectors</t>
        </is>
      </c>
      <c r="J77" s="123" t="inlineStr">
        <is>
          <t>By 2025, we will strive to reach 50% photovoltaic coverage on the roofs of newly constructed public buildings and factories.</t>
        </is>
      </c>
      <c r="K77" s="124" t="inlineStr">
        <is>
          <t>HL2102.pdf</t>
        </is>
      </c>
      <c r="L77" s="123" t="inlineStr">
        <is>
          <t>Buildings</t>
        </is>
      </c>
    </row>
    <row r="78" ht="18" customHeight="1" s="235">
      <c r="A78" s="123" t="n">
        <v>2021</v>
      </c>
      <c r="B78" s="123" t="inlineStr">
        <is>
          <t>proportion of new public sector buildings installing rooftop solar panels</t>
        </is>
      </c>
      <c r="C78" s="123" t="inlineStr">
        <is>
          <t>reach</t>
        </is>
      </c>
      <c r="D78" s="123" t="inlineStr">
        <is>
          <t>50%</t>
        </is>
      </c>
      <c r="E78" s="123" t="n"/>
      <c r="F78" s="123" t="inlineStr">
        <is>
          <t>2025</t>
        </is>
      </c>
      <c r="G78" s="123" t="inlineStr">
        <is>
          <t>r</t>
        </is>
      </c>
      <c r="H78" s="123" t="inlineStr">
        <is>
          <t>Renewable energy</t>
        </is>
      </c>
      <c r="I78" s="123" t="inlineStr">
        <is>
          <t>sectors</t>
        </is>
      </c>
      <c r="J78" s="123" t="inlineStr">
        <is>
          <t>By 2025, the rooftop photovoltaic coverage of new public buildings and new factory buildings will strive to reach 50%.</t>
        </is>
      </c>
      <c r="K78" s="124" t="inlineStr">
        <is>
          <t>HL2104.pdf</t>
        </is>
      </c>
      <c r="L78" s="123" t="inlineStr">
        <is>
          <t>Buildings</t>
        </is>
      </c>
    </row>
    <row r="79" ht="18" customHeight="1" s="235">
      <c r="A79" s="123" t="n">
        <v>2014</v>
      </c>
      <c r="B79" s="123" t="inlineStr">
        <is>
          <t>proportion of new urban buildings meeting green building standards</t>
        </is>
      </c>
      <c r="C79" s="123" t="inlineStr">
        <is>
          <t>reach</t>
        </is>
      </c>
      <c r="D79" s="123" t="inlineStr">
        <is>
          <t>20%</t>
        </is>
      </c>
      <c r="E79" s="123" t="n"/>
      <c r="F79" s="123" t="inlineStr">
        <is>
          <t>2015</t>
        </is>
      </c>
      <c r="G79" s="123" t="inlineStr">
        <is>
          <t>r</t>
        </is>
      </c>
      <c r="H79" s="123" t="inlineStr">
        <is>
          <t>Energy efficiency</t>
        </is>
      </c>
      <c r="I79" s="123" t="inlineStr">
        <is>
          <t>public institutions</t>
        </is>
      </c>
      <c r="J79" s="123" t="inlineStr">
        <is>
          <t>By 2015, the implementation rate of green building standards for newly built urban buildings will reach 20%.</t>
        </is>
      </c>
      <c r="K79" s="124" t="inlineStr">
        <is>
          <t>AP1404.htm</t>
        </is>
      </c>
      <c r="L79" s="123" t="inlineStr">
        <is>
          <t>Buildings</t>
        </is>
      </c>
    </row>
    <row r="80" ht="18" customHeight="1" s="235">
      <c r="A80" s="123" t="n">
        <v>2013</v>
      </c>
      <c r="B80" s="123" t="inlineStr">
        <is>
          <t>proportion of new urban buildings meeting green building standards</t>
        </is>
      </c>
      <c r="C80" s="123" t="inlineStr">
        <is>
          <t>reach</t>
        </is>
      </c>
      <c r="D80" s="123" t="inlineStr">
        <is>
          <t>more than 15%</t>
        </is>
      </c>
      <c r="E80" s="123" t="n"/>
      <c r="F80" s="123" t="inlineStr">
        <is>
          <t>2015</t>
        </is>
      </c>
      <c r="G80" s="123" t="inlineStr">
        <is>
          <t>n</t>
        </is>
      </c>
      <c r="H80" s="123" t="inlineStr">
        <is>
          <t>Energy efficiency</t>
        </is>
      </c>
      <c r="I80" s="123" t="inlineStr">
        <is>
          <t>cities</t>
        </is>
      </c>
      <c r="J80" s="123" t="inlineStr">
        <is>
          <t>By 2015, more than 15% of new urban buildings will meet green building standards.</t>
        </is>
      </c>
      <c r="K80" s="124" t="inlineStr">
        <is>
          <t>DP1301.htm</t>
        </is>
      </c>
      <c r="L80" s="123" t="inlineStr">
        <is>
          <t>Buildings</t>
        </is>
      </c>
    </row>
    <row r="81" ht="18" customHeight="1" s="235">
      <c r="A81" s="123" t="n">
        <v>2024</v>
      </c>
      <c r="B81" s="123" t="inlineStr">
        <is>
          <t>proportion of new urban buildings meeting green building standards</t>
        </is>
      </c>
      <c r="C81" s="123" t="inlineStr">
        <is>
          <t>reach</t>
        </is>
      </c>
      <c r="D81" s="123" t="inlineStr">
        <is>
          <t>100%</t>
        </is>
      </c>
      <c r="E81" s="123" t="n"/>
      <c r="F81" s="123" t="inlineStr">
        <is>
          <t>2025</t>
        </is>
      </c>
      <c r="G81" s="123" t="inlineStr">
        <is>
          <t>n</t>
        </is>
      </c>
      <c r="H81" s="123" t="inlineStr">
        <is>
          <t>Energy efficiency</t>
        </is>
      </c>
      <c r="I81" s="123" t="inlineStr">
        <is>
          <t>cities</t>
        </is>
      </c>
      <c r="J81" s="123" t="inlineStr">
        <is>
          <t>By the end of 2025, all new urban buildings will fully implement green building standards.</t>
        </is>
      </c>
      <c r="K81" s="124" t="inlineStr">
        <is>
          <t>AP2405.htm</t>
        </is>
      </c>
      <c r="L81" s="123" t="inlineStr">
        <is>
          <t>Buildings</t>
        </is>
      </c>
    </row>
    <row r="82" ht="18" customHeight="1" s="235">
      <c r="A82" s="123" t="n">
        <v>2021</v>
      </c>
      <c r="B82" s="123" t="inlineStr">
        <is>
          <t>proportion of new urban buildings meeting green building standards</t>
        </is>
      </c>
      <c r="C82" s="123" t="inlineStr">
        <is>
          <t>reach</t>
        </is>
      </c>
      <c r="D82" s="123" t="inlineStr">
        <is>
          <t>100%</t>
        </is>
      </c>
      <c r="E82" s="123" t="n"/>
      <c r="F82" s="123" t="inlineStr">
        <is>
          <t>2025</t>
        </is>
      </c>
      <c r="G82" s="123" t="inlineStr">
        <is>
          <t>r</t>
        </is>
      </c>
      <c r="H82" s="123" t="inlineStr">
        <is>
          <t>Energy efficiency</t>
        </is>
      </c>
      <c r="I82" s="123" t="inlineStr">
        <is>
          <t>cities</t>
        </is>
      </c>
      <c r="J82" s="123" t="inlineStr">
        <is>
          <t>By 2025, new buildings in cities and towns will fully implement green building standards</t>
        </is>
      </c>
      <c r="K82" s="124" t="inlineStr">
        <is>
          <t>HL2104.pdf</t>
        </is>
      </c>
      <c r="L82" s="123" t="inlineStr">
        <is>
          <t>Buildings</t>
        </is>
      </c>
    </row>
    <row r="83" ht="18" customHeight="1" s="235">
      <c r="A83" s="123" t="n">
        <v>2023</v>
      </c>
      <c r="B83" s="123" t="inlineStr">
        <is>
          <t>proportion of new urban buildings meeting green building standards</t>
        </is>
      </c>
      <c r="C83" s="123" t="inlineStr">
        <is>
          <t>achieve</t>
        </is>
      </c>
      <c r="D83" s="123" t="inlineStr">
        <is>
          <t>100%</t>
        </is>
      </c>
      <c r="E83" s="123" t="n"/>
      <c r="F83" s="123" t="inlineStr">
        <is>
          <t>2025</t>
        </is>
      </c>
      <c r="G83" s="123" t="inlineStr">
        <is>
          <t>r</t>
        </is>
      </c>
      <c r="H83" s="123" t="inlineStr">
        <is>
          <t>Energy efficiency</t>
        </is>
      </c>
      <c r="I83" s="123" t="inlineStr">
        <is>
          <t>cities</t>
        </is>
      </c>
      <c r="J83" s="123" t="inlineStr">
        <is>
          <t>By 2025, all new buildings in urban areas in China will meet green building standards; at least 8% of the energy used in buildings in urban areas will be renewable</t>
        </is>
      </c>
      <c r="K83" s="124" t="inlineStr">
        <is>
          <t>HL2302.pdf</t>
        </is>
      </c>
      <c r="L83" s="123" t="inlineStr">
        <is>
          <t>Buildings</t>
        </is>
      </c>
    </row>
    <row r="84" ht="18" customHeight="1" s="235">
      <c r="A84" s="123" t="n">
        <v>2013</v>
      </c>
      <c r="B84" s="123" t="inlineStr">
        <is>
          <t>proportion of new urban buildings meeting green building standards</t>
        </is>
      </c>
      <c r="C84" s="123" t="inlineStr">
        <is>
          <t>meet</t>
        </is>
      </c>
      <c r="D84" s="123" t="inlineStr">
        <is>
          <t>20%</t>
        </is>
      </c>
      <c r="E84" s="123" t="n"/>
      <c r="F84" s="123" t="inlineStr">
        <is>
          <t>2015</t>
        </is>
      </c>
      <c r="G84" s="123" t="inlineStr">
        <is>
          <t>s/l-POS</t>
        </is>
      </c>
      <c r="H84" s="123" t="inlineStr">
        <is>
          <t>Energy efficiency</t>
        </is>
      </c>
      <c r="I84" s="123" t="inlineStr">
        <is>
          <t>cities</t>
        </is>
      </c>
      <c r="J84" s="123" t="inlineStr">
        <is>
          <t>By the end of 2015, 20% of new urban buildings will meet green building standards.</t>
        </is>
      </c>
      <c r="K84" s="124" t="inlineStr">
        <is>
          <t>AP1301.htm</t>
        </is>
      </c>
      <c r="L84" s="123" t="inlineStr">
        <is>
          <t>Buildings</t>
        </is>
      </c>
    </row>
    <row r="85" ht="18" customHeight="1" s="235">
      <c r="A85" s="123" t="n">
        <v>2013</v>
      </c>
      <c r="B85" s="123" t="inlineStr">
        <is>
          <t xml:space="preserve">proportion of new wall materials  </t>
        </is>
      </c>
      <c r="C85" s="123" t="inlineStr">
        <is>
          <t>reach</t>
        </is>
      </c>
      <c r="D85" s="123" t="inlineStr">
        <is>
          <t>more than 65%</t>
        </is>
      </c>
      <c r="E85" s="123" t="n"/>
      <c r="F85" s="123" t="inlineStr">
        <is>
          <t>2015</t>
        </is>
      </c>
      <c r="G85" s="123" t="inlineStr">
        <is>
          <t>r</t>
        </is>
      </c>
      <c r="H85" s="123" t="inlineStr">
        <is>
          <t>Resource efficiency</t>
        </is>
      </c>
      <c r="I85" s="123" t="inlineStr">
        <is>
          <t>unclear</t>
        </is>
      </c>
      <c r="J85" s="123" t="inlineStr">
        <is>
          <t>By 2015, the proportion of new wall materials will reach more than 65%.</t>
        </is>
      </c>
      <c r="K85" s="124" t="inlineStr">
        <is>
          <t>DP1301.htm</t>
        </is>
      </c>
      <c r="L85" s="123" t="inlineStr">
        <is>
          <t>Buildings</t>
        </is>
      </c>
    </row>
    <row r="86" ht="18" customHeight="1" s="235">
      <c r="A86" s="123" t="n">
        <v>2012</v>
      </c>
      <c r="B86" s="123" t="inlineStr">
        <is>
          <t xml:space="preserve">proportion of new wall materials  </t>
        </is>
      </c>
      <c r="C86" s="123" t="inlineStr">
        <is>
          <t>reach</t>
        </is>
      </c>
      <c r="D86" s="123" t="inlineStr">
        <is>
          <t>more than 65%</t>
        </is>
      </c>
      <c r="E86" s="123" t="n"/>
      <c r="F86" s="123" t="inlineStr">
        <is>
          <t>2015</t>
        </is>
      </c>
      <c r="G86" s="123" t="inlineStr">
        <is>
          <t>n</t>
        </is>
      </c>
      <c r="H86" s="123" t="inlineStr">
        <is>
          <t>Resource efficiency</t>
        </is>
      </c>
      <c r="I86" s="123" t="inlineStr">
        <is>
          <t>unclear</t>
        </is>
      </c>
      <c r="J86" s="123" t="inlineStr">
        <is>
          <t>Accelerate the development of new wall materials, and by 2015, the proportion of new wall materials will reach more than 65%.</t>
        </is>
      </c>
      <c r="K86" s="124" t="inlineStr">
        <is>
          <t>FYP1201.htm</t>
        </is>
      </c>
      <c r="L86" s="123" t="inlineStr">
        <is>
          <t>Buildings</t>
        </is>
      </c>
    </row>
    <row r="87" ht="18" customHeight="1" s="235">
      <c r="A87" s="123" t="n">
        <v>2010</v>
      </c>
      <c r="B87" s="123" t="inlineStr">
        <is>
          <t>proportion of newly built buildings in cities and towns that implement mandatory energy-saving standards</t>
        </is>
      </c>
      <c r="C87" s="123" t="inlineStr">
        <is>
          <t>reach</t>
        </is>
      </c>
      <c r="D87" s="123" t="inlineStr">
        <is>
          <t>more than 95%</t>
        </is>
      </c>
      <c r="E87" s="123" t="n"/>
      <c r="F87" s="123" t="inlineStr">
        <is>
          <t>2010</t>
        </is>
      </c>
      <c r="G87" s="123" t="inlineStr">
        <is>
          <t>n</t>
        </is>
      </c>
      <c r="H87" s="123" t="inlineStr">
        <is>
          <t>Energy efficiency</t>
        </is>
      </c>
      <c r="I87" s="123" t="inlineStr">
        <is>
          <t>cities</t>
        </is>
      </c>
      <c r="J87" s="123" t="inlineStr">
        <is>
          <t>Strengthen energy-saving supervision of newly built buildings. By the end of 2010, the proportion of newly built buildings in cities and towns across the country that implement mandatory energy-saving standards will reach more than 95%. Complete heat metering and energy-saving renovation of 50 million square meters of residential buildings in northern heating areas, and ensure that the renovation task of 150 million square meters during the 11th Five-Year Plan period is completed.</t>
        </is>
      </c>
      <c r="K87" s="124" t="inlineStr">
        <is>
          <t>N1001.htm</t>
        </is>
      </c>
      <c r="L87" s="123" t="inlineStr">
        <is>
          <t>Buildings</t>
        </is>
      </c>
    </row>
    <row r="88" ht="18" customHeight="1" s="235">
      <c r="A88" s="129" t="n">
        <v>2021</v>
      </c>
      <c r="B88" s="129" t="inlineStr">
        <is>
          <t>proportion of renewable resources used in buildings</t>
        </is>
      </c>
      <c r="C88" s="129" t="inlineStr">
        <is>
          <t>account for</t>
        </is>
      </c>
      <c r="D88" s="123" t="inlineStr">
        <is>
          <t>8%</t>
        </is>
      </c>
      <c r="E88" s="129" t="n"/>
      <c r="F88" s="129" t="inlineStr">
        <is>
          <t>2025</t>
        </is>
      </c>
      <c r="G88" s="129" t="inlineStr">
        <is>
          <t>n</t>
        </is>
      </c>
      <c r="H88" s="129" t="inlineStr">
        <is>
          <t>Renewable energy</t>
        </is>
      </c>
      <c r="I88" s="129" t="inlineStr">
        <is>
          <t>building owners</t>
        </is>
      </c>
      <c r="J88" s="129" t="inlineStr">
        <is>
          <t>By 2025, renewable resources will account for 8% of the alternative to conventional energy used in buildings</t>
        </is>
      </c>
      <c r="K88" s="130" t="inlineStr">
        <is>
          <t>HL2102.pdf</t>
        </is>
      </c>
      <c r="L88" s="129" t="inlineStr">
        <is>
          <t>Buildings</t>
        </is>
      </c>
    </row>
    <row r="89" ht="18" customHeight="1" s="235">
      <c r="A89" s="123" t="n">
        <v>2013</v>
      </c>
      <c r="B89" s="123" t="inlineStr">
        <is>
          <t>proportion of two-star and above green buildings in new urban buildings</t>
        </is>
      </c>
      <c r="C89" s="123" t="inlineStr">
        <is>
          <t>exceed</t>
        </is>
      </c>
      <c r="D89" s="123" t="inlineStr">
        <is>
          <t>20%</t>
        </is>
      </c>
      <c r="E89" s="123" t="n"/>
      <c r="F89" s="123" t="inlineStr">
        <is>
          <t>2015</t>
        </is>
      </c>
      <c r="G89" s="123" t="inlineStr">
        <is>
          <t>n</t>
        </is>
      </c>
      <c r="H89" s="123" t="inlineStr">
        <is>
          <t>Energy efficiency</t>
        </is>
      </c>
      <c r="I89" s="123" t="inlineStr">
        <is>
          <t>cities</t>
        </is>
      </c>
      <c r="J89" s="123" t="inlineStr">
        <is>
          <t>By 2015, the proportion of two-star and above green buildings in new urban buildings will exceed 20%.</t>
        </is>
      </c>
      <c r="K89" s="124" t="inlineStr">
        <is>
          <t>O1302.htm</t>
        </is>
      </c>
      <c r="L89" s="129" t="inlineStr">
        <is>
          <t>Buildings</t>
        </is>
      </c>
    </row>
    <row r="90" ht="18" customHeight="1" s="235">
      <c r="A90" s="123" t="n">
        <v>2021</v>
      </c>
      <c r="B90" s="123" t="inlineStr">
        <is>
          <t>renewable energy substitution rate in urban buildings</t>
        </is>
      </c>
      <c r="C90" s="123" t="inlineStr">
        <is>
          <t>reach</t>
        </is>
      </c>
      <c r="D90" s="123" t="inlineStr">
        <is>
          <t>8%</t>
        </is>
      </c>
      <c r="E90" s="123" t="n"/>
      <c r="F90" s="123" t="inlineStr">
        <is>
          <t>2025</t>
        </is>
      </c>
      <c r="G90" s="123" t="inlineStr">
        <is>
          <t>n</t>
        </is>
      </c>
      <c r="H90" s="123" t="inlineStr">
        <is>
          <t>Renewable energy</t>
        </is>
      </c>
      <c r="I90" s="123" t="inlineStr">
        <is>
          <t>cities</t>
        </is>
      </c>
      <c r="J90" s="123" t="inlineStr">
        <is>
          <t>By 2025, China will accelerate the optimization of the energy use structure of buildings, the fossil fuel replacement rate by renewable energies in urban buildings will reach 8%</t>
        </is>
      </c>
      <c r="K90" s="124" t="inlineStr">
        <is>
          <t>HL2104.pdf</t>
        </is>
      </c>
      <c r="L90" s="129" t="inlineStr">
        <is>
          <t>Buildings</t>
        </is>
      </c>
    </row>
    <row r="91" ht="18" customHeight="1" s="235">
      <c r="A91" s="123" t="n">
        <v>2024</v>
      </c>
      <c r="B91" s="123" t="inlineStr">
        <is>
          <t>renewable energy substitution rate in urban buildings</t>
        </is>
      </c>
      <c r="C91" s="123" t="inlineStr">
        <is>
          <t>reach</t>
        </is>
      </c>
      <c r="D91" s="123" t="inlineStr">
        <is>
          <t>8%</t>
        </is>
      </c>
      <c r="E91" s="123" t="n"/>
      <c r="F91" s="123" t="inlineStr">
        <is>
          <t>2025</t>
        </is>
      </c>
      <c r="G91" s="123" t="inlineStr">
        <is>
          <t>r</t>
        </is>
      </c>
      <c r="H91" s="123" t="inlineStr">
        <is>
          <t>Renewable energy</t>
        </is>
      </c>
      <c r="I91" s="123" t="inlineStr">
        <is>
          <t>cities</t>
        </is>
      </c>
      <c r="J91" s="123" t="inlineStr">
        <is>
          <t>By 2025, renewable energy replacement rate in urban buildings will reach 8%</t>
        </is>
      </c>
      <c r="K91" s="124" t="inlineStr">
        <is>
          <t>HL2401.pdf</t>
        </is>
      </c>
      <c r="L91" s="129" t="inlineStr">
        <is>
          <t>Buildings</t>
        </is>
      </c>
    </row>
    <row r="92" ht="18" customHeight="1" s="235">
      <c r="A92" s="123" t="n">
        <v>2024</v>
      </c>
      <c r="B92" s="123" t="inlineStr">
        <is>
          <t>renewable energy substitution rate in urban buildings</t>
        </is>
      </c>
      <c r="C92" s="123" t="inlineStr">
        <is>
          <t>reach</t>
        </is>
      </c>
      <c r="D92" s="123" t="inlineStr">
        <is>
          <t>8%</t>
        </is>
      </c>
      <c r="E92" s="123" t="n"/>
      <c r="F92" s="123" t="inlineStr">
        <is>
          <t>2025</t>
        </is>
      </c>
      <c r="G92" s="123" t="inlineStr">
        <is>
          <t>r</t>
        </is>
      </c>
      <c r="H92" s="123" t="inlineStr">
        <is>
          <t>Renewable energy</t>
        </is>
      </c>
      <c r="I92" s="123" t="inlineStr">
        <is>
          <t>cities</t>
        </is>
      </c>
      <c r="J92" s="123" t="inlineStr">
        <is>
          <t>By the end of 2025, the renewable energy substitution rate in urban buildings will reach 8%.</t>
        </is>
      </c>
      <c r="K92" s="124" t="inlineStr">
        <is>
          <t>AP2405.htm</t>
        </is>
      </c>
      <c r="L92" s="129" t="inlineStr">
        <is>
          <t>Buildings</t>
        </is>
      </c>
    </row>
    <row r="93" ht="18" customHeight="1" s="235">
      <c r="A93" s="129" t="n">
        <v>2024</v>
      </c>
      <c r="B93" s="123" t="inlineStr">
        <is>
          <t>renewable energy substitution rate in urban buildings</t>
        </is>
      </c>
      <c r="C93" s="129" t="inlineStr">
        <is>
          <t>reach</t>
        </is>
      </c>
      <c r="D93" s="129" t="inlineStr">
        <is>
          <t>8%</t>
        </is>
      </c>
      <c r="E93" s="129" t="n"/>
      <c r="F93" s="129" t="inlineStr">
        <is>
          <t>2025</t>
        </is>
      </c>
      <c r="G93" s="129" t="inlineStr">
        <is>
          <t>r</t>
        </is>
      </c>
      <c r="H93" s="123" t="inlineStr">
        <is>
          <t>Renewable energy</t>
        </is>
      </c>
      <c r="I93" s="129" t="inlineStr">
        <is>
          <t>cities</t>
        </is>
      </c>
      <c r="J93" s="129" t="inlineStr">
        <is>
          <t>By 2025, the substitution rate of renewable energy in urban buildings will reach 8%.</t>
        </is>
      </c>
      <c r="K93" s="130" t="inlineStr">
        <is>
          <t>WOP2403.htm</t>
        </is>
      </c>
      <c r="L93" s="129" t="inlineStr">
        <is>
          <t>Buildings</t>
        </is>
      </c>
    </row>
    <row r="94" ht="18" customHeight="1" s="235">
      <c r="A94" s="123" t="n">
        <v>2025</v>
      </c>
      <c r="B94" s="123" t="inlineStr">
        <is>
          <t>revenue from green building materials</t>
        </is>
      </c>
      <c r="C94" s="123" t="inlineStr">
        <is>
          <t>exceed</t>
        </is>
      </c>
      <c r="D94" s="123" t="inlineStr">
        <is>
          <t>RMB 300 billion</t>
        </is>
      </c>
      <c r="E94" s="123" t="n"/>
      <c r="F94" s="125" t="n">
        <v>2026</v>
      </c>
      <c r="G94" s="129" t="inlineStr">
        <is>
          <t>n</t>
        </is>
      </c>
      <c r="H94" s="129" t="inlineStr">
        <is>
          <t>Production-oriented</t>
        </is>
      </c>
      <c r="I94" s="129" t="inlineStr">
        <is>
          <t>sectors</t>
        </is>
      </c>
      <c r="J94" s="129" t="inlineStr">
        <is>
          <t>by 2026, operating revenue from green building materials is to exceed RMB 300 billion, and the levels of green/low-carbon and digital development are to improve markedly.</t>
        </is>
      </c>
      <c r="K94" s="130" t="inlineStr">
        <is>
          <t>WOP2504.pdf</t>
        </is>
      </c>
      <c r="L94" s="129" t="inlineStr">
        <is>
          <t>Buildings</t>
        </is>
      </c>
    </row>
    <row r="95" ht="18" customHeight="1" s="235">
      <c r="A95" s="0" t="n">
        <v>2026</v>
      </c>
      <c r="B95" s="0" t="inlineStr">
        <is>
          <t>share of electricity in total energy consumption of public institutions</t>
        </is>
      </c>
      <c r="C95" s="0" t="inlineStr">
        <is>
          <t>reach</t>
        </is>
      </c>
      <c r="D95" s="0" t="inlineStr">
        <is>
          <t>65%</t>
        </is>
      </c>
      <c r="F95" s="0" t="n">
        <v>2030</v>
      </c>
      <c r="G95" s="0" t="inlineStr">
        <is>
          <t>n</t>
        </is>
      </c>
      <c r="H95" s="0" t="inlineStr">
        <is>
          <t>Electrification</t>
        </is>
      </c>
      <c r="I95" s="0" t="inlineStr">
        <is>
          <t>enterprises</t>
        </is>
      </c>
      <c r="J95" s="0" t="inlineStr">
        <is>
          <t>Terminal electrification will be improved, ... with electricity reaching 65% of total energy consumption of public institutions nationwide.</t>
        </is>
      </c>
      <c r="K95" s="0" t="inlineStr">
        <is>
          <t>WOP2601.htm</t>
        </is>
      </c>
      <c r="L95" s="0" t="inlineStr">
        <is>
          <t>Buildings</t>
        </is>
      </c>
    </row>
    <row r="96" ht="18" customHeight="1" s="235">
      <c r="A96" s="0" t="n">
        <v>2026</v>
      </c>
      <c r="B96" s="0" t="inlineStr">
        <is>
          <t>share of newly added key energy-consuming equipment meeting advanced energy efficiency levels in central and state organs</t>
        </is>
      </c>
      <c r="C96" s="0" t="inlineStr">
        <is>
          <t>reach</t>
        </is>
      </c>
      <c r="D96" s="0" t="inlineStr">
        <is>
          <t>at least 80%</t>
        </is>
      </c>
      <c r="F96" s="0" t="inlineStr">
        <is>
          <t>15th FYP</t>
        </is>
      </c>
      <c r="G96" s="0" t="inlineStr">
        <is>
          <t>r</t>
        </is>
      </c>
      <c r="H96" s="0" t="inlineStr">
        <is>
          <t>Energy efficiency</t>
        </is>
      </c>
      <c r="I96" s="0" t="inlineStr">
        <is>
          <t>enterprises</t>
        </is>
      </c>
      <c r="J96" s="0" t="inlineStr">
        <is>
          <t>Energy conservation and carbon reduction retrofits of the departments of central state organs and their affiliated units will be carried out... with the share of newly added key energy-consuming equipment meeting advanced energy efficiency levels no less than 80%.</t>
        </is>
      </c>
      <c r="K96" s="0" t="inlineStr">
        <is>
          <t>WOP2601.htm</t>
        </is>
      </c>
      <c r="L96" s="0" t="inlineStr">
        <is>
          <t>Buildings</t>
        </is>
      </c>
    </row>
    <row r="97" ht="18" customHeight="1" s="235">
      <c r="A97" s="129" t="n">
        <v>2017</v>
      </c>
      <c r="B97" s="129" t="inlineStr">
        <is>
          <t>solar heating area</t>
        </is>
      </c>
      <c r="C97" s="129" t="inlineStr">
        <is>
          <t>reach</t>
        </is>
      </c>
      <c r="D97" s="129" t="inlineStr">
        <is>
          <t>50 million square meters</t>
        </is>
      </c>
      <c r="E97" s="129" t="n"/>
      <c r="F97" s="129" t="inlineStr">
        <is>
          <t>2021</t>
        </is>
      </c>
      <c r="G97" s="129" t="inlineStr">
        <is>
          <t>n</t>
        </is>
      </c>
      <c r="H97" s="123" t="inlineStr">
        <is>
          <t>Renewable energy</t>
        </is>
      </c>
      <c r="I97" s="129" t="inlineStr">
        <is>
          <t>areas</t>
        </is>
      </c>
      <c r="J97" s="129" t="inlineStr">
        <is>
          <t>Solar heating development goals: In conjunction with other clean heating methods, by 2021, the solar heating area target will be 50 million square meters.</t>
        </is>
      </c>
      <c r="K97" s="130" t="inlineStr">
        <is>
          <t>PF1701.pdf</t>
        </is>
      </c>
      <c r="L97" s="129" t="inlineStr">
        <is>
          <t>Buildings</t>
        </is>
      </c>
    </row>
    <row r="98" ht="18" customHeight="1" s="235">
      <c r="A98" s="129" t="n">
        <v>2022</v>
      </c>
      <c r="B98" s="129" t="inlineStr">
        <is>
          <t>transformation into energy-saving buildings of existing public buildings</t>
        </is>
      </c>
      <c r="C98" s="129" t="inlineStr">
        <is>
          <t>transform</t>
        </is>
      </c>
      <c r="D98" s="129" t="inlineStr">
        <is>
          <t>250 million square meters</t>
        </is>
      </c>
      <c r="E98" s="129" t="n"/>
      <c r="F98" s="129" t="inlineStr">
        <is>
          <t>14th FYP</t>
        </is>
      </c>
      <c r="G98" s="129" t="inlineStr">
        <is>
          <t>n</t>
        </is>
      </c>
      <c r="H98" s="129" t="inlineStr">
        <is>
          <t>Energy efficiency</t>
        </is>
      </c>
      <c r="I98" s="129" t="inlineStr">
        <is>
          <t>public institutions</t>
        </is>
      </c>
      <c r="J98" s="129" t="inlineStr">
        <is>
          <t>During the 14th Five-Year Plan period, a total of more than 250 million square meters of existing public buildings will be transformed into energy-saving buildings.</t>
        </is>
      </c>
      <c r="K98" s="129" t="inlineStr">
        <is>
          <t>FYP2206.pdf</t>
        </is>
      </c>
      <c r="L98" s="129" t="inlineStr">
        <is>
          <t>Buildings</t>
        </is>
      </c>
    </row>
    <row r="99" ht="18" customHeight="1" s="235"/>
    <row r="100" ht="18" customHeight="1" s="235"/>
    <row r="101" ht="18" customHeight="1" s="235"/>
    <row r="102" ht="18" customHeight="1" s="235"/>
    <row r="103" ht="18" customHeight="1" s="235"/>
    <row r="104" ht="18" customHeight="1" s="235"/>
    <row r="105" ht="18" customHeight="1" s="235"/>
    <row r="106" ht="18" customHeight="1" s="235"/>
    <row r="107" ht="18" customHeight="1" s="235"/>
    <row r="108" ht="18" customHeight="1" s="235"/>
    <row r="109" ht="18" customHeight="1" s="235"/>
    <row r="110" ht="18" customHeight="1" s="235"/>
    <row r="111" ht="18" customHeight="1" s="235"/>
    <row r="112" ht="18" customHeight="1" s="235"/>
    <row r="113" ht="18" customHeight="1" s="235"/>
    <row r="114" ht="18" customHeight="1" s="235"/>
    <row r="115" ht="18" customHeight="1" s="235"/>
    <row r="116" ht="18" customHeight="1" s="235"/>
    <row r="117" ht="18" customHeight="1" s="235"/>
    <row r="118" ht="18" customHeight="1" s="235"/>
    <row r="119" ht="18" customHeight="1" s="235"/>
    <row r="120" ht="18" customHeight="1" s="235"/>
    <row r="121" ht="18" customHeight="1" s="235"/>
    <row r="122" ht="18" customHeight="1" s="235"/>
    <row r="123" ht="18" customHeight="1" s="235"/>
    <row r="124" ht="18" customHeight="1" s="235"/>
    <row r="125" ht="18" customHeight="1" s="235"/>
    <row r="126" ht="18" customHeight="1" s="235"/>
    <row r="127" ht="18" customHeight="1" s="235"/>
    <row r="128" ht="18" customHeight="1" s="235"/>
    <row r="129" ht="18" customHeight="1" s="235"/>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row r="200" ht="18" customHeight="1" s="235"/>
    <row r="201" ht="18" customHeight="1" s="235"/>
    <row r="202"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L75"/>
  <sheetViews>
    <sheetView topLeftCell="A42" zoomScale="75" workbookViewId="0">
      <selection activeCell="B1" sqref="B1"/>
    </sheetView>
  </sheetViews>
  <sheetFormatPr baseColWidth="8" defaultColWidth="14" defaultRowHeight="13"/>
  <cols>
    <col width="10.699218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4" customWidth="1" style="235" min="13" max="13"/>
    <col width="17" customWidth="1" style="235" min="14" max="15"/>
    <col width="13" customWidth="1" style="235" min="16" max="20"/>
  </cols>
  <sheetData>
    <row r="1" ht="18" customHeight="1" s="235">
      <c r="A1" s="89" t="inlineStr">
        <is>
          <t>Announcement_Year</t>
        </is>
      </c>
      <c r="B1" s="89" t="inlineStr">
        <is>
          <t>Metric</t>
        </is>
      </c>
      <c r="C1" s="89" t="inlineStr">
        <is>
          <t>Direction</t>
        </is>
      </c>
      <c r="D1" s="89" t="inlineStr">
        <is>
          <t>Target_Magnitude</t>
        </is>
      </c>
      <c r="E1" s="89" t="inlineStr">
        <is>
          <t>Baseline</t>
        </is>
      </c>
      <c r="F1" s="89" t="inlineStr">
        <is>
          <t>Target_Year_or_Period</t>
        </is>
      </c>
      <c r="G1" s="89" t="inlineStr">
        <is>
          <t>Count</t>
        </is>
      </c>
      <c r="H1" s="89" t="inlineStr">
        <is>
          <t>Target_Category</t>
        </is>
      </c>
      <c r="I1" s="89" t="inlineStr">
        <is>
          <t>Accountability</t>
        </is>
      </c>
      <c r="J1" s="89" t="inlineStr">
        <is>
          <t>Sentence</t>
        </is>
      </c>
      <c r="K1" s="89" t="inlineStr">
        <is>
          <t>Document</t>
        </is>
      </c>
      <c r="L1" s="89" t="inlineStr">
        <is>
          <t>Topic_Label</t>
        </is>
      </c>
    </row>
    <row r="2" ht="18" customHeight="1" s="235">
      <c r="A2" s="131" t="n">
        <v>2014</v>
      </c>
      <c r="B2" s="131" t="inlineStr">
        <is>
          <t>annual energy-saving capacity of road, water transport and ports</t>
        </is>
      </c>
      <c r="C2" s="131" t="inlineStr">
        <is>
          <t>achieve</t>
        </is>
      </c>
      <c r="D2" s="131" t="inlineStr">
        <is>
          <t>14 million tons of standard coal</t>
        </is>
      </c>
      <c r="E2" s="131" t="n"/>
      <c r="F2" s="131" t="inlineStr">
        <is>
          <t>2015</t>
        </is>
      </c>
      <c r="G2" s="131" t="inlineStr">
        <is>
          <t>n</t>
        </is>
      </c>
      <c r="H2" s="131" t="inlineStr">
        <is>
          <t>Energy saving</t>
        </is>
      </c>
      <c r="I2" s="131" t="inlineStr">
        <is>
          <t>sectors</t>
        </is>
      </c>
      <c r="J2" s="131" t="inlineStr">
        <is>
          <t>By 2015, road, water transport and ports have created energy-saving capacity of more than 14 million tons of standard coal.</t>
        </is>
      </c>
      <c r="K2" s="132" t="inlineStr">
        <is>
          <t>AP1404.htm</t>
        </is>
      </c>
      <c r="L2" s="133" t="inlineStr">
        <is>
          <t>Transport</t>
        </is>
      </c>
    </row>
    <row r="3" ht="18" customHeight="1" s="235">
      <c r="A3" s="131" t="n">
        <v>2017</v>
      </c>
      <c r="B3" s="131" t="inlineStr">
        <is>
          <t>application rate of energy-saving technologies such as idle start-stop</t>
        </is>
      </c>
      <c r="C3" s="131" t="inlineStr">
        <is>
          <t>exceed</t>
        </is>
      </c>
      <c r="D3" s="131" t="inlineStr">
        <is>
          <t>50%</t>
        </is>
      </c>
      <c r="E3" s="131" t="n"/>
      <c r="F3" s="134" t="n">
        <v>2020</v>
      </c>
      <c r="G3" s="131" t="inlineStr">
        <is>
          <t>n</t>
        </is>
      </c>
      <c r="H3" s="131" t="inlineStr">
        <is>
          <t>Energy efficiency</t>
        </is>
      </c>
      <c r="I3" s="131" t="inlineStr">
        <is>
          <t>sectors</t>
        </is>
      </c>
      <c r="J3" s="131" t="inlineStr">
        <is>
          <t>By 2020, the application rate of energy-saving technologies in vehicles such as idle start-stop will exceed 50%.</t>
        </is>
      </c>
      <c r="K3" s="132" t="inlineStr">
        <is>
          <t>DP1701.htm</t>
        </is>
      </c>
      <c r="L3" s="131" t="inlineStr">
        <is>
          <t>Transport</t>
        </is>
      </c>
    </row>
    <row r="4" ht="18" customHeight="1" s="235">
      <c r="A4" s="131" t="n">
        <v>2013</v>
      </c>
      <c r="B4" s="131" t="inlineStr">
        <is>
          <t>application rate of high-efficiency supercharging technology in automotive gasoline engines</t>
        </is>
      </c>
      <c r="C4" s="131" t="inlineStr">
        <is>
          <t>reach</t>
        </is>
      </c>
      <c r="D4" s="131" t="inlineStr">
        <is>
          <t>30%</t>
        </is>
      </c>
      <c r="E4" s="131" t="n"/>
      <c r="F4" s="131" t="inlineStr">
        <is>
          <t>2015</t>
        </is>
      </c>
      <c r="G4" s="131" t="inlineStr">
        <is>
          <t>n</t>
        </is>
      </c>
      <c r="H4" s="131" t="inlineStr">
        <is>
          <t>Energy efficiency</t>
        </is>
      </c>
      <c r="I4" s="131" t="inlineStr">
        <is>
          <t>sectors</t>
        </is>
      </c>
      <c r="J4" s="131" t="inlineStr">
        <is>
          <t>By 2015, the application ratio of high-efficiency supercharging technology in automotive gasoline engines will reach over 30%.</t>
        </is>
      </c>
      <c r="K4" s="132" t="inlineStr">
        <is>
          <t>O1301.htm</t>
        </is>
      </c>
      <c r="L4" s="131" t="inlineStr">
        <is>
          <t>Transport</t>
        </is>
      </c>
    </row>
    <row r="5" ht="18" customHeight="1" s="235">
      <c r="A5" s="131" t="n">
        <v>2013</v>
      </c>
      <c r="B5" s="131" t="inlineStr">
        <is>
          <t>application rate of high-efficiency supercharging technology in automotive diesel engines</t>
        </is>
      </c>
      <c r="C5" s="131" t="inlineStr">
        <is>
          <t>reach</t>
        </is>
      </c>
      <c r="D5" s="131" t="inlineStr">
        <is>
          <t>100%</t>
        </is>
      </c>
      <c r="E5" s="131" t="n"/>
      <c r="F5" s="131" t="inlineStr">
        <is>
          <t>2015</t>
        </is>
      </c>
      <c r="G5" s="131" t="inlineStr">
        <is>
          <t>n</t>
        </is>
      </c>
      <c r="H5" s="131" t="inlineStr">
        <is>
          <t>Energy efficiency</t>
        </is>
      </c>
      <c r="I5" s="131" t="inlineStr">
        <is>
          <t>sectors</t>
        </is>
      </c>
      <c r="J5" s="131" t="inlineStr">
        <is>
          <t>By 2015, the penetration rate of multi-cylinder diesel engine supercharging technology will reach over 90%, the application ratio of high-efficiency supercharging technology in automotive diesel engines will reach 100%, and the application ratio in automotive gasoline engines will reach over 30%.</t>
        </is>
      </c>
      <c r="K5" s="132" t="inlineStr">
        <is>
          <t>O1301.htm</t>
        </is>
      </c>
      <c r="L5" s="131" t="inlineStr">
        <is>
          <t>Transport</t>
        </is>
      </c>
    </row>
    <row r="6" ht="18" customHeight="1" s="235">
      <c r="A6" s="131" t="n">
        <v>2012</v>
      </c>
      <c r="B6" s="131" t="inlineStr">
        <is>
          <t>average fuel consumption of energy-saving passenger cars produced that year</t>
        </is>
      </c>
      <c r="C6" s="131" t="inlineStr">
        <is>
          <t>reduce to</t>
        </is>
      </c>
      <c r="D6" s="131" t="inlineStr">
        <is>
          <t>below 4.5 liters per 100 kilometers</t>
        </is>
      </c>
      <c r="E6" s="131" t="n"/>
      <c r="F6" s="131" t="inlineStr">
        <is>
          <t>2020</t>
        </is>
      </c>
      <c r="G6" s="131" t="inlineStr">
        <is>
          <t>n</t>
        </is>
      </c>
      <c r="H6" s="131" t="inlineStr">
        <is>
          <t>Energy efficiency</t>
        </is>
      </c>
      <c r="I6" s="131" t="inlineStr">
        <is>
          <t>sectors</t>
        </is>
      </c>
      <c r="J6" s="131" t="inlineStr">
        <is>
          <t>By 2020, the fuel consumption of energy-saving passenger cars will drop to below 4.5 liters per 100 kilometers.</t>
        </is>
      </c>
      <c r="K6" s="132" t="inlineStr">
        <is>
          <t>DP1201.htm</t>
        </is>
      </c>
      <c r="L6" s="131" t="inlineStr">
        <is>
          <t>Transport</t>
        </is>
      </c>
    </row>
    <row r="7" ht="18" customHeight="1" s="235">
      <c r="A7" s="131" t="n">
        <v>2017</v>
      </c>
      <c r="B7" s="131" t="inlineStr">
        <is>
          <t>average fuel consumption of energy-saving passenger cars produced that year</t>
        </is>
      </c>
      <c r="C7" s="131" t="inlineStr">
        <is>
          <t>reduce to</t>
        </is>
      </c>
      <c r="D7" s="131" t="inlineStr">
        <is>
          <t>4.5 liters per 100 kilometers</t>
        </is>
      </c>
      <c r="E7" s="131" t="n"/>
      <c r="F7" s="131" t="inlineStr">
        <is>
          <t>2020</t>
        </is>
      </c>
      <c r="G7" s="131" t="inlineStr">
        <is>
          <t>r</t>
        </is>
      </c>
      <c r="H7" s="131" t="inlineStr">
        <is>
          <t>Energy efficiency</t>
        </is>
      </c>
      <c r="I7" s="131" t="inlineStr">
        <is>
          <t>sectors</t>
        </is>
      </c>
      <c r="J7" s="131" t="inlineStr">
        <is>
          <t>By 2020, the fuel consumption of energy-saving cars will be reduced to below 4.5 liters per 100 kilometers.</t>
        </is>
      </c>
      <c r="K7" s="132" t="inlineStr">
        <is>
          <t>DP1701.htm</t>
        </is>
      </c>
      <c r="L7" s="131" t="inlineStr">
        <is>
          <t>Transport</t>
        </is>
      </c>
    </row>
    <row r="8" ht="18" customHeight="1" s="235">
      <c r="A8" s="131" t="n">
        <v>2013</v>
      </c>
      <c r="B8" s="131" t="inlineStr">
        <is>
          <t>average fuel consumption of newly produced automotive diesel engines</t>
        </is>
      </c>
      <c r="C8" s="131" t="inlineStr">
        <is>
          <t>reduce by</t>
        </is>
      </c>
      <c r="D8" s="131" t="inlineStr">
        <is>
          <t>5%-8%</t>
        </is>
      </c>
      <c r="E8" s="131" t="n">
        <v>2010</v>
      </c>
      <c r="F8" s="131" t="inlineStr">
        <is>
          <t>2015</t>
        </is>
      </c>
      <c r="G8" s="131" t="inlineStr">
        <is>
          <t>n</t>
        </is>
      </c>
      <c r="H8" s="131" t="inlineStr">
        <is>
          <t>Energy efficiency</t>
        </is>
      </c>
      <c r="I8" s="131" t="inlineStr">
        <is>
          <t>sectors</t>
        </is>
      </c>
      <c r="J8" s="131" t="inlineStr">
        <is>
          <t>By 2015, all newly produced automotive diesel engines will use high-pressure fuel injection systems, and fuel consumption will be reduced by 5%-8% compared with 2010.</t>
        </is>
      </c>
      <c r="K8" s="132" t="inlineStr">
        <is>
          <t>O1301.htm</t>
        </is>
      </c>
      <c r="L8" s="131" t="inlineStr">
        <is>
          <t>Transport</t>
        </is>
      </c>
    </row>
    <row r="9" ht="18" customHeight="1" s="235">
      <c r="A9" s="131" t="n">
        <v>2013</v>
      </c>
      <c r="B9" s="131" t="inlineStr">
        <is>
          <t>average fuel consumption of newly produced automotive gasoline engines</t>
        </is>
      </c>
      <c r="C9" s="131" t="inlineStr">
        <is>
          <t>reduce by</t>
        </is>
      </c>
      <c r="D9" s="131" t="inlineStr">
        <is>
          <t>8%-10%</t>
        </is>
      </c>
      <c r="E9" s="131" t="n">
        <v>2010</v>
      </c>
      <c r="F9" s="131" t="inlineStr">
        <is>
          <t>2015</t>
        </is>
      </c>
      <c r="G9" s="131" t="inlineStr">
        <is>
          <t>n</t>
        </is>
      </c>
      <c r="H9" s="131" t="inlineStr">
        <is>
          <t>Energy efficiency</t>
        </is>
      </c>
      <c r="I9" s="131" t="inlineStr">
        <is>
          <t>sectors</t>
        </is>
      </c>
      <c r="J9" s="131" t="inlineStr">
        <is>
          <t>By 2015, fuel consumption of newly produced automotive gasoline engines will be reduced by 8%-10% compared with 2010.</t>
        </is>
      </c>
      <c r="K9" s="132" t="inlineStr">
        <is>
          <t>O1301.htm</t>
        </is>
      </c>
      <c r="L9" s="131" t="inlineStr">
        <is>
          <t>Transport</t>
        </is>
      </c>
    </row>
    <row r="10" ht="18" customHeight="1" s="235">
      <c r="A10" s="131" t="n">
        <v>2017</v>
      </c>
      <c r="B10" s="131" t="inlineStr">
        <is>
          <t>average fuel consumption of passenger cars produced that year</t>
        </is>
      </c>
      <c r="C10" s="131" t="inlineStr">
        <is>
          <t>reach</t>
        </is>
      </c>
      <c r="D10" s="131" t="inlineStr">
        <is>
          <t>5 liters per 100 kilometers</t>
        </is>
      </c>
      <c r="E10" s="131" t="n"/>
      <c r="F10" s="131" t="inlineStr">
        <is>
          <t>2020</t>
        </is>
      </c>
      <c r="G10" s="131" t="inlineStr">
        <is>
          <t>s/l-NEG</t>
        </is>
      </c>
      <c r="H10" s="131" t="inlineStr">
        <is>
          <t>Energy efficiency</t>
        </is>
      </c>
      <c r="I10" s="131" t="inlineStr">
        <is>
          <t>sectors</t>
        </is>
      </c>
      <c r="J10" s="131" t="inlineStr">
        <is>
          <t>By 2020, the average fuel consumption of new passenger cars will reach 5 liters per 100 kilometers.</t>
        </is>
      </c>
      <c r="K10" s="132" t="inlineStr">
        <is>
          <t>DP1701.htm</t>
        </is>
      </c>
      <c r="L10" s="131" t="inlineStr">
        <is>
          <t>Transport</t>
        </is>
      </c>
    </row>
    <row r="11" ht="18" customHeight="1" s="235">
      <c r="A11" s="131" t="n">
        <v>2017</v>
      </c>
      <c r="B11" s="131" t="inlineStr">
        <is>
          <t>average fuel consumption of passenger cars produced that year</t>
        </is>
      </c>
      <c r="C11" s="131" t="inlineStr">
        <is>
          <t>reduce by</t>
        </is>
      </c>
      <c r="D11" s="131" t="inlineStr">
        <is>
          <t>20%</t>
        </is>
      </c>
      <c r="E11" s="131" t="n">
        <v>2020</v>
      </c>
      <c r="F11" s="131" t="inlineStr">
        <is>
          <t>2025</t>
        </is>
      </c>
      <c r="G11" s="131" t="inlineStr">
        <is>
          <t>n</t>
        </is>
      </c>
      <c r="H11" s="131" t="inlineStr">
        <is>
          <t>Energy efficiency</t>
        </is>
      </c>
      <c r="I11" s="131" t="inlineStr">
        <is>
          <t>sectors</t>
        </is>
      </c>
      <c r="J11" s="131" t="inlineStr">
        <is>
          <t>By 2025, the average fuel consumption of new passenger cars will be 20% lower than that in 2020.</t>
        </is>
      </c>
      <c r="K11" s="132" t="inlineStr">
        <is>
          <t>DP1701.htm</t>
        </is>
      </c>
      <c r="L11" s="131" t="inlineStr">
        <is>
          <t>Transport</t>
        </is>
      </c>
    </row>
    <row r="12" ht="18" customHeight="1" s="235">
      <c r="A12" s="131" t="n">
        <v>2016</v>
      </c>
      <c r="B12" s="131" t="inlineStr">
        <is>
          <t>average fuel consumption of passenger cars produced that year</t>
        </is>
      </c>
      <c r="C12" s="131" t="inlineStr">
        <is>
          <t>reduce to</t>
        </is>
      </c>
      <c r="D12" s="131" t="inlineStr">
        <is>
          <t>5.0 liters per 100 kilometers</t>
        </is>
      </c>
      <c r="E12" s="131" t="n"/>
      <c r="F12" s="131" t="inlineStr">
        <is>
          <t>2020</t>
        </is>
      </c>
      <c r="G12" s="131" t="inlineStr">
        <is>
          <t>r</t>
        </is>
      </c>
      <c r="H12" s="131" t="inlineStr">
        <is>
          <t>Energy efficiency</t>
        </is>
      </c>
      <c r="I12" s="131" t="inlineStr">
        <is>
          <t>sectors</t>
        </is>
      </c>
      <c r="J12" s="131" t="inlineStr">
        <is>
          <t>Improve the energy efficiency of transportation vehicles, and by 2020 reduce the average fuel consumption of new passenger cars to 5.0 liters per 100 kilometers.</t>
        </is>
      </c>
      <c r="K12" s="132" t="inlineStr">
        <is>
          <t>FYP1601.htm</t>
        </is>
      </c>
      <c r="L12" s="131" t="inlineStr">
        <is>
          <t>Transport</t>
        </is>
      </c>
    </row>
    <row r="13" ht="18" customHeight="1" s="235">
      <c r="A13" s="131" t="n">
        <v>2012</v>
      </c>
      <c r="B13" s="131" t="inlineStr">
        <is>
          <t>average fuel consumption of passenger cars produced that year</t>
        </is>
      </c>
      <c r="C13" s="131" t="inlineStr">
        <is>
          <t>reduce to</t>
        </is>
      </c>
      <c r="D13" s="131" t="inlineStr">
        <is>
          <t>6.9 liters per 100 kilometers</t>
        </is>
      </c>
      <c r="E13" s="131" t="n"/>
      <c r="F13" s="131" t="inlineStr">
        <is>
          <t>2015</t>
        </is>
      </c>
      <c r="G13" s="131" t="inlineStr">
        <is>
          <t>n</t>
        </is>
      </c>
      <c r="H13" s="131" t="inlineStr">
        <is>
          <t>Energy efficiency</t>
        </is>
      </c>
      <c r="I13" s="131" t="inlineStr">
        <is>
          <t>sectors</t>
        </is>
      </c>
      <c r="J13" s="131" t="inlineStr">
        <is>
          <t>By 2015, the average fuel consumption of passenger cars produced that year dropped to 6.9 liters per 100 kilometers.</t>
        </is>
      </c>
      <c r="K13" s="132" t="inlineStr">
        <is>
          <t>DP1201.htm</t>
        </is>
      </c>
      <c r="L13" s="131" t="inlineStr">
        <is>
          <t>Transport</t>
        </is>
      </c>
    </row>
    <row r="14" ht="18" customHeight="1" s="235">
      <c r="A14" s="131" t="n">
        <v>2012</v>
      </c>
      <c r="B14" s="131" t="inlineStr">
        <is>
          <t>average fuel consumption of passenger cars produced that year</t>
        </is>
      </c>
      <c r="C14" s="131" t="inlineStr">
        <is>
          <t>reduce to</t>
        </is>
      </c>
      <c r="D14" s="131" t="inlineStr">
        <is>
          <t>5.0 liters per 100 kilometers</t>
        </is>
      </c>
      <c r="E14" s="131" t="n"/>
      <c r="F14" s="131" t="inlineStr">
        <is>
          <t>2020</t>
        </is>
      </c>
      <c r="G14" s="131" t="inlineStr">
        <is>
          <t>r</t>
        </is>
      </c>
      <c r="H14" s="131" t="inlineStr">
        <is>
          <t>Energy efficiency</t>
        </is>
      </c>
      <c r="I14" s="131" t="inlineStr">
        <is>
          <t>sectors</t>
        </is>
      </c>
      <c r="J14" s="131" t="inlineStr">
        <is>
          <t>By 2020, the average fuel consumption of passenger cars produced that year will drop to 5.0 liters per 100 kilometers.</t>
        </is>
      </c>
      <c r="K14" s="132" t="inlineStr">
        <is>
          <t>DP1201.htm</t>
        </is>
      </c>
      <c r="L14" s="131" t="inlineStr">
        <is>
          <t>Transport</t>
        </is>
      </c>
    </row>
    <row r="15" ht="18" customHeight="1" s="235">
      <c r="A15" s="131" t="n">
        <v>2017</v>
      </c>
      <c r="B15" s="131" t="inlineStr">
        <is>
          <t>average fuel consumption of passenger cars produced that year</t>
        </is>
      </c>
      <c r="C15" s="131" t="inlineStr">
        <is>
          <t>reduce to</t>
        </is>
      </c>
      <c r="D15" s="131" t="inlineStr">
        <is>
          <t>5.0 liters per 100 kilometers</t>
        </is>
      </c>
      <c r="E15" s="131" t="n"/>
      <c r="F15" s="131" t="inlineStr">
        <is>
          <t>2020</t>
        </is>
      </c>
      <c r="G15" s="131" t="inlineStr">
        <is>
          <t>r</t>
        </is>
      </c>
      <c r="H15" s="131" t="inlineStr">
        <is>
          <t>Energy efficiency</t>
        </is>
      </c>
      <c r="I15" s="131" t="inlineStr">
        <is>
          <t>sectors</t>
        </is>
      </c>
      <c r="J15" s="131" t="inlineStr">
        <is>
          <t>By 2020, the average fuel consumption of new passenger cars will be reduced to 5.0 liters per 100 kilometers.</t>
        </is>
      </c>
      <c r="K15" s="132" t="inlineStr">
        <is>
          <t>DP1701.htm</t>
        </is>
      </c>
      <c r="L15" s="131" t="inlineStr">
        <is>
          <t>Transport</t>
        </is>
      </c>
    </row>
    <row r="16" ht="18" customHeight="1" s="235">
      <c r="A16" s="131" t="n">
        <v>2017</v>
      </c>
      <c r="B16" s="131" t="inlineStr">
        <is>
          <t>average fuel consumption of passenger cars produced that year</t>
        </is>
      </c>
      <c r="C16" s="131" t="inlineStr">
        <is>
          <t>reduce to</t>
        </is>
      </c>
      <c r="D16" s="131" t="inlineStr">
        <is>
          <t>4.0 liters per 100 kilometers</t>
        </is>
      </c>
      <c r="E16" s="131" t="n"/>
      <c r="F16" s="131" t="inlineStr">
        <is>
          <t>2025</t>
        </is>
      </c>
      <c r="G16" s="131" t="inlineStr">
        <is>
          <t>s/l-POS</t>
        </is>
      </c>
      <c r="H16" s="131" t="inlineStr">
        <is>
          <t>Energy efficiency</t>
        </is>
      </c>
      <c r="I16" s="131" t="inlineStr">
        <is>
          <t>sectors</t>
        </is>
      </c>
      <c r="J16" s="131" t="inlineStr">
        <is>
          <t>By 2025, the average fuel consumption of new passenger cars will be reduced to 4.0 liters per 100 kilometers.</t>
        </is>
      </c>
      <c r="K16" s="132" t="inlineStr">
        <is>
          <t>DP1701.htm</t>
        </is>
      </c>
      <c r="L16" s="131" t="inlineStr">
        <is>
          <t>Transport</t>
        </is>
      </c>
    </row>
    <row r="17" ht="18" customHeight="1" s="235">
      <c r="A17" s="131" t="n">
        <v>2013</v>
      </c>
      <c r="B17" s="131" t="inlineStr">
        <is>
          <t xml:space="preserve">average fuel consumption rate of internal combustion engines  </t>
        </is>
      </c>
      <c r="C17" s="131" t="inlineStr">
        <is>
          <t>reduce by</t>
        </is>
      </c>
      <c r="D17" s="131" t="inlineStr">
        <is>
          <t>6%–10%</t>
        </is>
      </c>
      <c r="E17" s="131" t="n">
        <v>2010</v>
      </c>
      <c r="F17" s="131" t="inlineStr">
        <is>
          <t>2015</t>
        </is>
      </c>
      <c r="G17" s="131" t="inlineStr">
        <is>
          <t>n</t>
        </is>
      </c>
      <c r="H17" s="131" t="inlineStr">
        <is>
          <t>Energy efficiency</t>
        </is>
      </c>
      <c r="I17" s="131" t="inlineStr">
        <is>
          <t>sectors</t>
        </is>
      </c>
      <c r="J17" s="131" t="inlineStr">
        <is>
          <t>By 2015, the fuel consumption rate of internal combustion engines will be reduced by 6%–10% compared with 2010 levels.</t>
        </is>
      </c>
      <c r="K17" s="132" t="inlineStr">
        <is>
          <t>O1301.htm</t>
        </is>
      </c>
      <c r="L17" s="131" t="inlineStr">
        <is>
          <t>Transport</t>
        </is>
      </c>
    </row>
    <row r="18" ht="18" customHeight="1" s="235">
      <c r="A18" s="131" t="n">
        <v>2013</v>
      </c>
      <c r="B18" s="131" t="inlineStr">
        <is>
          <t>commercial fuel savings from energy-saving internal combustion engines</t>
        </is>
      </c>
      <c r="C18" s="131" t="inlineStr">
        <is>
          <t>reach</t>
        </is>
      </c>
      <c r="D18" s="131" t="inlineStr">
        <is>
          <t>20 million tons of commercial fuel</t>
        </is>
      </c>
      <c r="E18" s="131" t="n"/>
      <c r="F18" s="131" t="inlineStr">
        <is>
          <t>2015</t>
        </is>
      </c>
      <c r="G18" s="131" t="inlineStr">
        <is>
          <t>n</t>
        </is>
      </c>
      <c r="H18" s="131" t="inlineStr">
        <is>
          <t>Energy saving</t>
        </is>
      </c>
      <c r="I18" s="131" t="inlineStr">
        <is>
          <t>sectors</t>
        </is>
      </c>
      <c r="J18" s="131" t="inlineStr">
        <is>
          <t>By 2015, 20 million tons of commercial fuel will be saved through energy-saving internal combustion engines.</t>
        </is>
      </c>
      <c r="K18" s="132" t="inlineStr">
        <is>
          <t>O1301.htm</t>
        </is>
      </c>
      <c r="L18" s="131" t="inlineStr">
        <is>
          <t>Transport</t>
        </is>
      </c>
    </row>
    <row r="19" ht="18" customHeight="1" s="235">
      <c r="A19" s="131" t="n">
        <v>2016</v>
      </c>
      <c r="B19" s="131" t="inlineStr">
        <is>
          <t>average operating efficiency of motors and internal combustion</t>
        </is>
      </c>
      <c r="C19" s="131" t="inlineStr">
        <is>
          <t>increase by</t>
        </is>
      </c>
      <c r="D19" s="131" t="inlineStr">
        <is>
          <t>5 percentage points</t>
        </is>
      </c>
      <c r="E19" s="131" t="n"/>
      <c r="F19" s="131" t="inlineStr">
        <is>
          <t>2020</t>
        </is>
      </c>
      <c r="G19" s="131" t="inlineStr">
        <is>
          <t>n</t>
        </is>
      </c>
      <c r="H19" s="131" t="inlineStr">
        <is>
          <t>Energy efficiency</t>
        </is>
      </c>
      <c r="I19" s="131" t="inlineStr">
        <is>
          <t>sectors</t>
        </is>
      </c>
      <c r="J19" s="131" t="inlineStr">
        <is>
          <t>By 2020, the average operating efficiency of motors and internal combustion engine systems will be increased by 5 percentage points.</t>
        </is>
      </c>
      <c r="K19" s="132" t="inlineStr">
        <is>
          <t>DP1601.htm</t>
        </is>
      </c>
      <c r="L19" s="131" t="inlineStr">
        <is>
          <t>Transport</t>
        </is>
      </c>
    </row>
    <row r="20" ht="18" customHeight="1" s="235">
      <c r="A20" s="131" t="n">
        <v>2013</v>
      </c>
      <c r="B20" s="131" t="inlineStr">
        <is>
          <t>charging infrastructure system capacity for EVs</t>
        </is>
      </c>
      <c r="C20" s="131" t="inlineStr">
        <is>
          <t>serve</t>
        </is>
      </c>
      <c r="D20" s="131" t="inlineStr">
        <is>
          <t>500000 EVs</t>
        </is>
      </c>
      <c r="E20" s="131" t="n"/>
      <c r="F20" s="131" t="inlineStr">
        <is>
          <t>2015</t>
        </is>
      </c>
      <c r="G20" s="131" t="inlineStr">
        <is>
          <t>n</t>
        </is>
      </c>
      <c r="H20" s="131" t="inlineStr">
        <is>
          <t>Green transportation</t>
        </is>
      </c>
      <c r="I20" s="131" t="inlineStr">
        <is>
          <t>whole economy</t>
        </is>
      </c>
      <c r="J20" s="131" t="inlineStr">
        <is>
          <t>By 2015, a charging infrastructure system for 500,000 electric vehicles will be established.</t>
        </is>
      </c>
      <c r="K20" s="132" t="inlineStr">
        <is>
          <t>FYP1302.htm</t>
        </is>
      </c>
      <c r="L20" s="131" t="inlineStr">
        <is>
          <t>Transport</t>
        </is>
      </c>
    </row>
    <row r="21" ht="18" customHeight="1" s="235">
      <c r="A21" s="0" t="n">
        <v>2026</v>
      </c>
      <c r="B21" s="0" t="inlineStr">
        <is>
          <t>electrification rate of fixed-route short-haul transport in the Beijing-Tianjin-Hebei region, Fenwei Plain and other areas</t>
        </is>
      </c>
      <c r="C21" s="0" t="inlineStr">
        <is>
          <t>exceed</t>
        </is>
      </c>
      <c r="D21" s="0" t="inlineStr">
        <is>
          <t>80%</t>
        </is>
      </c>
      <c r="F21" s="0" t="n">
        <v>2030</v>
      </c>
      <c r="G21" s="0" t="inlineStr">
        <is>
          <t>n</t>
        </is>
      </c>
      <c r="H21" s="0" t="inlineStr">
        <is>
          <t>Green transportation</t>
        </is>
      </c>
      <c r="I21" s="0" t="inlineStr">
        <is>
          <t>areas</t>
        </is>
      </c>
      <c r="J21" s="0" t="inlineStr">
        <is>
          <t>The electrification rate of fixed-route short-haul transport in the Beijing-Tianjin-Hebei region, Fenwei Plain and other areas will exceed 80%;</t>
        </is>
      </c>
      <c r="K21" s="0" t="inlineStr">
        <is>
          <t>IP2603.htm</t>
        </is>
      </c>
      <c r="L21" s="0" t="inlineStr">
        <is>
          <t>Transport</t>
        </is>
      </c>
    </row>
    <row r="22" ht="18" customHeight="1" s="235">
      <c r="A22" s="0" t="n">
        <v>2026</v>
      </c>
      <c r="B22" s="0" t="inlineStr">
        <is>
          <t>green mobility rate in central cities</t>
        </is>
      </c>
      <c r="C22" s="0" t="inlineStr">
        <is>
          <t>reach</t>
        </is>
      </c>
      <c r="D22" s="0" t="inlineStr">
        <is>
          <t>76%</t>
        </is>
      </c>
      <c r="E22" s="0" t="inlineStr">
        <is>
          <t>73.9% (2025)</t>
        </is>
      </c>
      <c r="F22" s="0" t="n">
        <v>2030</v>
      </c>
      <c r="G22" s="0" t="inlineStr">
        <is>
          <t>n</t>
        </is>
      </c>
      <c r="H22" s="0" t="inlineStr">
        <is>
          <t>Green transportation</t>
        </is>
      </c>
      <c r="I22" s="0" t="inlineStr">
        <is>
          <t>areas</t>
        </is>
      </c>
      <c r="J22" s="0" t="inlineStr">
        <is>
          <t>Table 1: Green mobility rate in central cities (%), 73.9 in 2025 and 76 in 2030, indicative.</t>
        </is>
      </c>
      <c r="K22" s="0" t="inlineStr">
        <is>
          <t>FYP2604.htm</t>
        </is>
      </c>
      <c r="L22" s="0" t="inlineStr">
        <is>
          <t>Transport</t>
        </is>
      </c>
    </row>
    <row r="23" ht="18" customHeight="1" s="235">
      <c r="A23" s="0" t="n">
        <v>2026</v>
      </c>
      <c r="B23" s="0" t="inlineStr">
        <is>
          <t>number of charging and battery-swapping stations for heavy-duty trucks</t>
        </is>
      </c>
      <c r="C23" s="0" t="inlineStr">
        <is>
          <t>build</t>
        </is>
      </c>
      <c r="D23" s="0" t="inlineStr">
        <is>
          <t>around 3000</t>
        </is>
      </c>
      <c r="F23" s="0" t="n">
        <v>2030</v>
      </c>
      <c r="G23" s="0" t="inlineStr">
        <is>
          <t>n</t>
        </is>
      </c>
      <c r="H23" s="0" t="inlineStr">
        <is>
          <t>Green transportation</t>
        </is>
      </c>
      <c r="I23" s="0" t="inlineStr">
        <is>
          <t>enterprises</t>
        </is>
      </c>
      <c r="J23" s="0" t="inlineStr">
        <is>
          <t>Energy supply facilities for electric heavy-duty trucks will be built along the expressway network to create zero-carbon road transport corridors, supporting and guiding the construction of around 3000 charging and battery-swapping stations for heavy-duty trucks, and guiding the scientific layout of hydrogen refueling stations and green fuel refueling stations in key scenarios;</t>
        </is>
      </c>
      <c r="K23" s="0" t="inlineStr">
        <is>
          <t>IP2603.htm</t>
        </is>
      </c>
      <c r="L23" s="0" t="inlineStr">
        <is>
          <t>Transport</t>
        </is>
      </c>
    </row>
    <row r="24" ht="18" customHeight="1" s="235">
      <c r="A24" s="0" t="n">
        <v>2026</v>
      </c>
      <c r="B24" s="0" t="inlineStr">
        <is>
          <t>ownership of new energy heavy-duty trucks</t>
        </is>
      </c>
      <c r="C24" s="0" t="inlineStr">
        <is>
          <t>exceed</t>
        </is>
      </c>
      <c r="D24" s="0" t="inlineStr">
        <is>
          <t>1.6 million vehicles</t>
        </is>
      </c>
      <c r="F24" s="0" t="n">
        <v>2030</v>
      </c>
      <c r="G24" s="0" t="inlineStr">
        <is>
          <t>n</t>
        </is>
      </c>
      <c r="H24" s="0" t="inlineStr">
        <is>
          <t>Green transportation</t>
        </is>
      </c>
      <c r="I24" s="0" t="inlineStr">
        <is>
          <t>sectors</t>
        </is>
      </c>
      <c r="J24" s="0" t="inlineStr">
        <is>
          <t>By 2030, the penetration rate of new energy heavy-duty trucks will reach 40%, with ownership exceeding 1.6 million vehicles and a share of around 20%;</t>
        </is>
      </c>
      <c r="K24" s="0" t="inlineStr">
        <is>
          <t>IP2603.htm</t>
        </is>
      </c>
      <c r="L24" s="0" t="inlineStr">
        <is>
          <t>Transport</t>
        </is>
      </c>
    </row>
    <row r="25" ht="18" customHeight="1" s="235">
      <c r="A25" s="0" t="n">
        <v>2026</v>
      </c>
      <c r="B25" s="0" t="inlineStr">
        <is>
          <t>penetration rate of new energy heavy-duty trucks</t>
        </is>
      </c>
      <c r="C25" s="0" t="inlineStr">
        <is>
          <t>reach</t>
        </is>
      </c>
      <c r="D25" s="0" t="inlineStr">
        <is>
          <t>40%</t>
        </is>
      </c>
      <c r="F25" s="0" t="n">
        <v>2030</v>
      </c>
      <c r="G25" s="0" t="inlineStr">
        <is>
          <t>n</t>
        </is>
      </c>
      <c r="H25" s="0" t="inlineStr">
        <is>
          <t>Green transportation</t>
        </is>
      </c>
      <c r="I25" s="0" t="inlineStr">
        <is>
          <t>sectors</t>
        </is>
      </c>
      <c r="J25" s="0" t="inlineStr">
        <is>
          <t>By 2030, the penetration rate of new energy heavy-duty trucks will reach 40%, with ownership exceeding 1.6 million vehicles and a share of around 20%;</t>
        </is>
      </c>
      <c r="K25" s="0" t="inlineStr">
        <is>
          <t>IP2603.htm</t>
        </is>
      </c>
      <c r="L25" s="0" t="inlineStr">
        <is>
          <t>Transport</t>
        </is>
      </c>
    </row>
    <row r="26" ht="18" customHeight="1" s="235">
      <c r="A26" s="0" t="n">
        <v>2026</v>
      </c>
      <c r="B26" s="0" t="inlineStr">
        <is>
          <t>share of clean transport in key industries</t>
        </is>
      </c>
      <c r="C26" s="0" t="inlineStr">
        <is>
          <t>reach</t>
        </is>
      </c>
      <c r="D26" s="0" t="inlineStr">
        <is>
          <t>75% (85% for key industries in key areas for air pollution control)</t>
        </is>
      </c>
      <c r="F26" s="0" t="n">
        <v>2030</v>
      </c>
      <c r="G26" s="0" t="inlineStr">
        <is>
          <t>n</t>
        </is>
      </c>
      <c r="H26" s="0" t="inlineStr">
        <is>
          <t>Green transportation</t>
        </is>
      </c>
      <c r="I26" s="0" t="inlineStr">
        <is>
          <t>sectors</t>
        </is>
      </c>
      <c r="J26" s="0" t="inlineStr">
        <is>
          <t>...the share of clean transport in key industries will reach 75%, and 85% for key industries in key areas for air pollution control.</t>
        </is>
      </c>
      <c r="K26" s="0" t="inlineStr">
        <is>
          <t>FYP2609.htm</t>
        </is>
      </c>
      <c r="L26" s="0" t="inlineStr">
        <is>
          <t>Transport</t>
        </is>
      </c>
    </row>
    <row r="27" ht="18" customHeight="1" s="235">
      <c r="A27" s="131" t="n">
        <v>2024</v>
      </c>
      <c r="B27" s="131" t="inlineStr">
        <is>
          <t>share of clean-energy container trucks at international container hub ports</t>
        </is>
      </c>
      <c r="C27" s="131" t="inlineStr">
        <is>
          <t>reach</t>
        </is>
      </c>
      <c r="D27" s="131" t="inlineStr">
        <is>
          <t>60%</t>
        </is>
      </c>
      <c r="E27" s="131" t="n"/>
      <c r="F27" s="131" t="inlineStr">
        <is>
          <t>2025</t>
        </is>
      </c>
      <c r="G27" s="131" t="inlineStr">
        <is>
          <t>n</t>
        </is>
      </c>
      <c r="H27" s="131" t="inlineStr">
        <is>
          <t>Green transportation</t>
        </is>
      </c>
      <c r="I27" s="131" t="inlineStr">
        <is>
          <t>ports</t>
        </is>
      </c>
      <c r="J27" s="131" t="inlineStr">
        <is>
          <t>By 2025, clean energy container trucks at international container hub ports will reach 60%</t>
        </is>
      </c>
      <c r="K27" s="132" t="inlineStr">
        <is>
          <t>HL2401.pdf</t>
        </is>
      </c>
      <c r="L27" s="131" t="inlineStr">
        <is>
          <t>Transport</t>
        </is>
      </c>
    </row>
    <row r="28" ht="18" customHeight="1" s="235">
      <c r="A28" s="131" t="n">
        <v>2013</v>
      </c>
      <c r="B28" s="131" t="inlineStr">
        <is>
          <t>commercial fuel replacement through promotion of application of natural gas single fuel, dual fuel and biodiesel internal combustion engines</t>
        </is>
      </c>
      <c r="C28" s="131" t="inlineStr">
        <is>
          <t>replace</t>
        </is>
      </c>
      <c r="D28" s="131" t="inlineStr">
        <is>
          <t>10 million tons of commercial fuel</t>
        </is>
      </c>
      <c r="E28" s="131" t="n"/>
      <c r="F28" s="131" t="inlineStr">
        <is>
          <t>12th FYP</t>
        </is>
      </c>
      <c r="G28" s="131" t="inlineStr">
        <is>
          <t>n</t>
        </is>
      </c>
      <c r="H28" s="131" t="inlineStr">
        <is>
          <t>Transitional energy</t>
        </is>
      </c>
      <c r="I28" s="131" t="inlineStr">
        <is>
          <t>unclear</t>
        </is>
      </c>
      <c r="J28" s="131" t="inlineStr">
        <is>
          <t>By 2015, through the promotion of the application of natural gas single fuel, dual fuel and biodiesel internal combustion engines, 10 million tons of commercial fuel will be replaced; through the promotion of methanol fuel internal combustion engines, 5 million tons of commercial fuel will be replaced.</t>
        </is>
      </c>
      <c r="K28" s="132" t="inlineStr">
        <is>
          <t>O1301.htm</t>
        </is>
      </c>
      <c r="L28" s="131" t="inlineStr">
        <is>
          <t>Transport</t>
        </is>
      </c>
    </row>
    <row r="29" ht="18" customHeight="1" s="235">
      <c r="A29" s="131" t="n">
        <v>2013</v>
      </c>
      <c r="B29" s="131" t="inlineStr">
        <is>
          <t>commercial fuel replacement through promotion of methanol fuel internal combustion engines</t>
        </is>
      </c>
      <c r="C29" s="131" t="inlineStr">
        <is>
          <t>replace</t>
        </is>
      </c>
      <c r="D29" s="131" t="inlineStr">
        <is>
          <t>5 million tons of commercial fuel</t>
        </is>
      </c>
      <c r="E29" s="131" t="n"/>
      <c r="F29" s="131" t="inlineStr">
        <is>
          <t>12th FYP</t>
        </is>
      </c>
      <c r="G29" s="131" t="inlineStr">
        <is>
          <t>n</t>
        </is>
      </c>
      <c r="H29" s="131" t="inlineStr">
        <is>
          <t>Transitional energy</t>
        </is>
      </c>
      <c r="I29" s="131" t="inlineStr">
        <is>
          <t>unclear</t>
        </is>
      </c>
      <c r="J29" s="131" t="inlineStr">
        <is>
          <t>By 2015, through the promotion of the application of natural gas single fuel, dual fuel and biodiesel internal combustion engines, 10 million tons of commercial fuel will be replaced; through the promotion of methanol fuel internal combustion engines, 5 million tons of commercial fuel will be replaced.</t>
        </is>
      </c>
      <c r="K29" s="132" t="inlineStr">
        <is>
          <t>O1301.htm</t>
        </is>
      </c>
      <c r="L29" s="131" t="inlineStr">
        <is>
          <t>Transport</t>
        </is>
      </c>
    </row>
    <row r="30" ht="18" customHeight="1" s="235">
      <c r="A30" s="131" t="n">
        <v>2013</v>
      </c>
      <c r="B30" s="131" t="inlineStr">
        <is>
          <t>commercial fuel savings through the use of alternative fuels</t>
        </is>
      </c>
      <c r="C30" s="131" t="inlineStr">
        <is>
          <t>reach</t>
        </is>
      </c>
      <c r="D30" s="131" t="inlineStr">
        <is>
          <t>15 million tons of commercial fuel</t>
        </is>
      </c>
      <c r="E30" s="131" t="n"/>
      <c r="F30" s="131" t="inlineStr">
        <is>
          <t>2015</t>
        </is>
      </c>
      <c r="G30" s="131" t="inlineStr">
        <is>
          <t>r</t>
        </is>
      </c>
      <c r="H30" s="131" t="inlineStr">
        <is>
          <t>Transitional energy</t>
        </is>
      </c>
      <c r="I30" s="131" t="inlineStr">
        <is>
          <t>unclear</t>
        </is>
      </c>
      <c r="J30" s="131" t="inlineStr">
        <is>
          <t>By 2015, 15 million tons of commercial fuel will be saved through the use of alternative fuels.</t>
        </is>
      </c>
      <c r="K30" s="132" t="inlineStr">
        <is>
          <t>O1301.htm</t>
        </is>
      </c>
      <c r="L30" s="131" t="inlineStr">
        <is>
          <t>Transport</t>
        </is>
      </c>
    </row>
    <row r="31" ht="18" customHeight="1" s="235">
      <c r="A31" s="131" t="n">
        <v>2013</v>
      </c>
      <c r="B31" s="131" t="inlineStr">
        <is>
          <t xml:space="preserve">comprehensive energy efficiency of a single ship  </t>
        </is>
      </c>
      <c r="C31" s="131" t="inlineStr">
        <is>
          <t>increase by</t>
        </is>
      </c>
      <c r="D31" s="131" t="inlineStr">
        <is>
          <t>5%</t>
        </is>
      </c>
      <c r="E31" s="131" t="n">
        <v>2010</v>
      </c>
      <c r="F31" s="131" t="inlineStr">
        <is>
          <t>2015</t>
        </is>
      </c>
      <c r="G31" s="131" t="inlineStr">
        <is>
          <t>n</t>
        </is>
      </c>
      <c r="H31" s="131" t="inlineStr">
        <is>
          <t>Energy efficiency</t>
        </is>
      </c>
      <c r="I31" s="131" t="inlineStr">
        <is>
          <t>sectors</t>
        </is>
      </c>
      <c r="J31" s="131" t="inlineStr">
        <is>
          <t>By 2015, the comprehensive energy efficiency of a single ship will be increased by 5% compared with 2010.</t>
        </is>
      </c>
      <c r="K31" s="132" t="inlineStr">
        <is>
          <t>O1301.htm</t>
        </is>
      </c>
      <c r="L31" s="131" t="inlineStr">
        <is>
          <t>Transport</t>
        </is>
      </c>
    </row>
    <row r="32" ht="18" customHeight="1" s="235">
      <c r="A32" s="131" t="n">
        <v>2023</v>
      </c>
      <c r="B32" s="131" t="inlineStr">
        <is>
          <t>coverage rate of fast charging stations in highway service areas in key regions for air pollution control</t>
        </is>
      </c>
      <c r="C32" s="131" t="inlineStr">
        <is>
          <t>achieve</t>
        </is>
      </c>
      <c r="D32" s="131" t="inlineStr">
        <is>
          <t>80%</t>
        </is>
      </c>
      <c r="E32" s="131" t="n"/>
      <c r="F32" s="131" t="inlineStr">
        <is>
          <t>2025</t>
        </is>
      </c>
      <c r="G32" s="131" t="inlineStr">
        <is>
          <t>r</t>
        </is>
      </c>
      <c r="H32" s="131" t="inlineStr">
        <is>
          <t>Green transportation</t>
        </is>
      </c>
      <c r="I32" s="131" t="inlineStr">
        <is>
          <t>areas</t>
        </is>
      </c>
      <c r="J32" s="131" t="inlineStr">
        <is>
          <t>We strive to achieve a coverage rate of fast charging stations in highway service areas of no less than 80% in key regions and no less than 60% in other regions by 2025.</t>
        </is>
      </c>
      <c r="K32" s="132" t="inlineStr">
        <is>
          <t>AP2304.htm</t>
        </is>
      </c>
      <c r="L32" s="131" t="inlineStr">
        <is>
          <t>Transport</t>
        </is>
      </c>
    </row>
    <row r="33" ht="18" customHeight="1" s="235">
      <c r="A33" s="131" t="n">
        <v>2022</v>
      </c>
      <c r="B33" s="131" t="inlineStr">
        <is>
          <t>coverage rate of fast charging stations in highway service areas in key regions for air pollution control</t>
        </is>
      </c>
      <c r="C33" s="131" t="inlineStr">
        <is>
          <t>achieve</t>
        </is>
      </c>
      <c r="D33" s="131" t="inlineStr">
        <is>
          <t>80%</t>
        </is>
      </c>
      <c r="E33" s="131" t="n"/>
      <c r="F33" s="131" t="inlineStr">
        <is>
          <t>2025</t>
        </is>
      </c>
      <c r="G33" s="131" t="inlineStr">
        <is>
          <t>n</t>
        </is>
      </c>
      <c r="H33" s="131" t="inlineStr">
        <is>
          <t>Green transportation</t>
        </is>
      </c>
      <c r="I33" s="131" t="inlineStr">
        <is>
          <t>areas</t>
        </is>
      </c>
      <c r="J33" s="131" t="inlineStr">
        <is>
          <t>We strive to achieve a coverage rate of fast-charging stations in highway service areas of no less than 80% in national ecological civilization demonstration zones and key areas for air pollution control by 2025.</t>
        </is>
      </c>
      <c r="K33" s="132" t="inlineStr">
        <is>
          <t>IP2217.htm</t>
        </is>
      </c>
      <c r="L33" s="131" t="inlineStr">
        <is>
          <t>Transport</t>
        </is>
      </c>
    </row>
    <row r="34" ht="18" customHeight="1" s="235">
      <c r="A34" s="131" t="n">
        <v>2023</v>
      </c>
      <c r="B34" s="131" t="inlineStr">
        <is>
          <t>coverage rate of fast charging stations in highway service areas in in non-key air-pollution-control regions</t>
        </is>
      </c>
      <c r="C34" s="131" t="inlineStr">
        <is>
          <t>achieve</t>
        </is>
      </c>
      <c r="D34" s="131" t="inlineStr">
        <is>
          <t>60%</t>
        </is>
      </c>
      <c r="E34" s="131" t="n"/>
      <c r="F34" s="131" t="inlineStr">
        <is>
          <t>2025</t>
        </is>
      </c>
      <c r="G34" s="131" t="inlineStr">
        <is>
          <t>r</t>
        </is>
      </c>
      <c r="H34" s="131" t="inlineStr">
        <is>
          <t>Green transportation</t>
        </is>
      </c>
      <c r="I34" s="131" t="inlineStr">
        <is>
          <t>areas</t>
        </is>
      </c>
      <c r="J34" s="131" t="inlineStr">
        <is>
          <t>We strive to achieve a coverage rate of fast charging stations in highway service areas of no less than 80% in key regions and no less than 60% in other regions by 2025.</t>
        </is>
      </c>
      <c r="K34" s="132" t="inlineStr">
        <is>
          <t>AP2304.htm</t>
        </is>
      </c>
      <c r="L34" s="131" t="inlineStr">
        <is>
          <t>Transport</t>
        </is>
      </c>
    </row>
    <row r="35" ht="18" customHeight="1" s="235">
      <c r="A35" s="131" t="n">
        <v>2022</v>
      </c>
      <c r="B35" s="131" t="inlineStr">
        <is>
          <t>coverage rate of fast charging stations in highway service areas in regions other than key regions for air pollution control</t>
        </is>
      </c>
      <c r="C35" s="131" t="inlineStr">
        <is>
          <t>achieve</t>
        </is>
      </c>
      <c r="D35" s="131" t="inlineStr">
        <is>
          <t>60%</t>
        </is>
      </c>
      <c r="E35" s="131" t="n"/>
      <c r="F35" s="131" t="inlineStr">
        <is>
          <t>2025</t>
        </is>
      </c>
      <c r="G35" s="131" t="inlineStr">
        <is>
          <t>n</t>
        </is>
      </c>
      <c r="H35" s="131" t="inlineStr">
        <is>
          <t>Green transportation</t>
        </is>
      </c>
      <c r="I35" s="131" t="inlineStr">
        <is>
          <t>areas</t>
        </is>
      </c>
      <c r="J35" s="131" t="inlineStr">
        <is>
          <t>We strive to achieve a coverage rate of fast-charging stations in highway service areas of no less than 60% in areas other than national ecological civilization demonstration zones and key areas for air pollution control by 2025.</t>
        </is>
      </c>
      <c r="K35" s="132" t="inlineStr">
        <is>
          <t>IP2217.htm</t>
        </is>
      </c>
      <c r="L35" s="131" t="inlineStr">
        <is>
          <t>Transport</t>
        </is>
      </c>
    </row>
    <row r="36" ht="18" customHeight="1" s="235">
      <c r="A36" s="131" t="n">
        <v>2017</v>
      </c>
      <c r="B36" s="131" t="inlineStr">
        <is>
          <t>coverage rate of high-speed railways in cities with a permanent urban population of over 1 million</t>
        </is>
      </c>
      <c r="C36" s="131" t="inlineStr">
        <is>
          <t>reach</t>
        </is>
      </c>
      <c r="D36" s="131" t="inlineStr">
        <is>
          <t>80%</t>
        </is>
      </c>
      <c r="E36" s="131" t="n"/>
      <c r="F36" s="131" t="inlineStr">
        <is>
          <t>2020</t>
        </is>
      </c>
      <c r="G36" s="131" t="inlineStr">
        <is>
          <t>n</t>
        </is>
      </c>
      <c r="H36" s="131" t="inlineStr">
        <is>
          <t>Green transportation</t>
        </is>
      </c>
      <c r="I36" s="131" t="inlineStr">
        <is>
          <t>cities</t>
        </is>
      </c>
      <c r="J36" s="131" t="inlineStr">
        <is>
          <t>By 2020, high-speed railways will cover more than 80% of cities with a permanent urban population of over 1 million.</t>
        </is>
      </c>
      <c r="K36" s="132" t="inlineStr">
        <is>
          <t>FYP1705.htm</t>
        </is>
      </c>
      <c r="L36" s="131" t="inlineStr">
        <is>
          <t>Transport</t>
        </is>
      </c>
    </row>
    <row r="37" ht="18" customHeight="1" s="235">
      <c r="A37" s="131" t="n">
        <v>2024</v>
      </c>
      <c r="B37" s="131" t="inlineStr">
        <is>
          <t>green mobility rate in 60 cities with over 1 million permanent residents</t>
        </is>
      </c>
      <c r="C37" s="131" t="inlineStr">
        <is>
          <t>achieve</t>
        </is>
      </c>
      <c r="D37" s="131" t="inlineStr">
        <is>
          <t>over 70%</t>
        </is>
      </c>
      <c r="E37" s="131" t="n"/>
      <c r="F37" s="131" t="inlineStr">
        <is>
          <t>2025</t>
        </is>
      </c>
      <c r="G37" s="131" t="inlineStr">
        <is>
          <t>n</t>
        </is>
      </c>
      <c r="H37" s="131" t="inlineStr">
        <is>
          <t>Green transportation</t>
        </is>
      </c>
      <c r="I37" s="131" t="inlineStr">
        <is>
          <t>cities</t>
        </is>
      </c>
      <c r="J37" s="131" t="inlineStr">
        <is>
          <t>By 2025, 60 cities with over 1 million permanent residents will achieve a green mobility rate of over 70%.</t>
        </is>
      </c>
      <c r="K37" s="132" t="inlineStr">
        <is>
          <t>HL2401.pdf</t>
        </is>
      </c>
      <c r="L37" s="131" t="inlineStr">
        <is>
          <t>Transport</t>
        </is>
      </c>
    </row>
    <row r="38" ht="18" customHeight="1" s="235">
      <c r="A38" s="131" t="n">
        <v>2021</v>
      </c>
      <c r="B38" s="131" t="inlineStr">
        <is>
          <t>green mobility rate in cities with over 1 million permanent residents</t>
        </is>
      </c>
      <c r="C38" s="131" t="inlineStr">
        <is>
          <t>exceed</t>
        </is>
      </c>
      <c r="D38" s="131" t="inlineStr">
        <is>
          <t>70%</t>
        </is>
      </c>
      <c r="E38" s="131" t="n"/>
      <c r="F38" s="131" t="inlineStr">
        <is>
          <t>2030</t>
        </is>
      </c>
      <c r="G38" s="131" t="inlineStr">
        <is>
          <t>r</t>
        </is>
      </c>
      <c r="H38" s="131" t="inlineStr">
        <is>
          <t>Green transportation</t>
        </is>
      </c>
      <c r="I38" s="131" t="inlineStr">
        <is>
          <t>cities</t>
        </is>
      </c>
      <c r="J38" s="131" t="inlineStr">
        <is>
          <t>By 2030, no less than 70% of travel will be conducted through environmentally friendly means in cities with permanent populations of one million or more.</t>
        </is>
      </c>
      <c r="K38" s="132" t="inlineStr">
        <is>
          <t>HL2102.pdf</t>
        </is>
      </c>
      <c r="L38" s="131" t="inlineStr">
        <is>
          <t>Transport</t>
        </is>
      </c>
    </row>
    <row r="39" ht="18" customHeight="1" s="235">
      <c r="A39" s="131" t="n">
        <v>2024</v>
      </c>
      <c r="B39" s="131" t="inlineStr">
        <is>
          <t>new energy vehicles share in taxis</t>
        </is>
      </c>
      <c r="C39" s="131" t="inlineStr">
        <is>
          <t>account for</t>
        </is>
      </c>
      <c r="D39" s="131" t="inlineStr">
        <is>
          <t>35%</t>
        </is>
      </c>
      <c r="E39" s="131" t="n"/>
      <c r="F39" s="131" t="inlineStr">
        <is>
          <t>2025</t>
        </is>
      </c>
      <c r="G39" s="131" t="inlineStr">
        <is>
          <t>n</t>
        </is>
      </c>
      <c r="H39" s="131" t="inlineStr">
        <is>
          <t>Green transportation</t>
        </is>
      </c>
      <c r="I39" s="131" t="inlineStr">
        <is>
          <t>whole economy</t>
        </is>
      </c>
      <c r="J39" s="131" t="inlineStr">
        <is>
          <t>By 2025,new energy vehicles will account for 35% in taxis (including ride-hailing)</t>
        </is>
      </c>
      <c r="K39" s="132" t="inlineStr">
        <is>
          <t>HL2401.pdf</t>
        </is>
      </c>
      <c r="L39" s="131" t="inlineStr">
        <is>
          <t>Transport</t>
        </is>
      </c>
    </row>
    <row r="40" ht="18" customHeight="1" s="235">
      <c r="A40" s="131" t="n">
        <v>2024</v>
      </c>
      <c r="B40" s="131" t="inlineStr">
        <is>
          <t>new energy vehicles share in urban logistics distribution</t>
        </is>
      </c>
      <c r="C40" s="131" t="inlineStr">
        <is>
          <t>account for</t>
        </is>
      </c>
      <c r="D40" s="131" t="inlineStr">
        <is>
          <t>20%</t>
        </is>
      </c>
      <c r="E40" s="131" t="n"/>
      <c r="F40" s="131" t="inlineStr">
        <is>
          <t>2025</t>
        </is>
      </c>
      <c r="G40" s="131" t="inlineStr">
        <is>
          <t>n</t>
        </is>
      </c>
      <c r="H40" s="131" t="inlineStr">
        <is>
          <t>Green transportation</t>
        </is>
      </c>
      <c r="I40" s="131" t="inlineStr">
        <is>
          <t>cities</t>
        </is>
      </c>
      <c r="J40" s="131" t="inlineStr">
        <is>
          <t>By 2025, new energy vehicles will account for 20% in urban logistics distribution</t>
        </is>
      </c>
      <c r="K40" s="132" t="inlineStr">
        <is>
          <t>HL2401.pdf</t>
        </is>
      </c>
      <c r="L40" s="131" t="inlineStr">
        <is>
          <t>Transport</t>
        </is>
      </c>
    </row>
    <row r="41" ht="18" customHeight="1" s="235">
      <c r="A41" s="131" t="n">
        <v>2024</v>
      </c>
      <c r="B41" s="131" t="inlineStr">
        <is>
          <t>new energy vehicles share in urban public transit</t>
        </is>
      </c>
      <c r="C41" s="131" t="inlineStr">
        <is>
          <t>account for</t>
        </is>
      </c>
      <c r="D41" s="131" t="inlineStr">
        <is>
          <t>72%</t>
        </is>
      </c>
      <c r="E41" s="131" t="n"/>
      <c r="F41" s="131" t="inlineStr">
        <is>
          <t>2025</t>
        </is>
      </c>
      <c r="G41" s="131" t="inlineStr">
        <is>
          <t>n</t>
        </is>
      </c>
      <c r="H41" s="131" t="inlineStr">
        <is>
          <t>Green transportation</t>
        </is>
      </c>
      <c r="I41" s="131" t="inlineStr">
        <is>
          <t>cities</t>
        </is>
      </c>
      <c r="J41" s="131" t="inlineStr">
        <is>
          <t>By 2025, new energy vehicles will account for 72% in urban public transit</t>
        </is>
      </c>
      <c r="K41" s="132" t="inlineStr">
        <is>
          <t>HL2401.pdf</t>
        </is>
      </c>
      <c r="L41" s="131" t="inlineStr">
        <is>
          <t>Transport</t>
        </is>
      </c>
    </row>
    <row r="42" ht="18" customHeight="1" s="235">
      <c r="A42" s="131" t="n">
        <v>2015</v>
      </c>
      <c r="B42" s="131" t="inlineStr">
        <is>
          <t>number of new energy city buses</t>
        </is>
      </c>
      <c r="C42" s="131" t="inlineStr">
        <is>
          <t>reach</t>
        </is>
      </c>
      <c r="D42" s="131" t="inlineStr">
        <is>
          <t>200000</t>
        </is>
      </c>
      <c r="E42" s="131" t="n"/>
      <c r="F42" s="131" t="inlineStr">
        <is>
          <t>2020</t>
        </is>
      </c>
      <c r="G42" s="131" t="inlineStr">
        <is>
          <t>n</t>
        </is>
      </c>
      <c r="H42" s="131" t="inlineStr">
        <is>
          <t>Green transportation</t>
        </is>
      </c>
      <c r="I42" s="131" t="inlineStr">
        <is>
          <t>cities</t>
        </is>
      </c>
      <c r="J42" s="131" t="inlineStr">
        <is>
          <t>By 2020, the number of new energy city buses will reach 200,000.</t>
        </is>
      </c>
      <c r="K42" s="132" t="inlineStr">
        <is>
          <t>IP1501.htm</t>
        </is>
      </c>
      <c r="L42" s="131" t="inlineStr">
        <is>
          <t>Transport</t>
        </is>
      </c>
    </row>
    <row r="43" ht="18" customHeight="1" s="235">
      <c r="A43" s="131" t="n">
        <v>2015</v>
      </c>
      <c r="B43" s="131" t="inlineStr">
        <is>
          <t>number of new energy taxis and urban logistics distribution vehicles</t>
        </is>
      </c>
      <c r="C43" s="131" t="inlineStr">
        <is>
          <t>reach</t>
        </is>
      </c>
      <c r="D43" s="131" t="inlineStr">
        <is>
          <t>100000</t>
        </is>
      </c>
      <c r="E43" s="131" t="n"/>
      <c r="F43" s="131" t="inlineStr">
        <is>
          <t>2020</t>
        </is>
      </c>
      <c r="G43" s="131" t="inlineStr">
        <is>
          <t>n</t>
        </is>
      </c>
      <c r="H43" s="131" t="inlineStr">
        <is>
          <t>Green transportation</t>
        </is>
      </c>
      <c r="I43" s="131" t="inlineStr">
        <is>
          <t>cities</t>
        </is>
      </c>
      <c r="J43" s="131" t="inlineStr">
        <is>
          <t>By 2020, the number of new energy taxis and urban logistics distribution vehicles will reach 100,000.</t>
        </is>
      </c>
      <c r="K43" s="132" t="inlineStr">
        <is>
          <t>IP1501.htm</t>
        </is>
      </c>
      <c r="L43" s="131" t="inlineStr">
        <is>
          <t>Transport</t>
        </is>
      </c>
    </row>
    <row r="44" ht="18" customHeight="1" s="235">
      <c r="A44" s="131" t="n">
        <v>2021</v>
      </c>
      <c r="B44" s="131" t="inlineStr">
        <is>
          <t>oil consumption by land transportation</t>
        </is>
      </c>
      <c r="C44" s="131" t="inlineStr">
        <is>
          <t>peak</t>
        </is>
      </c>
      <c r="D44" s="131" t="inlineStr">
        <is>
          <t>strive to reach the peak</t>
        </is>
      </c>
      <c r="E44" s="131" t="n"/>
      <c r="F44" s="131" t="inlineStr">
        <is>
          <t>2030</t>
        </is>
      </c>
      <c r="G44" s="131" t="inlineStr">
        <is>
          <t>n</t>
        </is>
      </c>
      <c r="H44" s="131" t="inlineStr">
        <is>
          <t>Green transportation</t>
        </is>
      </c>
      <c r="I44" s="131" t="inlineStr">
        <is>
          <t>whole economy</t>
        </is>
      </c>
      <c r="J44" s="131" t="inlineStr">
        <is>
          <t>By 2030, comprehensive energy consumption per unit of converted turnover of railways will drop by 10% from 2020 level, and oil consumption by land transportation strives to peak.</t>
        </is>
      </c>
      <c r="K44" s="132" t="inlineStr">
        <is>
          <t>HL2104.pdf</t>
        </is>
      </c>
      <c r="L44" s="131" t="inlineStr">
        <is>
          <t>Transport</t>
        </is>
      </c>
    </row>
    <row r="45" ht="18" customHeight="1" s="235">
      <c r="A45" s="131" t="n">
        <v>2024</v>
      </c>
      <c r="B45" s="131" t="inlineStr">
        <is>
          <t>phase-out of old diesel locomotives</t>
        </is>
      </c>
      <c r="C45" s="131" t="inlineStr">
        <is>
          <t>achieve</t>
        </is>
      </c>
      <c r="D45" s="131" t="inlineStr">
        <is>
          <t>basically eliminated</t>
        </is>
      </c>
      <c r="E45" s="131" t="n"/>
      <c r="F45" s="131" t="inlineStr">
        <is>
          <t>2027</t>
        </is>
      </c>
      <c r="G45" s="131" t="inlineStr">
        <is>
          <t>n</t>
        </is>
      </c>
      <c r="H45" s="131" t="inlineStr">
        <is>
          <t>Green transportation</t>
        </is>
      </c>
      <c r="I45" s="131" t="inlineStr">
        <is>
          <t>whole economy</t>
        </is>
      </c>
      <c r="J45" s="131" t="inlineStr">
        <is>
          <t>By 2027, old diesel locomotives will be basically eliminated</t>
        </is>
      </c>
      <c r="K45" s="132" t="inlineStr">
        <is>
          <t>O2405.htm</t>
        </is>
      </c>
      <c r="L45" s="131" t="inlineStr">
        <is>
          <t>Transport</t>
        </is>
      </c>
    </row>
    <row r="46" ht="18" customHeight="1" s="235">
      <c r="A46" s="131" t="n">
        <v>2012</v>
      </c>
      <c r="B46" s="131" t="inlineStr">
        <is>
          <t>operating efficiency of the motor system</t>
        </is>
      </c>
      <c r="C46" s="131" t="inlineStr">
        <is>
          <t>increase by</t>
        </is>
      </c>
      <c r="D46" s="131" t="inlineStr">
        <is>
          <t>2-3 percentage points</t>
        </is>
      </c>
      <c r="E46" s="131" t="n">
        <v>2010</v>
      </c>
      <c r="F46" s="131" t="inlineStr">
        <is>
          <t>2015</t>
        </is>
      </c>
      <c r="G46" s="131" t="inlineStr">
        <is>
          <t>n</t>
        </is>
      </c>
      <c r="H46" s="131" t="inlineStr">
        <is>
          <t>Energy efficiency</t>
        </is>
      </c>
      <c r="I46" s="131" t="inlineStr">
        <is>
          <t>sectors</t>
        </is>
      </c>
      <c r="J46" s="131" t="inlineStr">
        <is>
          <t>In 2015, the operating efficiency of the motor system will increase by 2-3 percentage points compared with 2010.</t>
        </is>
      </c>
      <c r="K46" s="132" t="inlineStr">
        <is>
          <t>FYP1201.htm</t>
        </is>
      </c>
      <c r="L46" s="131" t="inlineStr">
        <is>
          <t>Transport</t>
        </is>
      </c>
    </row>
    <row r="47" ht="18" customHeight="1" s="235">
      <c r="A47" s="131" t="n">
        <v>2013</v>
      </c>
      <c r="B47" s="131" t="inlineStr">
        <is>
          <t>penetration rate of multi-cylinder diesel engine supercharging technology</t>
        </is>
      </c>
      <c r="C47" s="131" t="inlineStr">
        <is>
          <t>reach</t>
        </is>
      </c>
      <c r="D47" s="131" t="inlineStr">
        <is>
          <t>90%</t>
        </is>
      </c>
      <c r="E47" s="131" t="n"/>
      <c r="F47" s="131" t="inlineStr">
        <is>
          <t>2015</t>
        </is>
      </c>
      <c r="G47" s="131" t="inlineStr">
        <is>
          <t>n</t>
        </is>
      </c>
      <c r="H47" s="131" t="inlineStr">
        <is>
          <t>Energy efficiency</t>
        </is>
      </c>
      <c r="I47" s="131" t="inlineStr">
        <is>
          <t>unclear</t>
        </is>
      </c>
      <c r="J47" s="131" t="inlineStr">
        <is>
          <t>By 2015, the penetration rate of multi-cylinder diesel engine supercharging technology will reach over 90%, the application ratio of high-efficiency supercharging technology in automotive diesel engines will reach 100%, and the application ratio in automotive gasoline engines will reach over 30%.</t>
        </is>
      </c>
      <c r="K47" s="132" t="inlineStr">
        <is>
          <t>O1301.htm</t>
        </is>
      </c>
      <c r="L47" s="131" t="inlineStr">
        <is>
          <t>Transport</t>
        </is>
      </c>
    </row>
    <row r="48" ht="18" customHeight="1" s="235">
      <c r="A48" s="131" t="n">
        <v>2023</v>
      </c>
      <c r="B48" s="131" t="inlineStr">
        <is>
          <t xml:space="preserve">proportion of clean transportation (including new energy vehicles) of iron ore, coke, etc. in key areas and major coastal ports of  Guangdong-Hong Kong-Macao Greater Bay Area </t>
        </is>
      </c>
      <c r="C48" s="131" t="inlineStr">
        <is>
          <t>reach</t>
        </is>
      </c>
      <c r="D48" s="131" t="inlineStr">
        <is>
          <t>80%</t>
        </is>
      </c>
      <c r="E48" s="131" t="n"/>
      <c r="F48" s="131" t="inlineStr">
        <is>
          <t>2025</t>
        </is>
      </c>
      <c r="G48" s="131" t="inlineStr">
        <is>
          <t>n</t>
        </is>
      </c>
      <c r="H48" s="131" t="inlineStr">
        <is>
          <t>Green transportation</t>
        </is>
      </c>
      <c r="I48" s="131" t="inlineStr">
        <is>
          <t>areas</t>
        </is>
      </c>
      <c r="J48" s="131" t="inlineStr">
        <is>
          <t>By 2025, the proportion of clean transportation (including new energy vehicles) of iron ore, coke, etc. in key areas and major coastal ports of the Guangdong-Hong Kong-Macao Greater Bay Area will strive to reach 80%.</t>
        </is>
      </c>
      <c r="K48" s="132" t="inlineStr">
        <is>
          <t>AP2304.htm</t>
        </is>
      </c>
      <c r="L48" s="131" t="inlineStr">
        <is>
          <t>Transport</t>
        </is>
      </c>
    </row>
    <row r="49" ht="18" customHeight="1" s="235">
      <c r="A49" s="131" t="n">
        <v>2024</v>
      </c>
      <c r="B49" s="131" t="inlineStr">
        <is>
          <t>proportion of high-efficiency energy-saving motors</t>
        </is>
      </c>
      <c r="C49" s="131" t="inlineStr">
        <is>
          <t>increase by</t>
        </is>
      </c>
      <c r="D49" s="134" t="inlineStr">
        <is>
          <t>5%</t>
        </is>
      </c>
      <c r="E49" s="137" t="n">
        <v>2021</v>
      </c>
      <c r="F49" s="134" t="n">
        <v>2025</v>
      </c>
      <c r="G49" s="131" t="inlineStr">
        <is>
          <t>n</t>
        </is>
      </c>
      <c r="H49" s="131" t="inlineStr">
        <is>
          <t>Energy efficiency</t>
        </is>
      </c>
      <c r="I49" s="131" t="inlineStr">
        <is>
          <t>unclear</t>
        </is>
      </c>
      <c r="J49" s="131" t="inlineStr">
        <is>
          <t>Compared with 2021, in 2025, the proportion of high-efficiency energy-saving motors will increase by more than 5 percentage points.</t>
        </is>
      </c>
      <c r="K49" s="132" t="inlineStr">
        <is>
          <t>AP2405.htm</t>
        </is>
      </c>
      <c r="L49" s="131" t="inlineStr">
        <is>
          <t>Transport</t>
        </is>
      </c>
    </row>
    <row r="50" ht="18" customHeight="1" s="235">
      <c r="A50" s="131" t="n">
        <v>2014</v>
      </c>
      <c r="B50" s="131" t="inlineStr">
        <is>
          <t>new energy vehicles share in annual added or updated vehicle purchases in NEV promotion cities</t>
        </is>
      </c>
      <c r="C50" s="131" t="inlineStr">
        <is>
          <t>surpass</t>
        </is>
      </c>
      <c r="D50" s="131" t="inlineStr">
        <is>
          <t>30%</t>
        </is>
      </c>
      <c r="E50" s="131" t="n"/>
      <c r="F50" s="131" t="inlineStr">
        <is>
          <t>2014-2016</t>
        </is>
      </c>
      <c r="G50" s="131" t="inlineStr">
        <is>
          <t>n</t>
        </is>
      </c>
      <c r="H50" s="131" t="inlineStr">
        <is>
          <t>Green transportation</t>
        </is>
      </c>
      <c r="I50" s="131" t="inlineStr">
        <is>
          <t>public institutions</t>
        </is>
      </c>
      <c r="J50" s="131" t="inlineStr">
        <is>
          <t>From 2014 to 2016, the proportion of new energy vehicles purchased by central state organs and government agencies and public institutions in cities where new energy vehicles are promoted and applied shall not be less than 30% of the total number of vehicles equipped and updated in that year, and the scale of application shall be expanded year by year thereafter.</t>
        </is>
      </c>
      <c r="K50" s="132" t="inlineStr">
        <is>
          <t>GO1402.htm</t>
        </is>
      </c>
      <c r="L50" s="131" t="inlineStr">
        <is>
          <t>Transport</t>
        </is>
      </c>
    </row>
    <row r="51" ht="18" customHeight="1" s="235">
      <c r="A51" s="131" t="n">
        <v>2024</v>
      </c>
      <c r="B51" s="131" t="inlineStr">
        <is>
          <t>proportion of railway freight turnover in total turnover</t>
        </is>
      </c>
      <c r="C51" s="131" t="inlineStr">
        <is>
          <t>reach</t>
        </is>
      </c>
      <c r="D51" s="131" t="inlineStr">
        <is>
          <t>25%</t>
        </is>
      </c>
      <c r="E51" s="131" t="n"/>
      <c r="F51" s="138" t="n">
        <v>2035</v>
      </c>
      <c r="G51" s="131" t="inlineStr">
        <is>
          <t>n</t>
        </is>
      </c>
      <c r="H51" s="131" t="inlineStr">
        <is>
          <t>Green transportation</t>
        </is>
      </c>
      <c r="I51" s="131" t="inlineStr">
        <is>
          <t>sectors</t>
        </is>
      </c>
      <c r="J51" s="131" t="inlineStr">
        <is>
          <t>by 2035, the proportion of railway freight turnover in the total turnover will reach about 25%.</t>
        </is>
      </c>
      <c r="K51" s="132" t="inlineStr">
        <is>
          <t>O2405.htm</t>
        </is>
      </c>
      <c r="L51" s="131" t="inlineStr">
        <is>
          <t>Transport</t>
        </is>
      </c>
    </row>
    <row r="52" ht="18" customHeight="1" s="235">
      <c r="A52" s="131" t="n">
        <v>2023</v>
      </c>
      <c r="B52" s="131" t="inlineStr">
        <is>
          <t>proportion of railway transportation in medium and long-distance transportation (more than 500 kilometers) of coal and coke in  main coal producing areas of Shanxi, Shaanxi, Inner Mongolia and Xinjiang</t>
        </is>
      </c>
      <c r="C52" s="131" t="inlineStr">
        <is>
          <t>reach</t>
        </is>
      </c>
      <c r="D52" s="131" t="inlineStr">
        <is>
          <t>90%</t>
        </is>
      </c>
      <c r="E52" s="131" t="n"/>
      <c r="F52" s="131" t="inlineStr">
        <is>
          <t>2025</t>
        </is>
      </c>
      <c r="G52" s="135" t="inlineStr">
        <is>
          <t>n</t>
        </is>
      </c>
      <c r="H52" s="131" t="inlineStr">
        <is>
          <t>Green transportation</t>
        </is>
      </c>
      <c r="I52" s="131" t="inlineStr">
        <is>
          <t>areas</t>
        </is>
      </c>
      <c r="J52" s="135" t="inlineStr">
        <is>
          <t>By 2025, the proportion of railway transportation in the medium and long-distance transportation (more than 500 kilometers) of coal and coke in the main coal producing areas of Shanxi, Shaanxi, Inner Mongolia and Xinjiang will strive to reach 90%</t>
        </is>
      </c>
      <c r="K52" s="136" t="inlineStr">
        <is>
          <t>AP2304.htm</t>
        </is>
      </c>
      <c r="L52" s="131" t="inlineStr">
        <is>
          <t>Transport</t>
        </is>
      </c>
    </row>
    <row r="53" ht="18" customHeight="1" s="235">
      <c r="A53" s="131" t="n">
        <v>2025</v>
      </c>
      <c r="B53" s="131" t="inlineStr">
        <is>
          <t>public electric vehicle charging power capacity</t>
        </is>
      </c>
      <c r="C53" s="131" t="inlineStr">
        <is>
          <t>provide</t>
        </is>
      </c>
      <c r="D53" s="131" t="inlineStr">
        <is>
          <t>over 300 million kW</t>
        </is>
      </c>
      <c r="E53" s="131" t="n"/>
      <c r="F53" s="134" t="n">
        <v>2027</v>
      </c>
      <c r="G53" s="135" t="inlineStr">
        <is>
          <t>n</t>
        </is>
      </c>
      <c r="H53" s="131" t="inlineStr">
        <is>
          <t>Green transportation</t>
        </is>
      </c>
      <c r="I53" s="131" t="inlineStr">
        <is>
          <t>whole economy</t>
        </is>
      </c>
      <c r="J53" s="135" t="inlineStr">
        <is>
          <t>By the end of 2027, 28 million charging facilities will be built nationwide, providing over 300 million kW of public charging capacity, meeting the charging needs of more than 80 million electric vehicles, and achieving a doubling of charging service capacity.</t>
        </is>
      </c>
      <c r="K53" s="136" t="inlineStr">
        <is>
          <t>AP2506.pdf</t>
        </is>
      </c>
      <c r="L53" s="131" t="inlineStr">
        <is>
          <t>Transport</t>
        </is>
      </c>
    </row>
    <row r="54" ht="18" customHeight="1" s="235">
      <c r="A54" s="0" t="n">
        <v>2026</v>
      </c>
      <c r="B54" s="0" t="inlineStr">
        <is>
          <t>share of new energy heavy-duty truck freight volume on expressways</t>
        </is>
      </c>
      <c r="C54" s="0" t="inlineStr">
        <is>
          <t>reach</t>
        </is>
      </c>
      <c r="D54" s="0" t="inlineStr">
        <is>
          <t>18%</t>
        </is>
      </c>
      <c r="F54" s="0" t="n">
        <v>2030</v>
      </c>
      <c r="G54" s="0" t="inlineStr">
        <is>
          <t>n</t>
        </is>
      </c>
      <c r="H54" s="0" t="inlineStr">
        <is>
          <t>Green transportation</t>
        </is>
      </c>
      <c r="I54" s="0" t="inlineStr">
        <is>
          <t>sectors</t>
        </is>
      </c>
      <c r="J54" s="0" t="inlineStr">
        <is>
          <t>The share of new energy heavy-duty truck freight volume on expressways will reach 18%;</t>
        </is>
      </c>
      <c r="K54" s="0" t="inlineStr">
        <is>
          <t>IP2603.htm</t>
        </is>
      </c>
      <c r="L54" s="0" t="inlineStr">
        <is>
          <t>Transport</t>
        </is>
      </c>
    </row>
    <row r="55" ht="18" customHeight="1" s="235">
      <c r="A55" s="0" t="n">
        <v>2026</v>
      </c>
      <c r="B55" s="0" t="inlineStr">
        <is>
          <t>share of new energy heavy-duty trucks in total ownership</t>
        </is>
      </c>
      <c r="C55" s="0" t="inlineStr">
        <is>
          <t>reach</t>
        </is>
      </c>
      <c r="D55" s="0" t="inlineStr">
        <is>
          <t>20%</t>
        </is>
      </c>
      <c r="E55" s="0" t="inlineStr">
        <is>
          <t>4% (2025)</t>
        </is>
      </c>
      <c r="F55" s="0" t="n">
        <v>2030</v>
      </c>
      <c r="G55" s="0" t="inlineStr">
        <is>
          <t>r</t>
        </is>
      </c>
      <c r="H55" s="0" t="inlineStr">
        <is>
          <t>Green transportation</t>
        </is>
      </c>
      <c r="I55" s="0" t="inlineStr">
        <is>
          <t>sectors</t>
        </is>
      </c>
      <c r="J55" s="0" t="inlineStr">
        <is>
          <t>Table 1: Share of new energy heavy-duty trucks in total ownership (%), 4 in 2025 and 20 in 2030, indicative.</t>
        </is>
      </c>
      <c r="K55" s="0" t="inlineStr">
        <is>
          <t>FYP2604.htm</t>
        </is>
      </c>
      <c r="L55" s="0" t="inlineStr">
        <is>
          <t>Transport</t>
        </is>
      </c>
    </row>
    <row r="56" ht="18" customHeight="1" s="235">
      <c r="A56" s="0" t="n">
        <v>2026</v>
      </c>
      <c r="B56" s="0" t="inlineStr">
        <is>
          <t>share of new energy heavy-duty trucks in total ownership</t>
        </is>
      </c>
      <c r="C56" s="0" t="inlineStr">
        <is>
          <t>reach</t>
        </is>
      </c>
      <c r="D56" s="0" t="inlineStr">
        <is>
          <t>around 20%</t>
        </is>
      </c>
      <c r="F56" s="0" t="n">
        <v>2030</v>
      </c>
      <c r="G56" s="0" t="inlineStr">
        <is>
          <t>n</t>
        </is>
      </c>
      <c r="H56" s="0" t="inlineStr">
        <is>
          <t>Green transportation</t>
        </is>
      </c>
      <c r="I56" s="0" t="inlineStr">
        <is>
          <t>sectors</t>
        </is>
      </c>
      <c r="J56" s="0" t="inlineStr">
        <is>
          <t>By 2030, the penetration rate of new energy heavy-duty trucks will reach 40%, with ownership exceeding 1.6 million vehicles and a share of around 20%;</t>
        </is>
      </c>
      <c r="K56" s="0" t="inlineStr">
        <is>
          <t>IP2603.htm</t>
        </is>
      </c>
      <c r="L56" s="0" t="inlineStr">
        <is>
          <t>Transport</t>
        </is>
      </c>
    </row>
    <row r="57" ht="18" customHeight="1" s="235">
      <c r="A57" s="0" t="n">
        <v>2026</v>
      </c>
      <c r="B57" s="0" t="inlineStr">
        <is>
          <t>share of new energy vehicles in commercial transport fleets</t>
        </is>
      </c>
      <c r="C57" s="0" t="inlineStr">
        <is>
          <t>reach</t>
        </is>
      </c>
      <c r="D57" s="0" t="inlineStr">
        <is>
          <t>25%</t>
        </is>
      </c>
      <c r="F57" s="0" t="n">
        <v>2030</v>
      </c>
      <c r="G57" s="0" t="inlineStr">
        <is>
          <t>n</t>
        </is>
      </c>
      <c r="H57" s="0" t="inlineStr">
        <is>
          <t>Green transportation</t>
        </is>
      </c>
      <c r="I57" s="0" t="inlineStr">
        <is>
          <t>sectors</t>
        </is>
      </c>
      <c r="J57" s="0" t="inlineStr">
        <is>
          <t>By 2030, the share of new energy vehicles in total vehicle ownership will strive to reach 30%, and the share of new energy vehicles in commercial transport fleets will reach 25%.</t>
        </is>
      </c>
      <c r="K57" s="0" t="inlineStr">
        <is>
          <t>HL2604.htm</t>
        </is>
      </c>
      <c r="L57" s="0" t="inlineStr">
        <is>
          <t>Transport</t>
        </is>
      </c>
    </row>
    <row r="58" ht="18" customHeight="1" s="235">
      <c r="A58" s="0" t="n">
        <v>2026</v>
      </c>
      <c r="B58" s="0" t="inlineStr">
        <is>
          <t>share of new energy vehicles in total vehicle ownership</t>
        </is>
      </c>
      <c r="C58" s="0" t="inlineStr">
        <is>
          <t>strive to reach</t>
        </is>
      </c>
      <c r="D58" s="0" t="inlineStr">
        <is>
          <t>30%</t>
        </is>
      </c>
      <c r="F58" s="0" t="n">
        <v>2030</v>
      </c>
      <c r="G58" s="0" t="inlineStr">
        <is>
          <t>n</t>
        </is>
      </c>
      <c r="H58" s="0" t="inlineStr">
        <is>
          <t>Green transportation</t>
        </is>
      </c>
      <c r="I58" s="0" t="inlineStr">
        <is>
          <t>whole economy</t>
        </is>
      </c>
      <c r="J58" s="0" t="inlineStr">
        <is>
          <t>By 2030, the share of new energy vehicles in total vehicle ownership will strive to reach 30%, and the share of new energy vehicles in commercial transport fleets will reach 25%.</t>
        </is>
      </c>
      <c r="K58" s="0" t="inlineStr">
        <is>
          <t>HL2604.htm</t>
        </is>
      </c>
      <c r="L58" s="0" t="inlineStr">
        <is>
          <t>Transport</t>
        </is>
      </c>
    </row>
    <row r="59" ht="18" customHeight="1" s="235">
      <c r="A59" s="131" t="n">
        <v>2025</v>
      </c>
      <c r="B59" s="131" t="inlineStr">
        <is>
          <t>total charging infrastructure</t>
        </is>
      </c>
      <c r="C59" s="131" t="inlineStr">
        <is>
          <t>reach</t>
        </is>
      </c>
      <c r="D59" s="131" t="inlineStr">
        <is>
          <t>28 million</t>
        </is>
      </c>
      <c r="E59" s="131" t="n"/>
      <c r="F59" s="134" t="n">
        <v>2027</v>
      </c>
      <c r="G59" s="131" t="inlineStr">
        <is>
          <t>n</t>
        </is>
      </c>
      <c r="H59" s="131" t="inlineStr">
        <is>
          <t>Green transportation</t>
        </is>
      </c>
      <c r="I59" s="131" t="inlineStr">
        <is>
          <t>whole economy</t>
        </is>
      </c>
      <c r="J59" s="131" t="inlineStr">
        <is>
          <t>By the end of 2027, 28 million charging facilities will be built nationwide, providing over 300 million kW of public charging capacity, meeting the charging needs of more than 80 million electric vehicles, and achieving a doubling of charging service capacity.</t>
        </is>
      </c>
      <c r="K59" s="132" t="inlineStr">
        <is>
          <t>AP2506.pdf</t>
        </is>
      </c>
      <c r="L59" s="131" t="inlineStr">
        <is>
          <t>Transport</t>
        </is>
      </c>
    </row>
    <row r="60" ht="18" customHeight="1" s="235">
      <c r="A60" s="131" t="n">
        <v>2016</v>
      </c>
      <c r="B60" s="131" t="inlineStr">
        <is>
          <t>public transportation share in large cities</t>
        </is>
      </c>
      <c r="C60" s="131" t="inlineStr">
        <is>
          <t>reach</t>
        </is>
      </c>
      <c r="D60" s="131" t="inlineStr">
        <is>
          <t>30%</t>
        </is>
      </c>
      <c r="E60" s="131" t="n"/>
      <c r="F60" s="131" t="inlineStr">
        <is>
          <t>2020</t>
        </is>
      </c>
      <c r="G60" s="131" t="inlineStr">
        <is>
          <t>n</t>
        </is>
      </c>
      <c r="H60" s="131" t="inlineStr">
        <is>
          <t>Green transportation</t>
        </is>
      </c>
      <c r="I60" s="131" t="inlineStr">
        <is>
          <t>cities</t>
        </is>
      </c>
      <c r="J60" s="131" t="inlineStr">
        <is>
          <t>Vigorously develop public transportation, promote the creation of a "public transportation city", and by 2020, the public transportation share of large cities will reach 30%.</t>
        </is>
      </c>
      <c r="K60" s="132" t="inlineStr">
        <is>
          <t>FYP1601.htm</t>
        </is>
      </c>
      <c r="L60" s="131" t="inlineStr">
        <is>
          <t>Transport</t>
        </is>
      </c>
    </row>
    <row r="61" ht="18" customHeight="1" s="235">
      <c r="A61" s="131" t="n">
        <v>2025</v>
      </c>
      <c r="B61" s="131" t="inlineStr">
        <is>
          <t>rail access to major ports along the Yangtze River</t>
        </is>
      </c>
      <c r="C61" s="131" t="inlineStr">
        <is>
          <t>achieve</t>
        </is>
      </c>
      <c r="D61" s="131" t="inlineStr">
        <is>
          <t>100%</t>
        </is>
      </c>
      <c r="E61" s="131" t="n"/>
      <c r="F61" s="134" t="n">
        <v>2030</v>
      </c>
      <c r="G61" s="131" t="inlineStr">
        <is>
          <t>n</t>
        </is>
      </c>
      <c r="H61" s="131" t="inlineStr">
        <is>
          <t>Green transportation</t>
        </is>
      </c>
      <c r="I61" s="131" t="inlineStr">
        <is>
          <t>areas</t>
        </is>
      </c>
      <c r="J61" s="131" t="inlineStr">
        <is>
          <t>Rail access to major ports along the Yangtze River will achieve 100% coverage.</t>
        </is>
      </c>
      <c r="K61" s="132" t="inlineStr">
        <is>
          <t>O2503.htm</t>
        </is>
      </c>
      <c r="L61" s="131" t="inlineStr">
        <is>
          <t>Transport</t>
        </is>
      </c>
    </row>
    <row r="62" ht="18" customHeight="1" s="235">
      <c r="A62" s="131" t="n">
        <v>2013</v>
      </c>
      <c r="B62" s="131" t="inlineStr">
        <is>
          <t>share of energy-saving internal combustion engine products in total internal combustion engine products</t>
        </is>
      </c>
      <c r="C62" s="131" t="inlineStr">
        <is>
          <t>account for</t>
        </is>
      </c>
      <c r="D62" s="131" t="inlineStr">
        <is>
          <t>60%</t>
        </is>
      </c>
      <c r="E62" s="131" t="n"/>
      <c r="F62" s="131" t="inlineStr">
        <is>
          <t>2015</t>
        </is>
      </c>
      <c r="G62" s="131" t="inlineStr">
        <is>
          <t>n</t>
        </is>
      </c>
      <c r="H62" s="131" t="inlineStr">
        <is>
          <t>Energy efficiency</t>
        </is>
      </c>
      <c r="I62" s="131" t="inlineStr">
        <is>
          <t>unclear</t>
        </is>
      </c>
      <c r="J62" s="131" t="inlineStr">
        <is>
          <t>By 2015, energy-saving internal combustion engine products will account for 60% of all internal combustion engine products in society.</t>
        </is>
      </c>
      <c r="K62" s="132" t="inlineStr">
        <is>
          <t>O1301.htm</t>
        </is>
      </c>
      <c r="L62" s="131" t="inlineStr">
        <is>
          <t>Transport</t>
        </is>
      </c>
    </row>
    <row r="63" ht="18" customHeight="1" s="235">
      <c r="A63" s="131" t="n">
        <v>2024</v>
      </c>
      <c r="B63" s="131" t="inlineStr">
        <is>
          <t>share of clean transportation in inbound and outbound transport of raw materials and fuels in the cement industry</t>
        </is>
      </c>
      <c r="C63" s="131" t="inlineStr">
        <is>
          <t>increase to</t>
        </is>
      </c>
      <c r="D63" s="131" t="inlineStr">
        <is>
          <t>80%</t>
        </is>
      </c>
      <c r="E63" s="131" t="n"/>
      <c r="F63" s="131" t="n">
        <v>2025</v>
      </c>
      <c r="G63" s="131" t="inlineStr">
        <is>
          <t>n</t>
        </is>
      </c>
      <c r="H63" s="131" t="inlineStr">
        <is>
          <t>Green transportation</t>
        </is>
      </c>
      <c r="I63" s="131" t="inlineStr">
        <is>
          <t>sectors</t>
        </is>
      </c>
      <c r="J63" s="131" t="inlineStr">
        <is>
          <t>The share of inbound and outbound transport of raw materials and fuels in the cement industry using clean transportation methods — including railways, waterways, pipelines, tubular belt conveyors, and enclosed belt corridors — must not be lower than 80%.</t>
        </is>
      </c>
      <c r="K63" s="131" t="inlineStr">
        <is>
          <t>O2406.pdf</t>
        </is>
      </c>
      <c r="L63" s="131" t="inlineStr">
        <is>
          <t>Transport</t>
        </is>
      </c>
    </row>
    <row r="64" ht="18" customHeight="1" s="235">
      <c r="A64" s="131" t="n">
        <v>2013</v>
      </c>
      <c r="B64" s="131" t="inlineStr">
        <is>
          <t>share of newly produced automotive gasoline engines using direct injection fuel systems</t>
        </is>
      </c>
      <c r="C64" s="131" t="inlineStr">
        <is>
          <t>reach</t>
        </is>
      </c>
      <c r="D64" s="131" t="inlineStr">
        <is>
          <t>30%-40%</t>
        </is>
      </c>
      <c r="E64" s="131" t="n"/>
      <c r="F64" s="131" t="inlineStr">
        <is>
          <t>2015</t>
        </is>
      </c>
      <c r="G64" s="131" t="inlineStr">
        <is>
          <t>n</t>
        </is>
      </c>
      <c r="H64" s="131" t="inlineStr">
        <is>
          <t>Energy efficiency</t>
        </is>
      </c>
      <c r="I64" s="131" t="inlineStr">
        <is>
          <t>unclear</t>
        </is>
      </c>
      <c r="J64" s="131" t="inlineStr">
        <is>
          <t>By 2015, 30%-40% of newly produced automotive gasoline engines will use direct injection fuel systems.</t>
        </is>
      </c>
      <c r="K64" s="132" t="inlineStr">
        <is>
          <t>O1301.htm</t>
        </is>
      </c>
      <c r="L64" s="131" t="inlineStr">
        <is>
          <t>Transport</t>
        </is>
      </c>
    </row>
    <row r="65" ht="18" customHeight="1" s="235">
      <c r="A65" s="131" t="n">
        <v>2013</v>
      </c>
      <c r="B65" s="131" t="inlineStr">
        <is>
          <t>share of newly produced multi-purpose (micro) passenger cars equipped with small-bore multi-cylinder diesel engines</t>
        </is>
      </c>
      <c r="C65" s="131" t="inlineStr">
        <is>
          <t>reach</t>
        </is>
      </c>
      <c r="D65" s="131" t="inlineStr">
        <is>
          <t>more than 20%</t>
        </is>
      </c>
      <c r="E65" s="131" t="n"/>
      <c r="F65" s="131" t="inlineStr">
        <is>
          <t>2015</t>
        </is>
      </c>
      <c r="G65" s="131" t="inlineStr">
        <is>
          <t>n</t>
        </is>
      </c>
      <c r="H65" s="131" t="inlineStr">
        <is>
          <t>Energy efficiency</t>
        </is>
      </c>
      <c r="I65" s="131" t="inlineStr">
        <is>
          <t>unclear</t>
        </is>
      </c>
      <c r="J65" s="131" t="inlineStr">
        <is>
          <t>By 2015, more than 20% of newly produced multi-purpose (micro) passenger cars will be equipped with small-bore multi-cylinder diesel engines, replacing 500,000 high-energy-consuming large-bore single-cylinder diesel engines.</t>
        </is>
      </c>
      <c r="K65" s="132" t="inlineStr">
        <is>
          <t>O1301.htm</t>
        </is>
      </c>
      <c r="L65" s="131" t="inlineStr">
        <is>
          <t>Transport</t>
        </is>
      </c>
    </row>
    <row r="66" ht="18" customHeight="1" s="235">
      <c r="A66" s="131" t="n">
        <v>2024</v>
      </c>
      <c r="B66" s="131" t="inlineStr">
        <is>
          <t>shore power usage at Yangtze River Economic Belt ports and water service areas</t>
        </is>
      </c>
      <c r="C66" s="131" t="inlineStr">
        <is>
          <t>increase by</t>
        </is>
      </c>
      <c r="D66" s="131" t="inlineStr">
        <is>
          <t>100%</t>
        </is>
      </c>
      <c r="E66" s="131" t="n">
        <v>2020</v>
      </c>
      <c r="F66" s="131" t="inlineStr">
        <is>
          <t>2025</t>
        </is>
      </c>
      <c r="G66" s="131" t="inlineStr">
        <is>
          <t>n</t>
        </is>
      </c>
      <c r="H66" s="131" t="inlineStr">
        <is>
          <t>Electrification</t>
        </is>
      </c>
      <c r="I66" s="131" t="inlineStr">
        <is>
          <t>ports</t>
        </is>
      </c>
      <c r="J66" s="131" t="inlineStr">
        <is>
          <t>By 2025, shore power usage at Yangtze River Economic Belt ports and water service areas will increase by 100% compared to 2020</t>
        </is>
      </c>
      <c r="K66" s="132" t="inlineStr">
        <is>
          <t>HL2401.pdf</t>
        </is>
      </c>
      <c r="L66" s="131" t="inlineStr">
        <is>
          <t>Transport</t>
        </is>
      </c>
    </row>
    <row r="67" ht="18" customHeight="1" s="235">
      <c r="A67" s="131" t="n">
        <v>2023</v>
      </c>
      <c r="B67" s="131" t="inlineStr">
        <is>
          <t>utilization rate of bridge electricity in airports with an annual passenger throughput of more than 5 million</t>
        </is>
      </c>
      <c r="C67" s="131" t="inlineStr">
        <is>
          <t>reach</t>
        </is>
      </c>
      <c r="D67" s="131" t="inlineStr">
        <is>
          <t>95%</t>
        </is>
      </c>
      <c r="E67" s="131" t="n"/>
      <c r="F67" s="131" t="inlineStr">
        <is>
          <t>2025</t>
        </is>
      </c>
      <c r="G67" s="131" t="inlineStr">
        <is>
          <t>n</t>
        </is>
      </c>
      <c r="H67" s="131" t="inlineStr">
        <is>
          <t>Electrification</t>
        </is>
      </c>
      <c r="I67" s="131" t="inlineStr">
        <is>
          <t>airports</t>
        </is>
      </c>
      <c r="J67" s="131" t="inlineStr">
        <is>
          <t>By 2025, for airports with an annual passenger throughput of more than 5 million, the utilization rate of bridge electricity will reach more than 95%.</t>
        </is>
      </c>
      <c r="K67" s="132" t="inlineStr">
        <is>
          <t>AP2304.htm</t>
        </is>
      </c>
      <c r="L67" s="131" t="inlineStr">
        <is>
          <t>Transport</t>
        </is>
      </c>
    </row>
    <row r="68" ht="18" customHeight="1" s="235">
      <c r="A68" s="131" t="n">
        <v>2022</v>
      </c>
      <c r="B68" s="131" t="inlineStr">
        <is>
          <t>volume of container rail-water intermodal transport</t>
        </is>
      </c>
      <c r="C68" s="131" t="inlineStr">
        <is>
          <t>increase by</t>
        </is>
      </c>
      <c r="D68" s="131" t="inlineStr">
        <is>
          <t>15%</t>
        </is>
      </c>
      <c r="E68" s="131" t="n">
        <v>2020</v>
      </c>
      <c r="F68" s="131" t="inlineStr">
        <is>
          <t>2025</t>
        </is>
      </c>
      <c r="G68" s="131" t="inlineStr">
        <is>
          <t>r</t>
        </is>
      </c>
      <c r="H68" s="131" t="inlineStr">
        <is>
          <t>Green transportation</t>
        </is>
      </c>
      <c r="I68" s="131" t="inlineStr">
        <is>
          <t>sectors</t>
        </is>
      </c>
      <c r="J68" s="131" t="inlineStr">
        <is>
          <t>By 2025, the container rail-water transport volume will increase by more than 15% annually.</t>
        </is>
      </c>
      <c r="K68" s="132" t="inlineStr">
        <is>
          <t>WOP2201.htm</t>
        </is>
      </c>
      <c r="L68" s="131" t="inlineStr">
        <is>
          <t>Transport</t>
        </is>
      </c>
    </row>
    <row r="69" ht="18" customHeight="1" s="235">
      <c r="A69" s="131" t="n">
        <v>2024</v>
      </c>
      <c r="B69" s="131" t="inlineStr">
        <is>
          <t>volume of container rail-water intermodal transport</t>
        </is>
      </c>
      <c r="C69" s="131" t="inlineStr">
        <is>
          <t>increase by</t>
        </is>
      </c>
      <c r="D69" s="131" t="inlineStr">
        <is>
          <t>15%</t>
        </is>
      </c>
      <c r="E69" s="131" t="n"/>
      <c r="F69" s="131" t="inlineStr">
        <is>
          <t>14th FYP</t>
        </is>
      </c>
      <c r="G69" s="131" t="inlineStr">
        <is>
          <t>n</t>
        </is>
      </c>
      <c r="H69" s="131" t="inlineStr">
        <is>
          <t>Green transportation</t>
        </is>
      </c>
      <c r="I69" s="131" t="inlineStr">
        <is>
          <t>sectors</t>
        </is>
      </c>
      <c r="J69" s="131" t="inlineStr">
        <is>
          <t>During the 14th FYP period, container rail-water intermodal transport volume will grow by an average of over 15% annually.</t>
        </is>
      </c>
      <c r="K69" s="132" t="inlineStr">
        <is>
          <t>HL2401.pdf</t>
        </is>
      </c>
      <c r="L69" s="131" t="inlineStr">
        <is>
          <t>Transport</t>
        </is>
      </c>
    </row>
    <row r="70" ht="18" customHeight="1" s="235">
      <c r="A70" s="131" t="n">
        <v>2024</v>
      </c>
      <c r="B70" s="131" t="inlineStr">
        <is>
          <t>volume of national rail freight</t>
        </is>
      </c>
      <c r="C70" s="131" t="inlineStr">
        <is>
          <t>increase by</t>
        </is>
      </c>
      <c r="D70" s="131" t="inlineStr">
        <is>
          <t>10%</t>
        </is>
      </c>
      <c r="E70" s="131" t="n">
        <v>2020</v>
      </c>
      <c r="F70" s="131" t="inlineStr">
        <is>
          <t>2025</t>
        </is>
      </c>
      <c r="G70" s="131" t="inlineStr">
        <is>
          <t>r</t>
        </is>
      </c>
      <c r="H70" s="131" t="inlineStr">
        <is>
          <t>Green transportation</t>
        </is>
      </c>
      <c r="I70" s="131" t="inlineStr">
        <is>
          <t>whole economy</t>
        </is>
      </c>
      <c r="J70" s="131" t="inlineStr">
        <is>
          <t>By the end of 2025, the volume of rail freight will increase by 10% compared with 2020.</t>
        </is>
      </c>
      <c r="K70" s="132" t="inlineStr">
        <is>
          <t>AP2405.htm</t>
        </is>
      </c>
      <c r="L70" s="131" t="inlineStr">
        <is>
          <t>Transport</t>
        </is>
      </c>
    </row>
    <row r="71" ht="18" customHeight="1" s="235">
      <c r="A71" s="135" t="n">
        <v>2022</v>
      </c>
      <c r="B71" s="135" t="inlineStr">
        <is>
          <t>volume of national rail freight</t>
        </is>
      </c>
      <c r="C71" s="135" t="inlineStr">
        <is>
          <t>increase by</t>
        </is>
      </c>
      <c r="D71" s="135" t="inlineStr">
        <is>
          <t>10%</t>
        </is>
      </c>
      <c r="E71" s="135" t="n">
        <v>2020</v>
      </c>
      <c r="F71" s="135" t="inlineStr">
        <is>
          <t>2025</t>
        </is>
      </c>
      <c r="G71" s="135" t="inlineStr">
        <is>
          <t>n</t>
        </is>
      </c>
      <c r="H71" s="131" t="inlineStr">
        <is>
          <t>Green transportation</t>
        </is>
      </c>
      <c r="I71" s="135" t="inlineStr">
        <is>
          <t>whole economy</t>
        </is>
      </c>
      <c r="J71" s="135" t="inlineStr">
        <is>
          <t>By 2025, the national railway freight volume will increase by about 10% compared with 2020.</t>
        </is>
      </c>
      <c r="K71" s="136" t="inlineStr">
        <is>
          <t>WOP2201.htm</t>
        </is>
      </c>
      <c r="L71" s="135" t="inlineStr">
        <is>
          <t>Transport</t>
        </is>
      </c>
    </row>
    <row r="72" ht="18" customHeight="1" s="235">
      <c r="A72" s="135" t="n">
        <v>2024</v>
      </c>
      <c r="B72" s="135" t="inlineStr">
        <is>
          <t>volume of national water freight</t>
        </is>
      </c>
      <c r="C72" s="135" t="inlineStr">
        <is>
          <t>increase by</t>
        </is>
      </c>
      <c r="D72" s="135" t="inlineStr">
        <is>
          <t>12%</t>
        </is>
      </c>
      <c r="E72" s="135" t="n">
        <v>2020</v>
      </c>
      <c r="F72" s="135" t="inlineStr">
        <is>
          <t>2025</t>
        </is>
      </c>
      <c r="G72" s="135" t="inlineStr">
        <is>
          <t>r</t>
        </is>
      </c>
      <c r="H72" s="131" t="inlineStr">
        <is>
          <t>Green transportation</t>
        </is>
      </c>
      <c r="I72" s="135" t="inlineStr">
        <is>
          <t>whole economy</t>
        </is>
      </c>
      <c r="J72" s="135" t="inlineStr">
        <is>
          <t>By the end of 2025, the volume of water freight will increase 12% compared with 2020.</t>
        </is>
      </c>
      <c r="K72" s="136" t="inlineStr">
        <is>
          <t>AP2405.htm</t>
        </is>
      </c>
      <c r="L72" s="135" t="inlineStr">
        <is>
          <t>Transport</t>
        </is>
      </c>
    </row>
    <row r="73" ht="18" customHeight="1" s="235">
      <c r="A73" s="135" t="n">
        <v>2022</v>
      </c>
      <c r="B73" s="135" t="inlineStr">
        <is>
          <t>volume of national water freight</t>
        </is>
      </c>
      <c r="C73" s="135" t="inlineStr">
        <is>
          <t>increase by</t>
        </is>
      </c>
      <c r="D73" s="135" t="inlineStr">
        <is>
          <t>12%</t>
        </is>
      </c>
      <c r="E73" s="135" t="n">
        <v>2020</v>
      </c>
      <c r="F73" s="135" t="inlineStr">
        <is>
          <t>2025</t>
        </is>
      </c>
      <c r="G73" s="135" t="inlineStr">
        <is>
          <t>n</t>
        </is>
      </c>
      <c r="H73" s="131" t="inlineStr">
        <is>
          <t>Green transportation</t>
        </is>
      </c>
      <c r="I73" s="131" t="inlineStr">
        <is>
          <t>whole economy</t>
        </is>
      </c>
      <c r="J73" s="135" t="inlineStr">
        <is>
          <t>By 2025, the national waterway freight volume will increase by about 12% compared with 2020.</t>
        </is>
      </c>
      <c r="K73" s="136" t="inlineStr">
        <is>
          <t>WOP2201.htm</t>
        </is>
      </c>
      <c r="L73" s="135" t="inlineStr">
        <is>
          <t>Transport</t>
        </is>
      </c>
    </row>
    <row r="74" ht="18" customHeight="1" s="235">
      <c r="A74" s="135" t="n">
        <v>2013</v>
      </c>
      <c r="B74" s="135" t="inlineStr">
        <is>
          <t>yellow-label vehicles in the Beijing-Tianjin-Hebei, Yangtze River Delta, Pearl River Delta</t>
        </is>
      </c>
      <c r="C74" s="135" t="inlineStr">
        <is>
          <t>eliminate</t>
        </is>
      </c>
      <c r="D74" s="135" t="inlineStr">
        <is>
          <t>5 million</t>
        </is>
      </c>
      <c r="E74" s="135" t="n"/>
      <c r="F74" s="135" t="inlineStr">
        <is>
          <t>2015</t>
        </is>
      </c>
      <c r="G74" s="135" t="inlineStr">
        <is>
          <t>n</t>
        </is>
      </c>
      <c r="H74" s="131" t="inlineStr">
        <is>
          <t>Pollution control</t>
        </is>
      </c>
      <c r="I74" s="135" t="inlineStr">
        <is>
          <t>areas</t>
        </is>
      </c>
      <c r="J74" s="135" t="inlineStr">
        <is>
          <t>By 2015, 5 million yellow-label vehicles in the Beijing-Tianjin-Hebei, Yangtze River Delta, Pearl River Delta and other regions will be basically eliminated.</t>
        </is>
      </c>
      <c r="K74" s="136" t="inlineStr">
        <is>
          <t>AP1302.htm</t>
        </is>
      </c>
      <c r="L74" s="135" t="inlineStr">
        <is>
          <t>Transport</t>
        </is>
      </c>
    </row>
    <row r="75" ht="18" customHeight="1" s="235">
      <c r="A75" s="135" t="n">
        <v>2014</v>
      </c>
      <c r="B75" s="135" t="inlineStr">
        <is>
          <t>yellow-label vehicles in the Beijing-Tianjin-Hebei, Yangtze River Delta, Pearl River Delta and other regions</t>
        </is>
      </c>
      <c r="C75" s="135" t="inlineStr">
        <is>
          <t>eliminate</t>
        </is>
      </c>
      <c r="D75" s="135" t="inlineStr">
        <is>
          <t>5 million</t>
        </is>
      </c>
      <c r="E75" s="135" t="n"/>
      <c r="F75" s="135" t="inlineStr">
        <is>
          <t>2015</t>
        </is>
      </c>
      <c r="G75" s="135" t="inlineStr">
        <is>
          <t>r</t>
        </is>
      </c>
      <c r="H75" s="131" t="inlineStr">
        <is>
          <t>Pollution control</t>
        </is>
      </c>
      <c r="I75" s="135" t="inlineStr">
        <is>
          <t>areas</t>
        </is>
      </c>
      <c r="J75" s="135" t="inlineStr">
        <is>
          <t>By the end of 2015, the country will basically eliminate 5 million yellow-label vehicles in the Beijing-Tianjin-Hebei, Yangtze River Delta, Pearl River Delta and other regions.</t>
        </is>
      </c>
      <c r="K75" s="136" t="inlineStr">
        <is>
          <t>AP1404.htm</t>
        </is>
      </c>
      <c r="L75" s="135" t="inlineStr">
        <is>
          <t>Transport</t>
        </is>
      </c>
    </row>
    <row r="76" ht="18" customHeight="1" s="235"/>
    <row r="77" ht="18" customHeight="1" s="235"/>
    <row r="78" ht="18" customHeight="1" s="235"/>
    <row r="79" ht="18" customHeight="1" s="235"/>
    <row r="80" ht="18" customHeight="1" s="235"/>
    <row r="81" ht="18" customHeight="1" s="235"/>
    <row r="82" ht="18" customHeight="1" s="235"/>
    <row r="83" ht="18" customHeight="1" s="235"/>
    <row r="84" ht="18" customHeight="1" s="235"/>
    <row r="85" ht="18" customHeight="1" s="235"/>
    <row r="86" ht="18" customHeight="1" s="235"/>
    <row r="87" ht="18" customHeight="1" s="235"/>
    <row r="88" ht="18" customHeight="1" s="235"/>
    <row r="89" ht="18" customHeight="1" s="235"/>
    <row r="90" ht="18" customHeight="1" s="235"/>
    <row r="91" ht="18" customHeight="1" s="235"/>
    <row r="92" ht="18" customHeight="1" s="235"/>
    <row r="93" ht="18" customHeight="1" s="235"/>
    <row r="94" ht="18" customHeight="1" s="235"/>
    <row r="95" ht="18" customHeight="1" s="235"/>
    <row r="96" ht="18" customHeight="1" s="235"/>
    <row r="97" ht="18" customHeight="1" s="235"/>
    <row r="98" ht="18" customHeight="1" s="235"/>
    <row r="99" ht="18" customHeight="1" s="235"/>
    <row r="100" ht="18" customHeight="1" s="235"/>
    <row r="101" ht="18" customHeight="1" s="235"/>
    <row r="102" ht="18" customHeight="1" s="235"/>
    <row r="103" ht="18" customHeight="1" s="235"/>
    <row r="104" ht="18" customHeight="1" s="235"/>
    <row r="105" ht="18" customHeight="1" s="235"/>
    <row r="106" ht="18" customHeight="1" s="235"/>
    <row r="107" ht="18" customHeight="1" s="235"/>
    <row r="108" ht="18" customHeight="1" s="235"/>
    <row r="109" ht="18" customHeight="1" s="235"/>
    <row r="110" ht="18" customHeight="1" s="235"/>
    <row r="111" ht="18" customHeight="1" s="235"/>
    <row r="112" ht="18" customHeight="1" s="235"/>
    <row r="113" ht="18" customHeight="1" s="235"/>
    <row r="114" ht="18" customHeight="1" s="235"/>
    <row r="115" ht="18" customHeight="1" s="235"/>
    <row r="116" ht="18" customHeight="1" s="235"/>
    <row r="117" ht="18" customHeight="1" s="235"/>
    <row r="118" ht="18" customHeight="1" s="235"/>
    <row r="119" ht="18" customHeight="1" s="235"/>
    <row r="120" ht="18" customHeight="1" s="235"/>
    <row r="121" ht="18" customHeight="1" s="235"/>
    <row r="122" ht="18" customHeight="1" s="235"/>
    <row r="123" ht="18" customHeight="1" s="235"/>
    <row r="124" ht="18" customHeight="1" s="235"/>
    <row r="125" ht="18" customHeight="1" s="235"/>
    <row r="126" ht="18" customHeight="1" s="235"/>
    <row r="127" ht="18" customHeight="1" s="235"/>
    <row r="128" ht="18" customHeight="1" s="235"/>
    <row r="129" ht="18" customHeight="1" s="235"/>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L199"/>
  <sheetViews>
    <sheetView zoomScale="75" workbookViewId="0">
      <selection activeCell="G5" sqref="G5"/>
    </sheetView>
  </sheetViews>
  <sheetFormatPr baseColWidth="8" defaultColWidth="14" defaultRowHeight="13"/>
  <cols>
    <col width="10.89843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4" customWidth="1" style="235" min="13" max="13"/>
    <col width="17" customWidth="1" style="235" min="14" max="15"/>
    <col width="13" customWidth="1" style="235" min="16" max="20"/>
  </cols>
  <sheetData>
    <row r="1" ht="18" customHeight="1" s="235">
      <c r="A1" s="89" t="inlineStr">
        <is>
          <t>Announcement_Year</t>
        </is>
      </c>
      <c r="B1" s="89" t="inlineStr">
        <is>
          <t>Metric</t>
        </is>
      </c>
      <c r="C1" s="89" t="inlineStr">
        <is>
          <t>Direction</t>
        </is>
      </c>
      <c r="D1" s="89" t="inlineStr">
        <is>
          <t>Target_Magnitude</t>
        </is>
      </c>
      <c r="E1" s="89" t="inlineStr">
        <is>
          <t>Baseline</t>
        </is>
      </c>
      <c r="F1" s="89" t="inlineStr">
        <is>
          <t>Target_Year_or_Period</t>
        </is>
      </c>
      <c r="G1" s="89" t="inlineStr">
        <is>
          <t>Count</t>
        </is>
      </c>
      <c r="H1" s="89" t="inlineStr">
        <is>
          <t>Target_Category</t>
        </is>
      </c>
      <c r="I1" s="89" t="inlineStr">
        <is>
          <t>Accountability</t>
        </is>
      </c>
      <c r="J1" s="89" t="inlineStr">
        <is>
          <t>Sentence</t>
        </is>
      </c>
      <c r="K1" s="89" t="inlineStr">
        <is>
          <t>Document</t>
        </is>
      </c>
      <c r="L1" s="89" t="inlineStr">
        <is>
          <t>Topic_Label</t>
        </is>
      </c>
    </row>
    <row r="2" ht="18" customHeight="1" s="235">
      <c r="A2" s="139" t="n">
        <v>2011</v>
      </c>
      <c r="B2" s="139" t="inlineStr">
        <is>
          <t>afforestation</t>
        </is>
      </c>
      <c r="C2" s="139" t="inlineStr">
        <is>
          <t>increase by</t>
        </is>
      </c>
      <c r="D2" s="139" t="inlineStr">
        <is>
          <t>12.5 million hectares</t>
        </is>
      </c>
      <c r="E2" s="139" t="n"/>
      <c r="F2" s="140" t="inlineStr">
        <is>
          <t>2015</t>
        </is>
      </c>
      <c r="G2" s="139" t="inlineStr">
        <is>
          <t>n</t>
        </is>
      </c>
      <c r="H2" s="139" t="inlineStr">
        <is>
          <t>Carbon sink</t>
        </is>
      </c>
      <c r="I2" s="139" t="inlineStr">
        <is>
          <t>whole economy</t>
        </is>
      </c>
      <c r="J2" s="139" t="inlineStr">
        <is>
          <t>By 2015, the acreage of new forests would increase by 12.5 million ha.</t>
        </is>
      </c>
      <c r="K2" s="141" t="inlineStr">
        <is>
          <t>HL1101.htm</t>
        </is>
      </c>
      <c r="L2" s="139" t="inlineStr">
        <is>
          <t>LULUCF</t>
        </is>
      </c>
    </row>
    <row r="3" ht="18" customHeight="1" s="235">
      <c r="A3" s="139" t="n">
        <v>2016</v>
      </c>
      <c r="B3" s="139" t="inlineStr">
        <is>
          <t>afforestation</t>
        </is>
      </c>
      <c r="C3" s="139" t="inlineStr">
        <is>
          <t>complete</t>
        </is>
      </c>
      <c r="D3" s="139" t="inlineStr">
        <is>
          <t>21.08 million hectares</t>
        </is>
      </c>
      <c r="E3" s="139" t="n"/>
      <c r="F3" s="140" t="inlineStr">
        <is>
          <t>2020</t>
        </is>
      </c>
      <c r="G3" s="139" t="inlineStr">
        <is>
          <t>n</t>
        </is>
      </c>
      <c r="H3" s="139" t="inlineStr">
        <is>
          <t>Carbon sink</t>
        </is>
      </c>
      <c r="I3" s="139" t="inlineStr">
        <is>
          <t>whole economy</t>
        </is>
      </c>
      <c r="J3" s="139" t="inlineStr">
        <is>
          <t>By 2020, 21.08 million hectares of afforestation will be completed.</t>
        </is>
      </c>
      <c r="K3" s="141" t="inlineStr">
        <is>
          <t>FYP1611.pdf</t>
        </is>
      </c>
      <c r="L3" s="139" t="inlineStr">
        <is>
          <t>LULUCF</t>
        </is>
      </c>
    </row>
    <row r="4" ht="18" customHeight="1" s="235">
      <c r="A4" s="139" t="n">
        <v>2012</v>
      </c>
      <c r="B4" s="139" t="inlineStr">
        <is>
          <t>afforestation</t>
        </is>
      </c>
      <c r="C4" s="139" t="inlineStr">
        <is>
          <t>increase by</t>
        </is>
      </c>
      <c r="D4" s="139" t="inlineStr">
        <is>
          <t>12.5 million hectares</t>
        </is>
      </c>
      <c r="E4" s="139" t="n"/>
      <c r="F4" s="140" t="inlineStr">
        <is>
          <t>12th FYP</t>
        </is>
      </c>
      <c r="G4" s="139" t="inlineStr">
        <is>
          <t>r</t>
        </is>
      </c>
      <c r="H4" s="139" t="inlineStr">
        <is>
          <t>Carbon sink</t>
        </is>
      </c>
      <c r="I4" s="139" t="inlineStr">
        <is>
          <t>whole economy</t>
        </is>
      </c>
      <c r="J4" s="139" t="inlineStr">
        <is>
          <t>By strongly pursuing afforestation and sustainable forest management, the forest area will be enlarged by 12.5 million hectares during the 12th FYP period (2011-2015).</t>
        </is>
      </c>
      <c r="K4" s="141" t="inlineStr">
        <is>
          <t>HL1201.pdf</t>
        </is>
      </c>
      <c r="L4" s="139" t="inlineStr">
        <is>
          <t>LULUCF</t>
        </is>
      </c>
    </row>
    <row r="5" ht="18" customHeight="1" s="235">
      <c r="A5" s="139" t="n">
        <v>2016</v>
      </c>
      <c r="B5" s="139" t="inlineStr">
        <is>
          <t>afforestation</t>
        </is>
      </c>
      <c r="C5" s="139" t="inlineStr">
        <is>
          <t>increase by</t>
        </is>
      </c>
      <c r="D5" s="139" t="inlineStr">
        <is>
          <t>12.5 million hectares</t>
        </is>
      </c>
      <c r="E5" s="139" t="n"/>
      <c r="F5" s="140" t="inlineStr">
        <is>
          <t>12th FYP</t>
        </is>
      </c>
      <c r="G5" s="139" t="inlineStr">
        <is>
          <t>r</t>
        </is>
      </c>
      <c r="H5" s="139" t="inlineStr">
        <is>
          <t>Carbon sink</t>
        </is>
      </c>
      <c r="I5" s="139" t="inlineStr">
        <is>
          <t>whole economy</t>
        </is>
      </c>
      <c r="J5" s="139" t="inlineStr">
        <is>
          <t>proposing that during the 12th Five-Year Plan period, the new forest area will be 12.5 million hectares</t>
        </is>
      </c>
      <c r="K5" s="141" t="inlineStr">
        <is>
          <t>AP1603.htm</t>
        </is>
      </c>
      <c r="L5" s="139" t="inlineStr">
        <is>
          <t>LULUCF</t>
        </is>
      </c>
    </row>
    <row r="6" ht="18" customHeight="1" s="235">
      <c r="A6" s="139" t="n">
        <v>2011</v>
      </c>
      <c r="B6" s="139" t="inlineStr">
        <is>
          <t>afforestation tasks</t>
        </is>
      </c>
      <c r="C6" s="139" t="inlineStr">
        <is>
          <t>complete</t>
        </is>
      </c>
      <c r="D6" s="139" t="inlineStr">
        <is>
          <t>30 million hectares</t>
        </is>
      </c>
      <c r="E6" s="139" t="n"/>
      <c r="F6" s="140" t="inlineStr">
        <is>
          <t>12th FYP</t>
        </is>
      </c>
      <c r="G6" s="139" t="inlineStr">
        <is>
          <t>n</t>
        </is>
      </c>
      <c r="H6" s="139" t="inlineStr">
        <is>
          <t>Carbon sink</t>
        </is>
      </c>
      <c r="I6" s="139" t="inlineStr">
        <is>
          <t>whole economy</t>
        </is>
      </c>
      <c r="J6" s="139" t="inlineStr">
        <is>
          <t>During the 12th Five Year Plan period, the country will complete afforestation tasks of 30 million hectares...</t>
        </is>
      </c>
      <c r="K6" s="141" t="inlineStr">
        <is>
          <t>AP1101.htm</t>
        </is>
      </c>
      <c r="L6" s="139" t="inlineStr">
        <is>
          <t>LULUCF</t>
        </is>
      </c>
    </row>
    <row r="7" ht="18" customHeight="1" s="235">
      <c r="A7" s="139" t="n">
        <v>2016</v>
      </c>
      <c r="B7" s="139" t="inlineStr">
        <is>
          <t>afforestation and renewal</t>
        </is>
      </c>
      <c r="C7" s="139" t="inlineStr">
        <is>
          <t>achieve</t>
        </is>
      </c>
      <c r="D7" s="139" t="inlineStr">
        <is>
          <t>29.85 million hectares</t>
        </is>
      </c>
      <c r="E7" s="139" t="n"/>
      <c r="F7" s="140" t="inlineStr">
        <is>
          <t>13th FYP</t>
        </is>
      </c>
      <c r="G7" s="139" t="inlineStr">
        <is>
          <t>s/l-POS</t>
        </is>
      </c>
      <c r="H7" s="139" t="inlineStr">
        <is>
          <t>Carbon sink</t>
        </is>
      </c>
      <c r="I7" s="139" t="inlineStr">
        <is>
          <t>whole economy</t>
        </is>
      </c>
      <c r="J7" s="139" t="inlineStr">
        <is>
          <t>During the 13th Five-Year Plan period, it is planned to afforest and renew 29.85 million hectares.</t>
        </is>
      </c>
      <c r="K7" s="141" t="inlineStr">
        <is>
          <t>PF1602.pdf</t>
        </is>
      </c>
      <c r="L7" s="139" t="inlineStr">
        <is>
          <t>LULUCF</t>
        </is>
      </c>
    </row>
    <row r="8" ht="18" customHeight="1" s="235">
      <c r="A8" s="139" t="n">
        <v>2008</v>
      </c>
      <c r="B8" s="139" t="inlineStr">
        <is>
          <t>annual increase of carbon sinks</t>
        </is>
      </c>
      <c r="C8" s="139" t="inlineStr">
        <is>
          <t>realize</t>
        </is>
      </c>
      <c r="D8" s="139" t="inlineStr">
        <is>
          <t>50 million tCO2</t>
        </is>
      </c>
      <c r="E8" s="139" t="n">
        <v>2005</v>
      </c>
      <c r="F8" s="140" t="n">
        <v>2010</v>
      </c>
      <c r="G8" s="139" t="inlineStr">
        <is>
          <t>r</t>
        </is>
      </c>
      <c r="H8" s="139" t="inlineStr">
        <is>
          <t>Carbon sink</t>
        </is>
      </c>
      <c r="I8" s="139" t="inlineStr">
        <is>
          <t>whole economy</t>
        </is>
      </c>
      <c r="J8" s="139" t="inlineStr">
        <is>
          <t>Striving to realize an increase of annual carbon sinks by 50 million tCO over the level of 2005 by 2010 through continuing key projects on afforestation, conversion of cropland on steep slope into forest and grassland, and natural forest protection, and improvement of basic farmland, and other relevant policies.</t>
        </is>
      </c>
      <c r="K8" s="141" t="inlineStr">
        <is>
          <t>HL0801.pdf</t>
        </is>
      </c>
      <c r="L8" s="139" t="inlineStr">
        <is>
          <t>LULUCF</t>
        </is>
      </c>
    </row>
    <row r="9" ht="18" customHeight="1" s="235">
      <c r="A9" s="139" t="n">
        <v>2007</v>
      </c>
      <c r="B9" s="139" t="inlineStr">
        <is>
          <t>annual increase of carbon sinks</t>
        </is>
      </c>
      <c r="C9" s="139" t="inlineStr">
        <is>
          <t>realize</t>
        </is>
      </c>
      <c r="D9" s="139" t="inlineStr">
        <is>
          <t>50 million tCO2</t>
        </is>
      </c>
      <c r="E9" s="139" t="n"/>
      <c r="F9" s="140" t="inlineStr">
        <is>
          <t>2005-2010</t>
        </is>
      </c>
      <c r="G9" s="139" t="inlineStr">
        <is>
          <t>n</t>
        </is>
      </c>
      <c r="H9" s="139" t="inlineStr">
        <is>
          <t>Carbon sink</t>
        </is>
      </c>
      <c r="I9" s="139" t="inlineStr">
        <is>
          <t>whole economy</t>
        </is>
      </c>
      <c r="J9" s="139" t="inlineStr">
        <is>
          <t>Realizing the increase of carbon sink by 50 million tons over the level of 2005 by 2010.</t>
        </is>
      </c>
      <c r="K9" s="141" t="inlineStr">
        <is>
          <t>HL0701.pdf</t>
        </is>
      </c>
      <c r="L9" s="139" t="inlineStr">
        <is>
          <t>LULUCF</t>
        </is>
      </c>
    </row>
    <row r="10" ht="18" customHeight="1" s="235">
      <c r="A10" s="139" t="n">
        <v>2024</v>
      </c>
      <c r="B10" s="139" t="inlineStr">
        <is>
          <t>area of ​​efficient water-saving irrigation</t>
        </is>
      </c>
      <c r="C10" s="139" t="inlineStr">
        <is>
          <t>increase by</t>
        </is>
      </c>
      <c r="D10" s="139" t="inlineStr">
        <is>
          <t>60 million mu</t>
        </is>
      </c>
      <c r="E10" s="139" t="n">
        <v>2025</v>
      </c>
      <c r="F10" s="140" t="n">
        <v>2030</v>
      </c>
      <c r="G10" s="139" t="inlineStr">
        <is>
          <t>n</t>
        </is>
      </c>
      <c r="H10" s="139" t="inlineStr">
        <is>
          <t>Resource efficiency</t>
        </is>
      </c>
      <c r="I10" s="139" t="inlineStr">
        <is>
          <t>whole economy</t>
        </is>
      </c>
      <c r="J10" s="139" t="inlineStr">
        <is>
          <t>From 2025 to 2030, the area of ​​efficient water-saving irrigation will be increased by about 60 million mu.</t>
        </is>
      </c>
      <c r="K10" s="141" t="inlineStr">
        <is>
          <t>GO2404.htm</t>
        </is>
      </c>
      <c r="L10" s="139" t="inlineStr">
        <is>
          <t>LULUCF</t>
        </is>
      </c>
    </row>
    <row r="11" ht="18" customHeight="1" s="235">
      <c r="A11" s="139" t="n">
        <v>2024</v>
      </c>
      <c r="B11" s="139" t="inlineStr">
        <is>
          <t>area of ​​integrated rice-fish</t>
        </is>
      </c>
      <c r="C11" s="139" t="inlineStr">
        <is>
          <t>stabilize at</t>
        </is>
      </c>
      <c r="D11" s="139" t="inlineStr">
        <is>
          <t>50 million mu</t>
        </is>
      </c>
      <c r="E11" s="139" t="n"/>
      <c r="F11" s="140" t="inlineStr">
        <is>
          <t>2030</t>
        </is>
      </c>
      <c r="G11" s="139" t="inlineStr">
        <is>
          <t>n</t>
        </is>
      </c>
      <c r="H11" s="139" t="inlineStr">
        <is>
          <t>Resource efficiency</t>
        </is>
      </c>
      <c r="I11" s="139" t="inlineStr">
        <is>
          <t>whole economy</t>
        </is>
      </c>
      <c r="J11" s="139" t="inlineStr">
        <is>
          <t>By 2030, the area of ​​integrated rice-fish farming will stabilize at around 50 million mu.</t>
        </is>
      </c>
      <c r="K11" s="141" t="inlineStr">
        <is>
          <t>GO2404.htm</t>
        </is>
      </c>
      <c r="L11" s="139" t="inlineStr">
        <is>
          <t>LULUCF</t>
        </is>
      </c>
    </row>
    <row r="12" ht="18" customHeight="1" s="235">
      <c r="A12" s="139" t="n">
        <v>2011</v>
      </c>
      <c r="B12" s="139" t="inlineStr">
        <is>
          <t>area of forest germplasm resource storage bases</t>
        </is>
      </c>
      <c r="C12" s="139" t="inlineStr">
        <is>
          <t>cover</t>
        </is>
      </c>
      <c r="D12" s="139" t="inlineStr">
        <is>
          <t>9690 hectares</t>
        </is>
      </c>
      <c r="E12" s="139" t="n"/>
      <c r="F12" s="140" t="inlineStr">
        <is>
          <t>2020</t>
        </is>
      </c>
      <c r="G12" s="139" t="inlineStr">
        <is>
          <t>n</t>
        </is>
      </c>
      <c r="H12" s="139" t="inlineStr">
        <is>
          <t>Environmental quality</t>
        </is>
      </c>
      <c r="I12" s="139" t="inlineStr">
        <is>
          <t>areas</t>
        </is>
      </c>
      <c r="J12" s="139" t="inlineStr">
        <is>
          <t>By 2020, it is planned to build 200 forest germplasm resource storage bases covering 9,690 hectares;</t>
        </is>
      </c>
      <c r="K12" s="141" t="inlineStr">
        <is>
          <t>PF1101.pdf</t>
        </is>
      </c>
      <c r="L12" s="139" t="inlineStr">
        <is>
          <t>LULUCF</t>
        </is>
      </c>
    </row>
    <row r="13" ht="18" customHeight="1" s="235">
      <c r="A13" s="139" t="n">
        <v>2011</v>
      </c>
      <c r="B13" s="139" t="inlineStr">
        <is>
          <t>area of forest germplasm resource storage bases</t>
        </is>
      </c>
      <c r="C13" s="139" t="inlineStr">
        <is>
          <t>build</t>
        </is>
      </c>
      <c r="D13" s="139" t="inlineStr">
        <is>
          <t>5000 hectares</t>
        </is>
      </c>
      <c r="E13" s="139" t="n"/>
      <c r="F13" s="140" t="inlineStr">
        <is>
          <t>12th FYP</t>
        </is>
      </c>
      <c r="G13" s="139" t="inlineStr">
        <is>
          <t>n</t>
        </is>
      </c>
      <c r="H13" s="139" t="inlineStr">
        <is>
          <t>Environmental quality</t>
        </is>
      </c>
      <c r="I13" s="139" t="inlineStr">
        <is>
          <t>unclear</t>
        </is>
      </c>
      <c r="J13" s="139" t="inlineStr">
        <is>
          <t>During the 12th Five-Year Plan period, 100 forest germplasm resource storage facilities covering 5,000 hectares will be built;</t>
        </is>
      </c>
      <c r="K13" s="141" t="inlineStr">
        <is>
          <t>PF1101.pdf</t>
        </is>
      </c>
      <c r="L13" s="139" t="inlineStr">
        <is>
          <t>LULUCF</t>
        </is>
      </c>
    </row>
    <row r="14" ht="18" customHeight="1" s="235">
      <c r="A14" s="139" t="n">
        <v>2018</v>
      </c>
      <c r="B14" s="139" t="inlineStr">
        <is>
          <t>area of national reserve forests</t>
        </is>
      </c>
      <c r="C14" s="139" t="inlineStr">
        <is>
          <t>build</t>
        </is>
      </c>
      <c r="D14" s="139" t="inlineStr">
        <is>
          <t>7 million hectares</t>
        </is>
      </c>
      <c r="E14" s="139" t="n"/>
      <c r="F14" s="140" t="inlineStr">
        <is>
          <t>2020</t>
        </is>
      </c>
      <c r="G14" s="139" t="inlineStr">
        <is>
          <t>n</t>
        </is>
      </c>
      <c r="H14" s="139" t="inlineStr">
        <is>
          <t>Carbon sink</t>
        </is>
      </c>
      <c r="I14" s="139" t="inlineStr">
        <is>
          <t>whole economy</t>
        </is>
      </c>
      <c r="J14" s="139" t="inlineStr">
        <is>
          <t>We will focus on implementing national reserve forest demonstration projects in Guangxi Zhuang Autonomous Region, Nanping, Fujian, Ji'an, Jiangxi, etc., vigorously cultivate and reserve forest resources such as rare tree species and large-diameter timber, and build 7 million hectares of national reserve forests by 2020.</t>
        </is>
      </c>
      <c r="K14" s="141" t="inlineStr">
        <is>
          <t>O1801.htm</t>
        </is>
      </c>
      <c r="L14" s="139" t="inlineStr">
        <is>
          <t>LULUCF</t>
        </is>
      </c>
    </row>
    <row r="15" ht="18" customHeight="1" s="235">
      <c r="A15" s="139" t="n">
        <v>2011</v>
      </c>
      <c r="B15" s="139" t="inlineStr">
        <is>
          <t>artifical regeneration of forests</t>
        </is>
      </c>
      <c r="C15" s="139" t="inlineStr">
        <is>
          <t>regenerate</t>
        </is>
      </c>
      <c r="D15" s="139" t="inlineStr">
        <is>
          <t>3 million hectares</t>
        </is>
      </c>
      <c r="E15" s="139" t="n"/>
      <c r="F15" s="140" t="inlineStr">
        <is>
          <t>12th FYP</t>
        </is>
      </c>
      <c r="G15" s="139" t="inlineStr">
        <is>
          <t>n</t>
        </is>
      </c>
      <c r="H15" s="139" t="inlineStr">
        <is>
          <t>Carbon sink</t>
        </is>
      </c>
      <c r="I15" s="139" t="inlineStr">
        <is>
          <t>whole economy</t>
        </is>
      </c>
      <c r="J15" s="139" t="inlineStr">
        <is>
          <t>During the 12th Five-Year Plan period, 3 million hectares will be artificially regeneration of forest.</t>
        </is>
      </c>
      <c r="K15" s="141" t="inlineStr">
        <is>
          <t>PF1101.pdf</t>
        </is>
      </c>
      <c r="L15" s="139" t="inlineStr">
        <is>
          <t>LULUCF</t>
        </is>
      </c>
    </row>
    <row r="16" ht="18" customHeight="1" s="235">
      <c r="A16" s="139" t="n">
        <v>2011</v>
      </c>
      <c r="B16" s="139" t="inlineStr">
        <is>
          <t>artifical regeneration of land</t>
        </is>
      </c>
      <c r="C16" s="139" t="inlineStr">
        <is>
          <t>complete</t>
        </is>
      </c>
      <c r="D16" s="139" t="inlineStr">
        <is>
          <t>6 million hectares</t>
        </is>
      </c>
      <c r="E16" s="139" t="n"/>
      <c r="F16" s="140" t="inlineStr">
        <is>
          <t>2011-2020</t>
        </is>
      </c>
      <c r="G16" s="139" t="inlineStr">
        <is>
          <t>n</t>
        </is>
      </c>
      <c r="H16" s="139" t="inlineStr">
        <is>
          <t>Carbon sink</t>
        </is>
      </c>
      <c r="I16" s="139" t="inlineStr">
        <is>
          <t>whole economy</t>
        </is>
      </c>
      <c r="J16" s="139" t="inlineStr">
        <is>
          <t>By 2020, it is planned to artificially regenerate 6 million hectares.</t>
        </is>
      </c>
      <c r="K16" s="141" t="inlineStr">
        <is>
          <t>PF1101.pdf</t>
        </is>
      </c>
      <c r="L16" s="139" t="inlineStr">
        <is>
          <t>LULUCF</t>
        </is>
      </c>
    </row>
    <row r="17" ht="18" customHeight="1" s="235">
      <c r="A17" s="139" t="n">
        <v>2016</v>
      </c>
      <c r="B17" s="139" t="inlineStr">
        <is>
          <t>artificial grass</t>
        </is>
      </c>
      <c r="C17" s="139" t="inlineStr">
        <is>
          <t>maintain</t>
        </is>
      </c>
      <c r="D17" s="139" t="inlineStr">
        <is>
          <t>5 million hectares</t>
        </is>
      </c>
      <c r="E17" s="139" t="n"/>
      <c r="F17" s="140" t="inlineStr">
        <is>
          <t>13th FYP</t>
        </is>
      </c>
      <c r="G17" s="139" t="inlineStr">
        <is>
          <t>n</t>
        </is>
      </c>
      <c r="H17" s="139" t="inlineStr">
        <is>
          <t>Environmental quality</t>
        </is>
      </c>
      <c r="I17" s="139" t="inlineStr">
        <is>
          <t>whole economy</t>
        </is>
      </c>
      <c r="J17" s="139" t="inlineStr">
        <is>
          <t>During the 13th Five-Year Plan period, it is planned to reserve 5 million hectares of artificial grass.</t>
        </is>
      </c>
      <c r="K17" s="141" t="inlineStr">
        <is>
          <t>PF1602.pdf</t>
        </is>
      </c>
      <c r="L17" s="139" t="inlineStr">
        <is>
          <t>LULUCF</t>
        </is>
      </c>
    </row>
    <row r="18" ht="18" customHeight="1" s="235">
      <c r="A18" s="139" t="n">
        <v>2011</v>
      </c>
      <c r="B18" s="139" t="inlineStr">
        <is>
          <t>artificial grass</t>
        </is>
      </c>
      <c r="C18" s="139" t="inlineStr">
        <is>
          <t>maintain</t>
        </is>
      </c>
      <c r="D18" s="139" t="inlineStr">
        <is>
          <t>10 million hectares</t>
        </is>
      </c>
      <c r="E18" s="139" t="n"/>
      <c r="F18" s="140" t="inlineStr">
        <is>
          <t>12th FYP</t>
        </is>
      </c>
      <c r="G18" s="139" t="inlineStr">
        <is>
          <t>n</t>
        </is>
      </c>
      <c r="H18" s="139" t="inlineStr">
        <is>
          <t>Environmental quality</t>
        </is>
      </c>
      <c r="I18" s="139" t="inlineStr">
        <is>
          <t>whole economy</t>
        </is>
      </c>
      <c r="J18" s="139" t="inlineStr">
        <is>
          <t>During the 12th Five-Year Plan period, it is planned to reserve 10 million hectares of artificial grass.</t>
        </is>
      </c>
      <c r="K18" s="141" t="inlineStr">
        <is>
          <t>PF1101.pdf</t>
        </is>
      </c>
      <c r="L18" s="139" t="inlineStr">
        <is>
          <t>LULUCF</t>
        </is>
      </c>
    </row>
    <row r="19" ht="18" customHeight="1" s="235">
      <c r="A19" s="139" t="n">
        <v>2017</v>
      </c>
      <c r="B19" s="139" t="inlineStr">
        <is>
          <t>basic farmland forest network control rate</t>
        </is>
      </c>
      <c r="C19" s="139" t="inlineStr">
        <is>
          <t>reach</t>
        </is>
      </c>
      <c r="D19" s="139" t="inlineStr">
        <is>
          <t>95%</t>
        </is>
      </c>
      <c r="E19" s="139" t="n"/>
      <c r="F19" s="140" t="inlineStr">
        <is>
          <t>2020</t>
        </is>
      </c>
      <c r="G19" s="139" t="inlineStr">
        <is>
          <t>n</t>
        </is>
      </c>
      <c r="H19" s="139" t="inlineStr">
        <is>
          <t>Carbon sink</t>
        </is>
      </c>
      <c r="I19" s="139" t="inlineStr">
        <is>
          <t>whole economy</t>
        </is>
      </c>
      <c r="J19" s="139" t="inlineStr">
        <is>
          <t>By 2020, the basic farmland forest network control rate will reach 95%.</t>
        </is>
      </c>
      <c r="K19" s="141" t="inlineStr">
        <is>
          <t>O1702.htm</t>
        </is>
      </c>
      <c r="L19" s="139" t="inlineStr">
        <is>
          <t>LULUCF</t>
        </is>
      </c>
    </row>
    <row r="20" ht="18" customHeight="1" s="235">
      <c r="A20" s="139" t="n">
        <v>2016</v>
      </c>
      <c r="B20" s="139" t="inlineStr">
        <is>
          <t>cities, towns, villages, and military management areas</t>
        </is>
      </c>
      <c r="C20" s="139" t="inlineStr">
        <is>
          <t>green</t>
        </is>
      </c>
      <c r="D20" s="139" t="inlineStr">
        <is>
          <t>1.38 million hectares</t>
        </is>
      </c>
      <c r="E20" s="139" t="n"/>
      <c r="F20" s="140" t="inlineStr">
        <is>
          <t>13th FYP</t>
        </is>
      </c>
      <c r="G20" s="139" t="inlineStr">
        <is>
          <t>n</t>
        </is>
      </c>
      <c r="H20" s="139" t="inlineStr">
        <is>
          <t>Environmental quality</t>
        </is>
      </c>
      <c r="I20" s="139" t="inlineStr">
        <is>
          <t>cities</t>
        </is>
      </c>
      <c r="J20" s="139" t="inlineStr">
        <is>
          <t>During the 13th Five-Year Plan period, it is planned to green 1.38 million hectares of cities, towns, villages, and military management areas.</t>
        </is>
      </c>
      <c r="K20" s="141" t="inlineStr">
        <is>
          <t>PF1602.pdf</t>
        </is>
      </c>
      <c r="L20" s="139" t="inlineStr">
        <is>
          <t>LULUCF</t>
        </is>
      </c>
    </row>
    <row r="21" ht="18" customHeight="1" s="235">
      <c r="A21" s="139" t="n">
        <v>2026</v>
      </c>
      <c r="B21" s="139" t="inlineStr">
        <is>
          <t>coastal wetland restoration</t>
        </is>
      </c>
      <c r="C21" s="139" t="inlineStr">
        <is>
          <t>restore</t>
        </is>
      </c>
      <c r="D21" s="142" t="inlineStr">
        <is>
          <t>20000 hectares</t>
        </is>
      </c>
      <c r="E21" s="139" t="n"/>
      <c r="F21" s="140" t="inlineStr">
        <is>
          <t>15th FYP</t>
        </is>
      </c>
      <c r="G21" s="140" t="inlineStr">
        <is>
          <t>n</t>
        </is>
      </c>
      <c r="H21" s="139" t="inlineStr">
        <is>
          <t>Environmental quality</t>
        </is>
      </c>
      <c r="I21" s="139" t="inlineStr">
        <is>
          <t>whole economy</t>
        </is>
      </c>
      <c r="J21" s="139" t="inlineStr">
        <is>
          <t>The plan will comprehensively restore 20000 hectares of coastal wetlands.</t>
        </is>
      </c>
      <c r="K21" s="141" t="inlineStr">
        <is>
          <t>HL2601.pdf</t>
        </is>
      </c>
      <c r="L21" s="139" t="inlineStr">
        <is>
          <t>LULUCF</t>
        </is>
      </c>
    </row>
    <row r="22" ht="18" customHeight="1" s="235">
      <c r="A22" s="139" t="n">
        <v>2026</v>
      </c>
      <c r="B22" s="139" t="inlineStr">
        <is>
          <t>coastline restoration</t>
        </is>
      </c>
      <c r="C22" s="139" t="inlineStr">
        <is>
          <t>restore</t>
        </is>
      </c>
      <c r="D22" s="142" t="inlineStr">
        <is>
          <t>400 kilometers</t>
        </is>
      </c>
      <c r="E22" s="139" t="n"/>
      <c r="F22" s="140" t="inlineStr">
        <is>
          <t>15th FYP</t>
        </is>
      </c>
      <c r="G22" s="140" t="inlineStr">
        <is>
          <t>n</t>
        </is>
      </c>
      <c r="H22" s="139" t="inlineStr">
        <is>
          <t>Environmental quality</t>
        </is>
      </c>
      <c r="I22" s="139" t="inlineStr">
        <is>
          <t>areas</t>
        </is>
      </c>
      <c r="J22" s="139" t="inlineStr">
        <is>
          <t>The plan will restore 400 kilometers of coastline.</t>
        </is>
      </c>
      <c r="K22" s="141" t="inlineStr">
        <is>
          <t>HL2601.pdf</t>
        </is>
      </c>
      <c r="L22" s="139" t="inlineStr">
        <is>
          <t>LULUCF</t>
        </is>
      </c>
    </row>
    <row r="23" ht="18" customHeight="1" s="235">
      <c r="A23" s="139" t="n">
        <v>2021</v>
      </c>
      <c r="B23" s="139" t="inlineStr">
        <is>
          <t>coverage rate of green prevention and control in agriculture</t>
        </is>
      </c>
      <c r="C23" s="139" t="inlineStr">
        <is>
          <t>reach</t>
        </is>
      </c>
      <c r="D23" s="139" t="inlineStr">
        <is>
          <t>55%</t>
        </is>
      </c>
      <c r="E23" s="139" t="n"/>
      <c r="F23" s="140" t="inlineStr">
        <is>
          <t>2025</t>
        </is>
      </c>
      <c r="G23" s="139" t="inlineStr">
        <is>
          <t>n</t>
        </is>
      </c>
      <c r="H23" s="139" t="inlineStr">
        <is>
          <t>Environmental quality</t>
        </is>
      </c>
      <c r="I23" s="139" t="inlineStr">
        <is>
          <t>whole economy</t>
        </is>
      </c>
      <c r="J23" s="139" t="inlineStr">
        <is>
          <t>By 2025, the coverage rate of green prevention and control in agriculture will reach 55%.</t>
        </is>
      </c>
      <c r="K23" s="141" t="inlineStr">
        <is>
          <t>FYP2107.htm</t>
        </is>
      </c>
      <c r="L23" s="139" t="inlineStr">
        <is>
          <t>LULUCF</t>
        </is>
      </c>
    </row>
    <row r="24" ht="18" customHeight="1" s="235">
      <c r="A24" s="139" t="n">
        <v>2021</v>
      </c>
      <c r="B24" s="139" t="inlineStr">
        <is>
          <t>coverage rate of unified prevention and control in agriculture</t>
        </is>
      </c>
      <c r="C24" s="139" t="inlineStr">
        <is>
          <t>reach</t>
        </is>
      </c>
      <c r="D24" s="139" t="inlineStr">
        <is>
          <t>45%</t>
        </is>
      </c>
      <c r="E24" s="139" t="n"/>
      <c r="F24" s="140" t="inlineStr">
        <is>
          <t>2025</t>
        </is>
      </c>
      <c r="G24" s="139" t="inlineStr">
        <is>
          <t>n</t>
        </is>
      </c>
      <c r="H24" s="139" t="inlineStr">
        <is>
          <t>Environmental quality</t>
        </is>
      </c>
      <c r="I24" s="139" t="inlineStr">
        <is>
          <t>whole economy</t>
        </is>
      </c>
      <c r="J24" s="139" t="inlineStr">
        <is>
          <t>By 2025, the coverage rate of unified prevention and control in agriculture will reach 45%.</t>
        </is>
      </c>
      <c r="K24" s="141" t="inlineStr">
        <is>
          <t>FYP2107.htm</t>
        </is>
      </c>
      <c r="L24" s="139" t="inlineStr">
        <is>
          <t>LULUCF</t>
        </is>
      </c>
    </row>
    <row r="25" ht="18" customHeight="1" s="235">
      <c r="A25" s="139" t="n">
        <v>2023</v>
      </c>
      <c r="B25" s="139" t="inlineStr">
        <is>
          <t>degraded farmland</t>
        </is>
      </c>
      <c r="C25" s="139" t="inlineStr">
        <is>
          <t>restore</t>
        </is>
      </c>
      <c r="D25" s="139" t="inlineStr">
        <is>
          <t>14 million mu</t>
        </is>
      </c>
      <c r="E25" s="139" t="n"/>
      <c r="F25" s="140" t="inlineStr">
        <is>
          <t>2023-2025</t>
        </is>
      </c>
      <c r="G25" s="139" t="inlineStr">
        <is>
          <t>n</t>
        </is>
      </c>
      <c r="H25" s="139" t="inlineStr">
        <is>
          <t>Environmental quality</t>
        </is>
      </c>
      <c r="I25" s="139" t="inlineStr">
        <is>
          <t>whole economy</t>
        </is>
      </c>
      <c r="J25" s="139" t="inlineStr">
        <is>
          <t>By 2025, an additional 14 million mu of degraded farmland will have been restored.</t>
        </is>
      </c>
      <c r="K25" s="141" t="inlineStr">
        <is>
          <t>HL2302.pdf</t>
        </is>
      </c>
      <c r="L25" s="139" t="inlineStr">
        <is>
          <t>LULUCF</t>
        </is>
      </c>
    </row>
    <row r="26" ht="18" customHeight="1" s="235">
      <c r="A26" s="139" t="n">
        <v>2019</v>
      </c>
      <c r="B26" s="139" t="inlineStr">
        <is>
          <t>desertification lands</t>
        </is>
      </c>
      <c r="C26" s="139" t="inlineStr">
        <is>
          <t>rehabilitate</t>
        </is>
      </c>
      <c r="D26" s="139" t="inlineStr">
        <is>
          <t>10 million ha</t>
        </is>
      </c>
      <c r="E26" s="139" t="n"/>
      <c r="F26" s="140" t="inlineStr">
        <is>
          <t>2015</t>
        </is>
      </c>
      <c r="G26" s="139" t="inlineStr">
        <is>
          <t>n</t>
        </is>
      </c>
      <c r="H26" s="139" t="inlineStr">
        <is>
          <t>Environmental quality</t>
        </is>
      </c>
      <c r="I26" s="139" t="inlineStr">
        <is>
          <t>whole economy</t>
        </is>
      </c>
      <c r="J26" s="139" t="inlineStr">
        <is>
          <t>by 2015, newly improving desertification lands by more than 10 million ha</t>
        </is>
      </c>
      <c r="K26" s="141" t="inlineStr">
        <is>
          <t>HL1902.pdf</t>
        </is>
      </c>
      <c r="L26" s="139" t="inlineStr">
        <is>
          <t>LULUCF</t>
        </is>
      </c>
    </row>
    <row r="27" ht="18" customHeight="1" s="235">
      <c r="A27" s="139" t="n">
        <v>2008</v>
      </c>
      <c r="B27" s="139" t="inlineStr">
        <is>
          <t>desertified land put under control</t>
        </is>
      </c>
      <c r="C27" s="139" t="inlineStr">
        <is>
          <t>reach</t>
        </is>
      </c>
      <c r="D27" s="139" t="inlineStr">
        <is>
          <t>22 million hectares</t>
        </is>
      </c>
      <c r="E27" s="139" t="n"/>
      <c r="F27" s="140" t="inlineStr">
        <is>
          <t>2010</t>
        </is>
      </c>
      <c r="G27" s="139" t="inlineStr">
        <is>
          <t>n</t>
        </is>
      </c>
      <c r="H27" s="139" t="inlineStr">
        <is>
          <t>Environmental quality</t>
        </is>
      </c>
      <c r="I27" s="139" t="inlineStr">
        <is>
          <t>whole economy</t>
        </is>
      </c>
      <c r="J27" s="139" t="inlineStr">
        <is>
          <t>Through strengthening natural forest conservation and nature reserve management, continuing key ecological restoration projects, establishing important ecological protection area, and stepping up natural ecological restoration, by 2010,  22 million hectares of desertified land will have been put under control.</t>
        </is>
      </c>
      <c r="K27" s="141" t="inlineStr">
        <is>
          <t>HL0801.pdf</t>
        </is>
      </c>
      <c r="L27" s="139" t="inlineStr">
        <is>
          <t>LULUCF</t>
        </is>
      </c>
    </row>
    <row r="28" ht="18" customHeight="1" s="235">
      <c r="A28" s="139" t="n">
        <v>2019</v>
      </c>
      <c r="B28" s="139" t="inlineStr">
        <is>
          <t>disaster rate of forestry pests</t>
        </is>
      </c>
      <c r="C28" s="139" t="inlineStr">
        <is>
          <t>retain below</t>
        </is>
      </c>
      <c r="D28" s="139" t="inlineStr">
        <is>
          <t>4.5  per mille</t>
        </is>
      </c>
      <c r="E28" s="139" t="n"/>
      <c r="F28" s="140" t="inlineStr">
        <is>
          <t>2015</t>
        </is>
      </c>
      <c r="G28" s="139" t="inlineStr">
        <is>
          <t>r</t>
        </is>
      </c>
      <c r="H28" s="139" t="inlineStr">
        <is>
          <t>Environmental quality</t>
        </is>
      </c>
      <c r="I28" s="139" t="inlineStr">
        <is>
          <t>sectors</t>
        </is>
      </c>
      <c r="J28" s="139" t="inlineStr">
        <is>
          <t>by 2015, retaining disaster rate of forestry pests under 4.5 per mille.</t>
        </is>
      </c>
      <c r="K28" s="141" t="inlineStr">
        <is>
          <t>HL1902.pdf</t>
        </is>
      </c>
      <c r="L28" s="139" t="inlineStr">
        <is>
          <t>LULUCF</t>
        </is>
      </c>
    </row>
    <row r="29" ht="18" customHeight="1" s="235">
      <c r="A29" s="139" t="n">
        <v>2019</v>
      </c>
      <c r="B29" s="139" t="inlineStr">
        <is>
          <t>disaster rate of forestry pests</t>
        </is>
      </c>
      <c r="C29" s="139" t="inlineStr">
        <is>
          <t>reduce to</t>
        </is>
      </c>
      <c r="D29" s="139" t="inlineStr">
        <is>
          <t>4  per mille</t>
        </is>
      </c>
      <c r="E29" s="139" t="n"/>
      <c r="F29" s="140" t="inlineStr">
        <is>
          <t>2020</t>
        </is>
      </c>
      <c r="G29" s="139" t="inlineStr">
        <is>
          <t>n</t>
        </is>
      </c>
      <c r="H29" s="139" t="inlineStr">
        <is>
          <t>Environmental quality</t>
        </is>
      </c>
      <c r="I29" s="139" t="inlineStr">
        <is>
          <t>sectors</t>
        </is>
      </c>
      <c r="J29" s="139" t="inlineStr">
        <is>
          <t>By 2020, the proportion affected by forest pests will be reduced to below 4 per mille.</t>
        </is>
      </c>
      <c r="K29" s="141" t="inlineStr">
        <is>
          <t>HL1902.pdf</t>
        </is>
      </c>
      <c r="L29" s="139" t="inlineStr">
        <is>
          <t>LULUCF</t>
        </is>
      </c>
    </row>
    <row r="30" ht="18" customHeight="1" s="235">
      <c r="A30" s="139" t="n">
        <v>2011</v>
      </c>
      <c r="B30" s="139" t="inlineStr">
        <is>
          <t>disaster rate of forestry pests</t>
        </is>
      </c>
      <c r="C30" s="139" t="inlineStr">
        <is>
          <t>control below</t>
        </is>
      </c>
      <c r="D30" s="139" t="inlineStr">
        <is>
          <t>4.5 per mille</t>
        </is>
      </c>
      <c r="E30" s="139" t="n"/>
      <c r="F30" s="140" t="n">
        <v>2015</v>
      </c>
      <c r="G30" s="140" t="inlineStr">
        <is>
          <t>n</t>
        </is>
      </c>
      <c r="H30" s="139" t="inlineStr">
        <is>
          <t>Environmental quality</t>
        </is>
      </c>
      <c r="I30" s="139" t="inlineStr">
        <is>
          <t>sectors</t>
        </is>
      </c>
      <c r="J30" s="139" t="inlineStr">
        <is>
          <t>The disaster rate of forestry pests should be controlled below 4.5 ‰.</t>
        </is>
      </c>
      <c r="K30" s="141" t="inlineStr">
        <is>
          <t>AP1101.htm</t>
        </is>
      </c>
      <c r="L30" s="139" t="inlineStr">
        <is>
          <t>LULUCF</t>
        </is>
      </c>
    </row>
    <row r="31" ht="18" customHeight="1" s="235">
      <c r="A31" s="139" t="n">
        <v>2008</v>
      </c>
      <c r="B31" s="139" t="inlineStr">
        <is>
          <t>ecologically restored land</t>
        </is>
      </c>
      <c r="C31" s="139" t="inlineStr">
        <is>
          <t>reach</t>
        </is>
      </c>
      <c r="D31" s="139" t="inlineStr">
        <is>
          <t>30 million hectares</t>
        </is>
      </c>
      <c r="E31" s="139" t="n"/>
      <c r="F31" s="140" t="inlineStr">
        <is>
          <t>2010</t>
        </is>
      </c>
      <c r="G31" s="139" t="inlineStr">
        <is>
          <t>n</t>
        </is>
      </c>
      <c r="H31" s="139" t="inlineStr">
        <is>
          <t>Environmental quality</t>
        </is>
      </c>
      <c r="I31" s="139" t="inlineStr">
        <is>
          <t>whole economy</t>
        </is>
      </c>
      <c r="J31" s="139" t="inlineStr">
        <is>
          <t>Through strengthening natural forest conservation and nature reserve management, continuing key ecological restoration projects, establishing important ecological protection area, and stepping up natural ecological restoration, by 2010, 30 million hectares of land will have been ecologically restored.</t>
        </is>
      </c>
      <c r="K31" s="141" t="inlineStr">
        <is>
          <t>HL0801.pdf</t>
        </is>
      </c>
      <c r="L31" s="139" t="inlineStr">
        <is>
          <t>LULUCF</t>
        </is>
      </c>
    </row>
    <row r="32" ht="18" customHeight="1" s="235">
      <c r="A32" s="139" t="n">
        <v>2013</v>
      </c>
      <c r="B32" s="139" t="inlineStr">
        <is>
          <t>effective utilization coefficient of agricultural irrigation water</t>
        </is>
      </c>
      <c r="C32" s="139" t="inlineStr">
        <is>
          <t>reach</t>
        </is>
      </c>
      <c r="D32" s="139" t="inlineStr">
        <is>
          <t>0.53</t>
        </is>
      </c>
      <c r="E32" s="139" t="n"/>
      <c r="F32" s="140" t="inlineStr">
        <is>
          <t>2015</t>
        </is>
      </c>
      <c r="G32" s="139" t="inlineStr">
        <is>
          <t>n</t>
        </is>
      </c>
      <c r="H32" s="139" t="inlineStr">
        <is>
          <t>Resource efficiency</t>
        </is>
      </c>
      <c r="I32" s="139" t="inlineStr">
        <is>
          <t>sectors</t>
        </is>
      </c>
      <c r="J32" s="139" t="inlineStr">
        <is>
          <t>By 2015, the effective utilization coefficient of agricultural irrigation water will reach 0.53.</t>
        </is>
      </c>
      <c r="K32" s="141" t="inlineStr">
        <is>
          <t>DP1301.htm</t>
        </is>
      </c>
      <c r="L32" s="139" t="inlineStr">
        <is>
          <t>LULUCF</t>
        </is>
      </c>
    </row>
    <row r="33" ht="18" customHeight="1" s="235">
      <c r="A33" s="139" t="n">
        <v>2015</v>
      </c>
      <c r="B33" s="139" t="inlineStr">
        <is>
          <t>effective utilization coefficient of agricultural irrigation water</t>
        </is>
      </c>
      <c r="C33" s="139" t="inlineStr">
        <is>
          <t>increase to</t>
        </is>
      </c>
      <c r="D33" s="139" t="inlineStr">
        <is>
          <t>above 0.55</t>
        </is>
      </c>
      <c r="E33" s="139" t="n"/>
      <c r="F33" s="140" t="inlineStr">
        <is>
          <t>2020</t>
        </is>
      </c>
      <c r="G33" s="139" t="inlineStr">
        <is>
          <t>n</t>
        </is>
      </c>
      <c r="H33" s="139" t="inlineStr">
        <is>
          <t>Resource efficiency</t>
        </is>
      </c>
      <c r="I33" s="139" t="inlineStr">
        <is>
          <t>sectors</t>
        </is>
      </c>
      <c r="J33" s="139" t="inlineStr">
        <is>
          <t>By 2020, the effective utilization coefficient of agricultural irrigation water will be increased to above 0.55.</t>
        </is>
      </c>
      <c r="K33" s="141" t="inlineStr">
        <is>
          <t>HL1503.htm</t>
        </is>
      </c>
      <c r="L33" s="139" t="inlineStr">
        <is>
          <t>LULUCF</t>
        </is>
      </c>
    </row>
    <row r="34" ht="18" customHeight="1" s="235">
      <c r="A34" s="139" t="n">
        <v>2024</v>
      </c>
      <c r="B34" s="139" t="inlineStr">
        <is>
          <t>effective utilization coefficient of agricultural irrigation water</t>
        </is>
      </c>
      <c r="C34" s="139" t="inlineStr">
        <is>
          <t>increase to</t>
        </is>
      </c>
      <c r="D34" s="139" t="inlineStr">
        <is>
          <t>0.58</t>
        </is>
      </c>
      <c r="E34" s="139" t="n"/>
      <c r="F34" s="140" t="inlineStr">
        <is>
          <t>2025</t>
        </is>
      </c>
      <c r="G34" s="139" t="inlineStr">
        <is>
          <t>n</t>
        </is>
      </c>
      <c r="H34" s="139" t="inlineStr">
        <is>
          <t>Resource efficiency</t>
        </is>
      </c>
      <c r="I34" s="139" t="inlineStr">
        <is>
          <t>sectors</t>
        </is>
      </c>
      <c r="J34" s="139" t="inlineStr">
        <is>
          <t>By 2025, the effective utilization coefficient of agricultural irrigation water will be raised to 0.58.</t>
        </is>
      </c>
      <c r="K34" s="141" t="inlineStr">
        <is>
          <t>HL2401.pdf</t>
        </is>
      </c>
      <c r="L34" s="139" t="inlineStr">
        <is>
          <t>LULUCF</t>
        </is>
      </c>
    </row>
    <row r="35" ht="18" customHeight="1" s="235">
      <c r="A35" s="139" t="n">
        <v>2017</v>
      </c>
      <c r="B35" s="139" t="inlineStr">
        <is>
          <t>effective utilization coefficient of agricultural irrigation water</t>
        </is>
      </c>
      <c r="C35" s="139" t="inlineStr">
        <is>
          <t>increase to</t>
        </is>
      </c>
      <c r="D35" s="139" t="inlineStr">
        <is>
          <t>above 0.55</t>
        </is>
      </c>
      <c r="E35" s="139" t="n"/>
      <c r="F35" s="140" t="inlineStr">
        <is>
          <t>2020</t>
        </is>
      </c>
      <c r="G35" s="139" t="inlineStr">
        <is>
          <t>r</t>
        </is>
      </c>
      <c r="H35" s="139" t="inlineStr">
        <is>
          <t>Resource efficiency</t>
        </is>
      </c>
      <c r="I35" s="139" t="inlineStr">
        <is>
          <t>sectors</t>
        </is>
      </c>
      <c r="J35" s="139" t="inlineStr">
        <is>
          <t>By 2020, the effective utilization coefficient of farmland irrigation water will increase to above 0.55.</t>
        </is>
      </c>
      <c r="K35" s="141" t="inlineStr">
        <is>
          <t>O1702.htm</t>
        </is>
      </c>
      <c r="L35" s="139" t="inlineStr">
        <is>
          <t>LULUCF</t>
        </is>
      </c>
    </row>
    <row r="36" ht="18" customHeight="1" s="235">
      <c r="A36" s="139" t="n">
        <v>2008</v>
      </c>
      <c r="B36" s="139" t="inlineStr">
        <is>
          <t>effective utilization coefficient of agricultural irrigation water</t>
        </is>
      </c>
      <c r="C36" s="139" t="inlineStr">
        <is>
          <t>increase to</t>
        </is>
      </c>
      <c r="D36" s="139" t="inlineStr">
        <is>
          <t>0.5</t>
        </is>
      </c>
      <c r="E36" s="139" t="n"/>
      <c r="F36" s="140" t="inlineStr">
        <is>
          <t>2010</t>
        </is>
      </c>
      <c r="G36" s="139" t="inlineStr">
        <is>
          <t>r</t>
        </is>
      </c>
      <c r="H36" s="139" t="inlineStr">
        <is>
          <t>Resource efficiency</t>
        </is>
      </c>
      <c r="I36" s="139" t="inlineStr">
        <is>
          <t>sectors</t>
        </is>
      </c>
      <c r="J36" s="139" t="inlineStr">
        <is>
          <t>Through strengthening farmland infrastructure, adjusting cropping systems, selecting and breeding stress-resistant varieties, developing bio-technologies and other adaptation measures, by 2010 the efficiency of irrigation water will be raised to 0.5.</t>
        </is>
      </c>
      <c r="K36" s="141" t="inlineStr">
        <is>
          <t>HL0801.pdf</t>
        </is>
      </c>
      <c r="L36" s="139" t="inlineStr">
        <is>
          <t>LULUCF</t>
        </is>
      </c>
    </row>
    <row r="37" ht="18" customHeight="1" s="235">
      <c r="A37" s="139" t="n">
        <v>2007</v>
      </c>
      <c r="B37" s="139" t="inlineStr">
        <is>
          <t>effective utilization coefficient of agricultural irrigation water</t>
        </is>
      </c>
      <c r="C37" s="139" t="inlineStr">
        <is>
          <t>increase to</t>
        </is>
      </c>
      <c r="D37" s="139" t="inlineStr">
        <is>
          <t>0.5</t>
        </is>
      </c>
      <c r="E37" s="139" t="n"/>
      <c r="F37" s="140" t="inlineStr">
        <is>
          <t>2010</t>
        </is>
      </c>
      <c r="G37" s="139" t="inlineStr">
        <is>
          <t>n</t>
        </is>
      </c>
      <c r="H37" s="139" t="inlineStr">
        <is>
          <t>Resource efficiency</t>
        </is>
      </c>
      <c r="I37" s="139" t="inlineStr">
        <is>
          <t>sectors</t>
        </is>
      </c>
      <c r="J37" s="139" t="inlineStr">
        <is>
          <t>Through strengthening farmland infrastructure, adjusting cropping systems, selecting and breeding stress-resistant varieties and developing bio-technologies and other adaptive countermeasures, the targets by 2010 are to strive to increase the efficient utilization coefficient of agricultural irrigation water to 0.5.</t>
        </is>
      </c>
      <c r="K37" s="141" t="inlineStr">
        <is>
          <t>HL0701.pdf</t>
        </is>
      </c>
      <c r="L37" s="139" t="inlineStr">
        <is>
          <t>LULUCF</t>
        </is>
      </c>
    </row>
    <row r="38" ht="18" customHeight="1" s="235">
      <c r="A38" s="139" t="n">
        <v>2019</v>
      </c>
      <c r="B38" s="139" t="inlineStr">
        <is>
          <t>effective utilization coefficient of agricultural irrigation water</t>
        </is>
      </c>
      <c r="C38" s="139" t="inlineStr">
        <is>
          <t>increase to</t>
        </is>
      </c>
      <c r="D38" s="139" t="inlineStr">
        <is>
          <t>over 0.55</t>
        </is>
      </c>
      <c r="E38" s="139" t="n"/>
      <c r="F38" s="140" t="inlineStr">
        <is>
          <t>2020</t>
        </is>
      </c>
      <c r="G38" s="140" t="inlineStr">
        <is>
          <t>n</t>
        </is>
      </c>
      <c r="H38" s="139" t="inlineStr">
        <is>
          <t>Resource efficiency</t>
        </is>
      </c>
      <c r="I38" s="139" t="inlineStr">
        <is>
          <t>sectors</t>
        </is>
      </c>
      <c r="J38" s="139" t="inlineStr">
        <is>
          <t>By 2020, water use efficiency for arable land irrigation will increase to over 0.55.</t>
        </is>
      </c>
      <c r="K38" s="141" t="inlineStr">
        <is>
          <t>HL1902.pdf</t>
        </is>
      </c>
      <c r="L38" s="139" t="inlineStr">
        <is>
          <t>LULUCF</t>
        </is>
      </c>
    </row>
    <row r="39" ht="18" customHeight="1" s="235">
      <c r="A39" s="139" t="n">
        <v>2019</v>
      </c>
      <c r="B39" s="139" t="inlineStr">
        <is>
          <t>effectively irrigated arable land area</t>
        </is>
      </c>
      <c r="C39" s="139" t="inlineStr">
        <is>
          <t>exceed</t>
        </is>
      </c>
      <c r="D39" s="139" t="inlineStr">
        <is>
          <t>1 billion hectares</t>
        </is>
      </c>
      <c r="E39" s="139" t="n"/>
      <c r="F39" s="140" t="inlineStr">
        <is>
          <t>2020</t>
        </is>
      </c>
      <c r="G39" s="139" t="inlineStr">
        <is>
          <t>n</t>
        </is>
      </c>
      <c r="H39" s="139" t="inlineStr">
        <is>
          <t>Resource efficiency</t>
        </is>
      </c>
      <c r="I39" s="139" t="inlineStr">
        <is>
          <t>sectors</t>
        </is>
      </c>
      <c r="J39" s="139" t="inlineStr">
        <is>
          <t>By 2020, the effectively irrigated arable land area will exceed 1 billion ha.</t>
        </is>
      </c>
      <c r="K39" s="141" t="inlineStr">
        <is>
          <t>HL1902.pdf</t>
        </is>
      </c>
      <c r="L39" s="139" t="inlineStr">
        <is>
          <t>LULUCF</t>
        </is>
      </c>
    </row>
    <row r="40" ht="18" customHeight="1" s="235">
      <c r="A40" s="139" t="n">
        <v>2016</v>
      </c>
      <c r="B40" s="139" t="inlineStr">
        <is>
          <t>forest area</t>
        </is>
      </c>
      <c r="C40" s="139" t="inlineStr">
        <is>
          <t>cultivate</t>
        </is>
      </c>
      <c r="D40" s="139" t="inlineStr">
        <is>
          <t>40 million hectares</t>
        </is>
      </c>
      <c r="E40" s="139" t="n"/>
      <c r="F40" s="140" t="inlineStr">
        <is>
          <t>13th FYP</t>
        </is>
      </c>
      <c r="G40" s="139" t="inlineStr">
        <is>
          <t>r</t>
        </is>
      </c>
      <c r="H40" s="139" t="inlineStr">
        <is>
          <t>Carbon sink</t>
        </is>
      </c>
      <c r="I40" s="139" t="inlineStr">
        <is>
          <t>whole economy</t>
        </is>
      </c>
      <c r="J40" s="139" t="inlineStr">
        <is>
          <t>During the 13th Five-Year Plan period, it is planned to cultivate 40 million hectares of forest.</t>
        </is>
      </c>
      <c r="K40" s="141" t="inlineStr">
        <is>
          <t>PF1602.pdf</t>
        </is>
      </c>
      <c r="L40" s="139" t="inlineStr">
        <is>
          <t>LULUCF</t>
        </is>
      </c>
    </row>
    <row r="41" ht="18" customHeight="1" s="235">
      <c r="A41" s="139" t="n">
        <v>2009</v>
      </c>
      <c r="B41" s="139" t="inlineStr">
        <is>
          <t>forest area</t>
        </is>
      </c>
      <c r="C41" s="139" t="inlineStr">
        <is>
          <t>increase by</t>
        </is>
      </c>
      <c r="D41" s="139" t="inlineStr">
        <is>
          <t>40 million hectares</t>
        </is>
      </c>
      <c r="E41" s="139" t="n">
        <v>2005</v>
      </c>
      <c r="F41" s="140" t="n">
        <v>2020</v>
      </c>
      <c r="G41" s="139" t="inlineStr">
        <is>
          <t>r</t>
        </is>
      </c>
      <c r="H41" s="139" t="inlineStr">
        <is>
          <t>Carbon sink</t>
        </is>
      </c>
      <c r="I41" s="139" t="inlineStr">
        <is>
          <t>whole economy</t>
        </is>
      </c>
      <c r="J41" s="139" t="inlineStr">
        <is>
          <t>At the 2009 United Nations Climate Change Summit, President Hu Jintao made a solemn promise to the world to “vigorously increase forest carbon sinks and strive to increase forest area by 40 million hectares by 2020 compared with 2005.”</t>
        </is>
      </c>
      <c r="K41" s="141" t="inlineStr">
        <is>
          <t>PF1101.pdf</t>
        </is>
      </c>
      <c r="L41" s="139" t="inlineStr">
        <is>
          <t>LULUCF</t>
        </is>
      </c>
    </row>
    <row r="42" ht="18" customHeight="1" s="235">
      <c r="A42" s="139" t="n">
        <v>2017</v>
      </c>
      <c r="B42" s="139" t="inlineStr">
        <is>
          <t>forest area</t>
        </is>
      </c>
      <c r="C42" s="139" t="inlineStr">
        <is>
          <t>increase by</t>
        </is>
      </c>
      <c r="D42" s="139" t="inlineStr">
        <is>
          <t>40 million hectares</t>
        </is>
      </c>
      <c r="E42" s="139" t="n">
        <v>2005</v>
      </c>
      <c r="F42" s="140" t="n">
        <v>2020</v>
      </c>
      <c r="G42" s="139" t="inlineStr">
        <is>
          <t>r</t>
        </is>
      </c>
      <c r="H42" s="139" t="inlineStr">
        <is>
          <t>Carbon sink</t>
        </is>
      </c>
      <c r="I42" s="139" t="inlineStr">
        <is>
          <t>whole economy</t>
        </is>
      </c>
      <c r="J42" s="139" t="inlineStr">
        <is>
          <t>Based on the National Appropriate Mitigation Actions (NAMAs) proposed by the Chinese government, such as increasing forest area by 40 million hectares compared with 2005 by 2020.</t>
        </is>
      </c>
      <c r="K42" s="141" t="inlineStr">
        <is>
          <t>HL1701.pdf</t>
        </is>
      </c>
      <c r="L42" s="139" t="inlineStr">
        <is>
          <t>LULUCF</t>
        </is>
      </c>
    </row>
    <row r="43" ht="18" customHeight="1" s="235">
      <c r="A43" s="139" t="n">
        <v>2012</v>
      </c>
      <c r="B43" s="139" t="inlineStr">
        <is>
          <t>forest area</t>
        </is>
      </c>
      <c r="C43" s="139" t="inlineStr">
        <is>
          <t>increase by</t>
        </is>
      </c>
      <c r="D43" s="139" t="inlineStr">
        <is>
          <t>40 million hectares</t>
        </is>
      </c>
      <c r="E43" s="139" t="n">
        <v>2005</v>
      </c>
      <c r="F43" s="140" t="inlineStr">
        <is>
          <t>2020</t>
        </is>
      </c>
      <c r="G43" s="139" t="inlineStr">
        <is>
          <t>r</t>
        </is>
      </c>
      <c r="H43" s="139" t="inlineStr">
        <is>
          <t>Carbon sink</t>
        </is>
      </c>
      <c r="I43" s="139" t="inlineStr">
        <is>
          <t>whole economy</t>
        </is>
      </c>
      <c r="J43" s="139" t="inlineStr">
        <is>
          <t>By strongly pursuing afforestation and sustainable forest management, to lay a solid foundation for increasing forest area by 40 million hectares by 2020, compared with 2005 levels.</t>
        </is>
      </c>
      <c r="K43" s="141" t="inlineStr">
        <is>
          <t>HL1201.pdf</t>
        </is>
      </c>
      <c r="L43" s="139" t="inlineStr">
        <is>
          <t>LULUCF</t>
        </is>
      </c>
    </row>
    <row r="44" ht="18" customHeight="1" s="235">
      <c r="A44" s="139" t="n">
        <v>2019</v>
      </c>
      <c r="B44" s="139" t="inlineStr">
        <is>
          <t>forest area</t>
        </is>
      </c>
      <c r="C44" s="139" t="inlineStr">
        <is>
          <t>increase by</t>
        </is>
      </c>
      <c r="D44" s="139" t="inlineStr">
        <is>
          <t>40 million ha</t>
        </is>
      </c>
      <c r="E44" s="139" t="n">
        <v>2005</v>
      </c>
      <c r="F44" s="140" t="inlineStr">
        <is>
          <t>2020</t>
        </is>
      </c>
      <c r="G44" s="139" t="inlineStr">
        <is>
          <t>r</t>
        </is>
      </c>
      <c r="H44" s="139" t="inlineStr">
        <is>
          <t>Carbon sink</t>
        </is>
      </c>
      <c r="I44" s="139" t="inlineStr">
        <is>
          <t>whole economy</t>
        </is>
      </c>
      <c r="J44" s="139" t="inlineStr">
        <is>
          <t>By 2020, China is to increase 40 million ha of forest area compared to 2005</t>
        </is>
      </c>
      <c r="K44" s="141" t="inlineStr">
        <is>
          <t>HL1902.pdf</t>
        </is>
      </c>
      <c r="L44" s="139" t="inlineStr">
        <is>
          <t>LULUCF</t>
        </is>
      </c>
    </row>
    <row r="45" ht="18" customHeight="1" s="235">
      <c r="A45" s="139" t="n">
        <v>2016</v>
      </c>
      <c r="B45" s="139" t="inlineStr">
        <is>
          <t>forest area</t>
        </is>
      </c>
      <c r="C45" s="139" t="inlineStr">
        <is>
          <t>increase by</t>
        </is>
      </c>
      <c r="D45" s="139" t="inlineStr">
        <is>
          <t>40 million hectares</t>
        </is>
      </c>
      <c r="E45" s="139" t="n">
        <v>2005</v>
      </c>
      <c r="F45" s="140" t="n">
        <v>2020</v>
      </c>
      <c r="G45" s="139" t="inlineStr">
        <is>
          <t>r</t>
        </is>
      </c>
      <c r="H45" s="139" t="inlineStr">
        <is>
          <t>Carbon sink</t>
        </is>
      </c>
      <c r="I45" s="139" t="inlineStr">
        <is>
          <t>whole economy</t>
        </is>
      </c>
      <c r="J45" s="139" t="inlineStr">
        <is>
          <t>on the basis of 2005, by 2020, the forest area will increase by 40 million hectares</t>
        </is>
      </c>
      <c r="K45" s="141" t="inlineStr">
        <is>
          <t>AP1603.htm</t>
        </is>
      </c>
      <c r="L45" s="139" t="inlineStr">
        <is>
          <t>LULUCF</t>
        </is>
      </c>
    </row>
    <row r="46" ht="18" customHeight="1" s="235">
      <c r="A46" s="139" t="n">
        <v>2012</v>
      </c>
      <c r="B46" s="139" t="inlineStr">
        <is>
          <t>forest area</t>
        </is>
      </c>
      <c r="C46" s="139" t="inlineStr">
        <is>
          <t>increase by</t>
        </is>
      </c>
      <c r="D46" s="139" t="inlineStr">
        <is>
          <t>40 million hectares</t>
        </is>
      </c>
      <c r="E46" s="139" t="n">
        <v>2005</v>
      </c>
      <c r="F46" s="140" t="inlineStr">
        <is>
          <t>2020</t>
        </is>
      </c>
      <c r="G46" s="139" t="inlineStr">
        <is>
          <t>r</t>
        </is>
      </c>
      <c r="H46" s="139" t="inlineStr">
        <is>
          <t>Carbon sink</t>
        </is>
      </c>
      <c r="I46" s="139" t="inlineStr">
        <is>
          <t>whole economy</t>
        </is>
      </c>
      <c r="J46" s="139" t="inlineStr">
        <is>
          <t>The Chinese government announced that, by 2020 the forest area will be increased by 40 million hectares compared with 2005.</t>
        </is>
      </c>
      <c r="K46" s="141" t="inlineStr">
        <is>
          <t>HL1201.pdf</t>
        </is>
      </c>
      <c r="L46" s="139" t="inlineStr">
        <is>
          <t>LULUCF</t>
        </is>
      </c>
    </row>
    <row r="47" ht="18" customHeight="1" s="235">
      <c r="A47" s="139" t="n">
        <v>2012</v>
      </c>
      <c r="B47" s="139" t="inlineStr">
        <is>
          <t>forest area</t>
        </is>
      </c>
      <c r="C47" s="139" t="inlineStr">
        <is>
          <t>increase by</t>
        </is>
      </c>
      <c r="D47" s="139" t="inlineStr">
        <is>
          <t>40 million hectares</t>
        </is>
      </c>
      <c r="E47" s="139" t="n">
        <v>2005</v>
      </c>
      <c r="F47" s="140" t="inlineStr">
        <is>
          <t>2020</t>
        </is>
      </c>
      <c r="G47" s="139" t="inlineStr">
        <is>
          <t>r</t>
        </is>
      </c>
      <c r="H47" s="139" t="inlineStr">
        <is>
          <t>Carbon sink</t>
        </is>
      </c>
      <c r="I47" s="139" t="inlineStr">
        <is>
          <t>whole economy</t>
        </is>
      </c>
      <c r="J47" s="139" t="inlineStr">
        <is>
          <t>By 2020 the forest area will be increased by 40 million hectares compared to 2005 through afforestation and enhanced forest management.</t>
        </is>
      </c>
      <c r="K47" s="141" t="inlineStr">
        <is>
          <t>HL1201.pdf</t>
        </is>
      </c>
      <c r="L47" s="139" t="inlineStr">
        <is>
          <t>LULUCF</t>
        </is>
      </c>
    </row>
    <row r="48" ht="18" customHeight="1" s="235">
      <c r="A48" s="139" t="n">
        <v>2019</v>
      </c>
      <c r="B48" s="139" t="inlineStr">
        <is>
          <t>forest area</t>
        </is>
      </c>
      <c r="C48" s="139" t="inlineStr">
        <is>
          <t>increase by</t>
        </is>
      </c>
      <c r="D48" s="139" t="inlineStr">
        <is>
          <t>40 million ha</t>
        </is>
      </c>
      <c r="E48" s="139" t="n">
        <v>2005</v>
      </c>
      <c r="F48" s="140" t="inlineStr">
        <is>
          <t>2020</t>
        </is>
      </c>
      <c r="G48" s="139" t="inlineStr">
        <is>
          <t>r</t>
        </is>
      </c>
      <c r="H48" s="139" t="inlineStr">
        <is>
          <t>Carbon sink</t>
        </is>
      </c>
      <c r="I48" s="139" t="inlineStr">
        <is>
          <t>whole economy</t>
        </is>
      </c>
      <c r="J48" s="139" t="inlineStr">
        <is>
          <t>by 2020 the forestry area will be increased by 40 million ha on the basis of 2005</t>
        </is>
      </c>
      <c r="K48" s="141" t="inlineStr">
        <is>
          <t>HL1902.pdf</t>
        </is>
      </c>
      <c r="L48" s="139" t="inlineStr">
        <is>
          <t>LULUCF</t>
        </is>
      </c>
    </row>
    <row r="49" ht="18" customHeight="1" s="235">
      <c r="A49" s="139" t="n">
        <v>2014</v>
      </c>
      <c r="B49" s="139" t="inlineStr">
        <is>
          <t>forest area</t>
        </is>
      </c>
      <c r="C49" s="139" t="inlineStr">
        <is>
          <t>increase by</t>
        </is>
      </c>
      <c r="D49" s="139" t="inlineStr">
        <is>
          <t>40 million hectares</t>
        </is>
      </c>
      <c r="E49" s="139" t="n">
        <v>2005</v>
      </c>
      <c r="F49" s="140" t="n">
        <v>2020</v>
      </c>
      <c r="G49" s="139" t="inlineStr">
        <is>
          <t>r</t>
        </is>
      </c>
      <c r="H49" s="139" t="inlineStr">
        <is>
          <t>Carbon sink</t>
        </is>
      </c>
      <c r="I49" s="139" t="inlineStr">
        <is>
          <t>whole economy</t>
        </is>
      </c>
      <c r="J49" s="139" t="inlineStr">
        <is>
          <t>Based on a target of achieving a net increase of 40 million hectares of forest over the 2005 level by 2020 , the State Forestry Administration has accelerated the implementation of the Program for National Forestation (2011-2020).</t>
        </is>
      </c>
      <c r="K49" s="141" t="inlineStr">
        <is>
          <t>HL1402.pdf</t>
        </is>
      </c>
      <c r="L49" s="139" t="inlineStr">
        <is>
          <t>LULUCF</t>
        </is>
      </c>
    </row>
    <row r="50" ht="18" customHeight="1" s="235">
      <c r="A50" s="139" t="n">
        <v>2018</v>
      </c>
      <c r="B50" s="139" t="inlineStr">
        <is>
          <t>forest cities</t>
        </is>
      </c>
      <c r="C50" s="139" t="inlineStr">
        <is>
          <t>build</t>
        </is>
      </c>
      <c r="D50" s="139" t="inlineStr">
        <is>
          <t>200</t>
        </is>
      </c>
      <c r="E50" s="139" t="n"/>
      <c r="F50" s="140" t="inlineStr">
        <is>
          <t>2020</t>
        </is>
      </c>
      <c r="G50" s="139" t="inlineStr">
        <is>
          <t>n</t>
        </is>
      </c>
      <c r="H50" s="139" t="inlineStr">
        <is>
          <t>Environmental quality</t>
        </is>
      </c>
      <c r="I50" s="139" t="inlineStr">
        <is>
          <t>cities</t>
        </is>
      </c>
      <c r="J50" s="139" t="inlineStr">
        <is>
          <t>By 2020, 200 national forest cities will be built.</t>
        </is>
      </c>
      <c r="K50" s="141" t="inlineStr">
        <is>
          <t>O1801.htm</t>
        </is>
      </c>
      <c r="L50" s="139" t="inlineStr">
        <is>
          <t>LULUCF</t>
        </is>
      </c>
    </row>
    <row r="51" ht="18" customHeight="1" s="235">
      <c r="A51" s="139" t="n">
        <v>2018</v>
      </c>
      <c r="B51" s="139" t="inlineStr">
        <is>
          <t>forest city clusters</t>
        </is>
      </c>
      <c r="C51" s="139" t="inlineStr">
        <is>
          <t>build</t>
        </is>
      </c>
      <c r="D51" s="139" t="inlineStr">
        <is>
          <t>6</t>
        </is>
      </c>
      <c r="E51" s="139" t="n"/>
      <c r="F51" s="140" t="inlineStr">
        <is>
          <t>2020</t>
        </is>
      </c>
      <c r="G51" s="139" t="inlineStr">
        <is>
          <t>n</t>
        </is>
      </c>
      <c r="H51" s="139" t="inlineStr">
        <is>
          <t>Environmental quality</t>
        </is>
      </c>
      <c r="I51" s="139" t="inlineStr">
        <is>
          <t>cities</t>
        </is>
      </c>
      <c r="J51" s="139" t="inlineStr">
        <is>
          <t>By 2020, 6 national forest city clusters will be built.</t>
        </is>
      </c>
      <c r="K51" s="141" t="inlineStr">
        <is>
          <t>O1801.htm</t>
        </is>
      </c>
      <c r="L51" s="139" t="inlineStr">
        <is>
          <t>LULUCF</t>
        </is>
      </c>
    </row>
    <row r="52" ht="18" customHeight="1" s="235">
      <c r="A52" s="139" t="n">
        <v>2026</v>
      </c>
      <c r="B52" s="139" t="inlineStr">
        <is>
          <t>forest coverage rate</t>
        </is>
      </c>
      <c r="C52" s="139" t="inlineStr">
        <is>
          <t>reach</t>
        </is>
      </c>
      <c r="D52" s="143" t="inlineStr">
        <is>
          <t>25.8%</t>
        </is>
      </c>
      <c r="E52" s="139" t="n"/>
      <c r="F52" s="140" t="n">
        <v>2030</v>
      </c>
      <c r="G52" s="139" t="inlineStr">
        <is>
          <t>n</t>
        </is>
      </c>
      <c r="H52" s="139" t="inlineStr">
        <is>
          <t>Carbon sink</t>
        </is>
      </c>
      <c r="I52" s="139" t="inlineStr">
        <is>
          <t>whole economy</t>
        </is>
      </c>
      <c r="J52" s="139" t="inlineStr">
        <is>
          <t>By 2030, forest coverage will reach 25.8%.</t>
        </is>
      </c>
      <c r="K52" s="141" t="inlineStr">
        <is>
          <t>HL2601.pdf</t>
        </is>
      </c>
      <c r="L52" s="139" t="inlineStr">
        <is>
          <t>LULUCF</t>
        </is>
      </c>
    </row>
    <row r="53" ht="18" customHeight="1" s="235">
      <c r="A53" s="139" t="n">
        <v>2008</v>
      </c>
      <c r="B53" s="139" t="inlineStr">
        <is>
          <t>forest coverage rate</t>
        </is>
      </c>
      <c r="C53" s="139" t="inlineStr">
        <is>
          <t>increase to</t>
        </is>
      </c>
      <c r="D53" s="139" t="inlineStr">
        <is>
          <t>20%</t>
        </is>
      </c>
      <c r="E53" s="139" t="n">
        <v>2005</v>
      </c>
      <c r="F53" s="140" t="n">
        <v>2010</v>
      </c>
      <c r="G53" s="139" t="inlineStr">
        <is>
          <t>r</t>
        </is>
      </c>
      <c r="H53" s="139" t="inlineStr">
        <is>
          <t>Carbon sink</t>
        </is>
      </c>
      <c r="I53" s="139" t="inlineStr">
        <is>
          <t>whole economy</t>
        </is>
      </c>
      <c r="J53" s="139" t="inlineStr">
        <is>
          <t>Striving to increase forest coverage to 20% over the level of 2005 by 2010.</t>
        </is>
      </c>
      <c r="K53" s="141" t="inlineStr">
        <is>
          <t>HL0801.pdf</t>
        </is>
      </c>
      <c r="L53" s="139" t="inlineStr">
        <is>
          <t>LULUCF</t>
        </is>
      </c>
    </row>
    <row r="54" ht="18" customHeight="1" s="235">
      <c r="A54" s="139" t="n">
        <v>2009</v>
      </c>
      <c r="B54" s="139" t="inlineStr">
        <is>
          <t>forest area</t>
        </is>
      </c>
      <c r="C54" s="139" t="inlineStr">
        <is>
          <t>increase by</t>
        </is>
      </c>
      <c r="D54" s="139" t="inlineStr">
        <is>
          <t>40 million hectares</t>
        </is>
      </c>
      <c r="E54" s="139" t="n">
        <v>2005</v>
      </c>
      <c r="F54" s="140" t="inlineStr">
        <is>
          <t>2020</t>
        </is>
      </c>
      <c r="G54" s="139" t="inlineStr">
        <is>
          <t>n</t>
        </is>
      </c>
      <c r="H54" s="139" t="inlineStr">
        <is>
          <t>Carbon sink</t>
        </is>
      </c>
      <c r="I54" s="139" t="inlineStr">
        <is>
          <t>whole economy</t>
        </is>
      </c>
      <c r="J54" s="139" t="inlineStr">
        <is>
          <t>We will endeavor to increase forest coverage by 40 million hectares by 2020 from the 2005 levels.</t>
        </is>
      </c>
      <c r="K54" s="141" t="inlineStr">
        <is>
          <t>HL0901.pdf</t>
        </is>
      </c>
      <c r="L54" s="139" t="inlineStr">
        <is>
          <t>LULUCF</t>
        </is>
      </c>
    </row>
    <row r="55" ht="18" customHeight="1" s="235">
      <c r="A55" s="139" t="n">
        <v>2007</v>
      </c>
      <c r="B55" s="139" t="inlineStr">
        <is>
          <t>forest coverage rate</t>
        </is>
      </c>
      <c r="C55" s="139" t="inlineStr">
        <is>
          <t>increase to</t>
        </is>
      </c>
      <c r="D55" s="139" t="inlineStr">
        <is>
          <t>20%</t>
        </is>
      </c>
      <c r="E55" s="139" t="n"/>
      <c r="F55" s="140" t="inlineStr">
        <is>
          <t>2010</t>
        </is>
      </c>
      <c r="G55" s="139" t="inlineStr">
        <is>
          <t>n</t>
        </is>
      </c>
      <c r="H55" s="139" t="inlineStr">
        <is>
          <t>Carbon sink</t>
        </is>
      </c>
      <c r="I55" s="139" t="inlineStr">
        <is>
          <t>whole economy</t>
        </is>
      </c>
      <c r="J55" s="139" t="inlineStr">
        <is>
          <t>Increasing the forest coverage rate to 20% by 2010.</t>
        </is>
      </c>
      <c r="K55" s="141" t="inlineStr">
        <is>
          <t>HL0701.pdf</t>
        </is>
      </c>
      <c r="L55" s="139" t="inlineStr">
        <is>
          <t>LULUCF</t>
        </is>
      </c>
    </row>
    <row r="56" ht="18" customHeight="1" s="235">
      <c r="A56" s="139" t="n">
        <v>2012</v>
      </c>
      <c r="B56" s="139" t="inlineStr">
        <is>
          <t>forest coverage rate</t>
        </is>
      </c>
      <c r="C56" s="139" t="inlineStr">
        <is>
          <t>increase to</t>
        </is>
      </c>
      <c r="D56" s="139" t="inlineStr">
        <is>
          <t>21.66%</t>
        </is>
      </c>
      <c r="E56" s="139" t="n"/>
      <c r="F56" s="140" t="inlineStr">
        <is>
          <t>12th FYP</t>
        </is>
      </c>
      <c r="G56" s="139" t="inlineStr">
        <is>
          <t>r</t>
        </is>
      </c>
      <c r="H56" s="139" t="inlineStr">
        <is>
          <t>Carbon sink</t>
        </is>
      </c>
      <c r="I56" s="139" t="inlineStr">
        <is>
          <t>whole economy</t>
        </is>
      </c>
      <c r="J56" s="139" t="inlineStr">
        <is>
          <t>The 12th Five-Year Plan has set the target to increase forest coverage to 21.66%.</t>
        </is>
      </c>
      <c r="K56" s="141" t="inlineStr">
        <is>
          <t>HL1201.pdf</t>
        </is>
      </c>
      <c r="L56" s="139" t="inlineStr">
        <is>
          <t>LULUCF</t>
        </is>
      </c>
    </row>
    <row r="57" ht="18" customHeight="1" s="235">
      <c r="A57" s="139" t="n">
        <v>2012</v>
      </c>
      <c r="B57" s="139" t="inlineStr">
        <is>
          <t>forest coverage rate</t>
        </is>
      </c>
      <c r="C57" s="139" t="inlineStr">
        <is>
          <t>increase to</t>
        </is>
      </c>
      <c r="D57" s="139" t="inlineStr">
        <is>
          <t>21.66%</t>
        </is>
      </c>
      <c r="E57" s="139" t="n"/>
      <c r="F57" s="140" t="inlineStr">
        <is>
          <t>12th FYP</t>
        </is>
      </c>
      <c r="G57" s="139" t="inlineStr">
        <is>
          <t>r</t>
        </is>
      </c>
      <c r="H57" s="139" t="inlineStr">
        <is>
          <t>Carbon sink</t>
        </is>
      </c>
      <c r="I57" s="139" t="inlineStr">
        <is>
          <t>whole economy</t>
        </is>
      </c>
      <c r="J57" s="139" t="inlineStr">
        <is>
          <t>The 12th Five-Year Plan for National Economic and Social Development of PRC has set for the first time a binding target that the forest coverage will be increased to 21.66%.</t>
        </is>
      </c>
      <c r="K57" s="141" t="inlineStr">
        <is>
          <t>HL1201.pdf</t>
        </is>
      </c>
      <c r="L57" s="139" t="inlineStr">
        <is>
          <t>LULUCF</t>
        </is>
      </c>
    </row>
    <row r="58" ht="18" customHeight="1" s="235">
      <c r="A58" s="139" t="n">
        <v>2012</v>
      </c>
      <c r="B58" s="139" t="inlineStr">
        <is>
          <t>forest coverage rate</t>
        </is>
      </c>
      <c r="C58" s="139" t="inlineStr">
        <is>
          <t>achieve</t>
        </is>
      </c>
      <c r="D58" s="139" t="inlineStr">
        <is>
          <t>21.66%</t>
        </is>
      </c>
      <c r="E58" s="139" t="n"/>
      <c r="F58" s="140" t="inlineStr">
        <is>
          <t>12th FYP</t>
        </is>
      </c>
      <c r="G58" s="139" t="inlineStr">
        <is>
          <t>r</t>
        </is>
      </c>
      <c r="H58" s="139" t="inlineStr">
        <is>
          <t>Carbon sink</t>
        </is>
      </c>
      <c r="I58" s="139" t="inlineStr">
        <is>
          <t>whole economy</t>
        </is>
      </c>
      <c r="J58" s="139" t="inlineStr">
        <is>
          <t>By strongly pursuing afforestation and sustainable forest management, striving to achieve the forest coverage of 21.66% during the 12th FYP period (2011-2015).</t>
        </is>
      </c>
      <c r="K58" s="141" t="inlineStr">
        <is>
          <t>HL1201.pdf</t>
        </is>
      </c>
      <c r="L58" s="139" t="inlineStr">
        <is>
          <t>LULUCF</t>
        </is>
      </c>
    </row>
    <row r="59" ht="18" customHeight="1" s="235">
      <c r="A59" s="139" t="n">
        <v>2016</v>
      </c>
      <c r="B59" s="139" t="inlineStr">
        <is>
          <t>forest coverage rate</t>
        </is>
      </c>
      <c r="C59" s="139" t="inlineStr">
        <is>
          <t>increase to</t>
        </is>
      </c>
      <c r="D59" s="139" t="inlineStr">
        <is>
          <t>21.66%</t>
        </is>
      </c>
      <c r="E59" s="139" t="n"/>
      <c r="F59" s="140" t="inlineStr">
        <is>
          <t>12th FYP</t>
        </is>
      </c>
      <c r="G59" s="139" t="inlineStr">
        <is>
          <t>r</t>
        </is>
      </c>
      <c r="H59" s="139" t="inlineStr">
        <is>
          <t>Carbon sink</t>
        </is>
      </c>
      <c r="I59" s="139" t="inlineStr">
        <is>
          <t>whole economy</t>
        </is>
      </c>
      <c r="J59" s="139" t="inlineStr">
        <is>
          <t>proposing that during the 12th Five-Year Plan period, the forest coverage rate will be increased to 21.66%</t>
        </is>
      </c>
      <c r="K59" s="141" t="inlineStr">
        <is>
          <t>AP1603.htm</t>
        </is>
      </c>
      <c r="L59" s="139" t="inlineStr">
        <is>
          <t>LULUCF</t>
        </is>
      </c>
    </row>
    <row r="60" ht="18" customHeight="1" s="235">
      <c r="A60" s="139" t="n">
        <v>2011</v>
      </c>
      <c r="B60" s="139" t="inlineStr">
        <is>
          <t>forest coverage rate</t>
        </is>
      </c>
      <c r="C60" s="139" t="inlineStr">
        <is>
          <t>increase to</t>
        </is>
      </c>
      <c r="D60" s="139" t="inlineStr">
        <is>
          <t>21.66%</t>
        </is>
      </c>
      <c r="E60" s="139" t="n"/>
      <c r="F60" s="140" t="inlineStr">
        <is>
          <t>2015</t>
        </is>
      </c>
      <c r="G60" s="139" t="inlineStr">
        <is>
          <t>n</t>
        </is>
      </c>
      <c r="H60" s="139" t="inlineStr">
        <is>
          <t>Carbon sink</t>
        </is>
      </c>
      <c r="I60" s="139" t="inlineStr">
        <is>
          <t>whole economy</t>
        </is>
      </c>
      <c r="J60" s="139" t="inlineStr">
        <is>
          <t>By 2015, the forest coverage rate will rise to 21.66%.</t>
        </is>
      </c>
      <c r="K60" s="141" t="inlineStr">
        <is>
          <t>HL1101.pdf</t>
        </is>
      </c>
      <c r="L60" s="139" t="inlineStr">
        <is>
          <t>LULUCF</t>
        </is>
      </c>
    </row>
    <row r="61" ht="18" customHeight="1" s="235">
      <c r="A61" s="139" t="n">
        <v>2016</v>
      </c>
      <c r="B61" s="139" t="inlineStr">
        <is>
          <t>forest coverage rate</t>
        </is>
      </c>
      <c r="C61" s="139" t="inlineStr">
        <is>
          <t>reach</t>
        </is>
      </c>
      <c r="D61" s="139" t="inlineStr">
        <is>
          <t>23.04%</t>
        </is>
      </c>
      <c r="E61" s="139" t="n"/>
      <c r="F61" s="140" t="inlineStr">
        <is>
          <t>2020</t>
        </is>
      </c>
      <c r="G61" s="139" t="inlineStr">
        <is>
          <t>n</t>
        </is>
      </c>
      <c r="H61" s="139" t="inlineStr">
        <is>
          <t>Carbon sink</t>
        </is>
      </c>
      <c r="I61" s="139" t="inlineStr">
        <is>
          <t>whole economy</t>
        </is>
      </c>
      <c r="J61" s="139" t="inlineStr">
        <is>
          <t>By 2020, the forest coverage rate will reach 23.04%.</t>
        </is>
      </c>
      <c r="K61" s="141" t="inlineStr">
        <is>
          <t>FYP1615.htm</t>
        </is>
      </c>
      <c r="L61" s="139" t="inlineStr">
        <is>
          <t>LULUCF</t>
        </is>
      </c>
    </row>
    <row r="62" ht="18" customHeight="1" s="235">
      <c r="A62" s="139" t="n">
        <v>2019</v>
      </c>
      <c r="B62" s="139" t="inlineStr">
        <is>
          <t>forest coverage rate</t>
        </is>
      </c>
      <c r="C62" s="139" t="inlineStr">
        <is>
          <t>increase to</t>
        </is>
      </c>
      <c r="D62" s="139" t="inlineStr">
        <is>
          <t>23.04%</t>
        </is>
      </c>
      <c r="E62" s="139" t="n"/>
      <c r="F62" s="140" t="inlineStr">
        <is>
          <t>2020</t>
        </is>
      </c>
      <c r="G62" s="139" t="inlineStr">
        <is>
          <t>r</t>
        </is>
      </c>
      <c r="H62" s="139" t="inlineStr">
        <is>
          <t>Carbon sink</t>
        </is>
      </c>
      <c r="I62" s="139" t="inlineStr">
        <is>
          <t>whole economy</t>
        </is>
      </c>
      <c r="J62" s="139" t="inlineStr">
        <is>
          <t>By 2020, forest coverage will increase to 23.04%.</t>
        </is>
      </c>
      <c r="K62" s="141" t="inlineStr">
        <is>
          <t>HL1902.pdf</t>
        </is>
      </c>
      <c r="L62" s="139" t="inlineStr">
        <is>
          <t>LULUCF</t>
        </is>
      </c>
    </row>
    <row r="63" ht="18" customHeight="1" s="235">
      <c r="A63" s="139" t="n">
        <v>2019</v>
      </c>
      <c r="B63" s="139" t="inlineStr">
        <is>
          <t>forest coverage rate</t>
        </is>
      </c>
      <c r="C63" s="139" t="inlineStr">
        <is>
          <t>increase to</t>
        </is>
      </c>
      <c r="D63" s="139" t="inlineStr">
        <is>
          <t>21.66%</t>
        </is>
      </c>
      <c r="E63" s="139" t="n"/>
      <c r="F63" s="140" t="inlineStr">
        <is>
          <t>2015</t>
        </is>
      </c>
      <c r="G63" s="139" t="inlineStr">
        <is>
          <t>r</t>
        </is>
      </c>
      <c r="H63" s="139" t="inlineStr">
        <is>
          <t>Carbon sink</t>
        </is>
      </c>
      <c r="I63" s="139" t="inlineStr">
        <is>
          <t>whole economy</t>
        </is>
      </c>
      <c r="J63" s="139" t="inlineStr">
        <is>
          <t>by 2015, increase forest coverage to 21.66%</t>
        </is>
      </c>
      <c r="K63" s="141" t="inlineStr">
        <is>
          <t>HL1902.pdf</t>
        </is>
      </c>
      <c r="L63" s="139" t="inlineStr">
        <is>
          <t>LULUCF</t>
        </is>
      </c>
    </row>
    <row r="64" ht="18" customHeight="1" s="235">
      <c r="A64" s="139" t="n">
        <v>2019</v>
      </c>
      <c r="B64" s="139" t="inlineStr">
        <is>
          <t>forest coverage rate</t>
        </is>
      </c>
      <c r="C64" s="139" t="inlineStr">
        <is>
          <t>achieve</t>
        </is>
      </c>
      <c r="D64" s="139" t="inlineStr">
        <is>
          <t>over 23%</t>
        </is>
      </c>
      <c r="E64" s="139" t="n"/>
      <c r="F64" s="140" t="inlineStr">
        <is>
          <t>2020</t>
        </is>
      </c>
      <c r="G64" s="139" t="inlineStr">
        <is>
          <t>r</t>
        </is>
      </c>
      <c r="H64" s="139" t="inlineStr">
        <is>
          <t>Carbon sink</t>
        </is>
      </c>
      <c r="I64" s="139" t="inlineStr">
        <is>
          <t>whole economy</t>
        </is>
      </c>
      <c r="J64" s="139" t="inlineStr">
        <is>
          <t>By 2020, China is to achieve the forest coverage of over 23%</t>
        </is>
      </c>
      <c r="K64" s="141" t="inlineStr">
        <is>
          <t>HL1902.pdf</t>
        </is>
      </c>
      <c r="L64" s="139" t="inlineStr">
        <is>
          <t>LULUCF</t>
        </is>
      </c>
    </row>
    <row r="65" ht="18" customHeight="1" s="235">
      <c r="A65" s="139" t="n">
        <v>2019</v>
      </c>
      <c r="B65" s="139" t="inlineStr">
        <is>
          <t>forest coverage rate</t>
        </is>
      </c>
      <c r="C65" s="139" t="inlineStr">
        <is>
          <t>reach</t>
        </is>
      </c>
      <c r="D65" s="139" t="inlineStr">
        <is>
          <t>23.04%</t>
        </is>
      </c>
      <c r="E65" s="139" t="n"/>
      <c r="F65" s="140" t="inlineStr">
        <is>
          <t>2020</t>
        </is>
      </c>
      <c r="G65" s="139" t="inlineStr">
        <is>
          <t>r</t>
        </is>
      </c>
      <c r="H65" s="139" t="inlineStr">
        <is>
          <t>Carbon sink</t>
        </is>
      </c>
      <c r="I65" s="139" t="inlineStr">
        <is>
          <t>whole economy</t>
        </is>
      </c>
      <c r="J65" s="139" t="inlineStr">
        <is>
          <t>by 2020 the percentage of forest cover will reach 23.04%</t>
        </is>
      </c>
      <c r="K65" s="141" t="inlineStr">
        <is>
          <t>HL1902.pdf</t>
        </is>
      </c>
      <c r="L65" s="139" t="inlineStr">
        <is>
          <t>LULUCF</t>
        </is>
      </c>
    </row>
    <row r="66" ht="18" customHeight="1" s="235">
      <c r="A66" s="139" t="n">
        <v>2017</v>
      </c>
      <c r="B66" s="139" t="inlineStr">
        <is>
          <t>forest coverage rate</t>
        </is>
      </c>
      <c r="C66" s="139" t="inlineStr">
        <is>
          <t>reach</t>
        </is>
      </c>
      <c r="D66" s="139" t="inlineStr">
        <is>
          <t>more than 23%</t>
        </is>
      </c>
      <c r="E66" s="139" t="n"/>
      <c r="F66" s="140" t="inlineStr">
        <is>
          <t>2020</t>
        </is>
      </c>
      <c r="G66" s="139" t="inlineStr">
        <is>
          <t>n</t>
        </is>
      </c>
      <c r="H66" s="139" t="inlineStr">
        <is>
          <t>Carbon sink</t>
        </is>
      </c>
      <c r="I66" s="139" t="inlineStr">
        <is>
          <t>whole economy</t>
        </is>
      </c>
      <c r="J66" s="139" t="inlineStr">
        <is>
          <t>By 2020, the forest coverage rate will reach more than 23%.</t>
        </is>
      </c>
      <c r="K66" s="141" t="inlineStr">
        <is>
          <t>WP1701.pdf</t>
        </is>
      </c>
      <c r="L66" s="139" t="inlineStr">
        <is>
          <t>LULUCF</t>
        </is>
      </c>
    </row>
    <row r="67" ht="18" customHeight="1" s="235">
      <c r="A67" s="139" t="n">
        <v>2021</v>
      </c>
      <c r="B67" s="139" t="inlineStr">
        <is>
          <t>forest coverage rate</t>
        </is>
      </c>
      <c r="C67" s="139" t="inlineStr">
        <is>
          <t>increase to</t>
        </is>
      </c>
      <c r="D67" s="139" t="inlineStr">
        <is>
          <t>25%</t>
        </is>
      </c>
      <c r="E67" s="139" t="n"/>
      <c r="F67" s="140" t="inlineStr">
        <is>
          <t>2030</t>
        </is>
      </c>
      <c r="G67" s="139" t="inlineStr">
        <is>
          <t>r</t>
        </is>
      </c>
      <c r="H67" s="139" t="inlineStr">
        <is>
          <t>Carbon sink</t>
        </is>
      </c>
      <c r="I67" s="139" t="inlineStr">
        <is>
          <t>whole economy</t>
        </is>
      </c>
      <c r="J67" s="139" t="inlineStr">
        <is>
          <t>We will expand forest coverage around 25% of China’s total land area and increase forest stock volume to 19 billion cubic meters by 2030.</t>
        </is>
      </c>
      <c r="K67" s="141" t="inlineStr">
        <is>
          <t>HL2102.pdf</t>
        </is>
      </c>
      <c r="L67" s="139" t="inlineStr">
        <is>
          <t>LULUCF</t>
        </is>
      </c>
    </row>
    <row r="68" ht="18" customHeight="1" s="235">
      <c r="A68" s="139" t="n">
        <v>2021</v>
      </c>
      <c r="B68" s="139" t="inlineStr">
        <is>
          <t>forest coverage rate</t>
        </is>
      </c>
      <c r="C68" s="139" t="inlineStr">
        <is>
          <t>reach</t>
        </is>
      </c>
      <c r="D68" s="139" t="inlineStr">
        <is>
          <t>25%</t>
        </is>
      </c>
      <c r="E68" s="139" t="n"/>
      <c r="F68" s="140" t="inlineStr">
        <is>
          <t>2030</t>
        </is>
      </c>
      <c r="G68" s="139" t="inlineStr">
        <is>
          <t>n</t>
        </is>
      </c>
      <c r="H68" s="139" t="inlineStr">
        <is>
          <t>Carbon sink</t>
        </is>
      </c>
      <c r="I68" s="139" t="inlineStr">
        <is>
          <t>whole economy</t>
        </is>
      </c>
      <c r="J68" s="139" t="inlineStr">
        <is>
          <t>By 2030, China's forest coverage rate will reach about 25%, and forest stock volume will increase 6 billion cubic meters over 2005 level.</t>
        </is>
      </c>
      <c r="K68" s="141" t="inlineStr">
        <is>
          <t>HL2104.pdf</t>
        </is>
      </c>
      <c r="L68" s="139" t="inlineStr">
        <is>
          <t>LULUCF</t>
        </is>
      </c>
    </row>
    <row r="69" ht="18" customHeight="1" s="235">
      <c r="A69" s="139" t="n">
        <v>2021</v>
      </c>
      <c r="B69" s="139" t="inlineStr">
        <is>
          <t>forest coverage rate</t>
        </is>
      </c>
      <c r="C69" s="139" t="inlineStr">
        <is>
          <t>reach</t>
        </is>
      </c>
      <c r="D69" s="139" t="inlineStr">
        <is>
          <t>25%</t>
        </is>
      </c>
      <c r="E69" s="139" t="n"/>
      <c r="F69" s="140" t="inlineStr">
        <is>
          <t>2030</t>
        </is>
      </c>
      <c r="G69" s="139" t="inlineStr">
        <is>
          <t>r</t>
        </is>
      </c>
      <c r="H69" s="139" t="inlineStr">
        <is>
          <t>Carbon sink</t>
        </is>
      </c>
      <c r="I69" s="139" t="inlineStr">
        <is>
          <t>whole economy</t>
        </is>
      </c>
      <c r="J69" s="139" t="inlineStr">
        <is>
          <t>By 2030, the forest coverage rate will reach about 25%.</t>
        </is>
      </c>
      <c r="K69" s="141" t="inlineStr">
        <is>
          <t>HL2101.htm</t>
        </is>
      </c>
      <c r="L69" s="139" t="inlineStr">
        <is>
          <t>LULUCF</t>
        </is>
      </c>
    </row>
    <row r="70" ht="18" customHeight="1" s="235">
      <c r="A70" s="139" t="n">
        <v>2023</v>
      </c>
      <c r="B70" s="139" t="inlineStr">
        <is>
          <t>forest coverage rate</t>
        </is>
      </c>
      <c r="C70" s="139" t="inlineStr">
        <is>
          <t>reach</t>
        </is>
      </c>
      <c r="D70" s="139" t="inlineStr">
        <is>
          <t>25%</t>
        </is>
      </c>
      <c r="E70" s="139" t="n"/>
      <c r="F70" s="140" t="inlineStr">
        <is>
          <t>2030</t>
        </is>
      </c>
      <c r="G70" s="139" t="inlineStr">
        <is>
          <t>r</t>
        </is>
      </c>
      <c r="H70" s="139" t="inlineStr">
        <is>
          <t>Carbon sink</t>
        </is>
      </c>
      <c r="I70" s="139" t="inlineStr">
        <is>
          <t>whole economy</t>
        </is>
      </c>
      <c r="J70" s="139" t="inlineStr">
        <is>
          <t>By 2030, forests will cover approximately 25% of China’s total land.</t>
        </is>
      </c>
      <c r="K70" s="141" t="inlineStr">
        <is>
          <t>HL2302.pdf</t>
        </is>
      </c>
      <c r="L70" s="139" t="inlineStr">
        <is>
          <t>LULUCF</t>
        </is>
      </c>
    </row>
    <row r="71" ht="18" customHeight="1" s="235">
      <c r="A71" s="139" t="n">
        <v>2023</v>
      </c>
      <c r="B71" s="139" t="inlineStr">
        <is>
          <t>forest coverage rate</t>
        </is>
      </c>
      <c r="C71" s="139" t="inlineStr">
        <is>
          <t>reach</t>
        </is>
      </c>
      <c r="D71" s="139" t="inlineStr">
        <is>
          <t>24.1%</t>
        </is>
      </c>
      <c r="E71" s="139" t="n"/>
      <c r="F71" s="140" t="inlineStr">
        <is>
          <t>2025</t>
        </is>
      </c>
      <c r="G71" s="139" t="inlineStr">
        <is>
          <t>r</t>
        </is>
      </c>
      <c r="H71" s="139" t="inlineStr">
        <is>
          <t>Carbon sink</t>
        </is>
      </c>
      <c r="I71" s="139" t="inlineStr">
        <is>
          <t>whole economy</t>
        </is>
      </c>
      <c r="J71" s="139" t="inlineStr">
        <is>
          <t>By 2025, percentage of forest coverage in China will reach 24.1%, growing stock volume 19 billion cubic meters</t>
        </is>
      </c>
      <c r="K71" s="141" t="inlineStr">
        <is>
          <t>HL2302.pdf</t>
        </is>
      </c>
      <c r="L71" s="139" t="inlineStr">
        <is>
          <t>LULUCF</t>
        </is>
      </c>
    </row>
    <row r="72" ht="18" customHeight="1" s="235">
      <c r="A72" s="139" t="n">
        <v>2024</v>
      </c>
      <c r="B72" s="139" t="inlineStr">
        <is>
          <t>forest coverage rate</t>
        </is>
      </c>
      <c r="C72" s="139" t="inlineStr">
        <is>
          <t>reach</t>
        </is>
      </c>
      <c r="D72" s="139" t="inlineStr">
        <is>
          <t>24.1%</t>
        </is>
      </c>
      <c r="E72" s="139" t="n"/>
      <c r="F72" s="140" t="inlineStr">
        <is>
          <t>2025</t>
        </is>
      </c>
      <c r="G72" s="139" t="inlineStr">
        <is>
          <t>r</t>
        </is>
      </c>
      <c r="H72" s="139" t="inlineStr">
        <is>
          <t>Carbon sink</t>
        </is>
      </c>
      <c r="I72" s="139" t="inlineStr">
        <is>
          <t>whole economy</t>
        </is>
      </c>
      <c r="J72" s="139" t="inlineStr">
        <is>
          <t>By 2025, the forest coverage rate will reach 24.1%</t>
        </is>
      </c>
      <c r="K72" s="141" t="inlineStr">
        <is>
          <t>HL2401.pdf</t>
        </is>
      </c>
      <c r="L72" s="139" t="inlineStr">
        <is>
          <t>LULUCF</t>
        </is>
      </c>
    </row>
    <row r="73" ht="18" customHeight="1" s="235">
      <c r="A73" s="139" t="n">
        <v>2024</v>
      </c>
      <c r="B73" s="139" t="inlineStr">
        <is>
          <t>forest coverage rate</t>
        </is>
      </c>
      <c r="C73" s="139" t="inlineStr">
        <is>
          <t>increase to</t>
        </is>
      </c>
      <c r="D73" s="139" t="inlineStr">
        <is>
          <t>24.1%</t>
        </is>
      </c>
      <c r="E73" s="139" t="n"/>
      <c r="F73" s="140" t="inlineStr">
        <is>
          <t>2025</t>
        </is>
      </c>
      <c r="G73" s="139" t="inlineStr">
        <is>
          <t>r</t>
        </is>
      </c>
      <c r="H73" s="139" t="inlineStr">
        <is>
          <t>Carbon sink</t>
        </is>
      </c>
      <c r="I73" s="139" t="inlineStr">
        <is>
          <t>whole economy</t>
        </is>
      </c>
      <c r="J73" s="139" t="inlineStr">
        <is>
          <t>The Outline of the 14th Five-Year Plan for National Economic and Social Development of the People’s Republic of China and the Long-Range Objectives Through the Year 2035 clearly sets the quantitative target of increasing the forest coverage rate to 24.1% by 2025.</t>
        </is>
      </c>
      <c r="K73" s="141" t="inlineStr">
        <is>
          <t>HL2401.pdf</t>
        </is>
      </c>
      <c r="L73" s="139" t="inlineStr">
        <is>
          <t>LULUCF</t>
        </is>
      </c>
    </row>
    <row r="74" ht="18" customHeight="1" s="235">
      <c r="A74" s="139" t="n">
        <v>2023</v>
      </c>
      <c r="B74" s="139" t="inlineStr">
        <is>
          <t>forest coverage rate</t>
        </is>
      </c>
      <c r="C74" s="139" t="inlineStr">
        <is>
          <t>increase to</t>
        </is>
      </c>
      <c r="D74" s="139" t="inlineStr">
        <is>
          <t>23.04%</t>
        </is>
      </c>
      <c r="E74" s="139" t="n"/>
      <c r="F74" s="140" t="inlineStr">
        <is>
          <t>2020</t>
        </is>
      </c>
      <c r="G74" s="139" t="inlineStr">
        <is>
          <t>r</t>
        </is>
      </c>
      <c r="H74" s="139" t="inlineStr">
        <is>
          <t>Carbon sink</t>
        </is>
      </c>
      <c r="I74" s="139" t="inlineStr">
        <is>
          <t>whole economy</t>
        </is>
      </c>
      <c r="J74" s="139" t="inlineStr">
        <is>
          <t>by 2020, the forest coverage will climb to 23.04%</t>
        </is>
      </c>
      <c r="K74" s="141" t="inlineStr">
        <is>
          <t>HL2302.pdf</t>
        </is>
      </c>
      <c r="L74" s="139" t="inlineStr">
        <is>
          <t>LULUCF</t>
        </is>
      </c>
    </row>
    <row r="75" ht="18" customHeight="1" s="235">
      <c r="A75" s="139" t="n">
        <v>2017</v>
      </c>
      <c r="B75" s="139" t="inlineStr">
        <is>
          <t>forest coverage rate</t>
        </is>
      </c>
      <c r="C75" s="139" t="inlineStr">
        <is>
          <t>reach</t>
        </is>
      </c>
      <c r="D75" s="139" t="inlineStr">
        <is>
          <t>23%</t>
        </is>
      </c>
      <c r="E75" s="139" t="n"/>
      <c r="F75" s="140" t="inlineStr">
        <is>
          <t>2020</t>
        </is>
      </c>
      <c r="G75" s="139" t="inlineStr">
        <is>
          <t>r</t>
        </is>
      </c>
      <c r="H75" s="139" t="inlineStr">
        <is>
          <t>Carbon sink</t>
        </is>
      </c>
      <c r="I75" s="139" t="inlineStr">
        <is>
          <t>whole economy</t>
        </is>
      </c>
      <c r="J75" s="139" t="inlineStr">
        <is>
          <t>By 2020, the national forest coverage rate will reach more than 23%.</t>
        </is>
      </c>
      <c r="K75" s="141" t="inlineStr">
        <is>
          <t>O1702.htm</t>
        </is>
      </c>
      <c r="L75" s="139" t="inlineStr">
        <is>
          <t>LULUCF</t>
        </is>
      </c>
    </row>
    <row r="76" ht="18" customHeight="1" s="235">
      <c r="A76" s="139" t="n">
        <v>2021</v>
      </c>
      <c r="B76" s="139" t="inlineStr">
        <is>
          <t>forest coverage rate</t>
        </is>
      </c>
      <c r="C76" s="139" t="inlineStr">
        <is>
          <t>reach</t>
        </is>
      </c>
      <c r="D76" s="139" t="inlineStr">
        <is>
          <t>24.1%</t>
        </is>
      </c>
      <c r="E76" s="139" t="n"/>
      <c r="F76" s="140" t="inlineStr">
        <is>
          <t>2025</t>
        </is>
      </c>
      <c r="G76" s="139" t="inlineStr">
        <is>
          <t>n</t>
        </is>
      </c>
      <c r="H76" s="139" t="inlineStr">
        <is>
          <t>Carbon sink</t>
        </is>
      </c>
      <c r="I76" s="139" t="inlineStr">
        <is>
          <t>whole economy</t>
        </is>
      </c>
      <c r="J76" s="139" t="inlineStr">
        <is>
          <t>By 2025, the forest coverage rate will reach 24.1%.</t>
        </is>
      </c>
      <c r="K76" s="141" t="inlineStr">
        <is>
          <t>HL2101.htm</t>
        </is>
      </c>
      <c r="L76" s="139" t="inlineStr">
        <is>
          <t>LULUCF</t>
        </is>
      </c>
    </row>
    <row r="77" ht="18" customHeight="1" s="235">
      <c r="A77" s="139" t="n">
        <v>2024</v>
      </c>
      <c r="B77" s="139" t="inlineStr">
        <is>
          <t>forest coverage rate</t>
        </is>
      </c>
      <c r="C77" s="139" t="inlineStr">
        <is>
          <t>increase to</t>
        </is>
      </c>
      <c r="D77" s="139" t="inlineStr">
        <is>
          <t>26%</t>
        </is>
      </c>
      <c r="E77" s="139" t="n"/>
      <c r="F77" s="140" t="inlineStr">
        <is>
          <t>2035</t>
        </is>
      </c>
      <c r="G77" s="139" t="inlineStr">
        <is>
          <t>n</t>
        </is>
      </c>
      <c r="H77" s="139" t="inlineStr">
        <is>
          <t>Carbon sink</t>
        </is>
      </c>
      <c r="I77" s="139" t="inlineStr">
        <is>
          <t>whole economy</t>
        </is>
      </c>
      <c r="J77" s="139" t="inlineStr">
        <is>
          <t>By 2035, the national forest coverage rate will increase to 26%.</t>
        </is>
      </c>
      <c r="K77" s="141" t="inlineStr">
        <is>
          <t>O2405.htm</t>
        </is>
      </c>
      <c r="L77" s="139" t="inlineStr">
        <is>
          <t>LULUCF</t>
        </is>
      </c>
    </row>
    <row r="78" ht="18" customHeight="1" s="235">
      <c r="A78" s="139" t="n">
        <v>2011</v>
      </c>
      <c r="B78" s="139" t="inlineStr">
        <is>
          <t>forest coverage rate</t>
        </is>
      </c>
      <c r="C78" s="139" t="inlineStr">
        <is>
          <t>reach</t>
        </is>
      </c>
      <c r="D78" s="143" t="inlineStr">
        <is>
          <t>21.66%</t>
        </is>
      </c>
      <c r="E78" s="139" t="n"/>
      <c r="F78" s="140" t="n">
        <v>2015</v>
      </c>
      <c r="G78" s="140" t="inlineStr">
        <is>
          <t>r</t>
        </is>
      </c>
      <c r="H78" s="139" t="inlineStr">
        <is>
          <t>Carbon sink</t>
        </is>
      </c>
      <c r="I78" s="139" t="inlineStr">
        <is>
          <t>whole economy</t>
        </is>
      </c>
      <c r="J78" s="139" t="inlineStr">
        <is>
          <t>By 2015, the forest coverage rate will reach 21.66%...</t>
        </is>
      </c>
      <c r="K78" s="141" t="inlineStr">
        <is>
          <t>AP1101.htm</t>
        </is>
      </c>
      <c r="L78" s="139" t="inlineStr">
        <is>
          <t>LULUCF</t>
        </is>
      </c>
    </row>
    <row r="79" ht="18" customHeight="1" s="235">
      <c r="A79" s="0" t="n">
        <v>2026</v>
      </c>
      <c r="B79" s="0" t="inlineStr">
        <is>
          <t>forest coverage rate</t>
        </is>
      </c>
      <c r="C79" s="0" t="inlineStr">
        <is>
          <t>reach</t>
        </is>
      </c>
      <c r="D79" s="0" t="inlineStr">
        <is>
          <t>25.8%</t>
        </is>
      </c>
      <c r="F79" s="0" t="n">
        <v>2030</v>
      </c>
      <c r="G79" s="0" t="inlineStr">
        <is>
          <t>r</t>
        </is>
      </c>
      <c r="H79" s="0" t="inlineStr">
        <is>
          <t>Carbon sink</t>
        </is>
      </c>
      <c r="I79" s="0" t="inlineStr">
        <is>
          <t>whole economy</t>
        </is>
      </c>
      <c r="J79" s="0" t="inlineStr">
        <is>
          <t>- the forest coverage rate will reach 25.8%.</t>
        </is>
      </c>
      <c r="K79" s="0" t="inlineStr">
        <is>
          <t>FYP2610.pdf</t>
        </is>
      </c>
      <c r="L79" s="0" t="inlineStr">
        <is>
          <t>LULUCF</t>
        </is>
      </c>
    </row>
    <row r="80" ht="18" customHeight="1" s="235">
      <c r="A80" s="139" t="n">
        <v>2011</v>
      </c>
      <c r="B80" s="139" t="inlineStr">
        <is>
          <t>forest cultivation and management</t>
        </is>
      </c>
      <c r="C80" s="139" t="inlineStr">
        <is>
          <t>cultivate and manage</t>
        </is>
      </c>
      <c r="D80" s="139" t="inlineStr">
        <is>
          <t>75 million hectares</t>
        </is>
      </c>
      <c r="E80" s="139" t="n"/>
      <c r="F80" s="140" t="inlineStr">
        <is>
          <t>2020</t>
        </is>
      </c>
      <c r="G80" s="139" t="inlineStr">
        <is>
          <t>n</t>
        </is>
      </c>
      <c r="H80" s="139" t="inlineStr">
        <is>
          <t>Carbon sink</t>
        </is>
      </c>
      <c r="I80" s="139" t="inlineStr">
        <is>
          <t>unclear</t>
        </is>
      </c>
      <c r="J80" s="139" t="inlineStr">
        <is>
          <t>By 2020, it is planned that 75 million hectares of forest will be cultivated and managed (including the transformation of low-yield forests).</t>
        </is>
      </c>
      <c r="K80" s="141" t="inlineStr">
        <is>
          <t>PF1101.pdf</t>
        </is>
      </c>
      <c r="L80" s="139" t="inlineStr">
        <is>
          <t>LULUCF</t>
        </is>
      </c>
    </row>
    <row r="81" ht="18" customHeight="1" s="235">
      <c r="A81" s="139" t="n">
        <v>2011</v>
      </c>
      <c r="B81" s="139" t="inlineStr">
        <is>
          <t>forest cultivation and management</t>
        </is>
      </c>
      <c r="C81" s="139" t="inlineStr">
        <is>
          <t>cultivate and manage</t>
        </is>
      </c>
      <c r="D81" s="139" t="inlineStr">
        <is>
          <t>35 million hectares</t>
        </is>
      </c>
      <c r="E81" s="139" t="n"/>
      <c r="F81" s="140" t="inlineStr">
        <is>
          <t>12th FYP</t>
        </is>
      </c>
      <c r="G81" s="139" t="inlineStr">
        <is>
          <t>n</t>
        </is>
      </c>
      <c r="H81" s="139" t="inlineStr">
        <is>
          <t>Carbon sink</t>
        </is>
      </c>
      <c r="I81" s="139" t="inlineStr">
        <is>
          <t>unclear</t>
        </is>
      </c>
      <c r="J81" s="139" t="inlineStr">
        <is>
          <t>35 million hectares of forest will be cultivated and managed (including the transformation of low-yield forests) during the 12th Five-Year Plan period.</t>
        </is>
      </c>
      <c r="K81" s="141" t="inlineStr">
        <is>
          <t>PF1101.pdf</t>
        </is>
      </c>
      <c r="L81" s="139" t="inlineStr">
        <is>
          <t>LULUCF</t>
        </is>
      </c>
    </row>
    <row r="82" ht="18" customHeight="1" s="235">
      <c r="A82" s="139" t="n">
        <v>2011</v>
      </c>
      <c r="B82" s="139" t="inlineStr">
        <is>
          <t>forest cultivation and management</t>
        </is>
      </c>
      <c r="C82" s="139" t="inlineStr">
        <is>
          <t>complete</t>
        </is>
      </c>
      <c r="D82" s="139" t="inlineStr">
        <is>
          <t>35 million hectares</t>
        </is>
      </c>
      <c r="E82" s="139" t="n"/>
      <c r="F82" s="140" t="inlineStr">
        <is>
          <t>12th FYP</t>
        </is>
      </c>
      <c r="G82" s="140" t="inlineStr">
        <is>
          <t>r</t>
        </is>
      </c>
      <c r="H82" s="139" t="inlineStr">
        <is>
          <t>Carbon sink</t>
        </is>
      </c>
      <c r="I82" s="139" t="inlineStr">
        <is>
          <t>whole economy</t>
        </is>
      </c>
      <c r="J82" s="139" t="inlineStr">
        <is>
          <t>...and forest nurturing and management tasks of 35 million hectares.</t>
        </is>
      </c>
      <c r="K82" s="141" t="inlineStr">
        <is>
          <t>AP1101.htm</t>
        </is>
      </c>
      <c r="L82" s="139" t="inlineStr">
        <is>
          <t>LULUCF</t>
        </is>
      </c>
    </row>
    <row r="83" ht="18" customHeight="1" s="235">
      <c r="A83" s="139" t="n">
        <v>2019</v>
      </c>
      <c r="B83" s="139" t="inlineStr">
        <is>
          <t>forest fire damage rate</t>
        </is>
      </c>
      <c r="C83" s="139" t="inlineStr">
        <is>
          <t>bring below</t>
        </is>
      </c>
      <c r="D83" s="139" t="inlineStr">
        <is>
          <t>1  per mille</t>
        </is>
      </c>
      <c r="E83" s="139" t="n"/>
      <c r="F83" s="140" t="inlineStr">
        <is>
          <t>2015</t>
        </is>
      </c>
      <c r="G83" s="139" t="inlineStr">
        <is>
          <t>n</t>
        </is>
      </c>
      <c r="H83" s="139" t="inlineStr">
        <is>
          <t>Carbon sink</t>
        </is>
      </c>
      <c r="I83" s="139" t="inlineStr">
        <is>
          <t>unclear</t>
        </is>
      </c>
      <c r="J83" s="139" t="inlineStr">
        <is>
          <t>by 2015, bringing forest fire damage rate steadily under 1 per mille</t>
        </is>
      </c>
      <c r="K83" s="141" t="inlineStr">
        <is>
          <t>HL1902.pdf</t>
        </is>
      </c>
      <c r="L83" s="139" t="inlineStr">
        <is>
          <t>LULUCF</t>
        </is>
      </c>
    </row>
    <row r="84" ht="18" customHeight="1" s="235">
      <c r="A84" s="139" t="n">
        <v>2019</v>
      </c>
      <c r="B84" s="139" t="inlineStr">
        <is>
          <t>forest fire damage rate</t>
        </is>
      </c>
      <c r="C84" s="139" t="inlineStr">
        <is>
          <t>reduce to</t>
        </is>
      </c>
      <c r="D84" s="139" t="inlineStr">
        <is>
          <t>1  per mille</t>
        </is>
      </c>
      <c r="E84" s="139" t="n"/>
      <c r="F84" s="140" t="inlineStr">
        <is>
          <t>2020</t>
        </is>
      </c>
      <c r="G84" s="139" t="inlineStr">
        <is>
          <t>n</t>
        </is>
      </c>
      <c r="H84" s="139" t="inlineStr">
        <is>
          <t>Carbon sink</t>
        </is>
      </c>
      <c r="I84" s="139" t="inlineStr">
        <is>
          <t>unclear</t>
        </is>
      </c>
      <c r="J84" s="139" t="inlineStr">
        <is>
          <t>By 2020, the proportion of forests affected by fire will be reduced to below 1 per mille.</t>
        </is>
      </c>
      <c r="K84" s="141" t="inlineStr">
        <is>
          <t>HL1902.pdf</t>
        </is>
      </c>
      <c r="L84" s="139" t="inlineStr">
        <is>
          <t>LULUCF</t>
        </is>
      </c>
    </row>
    <row r="85" ht="18" customHeight="1" s="235">
      <c r="A85" s="139" t="n">
        <v>2011</v>
      </c>
      <c r="B85" s="139" t="inlineStr">
        <is>
          <t>forest fire damage rate</t>
        </is>
      </c>
      <c r="C85" s="139" t="inlineStr">
        <is>
          <t>control below</t>
        </is>
      </c>
      <c r="D85" s="139" t="inlineStr">
        <is>
          <t>1 per mille</t>
        </is>
      </c>
      <c r="E85" s="139" t="n"/>
      <c r="F85" s="140" t="n">
        <v>2015</v>
      </c>
      <c r="G85" s="140" t="inlineStr">
        <is>
          <t>r</t>
        </is>
      </c>
      <c r="H85" s="139" t="inlineStr">
        <is>
          <t>Carbon sink</t>
        </is>
      </c>
      <c r="I85" s="139" t="inlineStr">
        <is>
          <t>whole economy</t>
        </is>
      </c>
      <c r="J85" s="139" t="inlineStr">
        <is>
          <t>The victim rate of forest fires is steadily controlled below 1 ‰.</t>
        </is>
      </c>
      <c r="K85" s="141" t="inlineStr">
        <is>
          <t>AP1101.htm</t>
        </is>
      </c>
      <c r="L85" s="139" t="inlineStr">
        <is>
          <t>LULUCF</t>
        </is>
      </c>
    </row>
    <row r="86" ht="18" customHeight="1" s="235">
      <c r="A86" s="139" t="n">
        <v>2009</v>
      </c>
      <c r="B86" s="139" t="inlineStr">
        <is>
          <t>forest stock volume</t>
        </is>
      </c>
      <c r="C86" s="139" t="inlineStr">
        <is>
          <t>increase by</t>
        </is>
      </c>
      <c r="D86" s="139" t="inlineStr">
        <is>
          <t>1.3 billion cubic meters</t>
        </is>
      </c>
      <c r="E86" s="139" t="n">
        <v>2005</v>
      </c>
      <c r="F86" s="140" t="n">
        <v>2020</v>
      </c>
      <c r="G86" s="139" t="inlineStr">
        <is>
          <t>n</t>
        </is>
      </c>
      <c r="H86" s="139" t="inlineStr">
        <is>
          <t>Carbon sink</t>
        </is>
      </c>
      <c r="I86" s="139" t="inlineStr">
        <is>
          <t>whole economy</t>
        </is>
      </c>
      <c r="J86" s="139" t="inlineStr">
        <is>
          <t>At the 2009 United Nations Climate Change Summit, President Hu Jintao made a solemn promise to the world to “vigorously increase forest carbon sinks and strive to increase forest area by 40 million hectares and forest stock by 1.3 billion cubic meters by 2020 compared with 2005.”</t>
        </is>
      </c>
      <c r="K86" s="141" t="inlineStr">
        <is>
          <t>PF1101.pdf</t>
        </is>
      </c>
      <c r="L86" s="139" t="inlineStr">
        <is>
          <t>LULUCF</t>
        </is>
      </c>
    </row>
    <row r="87" ht="18" customHeight="1" s="235">
      <c r="A87" s="139" t="n">
        <v>2017</v>
      </c>
      <c r="B87" s="139" t="inlineStr">
        <is>
          <t>forest stock volume</t>
        </is>
      </c>
      <c r="C87" s="139" t="inlineStr">
        <is>
          <t>increase by</t>
        </is>
      </c>
      <c r="D87" s="139" t="inlineStr">
        <is>
          <t>1.3 billion cubic meters</t>
        </is>
      </c>
      <c r="E87" s="139" t="n">
        <v>2005</v>
      </c>
      <c r="F87" s="140" t="n">
        <v>2020</v>
      </c>
      <c r="G87" s="139" t="inlineStr">
        <is>
          <t>r</t>
        </is>
      </c>
      <c r="H87" s="139" t="inlineStr">
        <is>
          <t>Carbon sink</t>
        </is>
      </c>
      <c r="I87" s="139" t="inlineStr">
        <is>
          <t>whole economy</t>
        </is>
      </c>
      <c r="J87" s="139" t="inlineStr">
        <is>
          <t>Based on the National Appropriate Mitigation Actions (NAMAs) proposed by the Chinese government, such as increasing forest stock by 1.3 billion cubic meters compared with 2005 by 2020.</t>
        </is>
      </c>
      <c r="K87" s="141" t="inlineStr">
        <is>
          <t>HL1701.pdf</t>
        </is>
      </c>
      <c r="L87" s="139" t="inlineStr">
        <is>
          <t>LULUCF</t>
        </is>
      </c>
    </row>
    <row r="88" ht="18" customHeight="1" s="235">
      <c r="A88" s="139" t="n">
        <v>2016</v>
      </c>
      <c r="B88" s="139" t="inlineStr">
        <is>
          <t>forest stock volume</t>
        </is>
      </c>
      <c r="C88" s="139" t="inlineStr">
        <is>
          <t>increase by</t>
        </is>
      </c>
      <c r="D88" s="139" t="inlineStr">
        <is>
          <t>4.5 billion cubic meters</t>
        </is>
      </c>
      <c r="E88" s="139" t="n">
        <v>2005</v>
      </c>
      <c r="F88" s="140" t="n">
        <v>2030</v>
      </c>
      <c r="G88" s="139" t="inlineStr">
        <is>
          <t>n</t>
        </is>
      </c>
      <c r="H88" s="139" t="inlineStr">
        <is>
          <t>Carbon sink</t>
        </is>
      </c>
      <c r="I88" s="139" t="inlineStr">
        <is>
          <t>whole economy</t>
        </is>
      </c>
      <c r="J88" s="139" t="inlineStr">
        <is>
          <t>The targets include increasing forest stock by about 4.5 billion cubic meters compared with 2005 by 2030.</t>
        </is>
      </c>
      <c r="K88" s="141" t="inlineStr">
        <is>
          <t>HL1601.pdf</t>
        </is>
      </c>
      <c r="L88" s="139" t="inlineStr">
        <is>
          <t>LULUCF</t>
        </is>
      </c>
    </row>
    <row r="89" ht="18" customHeight="1" s="235">
      <c r="A89" s="139" t="n">
        <v>2016</v>
      </c>
      <c r="B89" s="139" t="inlineStr">
        <is>
          <t>forest stock volume</t>
        </is>
      </c>
      <c r="C89" s="139" t="inlineStr">
        <is>
          <t>increase by</t>
        </is>
      </c>
      <c r="D89" s="139" t="inlineStr">
        <is>
          <t>1.3 billion cubic meters</t>
        </is>
      </c>
      <c r="E89" s="139" t="n">
        <v>2005</v>
      </c>
      <c r="F89" s="140" t="n">
        <v>2020</v>
      </c>
      <c r="G89" s="139" t="inlineStr">
        <is>
          <t>r</t>
        </is>
      </c>
      <c r="H89" s="139" t="inlineStr">
        <is>
          <t>Carbon sink</t>
        </is>
      </c>
      <c r="I89" s="139" t="inlineStr">
        <is>
          <t>whole economy</t>
        </is>
      </c>
      <c r="J89" s="139" t="inlineStr">
        <is>
          <t>on the basis of 2005, by 2020, the forest stock will increase by 1.3 billion cubic meters</t>
        </is>
      </c>
      <c r="K89" s="141" t="inlineStr">
        <is>
          <t>AP1603.htm</t>
        </is>
      </c>
      <c r="L89" s="139" t="inlineStr">
        <is>
          <t>LULUCF</t>
        </is>
      </c>
    </row>
    <row r="90" ht="18" customHeight="1" s="235">
      <c r="A90" s="139" t="n">
        <v>2016</v>
      </c>
      <c r="B90" s="139" t="inlineStr">
        <is>
          <t>forest stock volume</t>
        </is>
      </c>
      <c r="C90" s="139" t="inlineStr">
        <is>
          <t>increase by</t>
        </is>
      </c>
      <c r="D90" s="139" t="inlineStr">
        <is>
          <t>4.5 billion cubic meters</t>
        </is>
      </c>
      <c r="E90" s="139" t="n">
        <v>2005</v>
      </c>
      <c r="F90" s="140" t="n">
        <v>2030</v>
      </c>
      <c r="G90" s="139" t="inlineStr">
        <is>
          <t>r</t>
        </is>
      </c>
      <c r="H90" s="139" t="inlineStr">
        <is>
          <t>Carbon sink</t>
        </is>
      </c>
      <c r="I90" s="139" t="inlineStr">
        <is>
          <t>whole economy</t>
        </is>
      </c>
      <c r="J90" s="139" t="inlineStr">
        <is>
          <t>on the basis of 2005, by 2030, the forest stock will increase by about 4.5 billion cubic meters</t>
        </is>
      </c>
      <c r="K90" s="141" t="inlineStr">
        <is>
          <t>AP1603.htm</t>
        </is>
      </c>
      <c r="L90" s="139" t="inlineStr">
        <is>
          <t>LULUCF</t>
        </is>
      </c>
    </row>
    <row r="91" ht="18" customHeight="1" s="235">
      <c r="A91" s="139" t="n">
        <v>2021</v>
      </c>
      <c r="B91" s="139" t="inlineStr">
        <is>
          <t>forest stock volume</t>
        </is>
      </c>
      <c r="C91" s="139" t="inlineStr">
        <is>
          <t>reach</t>
        </is>
      </c>
      <c r="D91" s="139" t="inlineStr">
        <is>
          <t>18 billion cubic meters</t>
        </is>
      </c>
      <c r="E91" s="139" t="n"/>
      <c r="F91" s="140" t="inlineStr">
        <is>
          <t>2025</t>
        </is>
      </c>
      <c r="G91" s="139" t="inlineStr">
        <is>
          <t>n</t>
        </is>
      </c>
      <c r="H91" s="139" t="inlineStr">
        <is>
          <t>Carbon sink</t>
        </is>
      </c>
      <c r="I91" s="139" t="inlineStr">
        <is>
          <t>whole economy</t>
        </is>
      </c>
      <c r="J91" s="139" t="inlineStr">
        <is>
          <t>By 2025, the forest stock will reach 18 billion cubic meters, laying a solid foundation for achieving carbon peak and neutrality.</t>
        </is>
      </c>
      <c r="K91" s="141" t="inlineStr">
        <is>
          <t>HL2101.htm</t>
        </is>
      </c>
      <c r="L91" s="139" t="inlineStr">
        <is>
          <t>LULUCF</t>
        </is>
      </c>
    </row>
    <row r="92" ht="18" customHeight="1" s="235">
      <c r="A92" s="139" t="n">
        <v>2016</v>
      </c>
      <c r="B92" s="139" t="inlineStr">
        <is>
          <t>forest stock volume</t>
        </is>
      </c>
      <c r="C92" s="139" t="inlineStr">
        <is>
          <t>increase by</t>
        </is>
      </c>
      <c r="D92" s="139" t="inlineStr">
        <is>
          <t>600 million cubic meters</t>
        </is>
      </c>
      <c r="E92" s="139" t="n"/>
      <c r="F92" s="140" t="inlineStr">
        <is>
          <t>12th FYP</t>
        </is>
      </c>
      <c r="G92" s="139" t="inlineStr">
        <is>
          <t>n</t>
        </is>
      </c>
      <c r="H92" s="139" t="inlineStr">
        <is>
          <t>Carbon sink</t>
        </is>
      </c>
      <c r="I92" s="139" t="inlineStr">
        <is>
          <t>whole economy</t>
        </is>
      </c>
      <c r="J92" s="139" t="inlineStr">
        <is>
          <t>proposing that during the 12th Five-Year Plan period, the forest stock will increase by 600 million cubic meters</t>
        </is>
      </c>
      <c r="K92" s="141" t="inlineStr">
        <is>
          <t>AP1603.htm</t>
        </is>
      </c>
      <c r="L92" s="139" t="inlineStr">
        <is>
          <t>LULUCF</t>
        </is>
      </c>
    </row>
    <row r="93" ht="18" customHeight="1" s="235">
      <c r="A93" s="139" t="n">
        <v>2016</v>
      </c>
      <c r="B93" s="139" t="inlineStr">
        <is>
          <t>forest stock volume</t>
        </is>
      </c>
      <c r="C93" s="139" t="inlineStr">
        <is>
          <t>reach</t>
        </is>
      </c>
      <c r="D93" s="139" t="inlineStr">
        <is>
          <t>16.5 billion cubic meters</t>
        </is>
      </c>
      <c r="E93" s="139" t="n"/>
      <c r="F93" s="140" t="inlineStr">
        <is>
          <t>2020</t>
        </is>
      </c>
      <c r="G93" s="139" t="inlineStr">
        <is>
          <t>n</t>
        </is>
      </c>
      <c r="H93" s="139" t="inlineStr">
        <is>
          <t>Carbon sink</t>
        </is>
      </c>
      <c r="I93" s="139" t="inlineStr">
        <is>
          <t>whole economy</t>
        </is>
      </c>
      <c r="J93" s="139" t="inlineStr">
        <is>
          <t>By 2020, the forest stock will reach 16.5 billion cubic meters.</t>
        </is>
      </c>
      <c r="K93" s="141" t="inlineStr">
        <is>
          <t>FYP1615.htm</t>
        </is>
      </c>
      <c r="L93" s="139" t="inlineStr">
        <is>
          <t>LULUCF</t>
        </is>
      </c>
    </row>
    <row r="94" ht="18" customHeight="1" s="235">
      <c r="A94" s="139" t="n">
        <v>2017</v>
      </c>
      <c r="B94" s="139" t="inlineStr">
        <is>
          <t>forest stock volume</t>
        </is>
      </c>
      <c r="C94" s="139" t="inlineStr">
        <is>
          <t>reach</t>
        </is>
      </c>
      <c r="D94" s="139" t="inlineStr">
        <is>
          <t>16.5 billion cubic meters</t>
        </is>
      </c>
      <c r="E94" s="139" t="n"/>
      <c r="F94" s="140" t="inlineStr">
        <is>
          <t>2020</t>
        </is>
      </c>
      <c r="G94" s="139" t="inlineStr">
        <is>
          <t>r</t>
        </is>
      </c>
      <c r="H94" s="139" t="inlineStr">
        <is>
          <t>Carbon sink</t>
        </is>
      </c>
      <c r="I94" s="139" t="inlineStr">
        <is>
          <t>whole economy</t>
        </is>
      </c>
      <c r="J94" s="139" t="inlineStr">
        <is>
          <t>By 2020, the forest stock will reach more than 16.5 billion cubic meters.</t>
        </is>
      </c>
      <c r="K94" s="141" t="inlineStr">
        <is>
          <t>WP1701.pdf</t>
        </is>
      </c>
      <c r="L94" s="139" t="inlineStr">
        <is>
          <t>LULUCF</t>
        </is>
      </c>
    </row>
    <row r="95" ht="18" customHeight="1" s="235">
      <c r="A95" s="139" t="n">
        <v>2009</v>
      </c>
      <c r="B95" s="139" t="inlineStr">
        <is>
          <t>forest stock volume</t>
        </is>
      </c>
      <c r="C95" s="139" t="inlineStr">
        <is>
          <t>increase by</t>
        </is>
      </c>
      <c r="D95" s="139" t="inlineStr">
        <is>
          <t>1.3 billion cubic meters</t>
        </is>
      </c>
      <c r="E95" s="139" t="n">
        <v>2005</v>
      </c>
      <c r="F95" s="140" t="inlineStr">
        <is>
          <t>2020</t>
        </is>
      </c>
      <c r="G95" s="139" t="inlineStr">
        <is>
          <t>r</t>
        </is>
      </c>
      <c r="H95" s="139" t="inlineStr">
        <is>
          <t>Carbon sink</t>
        </is>
      </c>
      <c r="I95" s="139" t="inlineStr">
        <is>
          <t>whole economy</t>
        </is>
      </c>
      <c r="J95" s="139" t="inlineStr">
        <is>
          <t>We will endeavor to increase forest stock volume by 1.3 billion cubic meters by 2020 from the 2005 levels.</t>
        </is>
      </c>
      <c r="K95" s="141" t="inlineStr">
        <is>
          <t>HL0901.pdf</t>
        </is>
      </c>
      <c r="L95" s="139" t="inlineStr">
        <is>
          <t>LULUCF</t>
        </is>
      </c>
    </row>
    <row r="96" ht="18" customHeight="1" s="235">
      <c r="A96" s="139" t="n">
        <v>2011</v>
      </c>
      <c r="B96" s="139" t="inlineStr">
        <is>
          <t>forest stock volume</t>
        </is>
      </c>
      <c r="C96" s="139" t="inlineStr">
        <is>
          <t>increase by</t>
        </is>
      </c>
      <c r="D96" s="139" t="inlineStr">
        <is>
          <t>600 million m3</t>
        </is>
      </c>
      <c r="E96" s="139" t="n">
        <v>2010</v>
      </c>
      <c r="F96" s="140" t="inlineStr">
        <is>
          <t>2015</t>
        </is>
      </c>
      <c r="G96" s="139" t="inlineStr">
        <is>
          <t>r</t>
        </is>
      </c>
      <c r="H96" s="139" t="inlineStr">
        <is>
          <t>Carbon sink</t>
        </is>
      </c>
      <c r="I96" s="139" t="inlineStr">
        <is>
          <t>whole economy</t>
        </is>
      </c>
      <c r="J96" s="139" t="inlineStr">
        <is>
          <t>By 2015, the forest growing stock will increase by 600 million m3 compared with 2010.</t>
        </is>
      </c>
      <c r="K96" s="141" t="inlineStr">
        <is>
          <t>HL1101.pdf</t>
        </is>
      </c>
      <c r="L96" s="139" t="inlineStr">
        <is>
          <t>LULUCF</t>
        </is>
      </c>
    </row>
    <row r="97" ht="18" customHeight="1" s="235">
      <c r="A97" s="139" t="n">
        <v>2012</v>
      </c>
      <c r="B97" s="139" t="inlineStr">
        <is>
          <t>forest stock volume</t>
        </is>
      </c>
      <c r="C97" s="139" t="inlineStr">
        <is>
          <t>increase by</t>
        </is>
      </c>
      <c r="D97" s="139" t="inlineStr">
        <is>
          <t>600 million cubic meters</t>
        </is>
      </c>
      <c r="E97" s="139" t="n"/>
      <c r="F97" s="140" t="inlineStr">
        <is>
          <t>12th FYP</t>
        </is>
      </c>
      <c r="G97" s="139" t="inlineStr">
        <is>
          <t>r</t>
        </is>
      </c>
      <c r="H97" s="139" t="inlineStr">
        <is>
          <t>Carbon sink</t>
        </is>
      </c>
      <c r="I97" s="139" t="inlineStr">
        <is>
          <t>whole economy</t>
        </is>
      </c>
      <c r="J97" s="139" t="inlineStr">
        <is>
          <t>The 12th Five-Year Plan has set the target to increase forest stock volume by 600 million cubic meters.</t>
        </is>
      </c>
      <c r="K97" s="141" t="inlineStr">
        <is>
          <t>HL1201.pdf</t>
        </is>
      </c>
      <c r="L97" s="139" t="inlineStr">
        <is>
          <t>LULUCF</t>
        </is>
      </c>
    </row>
    <row r="98" ht="18" customHeight="1" s="235">
      <c r="A98" s="139" t="n">
        <v>2012</v>
      </c>
      <c r="B98" s="139" t="inlineStr">
        <is>
          <t>forest stock volume</t>
        </is>
      </c>
      <c r="C98" s="139" t="inlineStr">
        <is>
          <t>increase by</t>
        </is>
      </c>
      <c r="D98" s="139" t="inlineStr">
        <is>
          <t>600 million m3</t>
        </is>
      </c>
      <c r="E98" s="139" t="n"/>
      <c r="F98" s="140" t="n"/>
      <c r="G98" s="139" t="inlineStr">
        <is>
          <t>r</t>
        </is>
      </c>
      <c r="H98" s="139" t="inlineStr">
        <is>
          <t>Carbon sink</t>
        </is>
      </c>
      <c r="I98" s="139" t="inlineStr">
        <is>
          <t>whole economy</t>
        </is>
      </c>
      <c r="J98" s="139" t="inlineStr">
        <is>
          <t>By strongly pursuing afforestation and sustainable forest management, forest stock volume will be enlarged by 600 million m3 during the 12th FYP period (2011-2015).</t>
        </is>
      </c>
      <c r="K98" s="141" t="inlineStr">
        <is>
          <t>HL1201.pdf</t>
        </is>
      </c>
      <c r="L98" s="139" t="inlineStr">
        <is>
          <t>LULUCF</t>
        </is>
      </c>
    </row>
    <row r="99" ht="18" customHeight="1" s="235">
      <c r="A99" s="139" t="n">
        <v>2012</v>
      </c>
      <c r="B99" s="139" t="inlineStr">
        <is>
          <t>forest stock volume</t>
        </is>
      </c>
      <c r="C99" s="139" t="inlineStr">
        <is>
          <t>increase by</t>
        </is>
      </c>
      <c r="D99" s="139" t="inlineStr">
        <is>
          <t>1.3 billion m3</t>
        </is>
      </c>
      <c r="E99" s="139" t="n">
        <v>2005</v>
      </c>
      <c r="F99" s="140" t="inlineStr">
        <is>
          <t>2020</t>
        </is>
      </c>
      <c r="G99" s="139" t="inlineStr">
        <is>
          <t>r</t>
        </is>
      </c>
      <c r="H99" s="139" t="inlineStr">
        <is>
          <t>Carbon sink</t>
        </is>
      </c>
      <c r="I99" s="139" t="inlineStr">
        <is>
          <t>whole economy</t>
        </is>
      </c>
      <c r="J99" s="139" t="inlineStr">
        <is>
          <t>By strongly pursuing afforestation and sustainable forest management, to lay a solid foundation for increasing forest stock volume by 1.3 billion m3 by 2020, compared with 2005 levels.</t>
        </is>
      </c>
      <c r="K99" s="141" t="inlineStr">
        <is>
          <t>HL1201.pdf</t>
        </is>
      </c>
      <c r="L99" s="139" t="inlineStr">
        <is>
          <t>LULUCF</t>
        </is>
      </c>
    </row>
    <row r="100" ht="18" customHeight="1" s="235">
      <c r="A100" s="139" t="n">
        <v>2012</v>
      </c>
      <c r="B100" s="139" t="inlineStr">
        <is>
          <t>forest stock volume</t>
        </is>
      </c>
      <c r="C100" s="139" t="inlineStr">
        <is>
          <t>increase by</t>
        </is>
      </c>
      <c r="D100" s="139" t="inlineStr">
        <is>
          <t>1.3 billion m3</t>
        </is>
      </c>
      <c r="E100" s="139" t="n">
        <v>2005</v>
      </c>
      <c r="F100" s="140" t="inlineStr">
        <is>
          <t>2020</t>
        </is>
      </c>
      <c r="G100" s="139" t="inlineStr">
        <is>
          <t>r</t>
        </is>
      </c>
      <c r="H100" s="139" t="inlineStr">
        <is>
          <t>Carbon sink</t>
        </is>
      </c>
      <c r="I100" s="139" t="inlineStr">
        <is>
          <t>whole economy</t>
        </is>
      </c>
      <c r="J100" s="139" t="inlineStr">
        <is>
          <t>The Chinese government announced that, by 2020 the forest stock volume will be increased by 1.3 billion m3 relative to 2005.</t>
        </is>
      </c>
      <c r="K100" s="141" t="inlineStr">
        <is>
          <t>HL1201.pdf</t>
        </is>
      </c>
      <c r="L100" s="139" t="inlineStr">
        <is>
          <t>LULUCF</t>
        </is>
      </c>
    </row>
    <row r="101" ht="18" customHeight="1" s="235">
      <c r="A101" s="139" t="n">
        <v>2012</v>
      </c>
      <c r="B101" s="139" t="inlineStr">
        <is>
          <t>forest stock volume</t>
        </is>
      </c>
      <c r="C101" s="139" t="inlineStr">
        <is>
          <t>increase by</t>
        </is>
      </c>
      <c r="D101" s="139" t="inlineStr">
        <is>
          <t>1.3 billion m3</t>
        </is>
      </c>
      <c r="E101" s="139" t="n">
        <v>2005</v>
      </c>
      <c r="F101" s="140" t="inlineStr">
        <is>
          <t>2020</t>
        </is>
      </c>
      <c r="G101" s="139" t="inlineStr">
        <is>
          <t>r</t>
        </is>
      </c>
      <c r="H101" s="139" t="inlineStr">
        <is>
          <t>Carbon sink</t>
        </is>
      </c>
      <c r="I101" s="139" t="inlineStr">
        <is>
          <t>whole economy</t>
        </is>
      </c>
      <c r="J101" s="139" t="inlineStr">
        <is>
          <t>By 2020, the forest stock volume will be increased by 1.3 billion m3 relative to 2005.</t>
        </is>
      </c>
      <c r="K101" s="141" t="inlineStr">
        <is>
          <t>HL1201.pdf</t>
        </is>
      </c>
      <c r="L101" s="139" t="inlineStr">
        <is>
          <t>LULUCF</t>
        </is>
      </c>
    </row>
    <row r="102" ht="18" customHeight="1" s="235">
      <c r="A102" s="139" t="n">
        <v>2012</v>
      </c>
      <c r="B102" s="139" t="inlineStr">
        <is>
          <t>forest stock volume</t>
        </is>
      </c>
      <c r="C102" s="139" t="inlineStr">
        <is>
          <t>increase to</t>
        </is>
      </c>
      <c r="D102" s="139" t="inlineStr">
        <is>
          <t>600 million m3</t>
        </is>
      </c>
      <c r="E102" s="139" t="n"/>
      <c r="F102" s="140" t="inlineStr">
        <is>
          <t>12th FYP</t>
        </is>
      </c>
      <c r="G102" s="139" t="inlineStr">
        <is>
          <t>r</t>
        </is>
      </c>
      <c r="H102" s="139" t="inlineStr">
        <is>
          <t>Carbon sink</t>
        </is>
      </c>
      <c r="I102" s="139" t="inlineStr">
        <is>
          <t>whole economy</t>
        </is>
      </c>
      <c r="J102" s="139" t="inlineStr">
        <is>
          <t>The 12th Five-Year Plan for National Economic and Social Development of PRC has set for the first time a binding target that the forest stock volume will be increased by 600 million m3.</t>
        </is>
      </c>
      <c r="K102" s="141" t="inlineStr">
        <is>
          <t>HL1201.pdf</t>
        </is>
      </c>
      <c r="L102" s="139" t="inlineStr">
        <is>
          <t>LULUCF</t>
        </is>
      </c>
    </row>
    <row r="103" ht="18" customHeight="1" s="235">
      <c r="A103" s="139" t="n">
        <v>2019</v>
      </c>
      <c r="B103" s="139" t="inlineStr">
        <is>
          <t>forest stock volume</t>
        </is>
      </c>
      <c r="C103" s="139" t="inlineStr">
        <is>
          <t>achieve</t>
        </is>
      </c>
      <c r="D103" s="139" t="inlineStr">
        <is>
          <t>over 16.5 billion m3</t>
        </is>
      </c>
      <c r="E103" s="139" t="n"/>
      <c r="F103" s="140" t="inlineStr">
        <is>
          <t>2020</t>
        </is>
      </c>
      <c r="G103" s="139" t="inlineStr">
        <is>
          <t>r</t>
        </is>
      </c>
      <c r="H103" s="139" t="inlineStr">
        <is>
          <t>Carbon sink</t>
        </is>
      </c>
      <c r="I103" s="139" t="inlineStr">
        <is>
          <t>whole economy</t>
        </is>
      </c>
      <c r="J103" s="139" t="inlineStr">
        <is>
          <t>By 2020, China is to achieve the forest growing stock volume of over 16.5 billion m3</t>
        </is>
      </c>
      <c r="K103" s="141" t="inlineStr">
        <is>
          <t>HL1902.pdf</t>
        </is>
      </c>
      <c r="L103" s="139" t="inlineStr">
        <is>
          <t>LULUCF</t>
        </is>
      </c>
    </row>
    <row r="104" ht="18" customHeight="1" s="235">
      <c r="A104" s="139" t="n">
        <v>2021</v>
      </c>
      <c r="B104" s="139" t="inlineStr">
        <is>
          <t>forest stock volume</t>
        </is>
      </c>
      <c r="C104" s="139" t="inlineStr">
        <is>
          <t>reach</t>
        </is>
      </c>
      <c r="D104" s="139" t="inlineStr">
        <is>
          <t>19 billion cubic meters</t>
        </is>
      </c>
      <c r="E104" s="139" t="n"/>
      <c r="F104" s="140" t="inlineStr">
        <is>
          <t>2030</t>
        </is>
      </c>
      <c r="G104" s="139" t="inlineStr">
        <is>
          <t>n</t>
        </is>
      </c>
      <c r="H104" s="139" t="inlineStr">
        <is>
          <t>Carbon sink</t>
        </is>
      </c>
      <c r="I104" s="139" t="inlineStr">
        <is>
          <t>whole economy</t>
        </is>
      </c>
      <c r="J104" s="139" t="inlineStr">
        <is>
          <t>By 2030, the forest stock will reach 19 billion cubic meters.</t>
        </is>
      </c>
      <c r="K104" s="141" t="inlineStr">
        <is>
          <t>HL2101.htm</t>
        </is>
      </c>
      <c r="L104" s="139" t="inlineStr">
        <is>
          <t>LULUCF</t>
        </is>
      </c>
    </row>
    <row r="105" ht="18" customHeight="1" s="235">
      <c r="A105" s="139" t="n">
        <v>2019</v>
      </c>
      <c r="B105" s="139" t="inlineStr">
        <is>
          <t>forest stock volume</t>
        </is>
      </c>
      <c r="C105" s="139" t="inlineStr">
        <is>
          <t>increase by</t>
        </is>
      </c>
      <c r="D105" s="139" t="inlineStr">
        <is>
          <t>1.3 billion m3</t>
        </is>
      </c>
      <c r="E105" s="139" t="n">
        <v>2005</v>
      </c>
      <c r="F105" s="140" t="inlineStr">
        <is>
          <t>2020</t>
        </is>
      </c>
      <c r="G105" s="139" t="inlineStr">
        <is>
          <t>r</t>
        </is>
      </c>
      <c r="H105" s="139" t="inlineStr">
        <is>
          <t>Carbon sink</t>
        </is>
      </c>
      <c r="I105" s="139" t="inlineStr">
        <is>
          <t>whole economy</t>
        </is>
      </c>
      <c r="J105" s="139" t="inlineStr">
        <is>
          <t>by 2020 the forest stock volume will be increased by 1.3 billion m3 compared with 2005 level.</t>
        </is>
      </c>
      <c r="K105" s="141" t="inlineStr">
        <is>
          <t>HL1902.pdf</t>
        </is>
      </c>
      <c r="L105" s="139" t="inlineStr">
        <is>
          <t>LULUCF</t>
        </is>
      </c>
    </row>
    <row r="106" ht="18" customHeight="1" s="235">
      <c r="A106" s="139" t="n">
        <v>2019</v>
      </c>
      <c r="B106" s="139" t="inlineStr">
        <is>
          <t>forest stock volume</t>
        </is>
      </c>
      <c r="C106" s="139" t="inlineStr">
        <is>
          <t>increase by</t>
        </is>
      </c>
      <c r="D106" s="139" t="inlineStr">
        <is>
          <t>4.5 billion m3</t>
        </is>
      </c>
      <c r="E106" s="139" t="n">
        <v>2005</v>
      </c>
      <c r="F106" s="140" t="inlineStr">
        <is>
          <t>2030</t>
        </is>
      </c>
      <c r="G106" s="139" t="inlineStr">
        <is>
          <t>r</t>
        </is>
      </c>
      <c r="H106" s="139" t="inlineStr">
        <is>
          <t>Carbon sink</t>
        </is>
      </c>
      <c r="I106" s="139" t="inlineStr">
        <is>
          <t>whole economy</t>
        </is>
      </c>
      <c r="J106" s="139" t="inlineStr">
        <is>
          <t>by 2030 the forest stock volume will be increased by 4.5 billion m3 compared to 2005 level.</t>
        </is>
      </c>
      <c r="K106" s="141" t="inlineStr">
        <is>
          <t>HL1902.pdf</t>
        </is>
      </c>
      <c r="L106" s="139" t="inlineStr">
        <is>
          <t>LULUCF</t>
        </is>
      </c>
    </row>
    <row r="107" ht="18" customHeight="1" s="235">
      <c r="A107" s="139" t="n">
        <v>2019</v>
      </c>
      <c r="B107" s="139" t="inlineStr">
        <is>
          <t>forest stock volume</t>
        </is>
      </c>
      <c r="C107" s="139" t="inlineStr">
        <is>
          <t>increase to</t>
        </is>
      </c>
      <c r="D107" s="139" t="inlineStr">
        <is>
          <t>16.5 billion m3</t>
        </is>
      </c>
      <c r="E107" s="139" t="n"/>
      <c r="F107" s="140" t="inlineStr">
        <is>
          <t>2020</t>
        </is>
      </c>
      <c r="G107" s="139" t="inlineStr">
        <is>
          <t>r</t>
        </is>
      </c>
      <c r="H107" s="139" t="inlineStr">
        <is>
          <t>Carbon sink</t>
        </is>
      </c>
      <c r="I107" s="139" t="inlineStr">
        <is>
          <t>whole economy</t>
        </is>
      </c>
      <c r="J107" s="139" t="inlineStr">
        <is>
          <t>by 2020 the forest stock volume will increase to 16.5 billion m3.</t>
        </is>
      </c>
      <c r="K107" s="141" t="inlineStr">
        <is>
          <t>HL1902.pdf</t>
        </is>
      </c>
      <c r="L107" s="139" t="inlineStr">
        <is>
          <t>LULUCF</t>
        </is>
      </c>
    </row>
    <row r="108" ht="18" customHeight="1" s="235">
      <c r="A108" s="139" t="n">
        <v>2019</v>
      </c>
      <c r="B108" s="139" t="inlineStr">
        <is>
          <t>forest stock volume</t>
        </is>
      </c>
      <c r="C108" s="139" t="inlineStr">
        <is>
          <t>increase to</t>
        </is>
      </c>
      <c r="D108" s="139" t="inlineStr">
        <is>
          <t>over 16.5 billion m3</t>
        </is>
      </c>
      <c r="E108" s="139" t="n"/>
      <c r="F108" s="140" t="inlineStr">
        <is>
          <t>2020</t>
        </is>
      </c>
      <c r="G108" s="139" t="inlineStr">
        <is>
          <t>r</t>
        </is>
      </c>
      <c r="H108" s="139" t="inlineStr">
        <is>
          <t>Carbon sink</t>
        </is>
      </c>
      <c r="I108" s="139" t="inlineStr">
        <is>
          <t>whole economy</t>
        </is>
      </c>
      <c r="J108" s="139" t="inlineStr">
        <is>
          <t>By 2020, forest stock volumes will increase to over 16.5 billion m3.</t>
        </is>
      </c>
      <c r="K108" s="141" t="inlineStr">
        <is>
          <t>HL1902.pdf</t>
        </is>
      </c>
      <c r="L108" s="139" t="inlineStr">
        <is>
          <t>LULUCF</t>
        </is>
      </c>
    </row>
    <row r="109" ht="18" customHeight="1" s="235">
      <c r="A109" s="139" t="n">
        <v>2021</v>
      </c>
      <c r="B109" s="139" t="inlineStr">
        <is>
          <t>forest stock volume</t>
        </is>
      </c>
      <c r="C109" s="139" t="inlineStr">
        <is>
          <t>increase to</t>
        </is>
      </c>
      <c r="D109" s="139" t="inlineStr">
        <is>
          <t>19 billion cubic meters</t>
        </is>
      </c>
      <c r="E109" s="139" t="n"/>
      <c r="F109" s="140" t="inlineStr">
        <is>
          <t>2030</t>
        </is>
      </c>
      <c r="G109" s="139" t="inlineStr">
        <is>
          <t>r</t>
        </is>
      </c>
      <c r="H109" s="139" t="inlineStr">
        <is>
          <t>Carbon sink</t>
        </is>
      </c>
      <c r="I109" s="139" t="inlineStr">
        <is>
          <t>whole economy</t>
        </is>
      </c>
      <c r="J109" s="139" t="inlineStr">
        <is>
          <t>We will expand forest coverage around 25% of China’s total land area and increase forest stock volume to 19 billion cubic meters by 2030.</t>
        </is>
      </c>
      <c r="K109" s="141" t="inlineStr">
        <is>
          <t>HL2102.pdf</t>
        </is>
      </c>
      <c r="L109" s="139" t="inlineStr">
        <is>
          <t>LULUCF</t>
        </is>
      </c>
    </row>
    <row r="110" ht="18" customHeight="1" s="235">
      <c r="A110" s="139" t="n">
        <v>2019</v>
      </c>
      <c r="B110" s="139" t="inlineStr">
        <is>
          <t>forest stock volume</t>
        </is>
      </c>
      <c r="C110" s="139" t="inlineStr">
        <is>
          <t>increase to</t>
        </is>
      </c>
      <c r="D110" s="139" t="inlineStr">
        <is>
          <t>more than 14.3 billion cubic meters</t>
        </is>
      </c>
      <c r="E110" s="139" t="n"/>
      <c r="F110" s="140" t="inlineStr">
        <is>
          <t>2015</t>
        </is>
      </c>
      <c r="G110" s="139" t="inlineStr">
        <is>
          <t>n</t>
        </is>
      </c>
      <c r="H110" s="139" t="inlineStr">
        <is>
          <t>Carbon sink</t>
        </is>
      </c>
      <c r="I110" s="139" t="inlineStr">
        <is>
          <t>whole economy</t>
        </is>
      </c>
      <c r="J110" s="139" t="inlineStr">
        <is>
          <t>by 2015, forest stock volume to more than 14.3 billion m3</t>
        </is>
      </c>
      <c r="K110" s="141" t="inlineStr">
        <is>
          <t>HL1902.pdf</t>
        </is>
      </c>
      <c r="L110" s="139" t="inlineStr">
        <is>
          <t>LULUCF</t>
        </is>
      </c>
    </row>
    <row r="111" ht="18" customHeight="1" s="235">
      <c r="A111" s="139" t="n">
        <v>2021</v>
      </c>
      <c r="B111" s="139" t="inlineStr">
        <is>
          <t>forest stock volume</t>
        </is>
      </c>
      <c r="C111" s="139" t="inlineStr">
        <is>
          <t>increase by</t>
        </is>
      </c>
      <c r="D111" s="139" t="inlineStr">
        <is>
          <t>6 billion cubic meters</t>
        </is>
      </c>
      <c r="E111" s="139" t="n">
        <v>2005</v>
      </c>
      <c r="F111" s="140" t="inlineStr">
        <is>
          <t>2030</t>
        </is>
      </c>
      <c r="G111" s="139" t="inlineStr">
        <is>
          <t>r</t>
        </is>
      </c>
      <c r="H111" s="139" t="inlineStr">
        <is>
          <t>Carbon sink</t>
        </is>
      </c>
      <c r="I111" s="139" t="inlineStr">
        <is>
          <t>whole economy</t>
        </is>
      </c>
      <c r="J111" s="139" t="inlineStr">
        <is>
          <t>China’s updated NDC goals are as follows: aims to increase the forest stock volume by 6 billion cubic meters from the 2005 level by 2030</t>
        </is>
      </c>
      <c r="K111" s="141" t="inlineStr">
        <is>
          <t>HL2105.pdf</t>
        </is>
      </c>
      <c r="L111" s="139" t="inlineStr">
        <is>
          <t>LULUCF</t>
        </is>
      </c>
    </row>
    <row r="112" ht="18" customHeight="1" s="235">
      <c r="A112" s="139" t="n">
        <v>2021</v>
      </c>
      <c r="B112" s="139" t="inlineStr">
        <is>
          <t>forest stock volume</t>
        </is>
      </c>
      <c r="C112" s="139" t="inlineStr">
        <is>
          <t>increase by</t>
        </is>
      </c>
      <c r="D112" s="139" t="inlineStr">
        <is>
          <t>6 billion cubic meters</t>
        </is>
      </c>
      <c r="E112" s="139" t="n">
        <v>2005</v>
      </c>
      <c r="F112" s="140" t="inlineStr">
        <is>
          <t>2030</t>
        </is>
      </c>
      <c r="G112" s="139" t="inlineStr">
        <is>
          <t>r</t>
        </is>
      </c>
      <c r="H112" s="139" t="inlineStr">
        <is>
          <t>Carbon sink</t>
        </is>
      </c>
      <c r="I112" s="139" t="inlineStr">
        <is>
          <t>whole economy</t>
        </is>
      </c>
      <c r="J112" s="139" t="inlineStr">
        <is>
          <t>China aims to increase the forest stock volume by 6 billion cubic meters by 2030 from the 2005 level.</t>
        </is>
      </c>
      <c r="K112" s="141" t="inlineStr">
        <is>
          <t>HL2107.htm</t>
        </is>
      </c>
      <c r="L112" s="139" t="inlineStr">
        <is>
          <t>LULUCF</t>
        </is>
      </c>
    </row>
    <row r="113" ht="18" customHeight="1" s="235">
      <c r="A113" s="139" t="n">
        <v>2023</v>
      </c>
      <c r="B113" s="139" t="inlineStr">
        <is>
          <t>forest stock volume</t>
        </is>
      </c>
      <c r="C113" s="139" t="inlineStr">
        <is>
          <t>increase to</t>
        </is>
      </c>
      <c r="D113" s="139" t="inlineStr">
        <is>
          <t>16.5 billion m3</t>
        </is>
      </c>
      <c r="E113" s="139" t="n"/>
      <c r="F113" s="140" t="inlineStr">
        <is>
          <t>2020</t>
        </is>
      </c>
      <c r="G113" s="139" t="inlineStr">
        <is>
          <t>r</t>
        </is>
      </c>
      <c r="H113" s="139" t="inlineStr">
        <is>
          <t>Carbon sink</t>
        </is>
      </c>
      <c r="I113" s="139" t="inlineStr">
        <is>
          <t>whole economy</t>
        </is>
      </c>
      <c r="J113" s="139" t="inlineStr">
        <is>
          <t>By 2020, forest stock volume will jump to 16.5 billion m3.</t>
        </is>
      </c>
      <c r="K113" s="141" t="inlineStr">
        <is>
          <t>HL2302.pdf</t>
        </is>
      </c>
      <c r="L113" s="139" t="inlineStr">
        <is>
          <t>LULUCF</t>
        </is>
      </c>
    </row>
    <row r="114" ht="18" customHeight="1" s="235">
      <c r="A114" s="139" t="n">
        <v>2024</v>
      </c>
      <c r="B114" s="139" t="inlineStr">
        <is>
          <t>forest stock volume</t>
        </is>
      </c>
      <c r="C114" s="139" t="inlineStr">
        <is>
          <t>reach</t>
        </is>
      </c>
      <c r="D114" s="139" t="inlineStr">
        <is>
          <t>19 billion m3</t>
        </is>
      </c>
      <c r="E114" s="139" t="n"/>
      <c r="F114" s="140" t="inlineStr">
        <is>
          <t>2025</t>
        </is>
      </c>
      <c r="G114" s="139" t="inlineStr">
        <is>
          <t>r</t>
        </is>
      </c>
      <c r="H114" s="139" t="inlineStr">
        <is>
          <t>Carbon sink</t>
        </is>
      </c>
      <c r="I114" s="139" t="inlineStr">
        <is>
          <t>whole economy</t>
        </is>
      </c>
      <c r="J114" s="139" t="inlineStr">
        <is>
          <t>By 2025, the forest stock volume will reach 19 billion m3.</t>
        </is>
      </c>
      <c r="K114" s="141" t="inlineStr">
        <is>
          <t>HL2401.pdf</t>
        </is>
      </c>
      <c r="L114" s="139" t="inlineStr">
        <is>
          <t>LULUCF</t>
        </is>
      </c>
    </row>
    <row r="115" ht="18" customHeight="1" s="235">
      <c r="A115" s="139" t="n">
        <v>2023</v>
      </c>
      <c r="B115" s="139" t="inlineStr">
        <is>
          <t>forest stock volume</t>
        </is>
      </c>
      <c r="C115" s="139" t="inlineStr">
        <is>
          <t>reach</t>
        </is>
      </c>
      <c r="D115" s="139" t="inlineStr">
        <is>
          <t>19 billion cubic meters</t>
        </is>
      </c>
      <c r="E115" s="139" t="n"/>
      <c r="F115" s="140" t="inlineStr">
        <is>
          <t>2025</t>
        </is>
      </c>
      <c r="G115" s="139" t="inlineStr">
        <is>
          <t>r</t>
        </is>
      </c>
      <c r="H115" s="139" t="inlineStr">
        <is>
          <t>Carbon sink</t>
        </is>
      </c>
      <c r="I115" s="139" t="inlineStr">
        <is>
          <t>whole economy</t>
        </is>
      </c>
      <c r="J115" s="139" t="inlineStr">
        <is>
          <t>By 2025, percentage of forest coverage in China will reach 24.1%, growing stock volume 19 billion cubic meters</t>
        </is>
      </c>
      <c r="K115" s="141" t="inlineStr">
        <is>
          <t>HL2302.pdf</t>
        </is>
      </c>
      <c r="L115" s="139" t="inlineStr">
        <is>
          <t>LULUCF</t>
        </is>
      </c>
    </row>
    <row r="116" ht="18" customHeight="1" s="235">
      <c r="A116" s="139" t="n">
        <v>2017</v>
      </c>
      <c r="B116" s="139" t="inlineStr">
        <is>
          <t>forest stock volume</t>
        </is>
      </c>
      <c r="C116" s="139" t="inlineStr">
        <is>
          <t>increase by</t>
        </is>
      </c>
      <c r="D116" s="139" t="inlineStr">
        <is>
          <t>600 million mu</t>
        </is>
      </c>
      <c r="E116" s="139" t="n">
        <v>2005</v>
      </c>
      <c r="F116" s="140" t="inlineStr">
        <is>
          <t>2020</t>
        </is>
      </c>
      <c r="G116" s="139" t="inlineStr">
        <is>
          <t>r</t>
        </is>
      </c>
      <c r="H116" s="139" t="inlineStr">
        <is>
          <t>Carbon sink</t>
        </is>
      </c>
      <c r="I116" s="139" t="inlineStr">
        <is>
          <t>whole economy</t>
        </is>
      </c>
      <c r="J116" s="139" t="inlineStr">
        <is>
          <t>By 2020, the national forest area will increase by 600 million mu on the basis of 2005.</t>
        </is>
      </c>
      <c r="K116" s="141" t="inlineStr">
        <is>
          <t>WP1701.pdf</t>
        </is>
      </c>
      <c r="L116" s="139" t="inlineStr">
        <is>
          <t>LULUCF</t>
        </is>
      </c>
    </row>
    <row r="117" ht="18" customHeight="1" s="235">
      <c r="A117" s="139" t="n">
        <v>2021</v>
      </c>
      <c r="B117" s="139" t="inlineStr">
        <is>
          <t>forest stock volume</t>
        </is>
      </c>
      <c r="C117" s="139" t="inlineStr">
        <is>
          <t>increase by</t>
        </is>
      </c>
      <c r="D117" s="139" t="inlineStr">
        <is>
          <t>6 billion cubic meters</t>
        </is>
      </c>
      <c r="E117" s="139" t="n">
        <v>2005</v>
      </c>
      <c r="F117" s="140" t="inlineStr">
        <is>
          <t>2030</t>
        </is>
      </c>
      <c r="G117" s="139" t="inlineStr">
        <is>
          <t>n</t>
        </is>
      </c>
      <c r="H117" s="139" t="inlineStr">
        <is>
          <t>Carbon sink</t>
        </is>
      </c>
      <c r="I117" s="139" t="inlineStr">
        <is>
          <t>whole economy</t>
        </is>
      </c>
      <c r="J117" s="139" t="inlineStr">
        <is>
          <t>By 2030, China's forest coverage rate will reach about 25%, and forest stock volume will increase 6 billion cubic meters over 2005 level.</t>
        </is>
      </c>
      <c r="K117" s="141" t="inlineStr">
        <is>
          <t>HL2104.pdf</t>
        </is>
      </c>
      <c r="L117" s="139" t="inlineStr">
        <is>
          <t>LULUCF</t>
        </is>
      </c>
    </row>
    <row r="118" ht="18" customHeight="1" s="235">
      <c r="A118" s="139" t="n">
        <v>2025</v>
      </c>
      <c r="B118" s="139" t="inlineStr">
        <is>
          <t>forest stock volume</t>
        </is>
      </c>
      <c r="C118" s="139" t="inlineStr">
        <is>
          <t>increase to</t>
        </is>
      </c>
      <c r="D118" s="139" t="inlineStr">
        <is>
          <t>over 24 billion cubic meters</t>
        </is>
      </c>
      <c r="E118" s="139" t="n"/>
      <c r="F118" s="140" t="n">
        <v>2035</v>
      </c>
      <c r="G118" s="140" t="inlineStr">
        <is>
          <t>n</t>
        </is>
      </c>
      <c r="H118" s="139" t="inlineStr">
        <is>
          <t>Carbon sink</t>
        </is>
      </c>
      <c r="I118" s="139" t="inlineStr">
        <is>
          <t>whole economy</t>
        </is>
      </c>
      <c r="J118" s="139" t="inlineStr">
        <is>
          <t>China will, by 2035, scale up the total forest stock volume to over 24 billion cubic meters</t>
        </is>
      </c>
      <c r="K118" s="141" t="inlineStr">
        <is>
          <t>PA2501.htm</t>
        </is>
      </c>
      <c r="L118" s="139" t="inlineStr">
        <is>
          <t>LULUCF</t>
        </is>
      </c>
    </row>
    <row r="119" ht="18" customHeight="1" s="235">
      <c r="A119" s="139" t="n">
        <v>2026</v>
      </c>
      <c r="B119" s="139" t="inlineStr">
        <is>
          <t>forest stock volume</t>
        </is>
      </c>
      <c r="C119" s="139" t="inlineStr">
        <is>
          <t>reach</t>
        </is>
      </c>
      <c r="D119" s="139" t="inlineStr">
        <is>
          <t>22.4 billion cubic meters</t>
        </is>
      </c>
      <c r="E119" s="139" t="n"/>
      <c r="F119" s="140" t="n">
        <v>2030</v>
      </c>
      <c r="G119" s="140" t="inlineStr">
        <is>
          <t>n</t>
        </is>
      </c>
      <c r="H119" s="139" t="inlineStr">
        <is>
          <t>Carbon sink</t>
        </is>
      </c>
      <c r="I119" s="139" t="inlineStr">
        <is>
          <t>whole economy</t>
        </is>
      </c>
      <c r="J119" s="139" t="inlineStr">
        <is>
          <t>The plan will carry out large-scale territorial greening and forest-quality improvement, with forest stock volume reaching 22.4 billion cubic meters.</t>
        </is>
      </c>
      <c r="K119" s="141" t="inlineStr">
        <is>
          <t>HL2601.pdf</t>
        </is>
      </c>
      <c r="L119" s="139" t="inlineStr">
        <is>
          <t>LULUCF</t>
        </is>
      </c>
    </row>
    <row r="120" ht="18" customHeight="1" s="235">
      <c r="A120" s="139" t="n">
        <v>2011</v>
      </c>
      <c r="B120" s="139" t="inlineStr">
        <is>
          <t>forest stock volume</t>
        </is>
      </c>
      <c r="C120" s="139" t="inlineStr">
        <is>
          <t>reach</t>
        </is>
      </c>
      <c r="D120" s="139" t="inlineStr">
        <is>
          <t>over 14.3 billion cubic meters</t>
        </is>
      </c>
      <c r="E120" s="139" t="n"/>
      <c r="F120" s="140" t="n">
        <v>2015</v>
      </c>
      <c r="G120" s="140" t="inlineStr">
        <is>
          <t>r</t>
        </is>
      </c>
      <c r="H120" s="139" t="inlineStr">
        <is>
          <t>Carbon sink</t>
        </is>
      </c>
      <c r="I120" s="139" t="inlineStr">
        <is>
          <t>whole economy</t>
        </is>
      </c>
      <c r="J120" s="139" t="inlineStr">
        <is>
          <t>...the forest stock volume will reach over 14.3 billion cubic meters...</t>
        </is>
      </c>
      <c r="K120" s="141" t="inlineStr">
        <is>
          <t>AP1101.htm</t>
        </is>
      </c>
      <c r="L120" s="139" t="inlineStr">
        <is>
          <t>LULUCF</t>
        </is>
      </c>
    </row>
    <row r="121" ht="18" customHeight="1" s="235">
      <c r="A121" s="0" t="n">
        <v>2026</v>
      </c>
      <c r="B121" s="0" t="inlineStr">
        <is>
          <t>forest stock volume</t>
        </is>
      </c>
      <c r="C121" s="0" t="inlineStr">
        <is>
          <t>reach</t>
        </is>
      </c>
      <c r="D121" s="0" t="inlineStr">
        <is>
          <t>22.4 billion cubic meters</t>
        </is>
      </c>
      <c r="F121" s="0" t="n">
        <v>2030</v>
      </c>
      <c r="G121" s="0" t="inlineStr">
        <is>
          <t>r</t>
        </is>
      </c>
      <c r="H121" s="0" t="inlineStr">
        <is>
          <t>Carbon sink</t>
        </is>
      </c>
      <c r="I121" s="0" t="inlineStr">
        <is>
          <t>whole economy</t>
        </is>
      </c>
      <c r="J121" s="0" t="inlineStr">
        <is>
          <t>Large-scale land greening campaigns will be carried out scientifically... with the forest stock volume reaching 22.4 billion cubic meters.</t>
        </is>
      </c>
      <c r="K121" s="0" t="inlineStr">
        <is>
          <t>FYP2609.htm</t>
        </is>
      </c>
      <c r="L121" s="0" t="inlineStr">
        <is>
          <t>LULUCF</t>
        </is>
      </c>
    </row>
    <row r="122" ht="18" customHeight="1" s="235">
      <c r="A122" s="0" t="n">
        <v>2026</v>
      </c>
      <c r="B122" s="0" t="inlineStr">
        <is>
          <t>forest stock volume</t>
        </is>
      </c>
      <c r="C122" s="0" t="inlineStr">
        <is>
          <t>reach</t>
        </is>
      </c>
      <c r="D122" s="0" t="inlineStr">
        <is>
          <t>22.4 billion cubic meters</t>
        </is>
      </c>
      <c r="F122" s="0" t="n">
        <v>2030</v>
      </c>
      <c r="G122" s="0" t="inlineStr">
        <is>
          <t>n</t>
        </is>
      </c>
      <c r="H122" s="0" t="inlineStr">
        <is>
          <t>Carbon sink</t>
        </is>
      </c>
      <c r="I122" s="0" t="inlineStr">
        <is>
          <t>whole economy</t>
        </is>
      </c>
      <c r="J122" s="0" t="inlineStr">
        <is>
          <t>By 2030, the national forest stock volume will reach 22.4 billion cubic meters.</t>
        </is>
      </c>
      <c r="K122" s="0" t="inlineStr">
        <is>
          <t>HL2604.htm</t>
        </is>
      </c>
      <c r="L122" s="0" t="inlineStr">
        <is>
          <t>LULUCF</t>
        </is>
      </c>
    </row>
    <row r="123" ht="18" customHeight="1" s="235">
      <c r="A123" s="139" t="n">
        <v>2011</v>
      </c>
      <c r="B123" s="139" t="inlineStr">
        <is>
          <t>forestry nature reserves share of national land area</t>
        </is>
      </c>
      <c r="C123" s="139" t="inlineStr">
        <is>
          <t>remain stable</t>
        </is>
      </c>
      <c r="D123" s="139" t="inlineStr">
        <is>
          <t>around 13%</t>
        </is>
      </c>
      <c r="E123" s="139" t="n"/>
      <c r="F123" s="140" t="n">
        <v>2015</v>
      </c>
      <c r="G123" s="140" t="inlineStr">
        <is>
          <t>n</t>
        </is>
      </c>
      <c r="H123" s="139" t="inlineStr">
        <is>
          <t>Environmental quality</t>
        </is>
      </c>
      <c r="I123" s="139" t="inlineStr">
        <is>
          <t>whole economy</t>
        </is>
      </c>
      <c r="J123" s="139" t="inlineStr">
        <is>
          <t>The proportion of forestry nature reserves to the national land area remains stable at around 13%...</t>
        </is>
      </c>
      <c r="K123" s="141" t="inlineStr">
        <is>
          <t>AP1101.htm</t>
        </is>
      </c>
      <c r="L123" s="139" t="inlineStr">
        <is>
          <t>LULUCF</t>
        </is>
      </c>
    </row>
    <row r="124" ht="18" customHeight="1" s="235">
      <c r="A124" s="139" t="n">
        <v>2011</v>
      </c>
      <c r="B124" s="139" t="inlineStr">
        <is>
          <t>grassland</t>
        </is>
      </c>
      <c r="C124" s="139" t="inlineStr">
        <is>
          <t>rehabilitate</t>
        </is>
      </c>
      <c r="D124" s="139" t="inlineStr">
        <is>
          <t>20 million hectares</t>
        </is>
      </c>
      <c r="E124" s="139" t="n"/>
      <c r="F124" s="140" t="inlineStr">
        <is>
          <t>12th FYP</t>
        </is>
      </c>
      <c r="G124" s="139" t="inlineStr">
        <is>
          <t>n</t>
        </is>
      </c>
      <c r="H124" s="139" t="inlineStr">
        <is>
          <t>Environmental quality</t>
        </is>
      </c>
      <c r="I124" s="139" t="inlineStr">
        <is>
          <t>whole economy</t>
        </is>
      </c>
      <c r="J124" s="139" t="inlineStr">
        <is>
          <t>During the 12th Five-Year Plan period, it is planned to improve 20 million hectares of grassland.</t>
        </is>
      </c>
      <c r="K124" s="141" t="inlineStr">
        <is>
          <t>PF1101.pdf</t>
        </is>
      </c>
      <c r="L124" s="139" t="inlineStr">
        <is>
          <t>LULUCF</t>
        </is>
      </c>
    </row>
    <row r="125" ht="18" customHeight="1" s="235">
      <c r="A125" s="139" t="n">
        <v>2011</v>
      </c>
      <c r="B125" s="139" t="inlineStr">
        <is>
          <t>grassland</t>
        </is>
      </c>
      <c r="C125" s="139" t="inlineStr">
        <is>
          <t>fence</t>
        </is>
      </c>
      <c r="D125" s="139" t="inlineStr">
        <is>
          <t>50 million hectares</t>
        </is>
      </c>
      <c r="E125" s="139" t="n"/>
      <c r="F125" s="140" t="inlineStr">
        <is>
          <t>12th FYP</t>
        </is>
      </c>
      <c r="G125" s="139" t="inlineStr">
        <is>
          <t>n</t>
        </is>
      </c>
      <c r="H125" s="139" t="inlineStr">
        <is>
          <t>Environmental quality</t>
        </is>
      </c>
      <c r="I125" s="139" t="inlineStr">
        <is>
          <t>whole economy</t>
        </is>
      </c>
      <c r="J125" s="139" t="inlineStr">
        <is>
          <t>During the 12th Five-Year Plan period, it is planned to fence 50 million hectares of grassland.</t>
        </is>
      </c>
      <c r="K125" s="141" t="inlineStr">
        <is>
          <t>PF1101.pdf</t>
        </is>
      </c>
      <c r="L125" s="139" t="inlineStr">
        <is>
          <t>LULUCF</t>
        </is>
      </c>
    </row>
    <row r="126" ht="18" customHeight="1" s="235">
      <c r="A126" s="139" t="n">
        <v>2007</v>
      </c>
      <c r="B126" s="139" t="inlineStr">
        <is>
          <t>grassland</t>
        </is>
      </c>
      <c r="C126" s="139" t="inlineStr">
        <is>
          <t>increase by</t>
        </is>
      </c>
      <c r="D126" s="139" t="inlineStr">
        <is>
          <t>24 million hectares</t>
        </is>
      </c>
      <c r="E126" s="139" t="n"/>
      <c r="F126" s="140" t="inlineStr">
        <is>
          <t>2010</t>
        </is>
      </c>
      <c r="G126" s="139" t="inlineStr">
        <is>
          <t>r</t>
        </is>
      </c>
      <c r="H126" s="139" t="inlineStr">
        <is>
          <t>Environmental quality</t>
        </is>
      </c>
      <c r="I126" s="139" t="inlineStr">
        <is>
          <t>whole economy</t>
        </is>
      </c>
      <c r="J126" s="139" t="inlineStr">
        <is>
          <t>Through strengthening farmland infrastructure, adjusting cropping systems, selecting and breeding stress-resistant varieties and developing bio-technologies and other adaptive countermeasures, the targets by 2010 are to increase the improved grassland by 24 million hectares.</t>
        </is>
      </c>
      <c r="K126" s="141" t="inlineStr">
        <is>
          <t>HL0701.pdf</t>
        </is>
      </c>
      <c r="L126" s="139" t="inlineStr">
        <is>
          <t>LULUCF</t>
        </is>
      </c>
    </row>
    <row r="127" ht="18" customHeight="1" s="235">
      <c r="A127" s="139" t="n">
        <v>2016</v>
      </c>
      <c r="B127" s="139" t="inlineStr">
        <is>
          <t>grassland</t>
        </is>
      </c>
      <c r="C127" s="139" t="inlineStr">
        <is>
          <t>rehabilitate</t>
        </is>
      </c>
      <c r="D127" s="139" t="inlineStr">
        <is>
          <t>15 million hectares</t>
        </is>
      </c>
      <c r="E127" s="139" t="n"/>
      <c r="F127" s="140" t="inlineStr">
        <is>
          <t>13th FYP</t>
        </is>
      </c>
      <c r="G127" s="139" t="inlineStr">
        <is>
          <t>n</t>
        </is>
      </c>
      <c r="H127" s="139" t="inlineStr">
        <is>
          <t>Environmental quality</t>
        </is>
      </c>
      <c r="I127" s="139" t="inlineStr">
        <is>
          <t>whole economy</t>
        </is>
      </c>
      <c r="J127" s="139" t="inlineStr">
        <is>
          <t>During the 13th Five-Year Plan period, it is planned to improve 15 million hectares of grassland.</t>
        </is>
      </c>
      <c r="K127" s="141" t="inlineStr">
        <is>
          <t>PF1602.pdf</t>
        </is>
      </c>
      <c r="L127" s="139" t="inlineStr">
        <is>
          <t>LULUCF</t>
        </is>
      </c>
    </row>
    <row r="128" ht="18" customHeight="1" s="235">
      <c r="A128" s="139" t="n">
        <v>2016</v>
      </c>
      <c r="B128" s="139" t="inlineStr">
        <is>
          <t>grassland</t>
        </is>
      </c>
      <c r="C128" s="139" t="inlineStr">
        <is>
          <t>fence</t>
        </is>
      </c>
      <c r="D128" s="139" t="inlineStr">
        <is>
          <t>50 million hectares</t>
        </is>
      </c>
      <c r="E128" s="139" t="n"/>
      <c r="F128" s="140" t="inlineStr">
        <is>
          <t>13th FYP</t>
        </is>
      </c>
      <c r="G128" s="139" t="inlineStr">
        <is>
          <t>n</t>
        </is>
      </c>
      <c r="H128" s="139" t="inlineStr">
        <is>
          <t>Environmental quality</t>
        </is>
      </c>
      <c r="I128" s="139" t="inlineStr">
        <is>
          <t>whole economy</t>
        </is>
      </c>
      <c r="J128" s="139" t="inlineStr">
        <is>
          <t>During the 13th Five-Year Plan period, it is planned to fence 50 million hectares of grassland.</t>
        </is>
      </c>
      <c r="K128" s="141" t="inlineStr">
        <is>
          <t>PF1602.pdf</t>
        </is>
      </c>
      <c r="L128" s="139" t="inlineStr">
        <is>
          <t>LULUCF</t>
        </is>
      </c>
    </row>
    <row r="129" ht="18" customHeight="1" s="235">
      <c r="A129" s="139" t="n">
        <v>2008</v>
      </c>
      <c r="B129" s="139" t="inlineStr">
        <is>
          <t>grassland</t>
        </is>
      </c>
      <c r="C129" s="139" t="inlineStr">
        <is>
          <t>increase by</t>
        </is>
      </c>
      <c r="D129" s="139" t="inlineStr">
        <is>
          <t>24 million hectares</t>
        </is>
      </c>
      <c r="E129" s="139" t="n">
        <v>2005</v>
      </c>
      <c r="F129" s="140" t="inlineStr">
        <is>
          <t>2010</t>
        </is>
      </c>
      <c r="G129" s="139" t="inlineStr">
        <is>
          <t>n</t>
        </is>
      </c>
      <c r="H129" s="139" t="inlineStr">
        <is>
          <t>Environmental quality</t>
        </is>
      </c>
      <c r="I129" s="139" t="inlineStr">
        <is>
          <t>whole economy</t>
        </is>
      </c>
      <c r="J129" s="139" t="inlineStr">
        <is>
          <t>Through strengthening farmland infrastructure, adjusting cropping systems, selecting and breeding stress-resistant varieties, developing bio-technologies and other adaptation measures, by 2010 improved grassland will be increased by 24 million hectares from 2005 levels.</t>
        </is>
      </c>
      <c r="K129" s="141" t="inlineStr">
        <is>
          <t>HL0801.pdf</t>
        </is>
      </c>
      <c r="L129" s="139" t="inlineStr">
        <is>
          <t>LULUCF</t>
        </is>
      </c>
    </row>
    <row r="130" ht="18" customHeight="1" s="235">
      <c r="A130" s="139" t="n">
        <v>2017</v>
      </c>
      <c r="B130" s="139" t="inlineStr">
        <is>
          <t>grassland vegetation coverage</t>
        </is>
      </c>
      <c r="C130" s="139" t="inlineStr">
        <is>
          <t>reach</t>
        </is>
      </c>
      <c r="D130" s="139" t="inlineStr">
        <is>
          <t>56%</t>
        </is>
      </c>
      <c r="E130" s="139" t="n"/>
      <c r="F130" s="140" t="inlineStr">
        <is>
          <t>2020</t>
        </is>
      </c>
      <c r="G130" s="139" t="inlineStr">
        <is>
          <t>r</t>
        </is>
      </c>
      <c r="H130" s="139" t="inlineStr">
        <is>
          <t>Environmental quality</t>
        </is>
      </c>
      <c r="I130" s="139" t="inlineStr">
        <is>
          <t>whole economy</t>
        </is>
      </c>
      <c r="J130" s="139" t="inlineStr">
        <is>
          <t>By 2020, the comprehensive vegetation coverage of grassland will reach 56%.</t>
        </is>
      </c>
      <c r="K130" s="141" t="inlineStr">
        <is>
          <t>O1702.htm</t>
        </is>
      </c>
      <c r="L130" s="139" t="inlineStr">
        <is>
          <t>LULUCF</t>
        </is>
      </c>
    </row>
    <row r="131" ht="18" customHeight="1" s="235">
      <c r="A131" s="139" t="n">
        <v>2016</v>
      </c>
      <c r="B131" s="139" t="inlineStr">
        <is>
          <t>grassland vegetation coverage</t>
        </is>
      </c>
      <c r="C131" s="139" t="inlineStr">
        <is>
          <t>reach</t>
        </is>
      </c>
      <c r="D131" s="139" t="inlineStr">
        <is>
          <t>56%</t>
        </is>
      </c>
      <c r="E131" s="139" t="n"/>
      <c r="F131" s="140" t="inlineStr">
        <is>
          <t>2020</t>
        </is>
      </c>
      <c r="G131" s="139" t="inlineStr">
        <is>
          <t>n</t>
        </is>
      </c>
      <c r="H131" s="139" t="inlineStr">
        <is>
          <t>Environmental quality</t>
        </is>
      </c>
      <c r="I131" s="139" t="inlineStr">
        <is>
          <t>whole economy</t>
        </is>
      </c>
      <c r="J131" s="139" t="inlineStr">
        <is>
          <t>We will promote grassland ecological protection projects such as returning grazing land to grassland, implement grazing bans, rest grazing, rotational grazing and grass-livestock balance systems, strengthen grassland disaster prevention and control, and actively increase grassland carbon sinks. By 2020, the comprehensive grassland vegetation coverage will reach 56%.</t>
        </is>
      </c>
      <c r="K131" s="141" t="inlineStr">
        <is>
          <t>FYP1615.htm</t>
        </is>
      </c>
      <c r="L131" s="139" t="inlineStr">
        <is>
          <t>LULUCF</t>
        </is>
      </c>
    </row>
    <row r="132" ht="18" customHeight="1" s="235">
      <c r="A132" s="139" t="n">
        <v>2024</v>
      </c>
      <c r="B132" s="139" t="inlineStr">
        <is>
          <t>grassland vegetation coverage</t>
        </is>
      </c>
      <c r="C132" s="139" t="inlineStr">
        <is>
          <t>reach</t>
        </is>
      </c>
      <c r="D132" s="139" t="inlineStr">
        <is>
          <t>57%</t>
        </is>
      </c>
      <c r="E132" s="139" t="n"/>
      <c r="F132" s="140" t="inlineStr">
        <is>
          <t>2025</t>
        </is>
      </c>
      <c r="G132" s="139" t="inlineStr">
        <is>
          <t>n</t>
        </is>
      </c>
      <c r="H132" s="139" t="inlineStr">
        <is>
          <t>Environmental quality</t>
        </is>
      </c>
      <c r="I132" s="139" t="inlineStr">
        <is>
          <t>whole economy</t>
        </is>
      </c>
      <c r="J132" s="139" t="inlineStr">
        <is>
          <t>By 2025, the comprehensive vegetation coverage of grasslands will reach 57%.</t>
        </is>
      </c>
      <c r="K132" s="141" t="inlineStr">
        <is>
          <t>HL2401.pdf</t>
        </is>
      </c>
      <c r="L132" s="139" t="inlineStr">
        <is>
          <t>LULUCF</t>
        </is>
      </c>
    </row>
    <row r="133" ht="18" customHeight="1" s="235">
      <c r="A133" s="139" t="n">
        <v>2018</v>
      </c>
      <c r="B133" s="139" t="inlineStr">
        <is>
          <t>grasslands</t>
        </is>
      </c>
      <c r="C133" s="139" t="inlineStr">
        <is>
          <t>manage</t>
        </is>
      </c>
      <c r="D133" s="139" t="inlineStr">
        <is>
          <t>17.5 million mu</t>
        </is>
      </c>
      <c r="E133" s="139" t="n"/>
      <c r="F133" s="140" t="inlineStr">
        <is>
          <t>2020</t>
        </is>
      </c>
      <c r="G133" s="139" t="inlineStr">
        <is>
          <t>n</t>
        </is>
      </c>
      <c r="H133" s="139" t="inlineStr">
        <is>
          <t>Environmental quality</t>
        </is>
      </c>
      <c r="I133" s="139" t="inlineStr">
        <is>
          <t>whole economy</t>
        </is>
      </c>
      <c r="J133" s="139" t="inlineStr">
        <is>
          <t>We will continue to implement the project of managing cultivated grasslands in the agricultural-pastoral transition zone, and strive to complete the task of managing 17.5 million mu of cultivated grasslands before 2020.</t>
        </is>
      </c>
      <c r="K133" s="141" t="inlineStr">
        <is>
          <t>O1801.htm</t>
        </is>
      </c>
      <c r="L133" s="139" t="inlineStr">
        <is>
          <t>LULUCF</t>
        </is>
      </c>
    </row>
    <row r="134" ht="18" customHeight="1" s="235">
      <c r="A134" s="139" t="n">
        <v>2024</v>
      </c>
      <c r="B134" s="139" t="inlineStr">
        <is>
          <t>green control coverage of major agricultural crops</t>
        </is>
      </c>
      <c r="C134" s="139" t="inlineStr">
        <is>
          <t>reach</t>
        </is>
      </c>
      <c r="D134" s="139" t="inlineStr">
        <is>
          <t>60%</t>
        </is>
      </c>
      <c r="E134" s="139" t="n"/>
      <c r="F134" s="140" t="inlineStr">
        <is>
          <t>2030</t>
        </is>
      </c>
      <c r="G134" s="139" t="inlineStr">
        <is>
          <t>n</t>
        </is>
      </c>
      <c r="H134" s="139" t="inlineStr">
        <is>
          <t>Environmental quality</t>
        </is>
      </c>
      <c r="I134" s="139" t="inlineStr">
        <is>
          <t>unclear</t>
        </is>
      </c>
      <c r="J134" s="139" t="inlineStr">
        <is>
          <t>By 2030, the green control coverage of major agricultural crops will reach more than 60%.</t>
        </is>
      </c>
      <c r="K134" s="141" t="inlineStr">
        <is>
          <t>GO2404.htm</t>
        </is>
      </c>
      <c r="L134" s="139" t="inlineStr">
        <is>
          <t>LULUCF</t>
        </is>
      </c>
    </row>
    <row r="135" ht="18" customHeight="1" s="235">
      <c r="A135" s="139" t="n">
        <v>2011</v>
      </c>
      <c r="B135" s="139" t="inlineStr">
        <is>
          <t>greening area in cities, towns, villages, and military management areas</t>
        </is>
      </c>
      <c r="C135" s="139" t="inlineStr">
        <is>
          <t>complete</t>
        </is>
      </c>
      <c r="D135" s="139" t="inlineStr">
        <is>
          <t>2.954 million hectares</t>
        </is>
      </c>
      <c r="E135" s="139" t="n"/>
      <c r="F135" s="140" t="inlineStr">
        <is>
          <t>2011-2020</t>
        </is>
      </c>
      <c r="G135" s="139" t="inlineStr">
        <is>
          <t>n</t>
        </is>
      </c>
      <c r="H135" s="139" t="inlineStr">
        <is>
          <t>Environmental quality</t>
        </is>
      </c>
      <c r="I135" s="139" t="inlineStr">
        <is>
          <t>cities</t>
        </is>
      </c>
      <c r="J135" s="139" t="inlineStr">
        <is>
          <t>By 2020, it is planned to green 2.954 million hectares of cities, towns, villages and military management areas.</t>
        </is>
      </c>
      <c r="K135" s="141" t="inlineStr">
        <is>
          <t>PF1101.pdf</t>
        </is>
      </c>
      <c r="L135" s="139" t="inlineStr">
        <is>
          <t>LULUCF</t>
        </is>
      </c>
    </row>
    <row r="136" ht="18" customHeight="1" s="235">
      <c r="A136" s="139" t="n">
        <v>2016</v>
      </c>
      <c r="B136" s="139" t="inlineStr">
        <is>
          <t>greening of roads, railways, rivers, canals and lakes</t>
        </is>
      </c>
      <c r="C136" s="139" t="inlineStr">
        <is>
          <t>reach</t>
        </is>
      </c>
      <c r="D136" s="139" t="inlineStr">
        <is>
          <t>720000  hectares</t>
        </is>
      </c>
      <c r="E136" s="139" t="n"/>
      <c r="F136" s="140" t="inlineStr">
        <is>
          <t>13th FYP</t>
        </is>
      </c>
      <c r="G136" s="139" t="inlineStr">
        <is>
          <t>n</t>
        </is>
      </c>
      <c r="H136" s="139" t="inlineStr">
        <is>
          <t>Environmental quality</t>
        </is>
      </c>
      <c r="I136" s="139" t="inlineStr">
        <is>
          <t>unclear</t>
        </is>
      </c>
      <c r="J136" s="139" t="inlineStr">
        <is>
          <t>During the 13th Five-Year Plan period, it is planned to green 720,000 hectares of roads, railways, rivers, canals and lakes, build 860,000 hectares of farmland forest networks, and restore vegetation in mining areas to 520,000 hectares.</t>
        </is>
      </c>
      <c r="K136" s="141" t="inlineStr">
        <is>
          <t>PF1602.pdf</t>
        </is>
      </c>
      <c r="L136" s="139" t="inlineStr">
        <is>
          <t>LULUCF</t>
        </is>
      </c>
    </row>
    <row r="137" ht="18" customHeight="1" s="235">
      <c r="A137" s="139" t="n">
        <v>2007</v>
      </c>
      <c r="B137" s="139" t="inlineStr">
        <is>
          <t>hectares of desertified lands under control</t>
        </is>
      </c>
      <c r="C137" s="139" t="inlineStr">
        <is>
          <t>reach</t>
        </is>
      </c>
      <c r="D137" s="139" t="inlineStr">
        <is>
          <t>22 million hectares</t>
        </is>
      </c>
      <c r="E137" s="139" t="n"/>
      <c r="F137" s="140" t="inlineStr">
        <is>
          <t>2010</t>
        </is>
      </c>
      <c r="G137" s="139" t="inlineStr">
        <is>
          <t>n</t>
        </is>
      </c>
      <c r="H137" s="139" t="inlineStr">
        <is>
          <t>Environmental quality</t>
        </is>
      </c>
      <c r="I137" s="139" t="inlineStr">
        <is>
          <t>whole economy</t>
        </is>
      </c>
      <c r="J137" s="139" t="inlineStr">
        <is>
          <t>By 2010, 22 million hectares of desertified lands are under control.</t>
        </is>
      </c>
      <c r="K137" s="141" t="inlineStr">
        <is>
          <t>HL0701.pdf</t>
        </is>
      </c>
      <c r="L137" s="139" t="inlineStr">
        <is>
          <t>LULUCF</t>
        </is>
      </c>
    </row>
    <row r="138" ht="18" customHeight="1" s="235">
      <c r="A138" s="139" t="n">
        <v>2011</v>
      </c>
      <c r="B138" s="139" t="inlineStr">
        <is>
          <t>hectares of forest under the forest canopy</t>
        </is>
      </c>
      <c r="C138" s="139" t="inlineStr">
        <is>
          <t>plant</t>
        </is>
      </c>
      <c r="D138" s="139" t="inlineStr">
        <is>
          <t>7 million hectares</t>
        </is>
      </c>
      <c r="E138" s="139" t="n"/>
      <c r="F138" s="140" t="inlineStr">
        <is>
          <t>2011-2020</t>
        </is>
      </c>
      <c r="G138" s="139" t="inlineStr">
        <is>
          <t>n</t>
        </is>
      </c>
      <c r="H138" s="139" t="inlineStr">
        <is>
          <t>Carbon sink</t>
        </is>
      </c>
      <c r="I138" s="139" t="inlineStr">
        <is>
          <t>whole economy</t>
        </is>
      </c>
      <c r="J138" s="139" t="inlineStr">
        <is>
          <t>By 2020, it is planned to plant 7 million hectares of forest under the forest canopy.</t>
        </is>
      </c>
      <c r="K138" s="141" t="inlineStr">
        <is>
          <t>PF1101.pdf</t>
        </is>
      </c>
      <c r="L138" s="139" t="inlineStr">
        <is>
          <t>LULUCF</t>
        </is>
      </c>
    </row>
    <row r="139" ht="18" customHeight="1" s="235">
      <c r="A139" s="139" t="n">
        <v>2011</v>
      </c>
      <c r="B139" s="139" t="inlineStr">
        <is>
          <t>hectares of forest under the forest canopy</t>
        </is>
      </c>
      <c r="C139" s="139" t="inlineStr">
        <is>
          <t>plant</t>
        </is>
      </c>
      <c r="D139" s="139" t="inlineStr">
        <is>
          <t>3.5 million hectares</t>
        </is>
      </c>
      <c r="E139" s="139" t="n"/>
      <c r="F139" s="140" t="inlineStr">
        <is>
          <t>12th FYP</t>
        </is>
      </c>
      <c r="G139" s="139" t="inlineStr">
        <is>
          <t>n</t>
        </is>
      </c>
      <c r="H139" s="139" t="inlineStr">
        <is>
          <t>Carbon sink</t>
        </is>
      </c>
      <c r="I139" s="139" t="inlineStr">
        <is>
          <t>whole economy</t>
        </is>
      </c>
      <c r="J139" s="139" t="inlineStr">
        <is>
          <t>During the 12th Five-Year Plan period, 3.5 million hectares of forest will be planted under the forest canopy.</t>
        </is>
      </c>
      <c r="K139" s="141" t="inlineStr">
        <is>
          <t>PF1101.pdf</t>
        </is>
      </c>
      <c r="L139" s="139" t="inlineStr">
        <is>
          <t>LULUCF</t>
        </is>
      </c>
    </row>
    <row r="140" ht="18" customHeight="1" s="235">
      <c r="A140" s="139" t="n">
        <v>2011</v>
      </c>
      <c r="B140" s="139" t="inlineStr">
        <is>
          <t>hectares of new trees</t>
        </is>
      </c>
      <c r="C140" s="139" t="inlineStr">
        <is>
          <t>plant</t>
        </is>
      </c>
      <c r="D140" s="139" t="inlineStr">
        <is>
          <t>57 million hectares</t>
        </is>
      </c>
      <c r="E140" s="139" t="n"/>
      <c r="F140" s="140" t="inlineStr">
        <is>
          <t>2011-2020</t>
        </is>
      </c>
      <c r="G140" s="139" t="inlineStr">
        <is>
          <t>n</t>
        </is>
      </c>
      <c r="H140" s="139" t="inlineStr">
        <is>
          <t>Carbon sink</t>
        </is>
      </c>
      <c r="I140" s="139" t="inlineStr">
        <is>
          <t>whole economy</t>
        </is>
      </c>
      <c r="J140" s="139" t="inlineStr">
        <is>
          <t>By 2020, it is planned to plant 57 million hectares of trees through artificial afforestation, aerial seeding and closed-mountain afforestation.</t>
        </is>
      </c>
      <c r="K140" s="141" t="inlineStr">
        <is>
          <t>PF1101.pdf</t>
        </is>
      </c>
      <c r="L140" s="139" t="inlineStr">
        <is>
          <t>LULUCF</t>
        </is>
      </c>
    </row>
    <row r="141" ht="18" customHeight="1" s="235">
      <c r="A141" s="139" t="n">
        <v>2011</v>
      </c>
      <c r="B141" s="139" t="inlineStr">
        <is>
          <t>hectares of new trees</t>
        </is>
      </c>
      <c r="C141" s="139" t="inlineStr">
        <is>
          <t>plant</t>
        </is>
      </c>
      <c r="D141" s="139" t="inlineStr">
        <is>
          <t>30 million hectares</t>
        </is>
      </c>
      <c r="E141" s="139" t="n"/>
      <c r="F141" s="140" t="inlineStr">
        <is>
          <t>12th FYP</t>
        </is>
      </c>
      <c r="G141" s="139" t="inlineStr">
        <is>
          <t>n</t>
        </is>
      </c>
      <c r="H141" s="139" t="inlineStr">
        <is>
          <t>Carbon sink</t>
        </is>
      </c>
      <c r="I141" s="139" t="inlineStr">
        <is>
          <t>whole economy</t>
        </is>
      </c>
      <c r="J141" s="139" t="inlineStr">
        <is>
          <t>During the 12th Five-Year Plan period, 30 million hectares of forest will be planted through artificial afforestation, aerial seeding, and closed-mountain afforestation.</t>
        </is>
      </c>
      <c r="K141" s="141" t="inlineStr">
        <is>
          <t>PF1101.pdf</t>
        </is>
      </c>
      <c r="L141" s="139" t="inlineStr">
        <is>
          <t>LULUCF</t>
        </is>
      </c>
    </row>
    <row r="142" ht="18" customHeight="1" s="235">
      <c r="A142" s="139" t="n">
        <v>2008</v>
      </c>
      <c r="B142" s="139" t="inlineStr">
        <is>
          <t>improvement of land suffering from soil erosion</t>
        </is>
      </c>
      <c r="C142" s="139" t="inlineStr">
        <is>
          <t>achieve</t>
        </is>
      </c>
      <c r="D142" s="139" t="inlineStr">
        <is>
          <t>25 million hectares</t>
        </is>
      </c>
      <c r="E142" s="139" t="n"/>
      <c r="F142" s="140" t="inlineStr">
        <is>
          <t>2010</t>
        </is>
      </c>
      <c r="G142" s="139" t="inlineStr">
        <is>
          <t>n</t>
        </is>
      </c>
      <c r="H142" s="139" t="inlineStr">
        <is>
          <t>Environmental quality</t>
        </is>
      </c>
      <c r="I142" s="139" t="inlineStr">
        <is>
          <t>whole economy</t>
        </is>
      </c>
      <c r="J142" s="139" t="inlineStr">
        <is>
          <t>Through strengthening natural forest conservation and nature reserve management, continuing key ecological restoration projects, establishing important ecological protection area, and stepping up natural ecological restoration, by 2010, 25 million hectares of land suffering from soil erosion will have been improved.</t>
        </is>
      </c>
      <c r="K142" s="141" t="inlineStr">
        <is>
          <t>HL0801.pdf</t>
        </is>
      </c>
      <c r="L142" s="139" t="inlineStr">
        <is>
          <t>LULUCF</t>
        </is>
      </c>
    </row>
    <row r="143" ht="18" customHeight="1" s="235">
      <c r="A143" s="139" t="n">
        <v>2016</v>
      </c>
      <c r="B143" s="139" t="inlineStr">
        <is>
          <t>key regional ecological protection and restoration projects</t>
        </is>
      </c>
      <c r="C143" s="139" t="inlineStr">
        <is>
          <t>plan</t>
        </is>
      </c>
      <c r="D143" s="139" t="inlineStr">
        <is>
          <t>100 projects</t>
        </is>
      </c>
      <c r="E143" s="139" t="n"/>
      <c r="F143" s="140" t="inlineStr">
        <is>
          <t>13th FYP</t>
        </is>
      </c>
      <c r="G143" s="139" t="inlineStr">
        <is>
          <t>n</t>
        </is>
      </c>
      <c r="H143" s="139" t="inlineStr">
        <is>
          <t>Environmental quality</t>
        </is>
      </c>
      <c r="I143" s="139" t="inlineStr">
        <is>
          <t>whole economy</t>
        </is>
      </c>
      <c r="J143" s="139" t="inlineStr">
        <is>
          <t>During the 13th Five-Year Plan period, 100 key regional ecological protection and restoration projects will be planned nationwide.</t>
        </is>
      </c>
      <c r="K143" s="141" t="inlineStr">
        <is>
          <t>FYP1611.pdf</t>
        </is>
      </c>
      <c r="L143" s="139" t="inlineStr">
        <is>
          <t>LULUCF</t>
        </is>
      </c>
    </row>
    <row r="144" ht="18" customHeight="1" s="235">
      <c r="A144" s="139" t="n">
        <v>2017</v>
      </c>
      <c r="B144" s="139" t="inlineStr">
        <is>
          <t>land areas that are affected by desertification and are considered treatable</t>
        </is>
      </c>
      <c r="C144" s="139" t="inlineStr">
        <is>
          <t>manage or rehabilitate</t>
        </is>
      </c>
      <c r="D144" s="139" t="inlineStr">
        <is>
          <t>50%</t>
        </is>
      </c>
      <c r="E144" s="139" t="n"/>
      <c r="F144" s="140" t="inlineStr">
        <is>
          <t>2020</t>
        </is>
      </c>
      <c r="G144" s="139" t="inlineStr">
        <is>
          <t>n</t>
        </is>
      </c>
      <c r="H144" s="139" t="inlineStr">
        <is>
          <t>Environmental quality</t>
        </is>
      </c>
      <c r="I144" s="139" t="inlineStr">
        <is>
          <t>whole economy</t>
        </is>
      </c>
      <c r="J144" s="139" t="inlineStr">
        <is>
          <t>By 2020, more than 50% of all land areas in China that are affected by desertification and are considered treatable will be managed or rehabilitated</t>
        </is>
      </c>
      <c r="K144" s="141" t="inlineStr">
        <is>
          <t>WP1701.pdf</t>
        </is>
      </c>
      <c r="L144" s="139" t="inlineStr">
        <is>
          <t>LULUCF</t>
        </is>
      </c>
    </row>
    <row r="145" ht="18" customHeight="1" s="235">
      <c r="A145" s="139" t="n">
        <v>2013</v>
      </c>
      <c r="B145" s="139" t="inlineStr">
        <is>
          <t>land reclamation rate</t>
        </is>
      </c>
      <c r="C145" s="139" t="inlineStr">
        <is>
          <t>reach</t>
        </is>
      </c>
      <c r="D145" s="139" t="inlineStr">
        <is>
          <t>60%</t>
        </is>
      </c>
      <c r="E145" s="139" t="n"/>
      <c r="F145" s="139" t="inlineStr">
        <is>
          <t>2015</t>
        </is>
      </c>
      <c r="G145" s="139" t="inlineStr">
        <is>
          <t>n</t>
        </is>
      </c>
      <c r="H145" s="139" t="inlineStr">
        <is>
          <t>Environmental quality</t>
        </is>
      </c>
      <c r="I145" s="139" t="inlineStr">
        <is>
          <t>whole economy</t>
        </is>
      </c>
      <c r="J145" s="139" t="inlineStr">
        <is>
          <t>By 2015, the land reclamation rate will reach 60%.</t>
        </is>
      </c>
      <c r="K145" s="141" t="inlineStr">
        <is>
          <t>DP1301.htm</t>
        </is>
      </c>
      <c r="L145" s="139" t="inlineStr">
        <is>
          <t>LULUCF</t>
        </is>
      </c>
    </row>
    <row r="146" ht="18" customHeight="1" s="235">
      <c r="A146" s="139" t="n">
        <v>2023</v>
      </c>
      <c r="B146" s="139" t="inlineStr">
        <is>
          <t>length of restored coastline</t>
        </is>
      </c>
      <c r="C146" s="139" t="inlineStr">
        <is>
          <t>exceed</t>
        </is>
      </c>
      <c r="D146" s="139" t="inlineStr">
        <is>
          <t>400 km</t>
        </is>
      </c>
      <c r="E146" s="139" t="n"/>
      <c r="F146" s="140" t="inlineStr">
        <is>
          <t>2025</t>
        </is>
      </c>
      <c r="G146" s="139" t="inlineStr">
        <is>
          <t>n</t>
        </is>
      </c>
      <c r="H146" s="139" t="inlineStr">
        <is>
          <t>Environmental quality</t>
        </is>
      </c>
      <c r="I146" s="139" t="inlineStr">
        <is>
          <t>whole economy</t>
        </is>
      </c>
      <c r="J146" s="139" t="inlineStr">
        <is>
          <t>Marine ecosystems: By 2025, the length of restored coastline will be no less than 400 km</t>
        </is>
      </c>
      <c r="K146" s="141" t="inlineStr">
        <is>
          <t>HL2302.pdf</t>
        </is>
      </c>
      <c r="L146" s="139" t="inlineStr">
        <is>
          <t>LULUCF</t>
        </is>
      </c>
    </row>
    <row r="147" ht="18" customHeight="1" s="235">
      <c r="A147" s="139" t="n">
        <v>2020</v>
      </c>
      <c r="B147" s="139" t="inlineStr">
        <is>
          <t>mangroves</t>
        </is>
      </c>
      <c r="C147" s="139" t="inlineStr">
        <is>
          <t>create and restore</t>
        </is>
      </c>
      <c r="D147" s="139" t="inlineStr">
        <is>
          <t>no less than 18800  hectares</t>
        </is>
      </c>
      <c r="E147" s="139" t="n"/>
      <c r="F147" s="140" t="inlineStr">
        <is>
          <t>2025</t>
        </is>
      </c>
      <c r="G147" s="139" t="inlineStr">
        <is>
          <t>r</t>
        </is>
      </c>
      <c r="H147" s="139" t="inlineStr">
        <is>
          <t>Carbon sink</t>
        </is>
      </c>
      <c r="I147" s="139" t="inlineStr">
        <is>
          <t>whole economy</t>
        </is>
      </c>
      <c r="J147" s="139" t="inlineStr">
        <is>
          <t>By 2025, 18,800 hectares of mangroves will be created and restored.</t>
        </is>
      </c>
      <c r="K147" s="141" t="inlineStr">
        <is>
          <t>AP2005.htm</t>
        </is>
      </c>
      <c r="L147" s="139" t="inlineStr">
        <is>
          <t>LULUCF</t>
        </is>
      </c>
    </row>
    <row r="148" ht="18" customHeight="1" s="235">
      <c r="A148" s="139" t="n">
        <v>2020</v>
      </c>
      <c r="B148" s="139" t="inlineStr">
        <is>
          <t>mangroves</t>
        </is>
      </c>
      <c r="C148" s="139" t="inlineStr">
        <is>
          <t>create</t>
        </is>
      </c>
      <c r="D148" s="139" t="inlineStr">
        <is>
          <t>9050  hectares</t>
        </is>
      </c>
      <c r="E148" s="139" t="n"/>
      <c r="F148" s="140" t="inlineStr">
        <is>
          <t>2020-2025</t>
        </is>
      </c>
      <c r="G148" s="139" t="inlineStr">
        <is>
          <t>n</t>
        </is>
      </c>
      <c r="H148" s="139" t="inlineStr">
        <is>
          <t>Carbon sink</t>
        </is>
      </c>
      <c r="I148" s="139" t="inlineStr">
        <is>
          <t>whole economy</t>
        </is>
      </c>
      <c r="J148" s="139" t="inlineStr">
        <is>
          <t>By 2025, 9,050 hectares of mangroves will be created.</t>
        </is>
      </c>
      <c r="K148" s="141" t="inlineStr">
        <is>
          <t>AP2005.htm</t>
        </is>
      </c>
      <c r="L148" s="139" t="inlineStr">
        <is>
          <t>LULUCF</t>
        </is>
      </c>
    </row>
    <row r="149" ht="18" customHeight="1" s="235">
      <c r="A149" s="139" t="n">
        <v>2020</v>
      </c>
      <c r="B149" s="139" t="inlineStr">
        <is>
          <t>mangroves</t>
        </is>
      </c>
      <c r="C149" s="139" t="inlineStr">
        <is>
          <t>restore</t>
        </is>
      </c>
      <c r="D149" s="139" t="inlineStr">
        <is>
          <t>9750  hectares</t>
        </is>
      </c>
      <c r="E149" s="139" t="n"/>
      <c r="F149" s="140" t="inlineStr">
        <is>
          <t>2020-2025</t>
        </is>
      </c>
      <c r="G149" s="139" t="inlineStr">
        <is>
          <t>n</t>
        </is>
      </c>
      <c r="H149" s="139" t="inlineStr">
        <is>
          <t>Carbon sink</t>
        </is>
      </c>
      <c r="I149" s="139" t="inlineStr">
        <is>
          <t>whole economy</t>
        </is>
      </c>
      <c r="J149" s="139" t="inlineStr">
        <is>
          <t>By 2025, 9,750 hectares of existing mangroves will be restored.</t>
        </is>
      </c>
      <c r="K149" s="141" t="inlineStr">
        <is>
          <t>AP2005.htm</t>
        </is>
      </c>
      <c r="L149" s="139" t="inlineStr">
        <is>
          <t>LULUCF</t>
        </is>
      </c>
    </row>
    <row r="150" ht="18" customHeight="1" s="235">
      <c r="A150" s="139" t="n">
        <v>2018</v>
      </c>
      <c r="B150" s="139" t="inlineStr">
        <is>
          <t>national garden cities</t>
        </is>
      </c>
      <c r="C150" s="139" t="inlineStr">
        <is>
          <t>build</t>
        </is>
      </c>
      <c r="D150" s="139" t="inlineStr">
        <is>
          <t>360</t>
        </is>
      </c>
      <c r="E150" s="139" t="n"/>
      <c r="F150" s="140" t="inlineStr">
        <is>
          <t>2020</t>
        </is>
      </c>
      <c r="G150" s="139" t="inlineStr">
        <is>
          <t>n</t>
        </is>
      </c>
      <c r="H150" s="139" t="inlineStr">
        <is>
          <t>Environmental quality</t>
        </is>
      </c>
      <c r="I150" s="139" t="inlineStr">
        <is>
          <t>cities</t>
        </is>
      </c>
      <c r="J150" s="139" t="inlineStr">
        <is>
          <t>By 2020, 360 national garden cities will be built.</t>
        </is>
      </c>
      <c r="K150" s="141" t="inlineStr">
        <is>
          <t>O1801.htm</t>
        </is>
      </c>
      <c r="L150" s="139" t="inlineStr">
        <is>
          <t>LULUCF</t>
        </is>
      </c>
    </row>
    <row r="151" ht="18" customHeight="1" s="235">
      <c r="A151" s="139" t="n">
        <v>2019</v>
      </c>
      <c r="B151" s="139" t="inlineStr">
        <is>
          <t>natural wetland protection rate</t>
        </is>
      </c>
      <c r="C151" s="139" t="inlineStr">
        <is>
          <t>increase to</t>
        </is>
      </c>
      <c r="D151" s="139" t="inlineStr">
        <is>
          <t>more than 55%</t>
        </is>
      </c>
      <c r="E151" s="139" t="n"/>
      <c r="F151" s="140" t="inlineStr">
        <is>
          <t>2015</t>
        </is>
      </c>
      <c r="G151" s="139" t="inlineStr">
        <is>
          <t>n</t>
        </is>
      </c>
      <c r="H151" s="139" t="inlineStr">
        <is>
          <t>Environmental quality</t>
        </is>
      </c>
      <c r="I151" s="139" t="inlineStr">
        <is>
          <t>whole economy</t>
        </is>
      </c>
      <c r="J151" s="139" t="inlineStr">
        <is>
          <t>by 2015, increase natural wetland protection rate to more than 55%</t>
        </is>
      </c>
      <c r="K151" s="141" t="inlineStr">
        <is>
          <t>HL1902.pdf</t>
        </is>
      </c>
      <c r="L151" s="139" t="inlineStr">
        <is>
          <t>LULUCF</t>
        </is>
      </c>
    </row>
    <row r="152" ht="18" customHeight="1" s="235">
      <c r="A152" s="139" t="n">
        <v>2011</v>
      </c>
      <c r="B152" s="139" t="inlineStr">
        <is>
          <t>natural wetland protection rate</t>
        </is>
      </c>
      <c r="C152" s="139" t="inlineStr">
        <is>
          <t>exceed</t>
        </is>
      </c>
      <c r="D152" s="142" t="inlineStr">
        <is>
          <t>55%</t>
        </is>
      </c>
      <c r="E152" s="139" t="n"/>
      <c r="F152" s="140" t="n">
        <v>2015</v>
      </c>
      <c r="G152" s="140" t="inlineStr">
        <is>
          <t>r</t>
        </is>
      </c>
      <c r="H152" s="139" t="inlineStr">
        <is>
          <t>Environmental quality</t>
        </is>
      </c>
      <c r="I152" s="139" t="inlineStr">
        <is>
          <t>whole economy</t>
        </is>
      </c>
      <c r="J152" s="139" t="inlineStr">
        <is>
          <t>...and the natural wetland protection rate has exceeded 55%.</t>
        </is>
      </c>
      <c r="K152" s="141" t="inlineStr">
        <is>
          <t>AP1101.htm</t>
        </is>
      </c>
      <c r="L152" s="139" t="inlineStr">
        <is>
          <t>LULUCF</t>
        </is>
      </c>
    </row>
    <row r="153" ht="18" customHeight="1" s="235">
      <c r="A153" s="139" t="n">
        <v>2007</v>
      </c>
      <c r="B153" s="139" t="inlineStr">
        <is>
          <t>nature reserve area of total territory</t>
        </is>
      </c>
      <c r="C153" s="139" t="inlineStr">
        <is>
          <t>account for</t>
        </is>
      </c>
      <c r="D153" s="139" t="inlineStr">
        <is>
          <t>16%</t>
        </is>
      </c>
      <c r="E153" s="139" t="n"/>
      <c r="F153" s="140" t="inlineStr">
        <is>
          <t>2010</t>
        </is>
      </c>
      <c r="G153" s="139" t="inlineStr">
        <is>
          <t>r</t>
        </is>
      </c>
      <c r="H153" s="139" t="inlineStr">
        <is>
          <t>Environmental quality</t>
        </is>
      </c>
      <c r="I153" s="139" t="inlineStr">
        <is>
          <t>areas</t>
        </is>
      </c>
      <c r="J153" s="139" t="inlineStr">
        <is>
          <t>By 2010, nature reserve area will account for 16% of the total territory.</t>
        </is>
      </c>
      <c r="K153" s="141" t="inlineStr">
        <is>
          <t>HL0701.pdf</t>
        </is>
      </c>
      <c r="L153" s="139" t="inlineStr">
        <is>
          <t>LULUCF</t>
        </is>
      </c>
    </row>
    <row r="154" ht="18" customHeight="1" s="235">
      <c r="A154" s="139" t="n">
        <v>2008</v>
      </c>
      <c r="B154" s="139" t="inlineStr">
        <is>
          <t>nature reserve area of total territory</t>
        </is>
      </c>
      <c r="C154" s="139" t="inlineStr">
        <is>
          <t>account for</t>
        </is>
      </c>
      <c r="D154" s="139" t="inlineStr">
        <is>
          <t>16%</t>
        </is>
      </c>
      <c r="E154" s="139" t="n"/>
      <c r="F154" s="140" t="inlineStr">
        <is>
          <t>2010</t>
        </is>
      </c>
      <c r="G154" s="139" t="inlineStr">
        <is>
          <t>n</t>
        </is>
      </c>
      <c r="H154" s="139" t="inlineStr">
        <is>
          <t>Environmental quality</t>
        </is>
      </c>
      <c r="I154" s="139" t="inlineStr">
        <is>
          <t>areas</t>
        </is>
      </c>
      <c r="J154" s="139" t="inlineStr">
        <is>
          <t>Through strengthening natural forest conservation and nature reserve management, continuing key ecological restoration projects, establishing important ecological protection area, and stepping up natural ecological restoration, by 2010, nature reserve area will account for 16% of the national territory.</t>
        </is>
      </c>
      <c r="K154" s="141" t="inlineStr">
        <is>
          <t>HL0801.pdf</t>
        </is>
      </c>
      <c r="L154" s="139" t="inlineStr">
        <is>
          <t>LULUCF</t>
        </is>
      </c>
    </row>
    <row r="155" ht="18" customHeight="1" s="235">
      <c r="A155" s="139" t="n">
        <v>2016</v>
      </c>
      <c r="B155" s="139" t="inlineStr">
        <is>
          <t>new farmland forest networks</t>
        </is>
      </c>
      <c r="C155" s="139" t="inlineStr">
        <is>
          <t>build</t>
        </is>
      </c>
      <c r="D155" s="139" t="inlineStr">
        <is>
          <t>860000 hectares</t>
        </is>
      </c>
      <c r="E155" s="139" t="n"/>
      <c r="F155" s="140" t="inlineStr">
        <is>
          <t>13th FYP</t>
        </is>
      </c>
      <c r="G155" s="139" t="inlineStr">
        <is>
          <t>n</t>
        </is>
      </c>
      <c r="H155" s="139" t="inlineStr">
        <is>
          <t>Carbon sink</t>
        </is>
      </c>
      <c r="I155" s="139" t="inlineStr">
        <is>
          <t>unclear</t>
        </is>
      </c>
      <c r="J155" s="139" t="inlineStr">
        <is>
          <t>During the 13th Five-Year Plan period, it is planned to green 720,000 hectares of roads, railways, rivers, canals and lakes, build 860,000 hectares of farmland forest networks, and restore vegetation in mining areas to 520,000 hectares.</t>
        </is>
      </c>
      <c r="K155" s="141" t="inlineStr">
        <is>
          <t>PF1602.pdf</t>
        </is>
      </c>
      <c r="L155" s="139" t="inlineStr">
        <is>
          <t>LULUCF</t>
        </is>
      </c>
    </row>
    <row r="156" ht="18" customHeight="1" s="235">
      <c r="A156" s="139" t="n">
        <v>2018</v>
      </c>
      <c r="B156" s="139" t="inlineStr">
        <is>
          <t>proportion of black and odorous water bodies eliminated in built-up areas of cities at prefecture level and above</t>
        </is>
      </c>
      <c r="C156" s="139" t="inlineStr">
        <is>
          <t>reach</t>
        </is>
      </c>
      <c r="D156" s="139" t="inlineStr">
        <is>
          <t>90%</t>
        </is>
      </c>
      <c r="E156" s="139" t="n"/>
      <c r="F156" s="140" t="inlineStr">
        <is>
          <t>2020</t>
        </is>
      </c>
      <c r="G156" s="139" t="inlineStr">
        <is>
          <t>n</t>
        </is>
      </c>
      <c r="H156" s="139" t="inlineStr">
        <is>
          <t>Environmental quality</t>
        </is>
      </c>
      <c r="I156" s="139" t="inlineStr">
        <is>
          <t>cities</t>
        </is>
      </c>
      <c r="J156" s="139" t="inlineStr">
        <is>
          <t>By 2020, the proportion of black and odorous water bodies eliminated in built-up areas of cities at prefecture level and above will reach more than 90%.</t>
        </is>
      </c>
      <c r="K156" s="141" t="inlineStr">
        <is>
          <t>O1802.htm</t>
        </is>
      </c>
      <c r="L156" s="139" t="inlineStr">
        <is>
          <t>LULUCF</t>
        </is>
      </c>
    </row>
    <row r="157" ht="18" customHeight="1" s="235">
      <c r="A157" s="139" t="n">
        <v>2024</v>
      </c>
      <c r="B157" s="139" t="inlineStr">
        <is>
          <t>proportion of Class I-IV water at national groundwater control points</t>
        </is>
      </c>
      <c r="C157" s="139" t="inlineStr">
        <is>
          <t>reach</t>
        </is>
      </c>
      <c r="D157" s="139" t="inlineStr">
        <is>
          <t>more than 80%</t>
        </is>
      </c>
      <c r="E157" s="139" t="n"/>
      <c r="F157" s="140" t="inlineStr">
        <is>
          <t>2035</t>
        </is>
      </c>
      <c r="G157" s="139" t="inlineStr">
        <is>
          <t>n</t>
        </is>
      </c>
      <c r="H157" s="139" t="inlineStr">
        <is>
          <t>Environmental quality</t>
        </is>
      </c>
      <c r="I157" s="139" t="inlineStr">
        <is>
          <t>whole economy</t>
        </is>
      </c>
      <c r="J157" s="139" t="inlineStr">
        <is>
          <t>By 2035, the proportion of Class I-IV water at national groundwater control points will reach more than 80%.</t>
        </is>
      </c>
      <c r="K157" s="141" t="inlineStr">
        <is>
          <t>O2405.htm</t>
        </is>
      </c>
      <c r="L157" s="139" t="inlineStr">
        <is>
          <t>LULUCF</t>
        </is>
      </c>
    </row>
    <row r="158" ht="18" customHeight="1" s="235">
      <c r="A158" s="139" t="n">
        <v>2019</v>
      </c>
      <c r="B158" s="139" t="inlineStr">
        <is>
          <t>proportion of crops under comprehensive crop protection</t>
        </is>
      </c>
      <c r="C158" s="139" t="inlineStr">
        <is>
          <t>exceed</t>
        </is>
      </c>
      <c r="D158" s="139" t="inlineStr">
        <is>
          <t>40%</t>
        </is>
      </c>
      <c r="E158" s="139" t="n"/>
      <c r="F158" s="140" t="inlineStr">
        <is>
          <t>2020</t>
        </is>
      </c>
      <c r="G158" s="139" t="inlineStr">
        <is>
          <t>n</t>
        </is>
      </c>
      <c r="H158" s="139" t="inlineStr">
        <is>
          <t>Environmental quality</t>
        </is>
      </c>
      <c r="I158" s="139" t="inlineStr">
        <is>
          <t>sectors</t>
        </is>
      </c>
      <c r="J158" s="139" t="inlineStr">
        <is>
          <t>By 2020, the proportion of crops under comprehensive crop protection to prevent and control major crop diseases and insect pests will exceed 40%.</t>
        </is>
      </c>
      <c r="K158" s="141" t="inlineStr">
        <is>
          <t>HL1902.pdf</t>
        </is>
      </c>
      <c r="L158" s="139" t="inlineStr">
        <is>
          <t>LULUCF</t>
        </is>
      </c>
    </row>
    <row r="159" ht="18" customHeight="1" s="235">
      <c r="A159" s="139" t="n">
        <v>2016</v>
      </c>
      <c r="B159" s="139" t="inlineStr">
        <is>
          <t>proportion of large-scale breeding farms and breeding communities with supporting waste treatment facilities</t>
        </is>
      </c>
      <c r="C159" s="139" t="inlineStr">
        <is>
          <t>reach</t>
        </is>
      </c>
      <c r="D159" s="139" t="inlineStr">
        <is>
          <t>75%</t>
        </is>
      </c>
      <c r="E159" s="139" t="n"/>
      <c r="F159" s="140" t="inlineStr">
        <is>
          <t>2020</t>
        </is>
      </c>
      <c r="G159" s="139" t="inlineStr">
        <is>
          <t>n</t>
        </is>
      </c>
      <c r="H159" s="139" t="inlineStr">
        <is>
          <t>Environmental quality</t>
        </is>
      </c>
      <c r="I159" s="139" t="inlineStr">
        <is>
          <t>sectors</t>
        </is>
      </c>
      <c r="J159" s="139" t="inlineStr">
        <is>
          <t>Control greenhouse gas emissions from livestock and poultry, promote standardized large-scale breeding, and promote the comprehensive utilization of livestock and poultry waste. By 2020, the proportion of large-scale breeding farms and breeding communities with supporting waste treatment facilities will reach more than 75%.</t>
        </is>
      </c>
      <c r="K159" s="141" t="inlineStr">
        <is>
          <t>FYP1615.htm</t>
        </is>
      </c>
      <c r="L159" s="139" t="inlineStr">
        <is>
          <t>LULUCF</t>
        </is>
      </c>
    </row>
    <row r="160" ht="18" customHeight="1" s="235">
      <c r="A160" s="139" t="n">
        <v>2007</v>
      </c>
      <c r="B160" s="139" t="inlineStr">
        <is>
          <t>restoration of grassland suffering from degradation, desertification and salinity</t>
        </is>
      </c>
      <c r="C160" s="139" t="inlineStr">
        <is>
          <t>reach</t>
        </is>
      </c>
      <c r="D160" s="139" t="inlineStr">
        <is>
          <t>52 million hectares</t>
        </is>
      </c>
      <c r="E160" s="139" t="n"/>
      <c r="F160" s="140" t="inlineStr">
        <is>
          <t>2010</t>
        </is>
      </c>
      <c r="G160" s="139" t="inlineStr">
        <is>
          <t>r</t>
        </is>
      </c>
      <c r="H160" s="139" t="inlineStr">
        <is>
          <t>Environmental quality</t>
        </is>
      </c>
      <c r="I160" s="139" t="inlineStr">
        <is>
          <t>whole economy</t>
        </is>
      </c>
      <c r="J160" s="139" t="inlineStr">
        <is>
          <t>Through strengthening farmland infrastructure, adjusting cropping systems, selecting and breeding stress-resistant varieties and developing bio-technologies and other adaptive countermeasures, the targets by 2010 are to restore the grassland suffering from degradation, desertification, and salinity by 52 million hectares.</t>
        </is>
      </c>
      <c r="K160" s="141" t="inlineStr">
        <is>
          <t>HL0701.pdf</t>
        </is>
      </c>
      <c r="L160" s="139" t="inlineStr">
        <is>
          <t>LULUCF</t>
        </is>
      </c>
    </row>
    <row r="161" ht="18" customHeight="1" s="235">
      <c r="A161" s="139" t="n">
        <v>2008</v>
      </c>
      <c r="B161" s="139" t="inlineStr">
        <is>
          <t>restoration of grassland suffering from degradation, desertification and salinity</t>
        </is>
      </c>
      <c r="C161" s="139" t="inlineStr">
        <is>
          <t>increase by</t>
        </is>
      </c>
      <c r="D161" s="139" t="inlineStr">
        <is>
          <t>52 million hectares</t>
        </is>
      </c>
      <c r="E161" s="139" t="n">
        <v>2005</v>
      </c>
      <c r="F161" s="140" t="inlineStr">
        <is>
          <t>2010</t>
        </is>
      </c>
      <c r="G161" s="139" t="inlineStr">
        <is>
          <t>n</t>
        </is>
      </c>
      <c r="H161" s="139" t="inlineStr">
        <is>
          <t>Environmental quality</t>
        </is>
      </c>
      <c r="I161" s="139" t="inlineStr">
        <is>
          <t>whole economy</t>
        </is>
      </c>
      <c r="J161" s="139" t="inlineStr">
        <is>
          <t>Through strengthening farmland infrastructure, adjusting cropping systems, selecting and breeding stress-resistant varieties, 52 million hectares of grassland suffering from degradation, desertification and salinity will be restored compared to 2005.</t>
        </is>
      </c>
      <c r="K161" s="141" t="inlineStr">
        <is>
          <t>HL0801.pdf</t>
        </is>
      </c>
      <c r="L161" s="139" t="inlineStr">
        <is>
          <t>LULUCF</t>
        </is>
      </c>
    </row>
    <row r="162" ht="18" customHeight="1" s="235">
      <c r="A162" s="139" t="n">
        <v>2024</v>
      </c>
      <c r="B162" s="139" t="inlineStr">
        <is>
          <t>retention rate of mainland China's natural coastline</t>
        </is>
      </c>
      <c r="C162" s="139" t="inlineStr">
        <is>
          <t>reach</t>
        </is>
      </c>
      <c r="D162" s="139" t="inlineStr">
        <is>
          <t>35%</t>
        </is>
      </c>
      <c r="E162" s="139" t="n"/>
      <c r="F162" s="140" t="inlineStr">
        <is>
          <t>2035</t>
        </is>
      </c>
      <c r="G162" s="139" t="inlineStr">
        <is>
          <t>r</t>
        </is>
      </c>
      <c r="H162" s="139" t="inlineStr">
        <is>
          <t>Environmental quality</t>
        </is>
      </c>
      <c r="I162" s="139" t="inlineStr">
        <is>
          <t>whole economy</t>
        </is>
      </c>
      <c r="J162" s="139" t="inlineStr">
        <is>
          <t>By 2035, the retention rate of mainland China's natural coastline will be no less than 35%, and the ecological functions of the ecological protection red line will not be reduced or changed.</t>
        </is>
      </c>
      <c r="K162" s="141" t="inlineStr">
        <is>
          <t>O2405.htm</t>
        </is>
      </c>
      <c r="L162" s="139" t="inlineStr">
        <is>
          <t>LULUCF</t>
        </is>
      </c>
    </row>
    <row r="163" ht="18" customHeight="1" s="235">
      <c r="A163" s="139" t="n">
        <v>2023</v>
      </c>
      <c r="B163" s="139" t="inlineStr">
        <is>
          <t>retention rate of mainland China's natural coastline</t>
        </is>
      </c>
      <c r="C163" s="139" t="inlineStr">
        <is>
          <t>exceed</t>
        </is>
      </c>
      <c r="D163" s="139" t="inlineStr">
        <is>
          <t>35%</t>
        </is>
      </c>
      <c r="E163" s="139" t="n"/>
      <c r="F163" s="140" t="inlineStr">
        <is>
          <t>2025</t>
        </is>
      </c>
      <c r="G163" s="139" t="inlineStr">
        <is>
          <t>n</t>
        </is>
      </c>
      <c r="H163" s="139" t="inlineStr">
        <is>
          <t>Environmental quality</t>
        </is>
      </c>
      <c r="I163" s="139" t="inlineStr">
        <is>
          <t>whole economy</t>
        </is>
      </c>
      <c r="J163" s="139" t="inlineStr">
        <is>
          <t>Marine ecosystems: By 2025, the length of natural coastline of the Chinese mainland will be no less than 35% of the Chinese mainland’s total coastline length</t>
        </is>
      </c>
      <c r="K163" s="141" t="inlineStr">
        <is>
          <t>HL2302.pdf</t>
        </is>
      </c>
      <c r="L163" s="139" t="inlineStr">
        <is>
          <t>LULUCF</t>
        </is>
      </c>
    </row>
    <row r="164" ht="18" customHeight="1" s="235">
      <c r="A164" s="0" t="n">
        <v>2026</v>
      </c>
      <c r="B164" s="0" t="inlineStr">
        <is>
          <t>safe utilization rate of contaminated farmland</t>
        </is>
      </c>
      <c r="C164" s="0" t="inlineStr">
        <is>
          <t>reach</t>
        </is>
      </c>
      <c r="D164" s="0" t="inlineStr">
        <is>
          <t>more than 95%</t>
        </is>
      </c>
      <c r="F164" s="0" t="n">
        <v>2030</v>
      </c>
      <c r="G164" s="0" t="inlineStr">
        <is>
          <t>r</t>
        </is>
      </c>
      <c r="H164" s="0" t="inlineStr">
        <is>
          <t>Pollution control</t>
        </is>
      </c>
      <c r="I164" s="0" t="inlineStr">
        <is>
          <t>whole economy</t>
        </is>
      </c>
      <c r="J164" s="0" t="inlineStr">
        <is>
          <t>The remediation of heavy metal pollution sources in the farmland soil of key counties will be basically completed, and the safe utilization rate of contaminated farmland will reach more than 95%.</t>
        </is>
      </c>
      <c r="K164" s="0" t="inlineStr">
        <is>
          <t>FYP2609.htm</t>
        </is>
      </c>
      <c r="L164" s="0" t="inlineStr">
        <is>
          <t>LULUCF</t>
        </is>
      </c>
    </row>
    <row r="165" ht="18" customHeight="1" s="235">
      <c r="A165" s="0" t="n">
        <v>2026</v>
      </c>
      <c r="B165" s="0" t="inlineStr">
        <is>
          <t>safe utilization rate of contaminated farmland</t>
        </is>
      </c>
      <c r="C165" s="0" t="inlineStr">
        <is>
          <t>reach</t>
        </is>
      </c>
      <c r="D165" s="0" t="inlineStr">
        <is>
          <t>more than 95%</t>
        </is>
      </c>
      <c r="E165" s="0" t="inlineStr">
        <is>
          <t>around 93% (2025)</t>
        </is>
      </c>
      <c r="F165" s="0" t="n">
        <v>2030</v>
      </c>
      <c r="G165" s="0" t="inlineStr">
        <is>
          <t>n</t>
        </is>
      </c>
      <c r="H165" s="0" t="inlineStr">
        <is>
          <t>Pollution control</t>
        </is>
      </c>
      <c r="I165" s="0" t="inlineStr">
        <is>
          <t>whole economy</t>
        </is>
      </c>
      <c r="J165" s="0" t="inlineStr">
        <is>
          <t>Column 1: Indicators of the 15th FYP: safe utilization rate of contaminated farmland (%), baseline value around 93 in 2025, target more than 95 in 2030.</t>
        </is>
      </c>
      <c r="K165" s="0" t="inlineStr">
        <is>
          <t>FYP2606.pdf</t>
        </is>
      </c>
      <c r="L165" s="0" t="inlineStr">
        <is>
          <t>LULUCF</t>
        </is>
      </c>
    </row>
    <row r="166" ht="18" customHeight="1" s="235">
      <c r="A166" s="139" t="n">
        <v>2024</v>
      </c>
      <c r="B166" s="139" t="inlineStr">
        <is>
          <t xml:space="preserve">safe utilization rate of polluted cultivated land  </t>
        </is>
      </c>
      <c r="C166" s="139" t="inlineStr">
        <is>
          <t>reach</t>
        </is>
      </c>
      <c r="D166" s="139" t="inlineStr">
        <is>
          <t>94%</t>
        </is>
      </c>
      <c r="E166" s="139" t="n"/>
      <c r="F166" s="140" t="inlineStr">
        <is>
          <t>2027</t>
        </is>
      </c>
      <c r="G166" s="139" t="inlineStr">
        <is>
          <t>n</t>
        </is>
      </c>
      <c r="H166" s="139" t="inlineStr">
        <is>
          <t>Pollution control</t>
        </is>
      </c>
      <c r="I166" s="139" t="inlineStr">
        <is>
          <t>sectors</t>
        </is>
      </c>
      <c r="J166" s="139" t="inlineStr">
        <is>
          <t>By 2027, the safe utilization rate of polluted cultivated land will reach more than 94%.</t>
        </is>
      </c>
      <c r="K166" s="141" t="inlineStr">
        <is>
          <t>O2405.htm</t>
        </is>
      </c>
      <c r="L166" s="139" t="inlineStr">
        <is>
          <t>LULUCF</t>
        </is>
      </c>
    </row>
    <row r="167" ht="18" customHeight="1" s="235">
      <c r="A167" s="139" t="n">
        <v>2023</v>
      </c>
      <c r="B167" s="139" t="inlineStr">
        <is>
          <t>share of cropland using chemical fertilizers and pesticides</t>
        </is>
      </c>
      <c r="C167" s="139" t="inlineStr">
        <is>
          <t>account for</t>
        </is>
      </c>
      <c r="D167" s="139" t="inlineStr">
        <is>
          <t>43%</t>
        </is>
      </c>
      <c r="E167" s="139" t="n"/>
      <c r="F167" s="140" t="inlineStr">
        <is>
          <t>2025</t>
        </is>
      </c>
      <c r="G167" s="139" t="inlineStr">
        <is>
          <t>r</t>
        </is>
      </c>
      <c r="H167" s="139" t="inlineStr">
        <is>
          <t>Environmental quality</t>
        </is>
      </c>
      <c r="I167" s="139" t="inlineStr">
        <is>
          <t>sectors</t>
        </is>
      </c>
      <c r="J167" s="139" t="inlineStr">
        <is>
          <t>By 2025, 43% of cropland will use chemical fertilizers and pesticides</t>
        </is>
      </c>
      <c r="K167" s="141" t="inlineStr">
        <is>
          <t>HL2302.pdf</t>
        </is>
      </c>
      <c r="L167" s="139" t="inlineStr">
        <is>
          <t>LULUCF</t>
        </is>
      </c>
    </row>
    <row r="168" ht="18" customHeight="1" s="235">
      <c r="A168" s="139" t="n">
        <v>2008</v>
      </c>
      <c r="B168" s="139" t="inlineStr">
        <is>
          <t>share of forest ecosystems and national key wildlife species under effective protection</t>
        </is>
      </c>
      <c r="C168" s="139" t="inlineStr">
        <is>
          <t>reach</t>
        </is>
      </c>
      <c r="D168" s="139" t="inlineStr">
        <is>
          <t>90%</t>
        </is>
      </c>
      <c r="E168" s="139" t="n"/>
      <c r="F168" s="140" t="inlineStr">
        <is>
          <t>2010</t>
        </is>
      </c>
      <c r="G168" s="139" t="inlineStr">
        <is>
          <t>r</t>
        </is>
      </c>
      <c r="H168" s="139" t="inlineStr">
        <is>
          <t>Environmental quality</t>
        </is>
      </c>
      <c r="I168" s="139" t="inlineStr">
        <is>
          <t>whole economy</t>
        </is>
      </c>
      <c r="J168" s="139" t="inlineStr">
        <is>
          <t>Through strengthening natural forest conservation and nature reserve management, continuing key ecological restoration projects, establishing important ecological protection area, and stepping up natural ecological restoration, by 2010, 90% of typical forest ecological systems and national key wildlife species will be under effective protection.</t>
        </is>
      </c>
      <c r="K168" s="141" t="inlineStr">
        <is>
          <t>HL0801.pdf</t>
        </is>
      </c>
      <c r="L168" s="139" t="inlineStr">
        <is>
          <t>LULUCF</t>
        </is>
      </c>
    </row>
    <row r="169" ht="18" customHeight="1" s="235">
      <c r="A169" s="139" t="n">
        <v>2007</v>
      </c>
      <c r="B169" s="139" t="inlineStr">
        <is>
          <t>share of forest ecosystems and national key wildlife species under effective protection</t>
        </is>
      </c>
      <c r="C169" s="139" t="inlineStr">
        <is>
          <t>reach</t>
        </is>
      </c>
      <c r="D169" s="139" t="inlineStr">
        <is>
          <t>90%</t>
        </is>
      </c>
      <c r="E169" s="139" t="n"/>
      <c r="F169" s="140" t="inlineStr">
        <is>
          <t>2010</t>
        </is>
      </c>
      <c r="G169" s="139" t="inlineStr">
        <is>
          <t>n</t>
        </is>
      </c>
      <c r="H169" s="139" t="inlineStr">
        <is>
          <t>Environmental quality</t>
        </is>
      </c>
      <c r="I169" s="139" t="inlineStr">
        <is>
          <t>whole economy</t>
        </is>
      </c>
      <c r="J169" s="139" t="inlineStr">
        <is>
          <t>By 2010, 90% of typical forest ecosystems and national key wildlife are effectively protected.</t>
        </is>
      </c>
      <c r="K169" s="141" t="inlineStr">
        <is>
          <t>HL0701.pdf</t>
        </is>
      </c>
      <c r="L169" s="139" t="inlineStr">
        <is>
          <t>LULUCF</t>
        </is>
      </c>
    </row>
    <row r="170" ht="18" customHeight="1" s="235">
      <c r="A170" s="139" t="n">
        <v>2011</v>
      </c>
      <c r="B170" s="139" t="inlineStr">
        <is>
          <t>share of forest ecosystems and national key wildlife species under effective protection</t>
        </is>
      </c>
      <c r="C170" s="139" t="inlineStr">
        <is>
          <t>protect</t>
        </is>
      </c>
      <c r="D170" s="139" t="inlineStr">
        <is>
          <t>over 90%</t>
        </is>
      </c>
      <c r="E170" s="139" t="n"/>
      <c r="F170" s="140" t="n">
        <v>2015</v>
      </c>
      <c r="G170" s="140" t="inlineStr">
        <is>
          <t>n</t>
        </is>
      </c>
      <c r="H170" s="139" t="inlineStr">
        <is>
          <t>Environmental quality</t>
        </is>
      </c>
      <c r="I170" s="139" t="inlineStr">
        <is>
          <t>whole economy</t>
        </is>
      </c>
      <c r="J170" s="139" t="inlineStr">
        <is>
          <t>...with over 90% of nationally protected wildlife... effectively protected.</t>
        </is>
      </c>
      <c r="K170" s="141" t="inlineStr">
        <is>
          <t>AP1101.htm</t>
        </is>
      </c>
      <c r="L170" s="139" t="inlineStr">
        <is>
          <t>LULUCF</t>
        </is>
      </c>
    </row>
    <row r="171" ht="18" customHeight="1" s="235">
      <c r="A171" s="0" t="n">
        <v>2026</v>
      </c>
      <c r="B171" s="0" t="inlineStr">
        <is>
          <t>share of land area of protected natural areas in total land area</t>
        </is>
      </c>
      <c r="C171" s="0" t="inlineStr">
        <is>
          <t>reach</t>
        </is>
      </c>
      <c r="D171" s="0" t="inlineStr">
        <is>
          <t>at least 18%</t>
        </is>
      </c>
      <c r="F171" s="0" t="n">
        <v>2030</v>
      </c>
      <c r="G171" s="0" t="inlineStr">
        <is>
          <t>r</t>
        </is>
      </c>
      <c r="H171" s="0" t="inlineStr">
        <is>
          <t>Environmental quality</t>
        </is>
      </c>
      <c r="I171" s="0" t="inlineStr">
        <is>
          <t>whole economy</t>
        </is>
      </c>
      <c r="J171" s="0" t="inlineStr">
        <is>
          <t>The specific targets are: - the share of land area of protected natural areas in total land area will be no less than 18%;</t>
        </is>
      </c>
      <c r="K171" s="0" t="inlineStr">
        <is>
          <t>FYP2610.pdf</t>
        </is>
      </c>
      <c r="L171" s="0" t="inlineStr">
        <is>
          <t>LULUCF</t>
        </is>
      </c>
    </row>
    <row r="172" ht="18" customHeight="1" s="235">
      <c r="A172" s="0" t="n">
        <v>2026</v>
      </c>
      <c r="B172" s="0" t="inlineStr">
        <is>
          <t>share of land area of protected natural areas in total land area</t>
        </is>
      </c>
      <c r="C172" s="0" t="inlineStr">
        <is>
          <t>reach</t>
        </is>
      </c>
      <c r="D172" s="0" t="inlineStr">
        <is>
          <t>at least 18%</t>
        </is>
      </c>
      <c r="F172" s="0" t="n">
        <v>2030</v>
      </c>
      <c r="G172" s="0" t="inlineStr">
        <is>
          <t>n</t>
        </is>
      </c>
      <c r="H172" s="0" t="inlineStr">
        <is>
          <t>Environmental quality</t>
        </is>
      </c>
      <c r="I172" s="0" t="inlineStr">
        <is>
          <t>whole economy</t>
        </is>
      </c>
      <c r="J172" s="0" t="inlineStr">
        <is>
          <t>...the share of land area of protected natural areas in total land area will be no less than 18%.</t>
        </is>
      </c>
      <c r="K172" s="0" t="inlineStr">
        <is>
          <t>FYP2609.htm</t>
        </is>
      </c>
      <c r="L172" s="0" t="inlineStr">
        <is>
          <t>LULUCF</t>
        </is>
      </c>
    </row>
    <row r="173" ht="18" customHeight="1" s="235">
      <c r="A173" s="139" t="n">
        <v>2024</v>
      </c>
      <c r="B173" s="139" t="inlineStr">
        <is>
          <t>soil and water conservation rate</t>
        </is>
      </c>
      <c r="C173" s="139" t="inlineStr">
        <is>
          <t>increase to</t>
        </is>
      </c>
      <c r="D173" s="139" t="inlineStr">
        <is>
          <t>75%</t>
        </is>
      </c>
      <c r="E173" s="139" t="n"/>
      <c r="F173" s="140" t="inlineStr">
        <is>
          <t>2035</t>
        </is>
      </c>
      <c r="G173" s="139" t="inlineStr">
        <is>
          <t>n</t>
        </is>
      </c>
      <c r="H173" s="139" t="inlineStr">
        <is>
          <t>Environmental quality</t>
        </is>
      </c>
      <c r="I173" s="139" t="inlineStr">
        <is>
          <t>whole economy</t>
        </is>
      </c>
      <c r="J173" s="139" t="inlineStr">
        <is>
          <t>By 2035, the soil and water conservation rate will increase to 75%.</t>
        </is>
      </c>
      <c r="K173" s="141" t="inlineStr">
        <is>
          <t>O2405.htm</t>
        </is>
      </c>
      <c r="L173" s="139" t="inlineStr">
        <is>
          <t>LULUCF</t>
        </is>
      </c>
    </row>
    <row r="174" ht="18" customHeight="1" s="235">
      <c r="A174" s="139" t="n">
        <v>2011</v>
      </c>
      <c r="B174" s="139" t="inlineStr">
        <is>
          <t>total carbon stocks in forest vegetation</t>
        </is>
      </c>
      <c r="C174" s="139" t="inlineStr">
        <is>
          <t>reach</t>
        </is>
      </c>
      <c r="D174" s="139" t="inlineStr">
        <is>
          <t>8.4 billion tons of carbon</t>
        </is>
      </c>
      <c r="E174" s="139" t="n"/>
      <c r="F174" s="140" t="n">
        <v>2015</v>
      </c>
      <c r="G174" s="140" t="inlineStr">
        <is>
          <t>n</t>
        </is>
      </c>
      <c r="H174" s="139" t="inlineStr">
        <is>
          <t>Carbon sink</t>
        </is>
      </c>
      <c r="I174" s="139" t="inlineStr">
        <is>
          <t>whole economy</t>
        </is>
      </c>
      <c r="J174" s="139" t="inlineStr">
        <is>
          <t>...and the total carbon storage of forest vegetation will reach 8.4 billion tons.</t>
        </is>
      </c>
      <c r="K174" s="141" t="inlineStr">
        <is>
          <t>AP1101.htm</t>
        </is>
      </c>
      <c r="L174" s="139" t="inlineStr">
        <is>
          <t>LULUCF</t>
        </is>
      </c>
    </row>
    <row r="175" ht="18" customHeight="1" s="235">
      <c r="A175" s="139" t="n">
        <v>2017</v>
      </c>
      <c r="B175" s="139" t="inlineStr">
        <is>
          <t>total carbon stocks in forest vegetation</t>
        </is>
      </c>
      <c r="C175" s="139" t="inlineStr">
        <is>
          <t>reach</t>
        </is>
      </c>
      <c r="D175" s="139" t="inlineStr">
        <is>
          <t>9.5 billion tCO2</t>
        </is>
      </c>
      <c r="E175" s="139" t="n"/>
      <c r="F175" s="140" t="inlineStr">
        <is>
          <t>2020</t>
        </is>
      </c>
      <c r="G175" s="140" t="inlineStr">
        <is>
          <t>n</t>
        </is>
      </c>
      <c r="H175" s="139" t="inlineStr">
        <is>
          <t>Carbon sink</t>
        </is>
      </c>
      <c r="I175" s="139" t="inlineStr">
        <is>
          <t>whole economy</t>
        </is>
      </c>
      <c r="J175" s="139" t="inlineStr">
        <is>
          <t>By 2020, the carbon storage of forest vegetation will reach about 9.5 billion tons.</t>
        </is>
      </c>
      <c r="K175" s="141" t="inlineStr">
        <is>
          <t>WP1701.pdf</t>
        </is>
      </c>
      <c r="L175" s="139" t="inlineStr">
        <is>
          <t>LULUCF</t>
        </is>
      </c>
    </row>
    <row r="176" ht="18" customHeight="1" s="235">
      <c r="A176" s="139" t="n">
        <v>2019</v>
      </c>
      <c r="B176" s="139" t="inlineStr">
        <is>
          <t>total carbon stocks in forest vegetation</t>
        </is>
      </c>
      <c r="C176" s="139" t="inlineStr">
        <is>
          <t>reach</t>
        </is>
      </c>
      <c r="D176" s="139" t="inlineStr">
        <is>
          <t>9.5 billion tons</t>
        </is>
      </c>
      <c r="E176" s="139" t="n"/>
      <c r="F176" s="140" t="inlineStr">
        <is>
          <t>2020</t>
        </is>
      </c>
      <c r="G176" s="139" t="inlineStr">
        <is>
          <t>r</t>
        </is>
      </c>
      <c r="H176" s="139" t="inlineStr">
        <is>
          <t>Carbon sink</t>
        </is>
      </c>
      <c r="I176" s="139" t="inlineStr">
        <is>
          <t>whole economy</t>
        </is>
      </c>
      <c r="J176" s="139" t="inlineStr">
        <is>
          <t>By 2020, China is to achieve that the total carbon stocks in forest vegetation is to reach around 9.5 billion tons</t>
        </is>
      </c>
      <c r="K176" s="141" t="inlineStr">
        <is>
          <t>HL1902.pdf</t>
        </is>
      </c>
      <c r="L176" s="139" t="inlineStr">
        <is>
          <t>LULUCF</t>
        </is>
      </c>
    </row>
    <row r="177" ht="18" customHeight="1" s="235">
      <c r="A177" s="139" t="n">
        <v>2009</v>
      </c>
      <c r="B177" s="139" t="inlineStr">
        <is>
          <t>total carbon stocks in forest vegetation</t>
        </is>
      </c>
      <c r="C177" s="139" t="inlineStr">
        <is>
          <t>increase to</t>
        </is>
      </c>
      <c r="D177" s="139" t="inlineStr">
        <is>
          <t>8400 MtCO2</t>
        </is>
      </c>
      <c r="E177" s="139" t="n"/>
      <c r="F177" s="140" t="inlineStr">
        <is>
          <t>2015</t>
        </is>
      </c>
      <c r="G177" s="139" t="inlineStr">
        <is>
          <t>r</t>
        </is>
      </c>
      <c r="H177" s="139" t="inlineStr">
        <is>
          <t>Carbon sink</t>
        </is>
      </c>
      <c r="I177" s="139" t="inlineStr">
        <is>
          <t>whole economy</t>
        </is>
      </c>
      <c r="J177" s="139" t="inlineStr">
        <is>
          <t>by 2015, increase total carbon stocks in forest vegetation to 8400 Mt</t>
        </is>
      </c>
      <c r="K177" s="141" t="inlineStr">
        <is>
          <t>HL1902.pdf</t>
        </is>
      </c>
      <c r="L177" s="139" t="inlineStr">
        <is>
          <t>LULUCF</t>
        </is>
      </c>
    </row>
    <row r="178" ht="18" customHeight="1" s="235">
      <c r="A178" s="139" t="n">
        <v>2019</v>
      </c>
      <c r="B178" s="139" t="inlineStr">
        <is>
          <t>treatment of desertifiable land</t>
        </is>
      </c>
      <c r="C178" s="139" t="inlineStr">
        <is>
          <t>achieve</t>
        </is>
      </c>
      <c r="D178" s="139" t="inlineStr">
        <is>
          <t>50%</t>
        </is>
      </c>
      <c r="E178" s="139" t="n"/>
      <c r="F178" s="140" t="inlineStr">
        <is>
          <t>2020</t>
        </is>
      </c>
      <c r="G178" s="139" t="inlineStr">
        <is>
          <t>r</t>
        </is>
      </c>
      <c r="H178" s="139" t="inlineStr">
        <is>
          <t>Environmental quality</t>
        </is>
      </c>
      <c r="I178" s="139" t="inlineStr">
        <is>
          <t>whole economy</t>
        </is>
      </c>
      <c r="J178" s="139" t="inlineStr">
        <is>
          <t>By 2020, China is to achieve that more than 50% of controllable desertifiable land is to controlled and managed.</t>
        </is>
      </c>
      <c r="K178" s="141" t="inlineStr">
        <is>
          <t>HL1902.pdf</t>
        </is>
      </c>
      <c r="L178" s="139" t="inlineStr">
        <is>
          <t>LULUCF</t>
        </is>
      </c>
    </row>
    <row r="179" ht="18" customHeight="1" s="235">
      <c r="A179" s="139" t="n">
        <v>2011</v>
      </c>
      <c r="B179" s="139" t="inlineStr">
        <is>
          <t>treatment of newly added desertified land</t>
        </is>
      </c>
      <c r="C179" s="139" t="inlineStr">
        <is>
          <t>treat</t>
        </is>
      </c>
      <c r="D179" s="139" t="inlineStr">
        <is>
          <t>More than 10 million hectares</t>
        </is>
      </c>
      <c r="E179" s="139" t="n"/>
      <c r="F179" s="140" t="n">
        <v>2015</v>
      </c>
      <c r="G179" s="140" t="inlineStr">
        <is>
          <t>r</t>
        </is>
      </c>
      <c r="H179" s="139" t="inlineStr">
        <is>
          <t>Environmental quality</t>
        </is>
      </c>
      <c r="I179" s="139" t="inlineStr">
        <is>
          <t>whole economy</t>
        </is>
      </c>
      <c r="J179" s="139" t="inlineStr">
        <is>
          <t>More than 10 million hectares of newly added desertified land have been treated.</t>
        </is>
      </c>
      <c r="K179" s="141" t="inlineStr">
        <is>
          <t>AP1101.htm</t>
        </is>
      </c>
      <c r="L179" s="139" t="inlineStr">
        <is>
          <t>LULUCF</t>
        </is>
      </c>
    </row>
    <row r="180" ht="18" customHeight="1" s="235">
      <c r="A180" s="139" t="n">
        <v>2011</v>
      </c>
      <c r="B180" s="139" t="inlineStr">
        <is>
          <t>trees</t>
        </is>
      </c>
      <c r="C180" s="139" t="inlineStr">
        <is>
          <t>plant</t>
        </is>
      </c>
      <c r="D180" s="139" t="inlineStr">
        <is>
          <t>26 billion trees</t>
        </is>
      </c>
      <c r="E180" s="139" t="n"/>
      <c r="F180" s="140" t="inlineStr">
        <is>
          <t>2011-2020</t>
        </is>
      </c>
      <c r="G180" s="140" t="inlineStr">
        <is>
          <t>n</t>
        </is>
      </c>
      <c r="H180" s="139" t="inlineStr">
        <is>
          <t>Carbon sink</t>
        </is>
      </c>
      <c r="I180" s="139" t="inlineStr">
        <is>
          <t>whole economy</t>
        </is>
      </c>
      <c r="J180" s="139" t="inlineStr">
        <is>
          <t>From 2011 to 2020, more than 26 billion trees will be planted.</t>
        </is>
      </c>
      <c r="K180" s="141" t="inlineStr">
        <is>
          <t>PF1101.pdf</t>
        </is>
      </c>
      <c r="L180" s="139" t="inlineStr">
        <is>
          <t>LULUCF</t>
        </is>
      </c>
    </row>
    <row r="181" ht="18" customHeight="1" s="235">
      <c r="A181" s="139" t="n">
        <v>2011</v>
      </c>
      <c r="B181" s="139" t="inlineStr">
        <is>
          <t>trees</t>
        </is>
      </c>
      <c r="C181" s="139" t="inlineStr">
        <is>
          <t>plant</t>
        </is>
      </c>
      <c r="D181" s="139" t="inlineStr">
        <is>
          <t>12 billion trees</t>
        </is>
      </c>
      <c r="E181" s="139" t="n"/>
      <c r="F181" s="140" t="inlineStr">
        <is>
          <t>12th FYP</t>
        </is>
      </c>
      <c r="G181" s="140" t="inlineStr">
        <is>
          <t>n</t>
        </is>
      </c>
      <c r="H181" s="139" t="inlineStr">
        <is>
          <t>Carbon sink</t>
        </is>
      </c>
      <c r="I181" s="139" t="inlineStr">
        <is>
          <t>whole economy</t>
        </is>
      </c>
      <c r="J181" s="139" t="inlineStr">
        <is>
          <t>During the 12th Five-Year Plan period, more than 12 billion trees will be planted.</t>
        </is>
      </c>
      <c r="K181" s="141" t="inlineStr">
        <is>
          <t>PF1101.pdf</t>
        </is>
      </c>
      <c r="L181" s="139" t="inlineStr">
        <is>
          <t>LULUCF</t>
        </is>
      </c>
    </row>
    <row r="182" ht="18" customHeight="1" s="235">
      <c r="A182" s="139" t="n">
        <v>2026</v>
      </c>
      <c r="B182" s="139" t="inlineStr">
        <is>
          <t>urban park and green space upgrading area</t>
        </is>
      </c>
      <c r="C182" s="139" t="inlineStr">
        <is>
          <t>upgrade</t>
        </is>
      </c>
      <c r="D182" s="139" t="inlineStr">
        <is>
          <t>20000 hectares</t>
        </is>
      </c>
      <c r="E182" s="139" t="n"/>
      <c r="F182" s="140" t="n">
        <v>2030</v>
      </c>
      <c r="G182" s="140" t="inlineStr">
        <is>
          <t>n</t>
        </is>
      </c>
      <c r="H182" s="139" t="inlineStr">
        <is>
          <t>Environmental quality</t>
        </is>
      </c>
      <c r="I182" s="139" t="inlineStr">
        <is>
          <t>areas</t>
        </is>
      </c>
      <c r="J182" s="139" t="inlineStr">
        <is>
          <t>The plan sets a target to upgrade 20000 hectares of urban parks and green space by 2030.</t>
        </is>
      </c>
      <c r="K182" s="141" t="inlineStr">
        <is>
          <t>FYP2601.htm</t>
        </is>
      </c>
      <c r="L182" s="139" t="inlineStr">
        <is>
          <t>LULUCF</t>
        </is>
      </c>
    </row>
    <row r="183" ht="18" customHeight="1" s="235">
      <c r="A183" s="139" t="n">
        <v>2017</v>
      </c>
      <c r="B183" s="139" t="inlineStr">
        <is>
          <t>utilization rate of chemical fertilizers for major crops</t>
        </is>
      </c>
      <c r="C183" s="139" t="inlineStr">
        <is>
          <t>reach</t>
        </is>
      </c>
      <c r="D183" s="139" t="inlineStr">
        <is>
          <t>40%</t>
        </is>
      </c>
      <c r="E183" s="139" t="n"/>
      <c r="F183" s="140" t="inlineStr">
        <is>
          <t>2020</t>
        </is>
      </c>
      <c r="G183" s="140" t="inlineStr">
        <is>
          <t>n</t>
        </is>
      </c>
      <c r="H183" s="139" t="inlineStr">
        <is>
          <t>Environmental quality</t>
        </is>
      </c>
      <c r="I183" s="139" t="inlineStr">
        <is>
          <t>sectors</t>
        </is>
      </c>
      <c r="J183" s="139" t="inlineStr">
        <is>
          <t>By 2020, the use of fertilizers and pesticides for major crops will achieve zero growth, and the utilization rate of fertilizers and pesticides will reach 40%; the comprehensive utilization rate of straw will reach 85%, the comprehensive utilization rate of breeding waste will reach 75%, and the recycling rate of agricultural film will reach 80%.</t>
        </is>
      </c>
      <c r="K183" s="141" t="inlineStr">
        <is>
          <t>O1702.htm</t>
        </is>
      </c>
      <c r="L183" s="139" t="inlineStr">
        <is>
          <t>LULUCF</t>
        </is>
      </c>
    </row>
    <row r="184" ht="18" customHeight="1" s="235">
      <c r="A184" s="139" t="n">
        <v>2016</v>
      </c>
      <c r="B184" s="139" t="inlineStr">
        <is>
          <t>utilization rate of chemical fertilizers for major crops</t>
        </is>
      </c>
      <c r="C184" s="139" t="inlineStr">
        <is>
          <t>increase by</t>
        </is>
      </c>
      <c r="D184" s="139" t="inlineStr">
        <is>
          <t>more than 40%</t>
        </is>
      </c>
      <c r="E184" s="139" t="n"/>
      <c r="F184" s="140" t="inlineStr">
        <is>
          <t>2020</t>
        </is>
      </c>
      <c r="G184" s="140" t="inlineStr">
        <is>
          <t>s/l-POS</t>
        </is>
      </c>
      <c r="H184" s="139" t="inlineStr">
        <is>
          <t>Environmental quality</t>
        </is>
      </c>
      <c r="I184" s="139" t="inlineStr">
        <is>
          <t>sectors</t>
        </is>
      </c>
      <c r="J184" s="139" t="inlineStr">
        <is>
          <t>By 2020, we will increase the utilization rate of chemical fertilizers to more than 40%.</t>
        </is>
      </c>
      <c r="K184" s="141" t="inlineStr">
        <is>
          <t>FYP1601.htm</t>
        </is>
      </c>
      <c r="L184" s="139" t="inlineStr">
        <is>
          <t>LULUCF</t>
        </is>
      </c>
    </row>
    <row r="185" ht="18" customHeight="1" s="235">
      <c r="A185" s="139" t="n">
        <v>2021</v>
      </c>
      <c r="B185" s="139" t="inlineStr">
        <is>
          <t>utilization rate of chemical fertilizers for major crops</t>
        </is>
      </c>
      <c r="C185" s="139" t="inlineStr">
        <is>
          <t>reach</t>
        </is>
      </c>
      <c r="D185" s="139" t="inlineStr">
        <is>
          <t>43%</t>
        </is>
      </c>
      <c r="E185" s="139" t="n"/>
      <c r="F185" s="140" t="inlineStr">
        <is>
          <t>2025</t>
        </is>
      </c>
      <c r="G185" s="140" t="inlineStr">
        <is>
          <t>r</t>
        </is>
      </c>
      <c r="H185" s="139" t="inlineStr">
        <is>
          <t>Environmental quality</t>
        </is>
      </c>
      <c r="I185" s="139" t="inlineStr">
        <is>
          <t>sectors</t>
        </is>
      </c>
      <c r="J185" s="139" t="inlineStr">
        <is>
          <t>By 2025, the utilization rate of fertilizers for major crops will reach above 43%.</t>
        </is>
      </c>
      <c r="K185" s="141" t="inlineStr">
        <is>
          <t>FYP2107.htm</t>
        </is>
      </c>
      <c r="L185" s="139" t="inlineStr">
        <is>
          <t>LULUCF</t>
        </is>
      </c>
    </row>
    <row r="186" ht="18" customHeight="1" s="235">
      <c r="A186" s="139" t="n">
        <v>2021</v>
      </c>
      <c r="B186" s="139" t="inlineStr">
        <is>
          <t>utilization rate of chemical fertilizers for major crops</t>
        </is>
      </c>
      <c r="C186" s="139" t="inlineStr">
        <is>
          <t>reach</t>
        </is>
      </c>
      <c r="D186" s="139" t="inlineStr">
        <is>
          <t>43%</t>
        </is>
      </c>
      <c r="E186" s="139" t="n"/>
      <c r="F186" s="140" t="inlineStr">
        <is>
          <t>2025</t>
        </is>
      </c>
      <c r="G186" s="140" t="inlineStr">
        <is>
          <t>r</t>
        </is>
      </c>
      <c r="H186" s="139" t="inlineStr">
        <is>
          <t>Environmental quality</t>
        </is>
      </c>
      <c r="I186" s="139" t="inlineStr">
        <is>
          <t>sectors</t>
        </is>
      </c>
      <c r="J186" s="139" t="inlineStr">
        <is>
          <t>By 2025, the utilization rate of pesticides for major crops will reach above 43%.</t>
        </is>
      </c>
      <c r="K186" s="141" t="inlineStr">
        <is>
          <t>FYP2107.htm</t>
        </is>
      </c>
      <c r="L186" s="139" t="inlineStr">
        <is>
          <t>LULUCF</t>
        </is>
      </c>
    </row>
    <row r="187" ht="18" customHeight="1" s="235">
      <c r="A187" s="139" t="n">
        <v>2022</v>
      </c>
      <c r="B187" s="139" t="inlineStr">
        <is>
          <t>utilization rate of chemical fertilizers for major crops</t>
        </is>
      </c>
      <c r="C187" s="139" t="inlineStr">
        <is>
          <t>increase to</t>
        </is>
      </c>
      <c r="D187" s="139" t="inlineStr">
        <is>
          <t>43%</t>
        </is>
      </c>
      <c r="E187" s="139" t="n"/>
      <c r="F187" s="140" t="inlineStr">
        <is>
          <t>2025</t>
        </is>
      </c>
      <c r="G187" s="140" t="inlineStr">
        <is>
          <t>r</t>
        </is>
      </c>
      <c r="H187" s="139" t="inlineStr">
        <is>
          <t>Environmental quality</t>
        </is>
      </c>
      <c r="I187" s="139" t="inlineStr">
        <is>
          <t>sectors</t>
        </is>
      </c>
      <c r="J187" s="139" t="inlineStr">
        <is>
          <t>By 2025, the utilization rates of chemical fertilizers and pesticides for the three major grain crops will be increased to 43%.</t>
        </is>
      </c>
      <c r="K187" s="141" t="inlineStr">
        <is>
          <t>IP2201.htm</t>
        </is>
      </c>
      <c r="L187" s="139" t="inlineStr">
        <is>
          <t>LULUCF</t>
        </is>
      </c>
    </row>
    <row r="188" ht="18" customHeight="1" s="235">
      <c r="A188" s="139" t="n">
        <v>2022</v>
      </c>
      <c r="B188" s="139" t="inlineStr">
        <is>
          <t>utilization rate of chemical fertilizers for major crops</t>
        </is>
      </c>
      <c r="C188" s="139" t="inlineStr">
        <is>
          <t>reach</t>
        </is>
      </c>
      <c r="D188" s="139" t="inlineStr">
        <is>
          <t>43%</t>
        </is>
      </c>
      <c r="E188" s="139" t="n"/>
      <c r="F188" s="140" t="inlineStr">
        <is>
          <t>2025</t>
        </is>
      </c>
      <c r="G188" s="140" t="inlineStr">
        <is>
          <t>n</t>
        </is>
      </c>
      <c r="H188" s="139" t="inlineStr">
        <is>
          <t>Environmental quality</t>
        </is>
      </c>
      <c r="I188" s="139" t="inlineStr">
        <is>
          <t>sectors</t>
        </is>
      </c>
      <c r="J188" s="139" t="inlineStr">
        <is>
          <t>By 2025, the utilization rate of fertilizers and pesticides for major crops will reach more than 43%.</t>
        </is>
      </c>
      <c r="K188" s="141" t="inlineStr">
        <is>
          <t>FYP2203.htm</t>
        </is>
      </c>
      <c r="L188" s="139" t="inlineStr">
        <is>
          <t>LULUCF</t>
        </is>
      </c>
    </row>
    <row r="189" ht="18" customHeight="1" s="235">
      <c r="A189" s="139" t="n">
        <v>2018</v>
      </c>
      <c r="B189" s="139" t="inlineStr">
        <is>
          <t xml:space="preserve">utilization rate of chemical fertilizers in Beijing-Tianjin-Hebei region and surrounding areas, and Yangtze River Delta region </t>
        </is>
      </c>
      <c r="C189" s="139" t="inlineStr">
        <is>
          <t>reach</t>
        </is>
      </c>
      <c r="D189" s="139" t="inlineStr">
        <is>
          <t>40%</t>
        </is>
      </c>
      <c r="E189" s="139" t="n"/>
      <c r="F189" s="140" t="inlineStr">
        <is>
          <t>2020</t>
        </is>
      </c>
      <c r="G189" s="140" t="inlineStr">
        <is>
          <t>r</t>
        </is>
      </c>
      <c r="H189" s="139" t="inlineStr">
        <is>
          <t>Environmental quality</t>
        </is>
      </c>
      <c r="I189" s="139" t="inlineStr">
        <is>
          <t>areas</t>
        </is>
      </c>
      <c r="J189" s="139" t="inlineStr">
        <is>
          <t>By 2020, the utilization rate of chemical fertilizers will reach over 40% in the Beijing-Tianjin-Hebei region and surrounding areas, and the Yangtze River Delta region.</t>
        </is>
      </c>
      <c r="K189" s="141" t="inlineStr">
        <is>
          <t>AP1802.htm</t>
        </is>
      </c>
      <c r="L189" s="139" t="inlineStr">
        <is>
          <t>LULUCF</t>
        </is>
      </c>
    </row>
    <row r="190" ht="18" customHeight="1" s="235">
      <c r="A190" s="139" t="n">
        <v>2024</v>
      </c>
      <c r="B190" s="139" t="inlineStr">
        <is>
          <t>utilization rate of fertilizers of country's three major grain crops</t>
        </is>
      </c>
      <c r="C190" s="139" t="inlineStr">
        <is>
          <t>reach</t>
        </is>
      </c>
      <c r="D190" s="139" t="inlineStr">
        <is>
          <t>43%</t>
        </is>
      </c>
      <c r="E190" s="139" t="n"/>
      <c r="F190" s="140" t="inlineStr">
        <is>
          <t>2030</t>
        </is>
      </c>
      <c r="G190" s="140" t="inlineStr">
        <is>
          <t>n</t>
        </is>
      </c>
      <c r="H190" s="139" t="inlineStr">
        <is>
          <t>Environmental quality</t>
        </is>
      </c>
      <c r="I190" s="139" t="inlineStr">
        <is>
          <t>sectors</t>
        </is>
      </c>
      <c r="J190" s="139" t="inlineStr">
        <is>
          <t>By 2030, the fertilizer utilization rate of the country's three major grain crops will reach more than 43%.</t>
        </is>
      </c>
      <c r="K190" s="141" t="inlineStr">
        <is>
          <t>GO2404.htm</t>
        </is>
      </c>
      <c r="L190" s="139" t="inlineStr">
        <is>
          <t>LULUCF</t>
        </is>
      </c>
    </row>
    <row r="191" ht="18" customHeight="1" s="235">
      <c r="A191" s="139" t="n">
        <v>2016</v>
      </c>
      <c r="B191" s="139" t="inlineStr">
        <is>
          <t>vegetation in mining areas</t>
        </is>
      </c>
      <c r="C191" s="139" t="inlineStr">
        <is>
          <t>restore</t>
        </is>
      </c>
      <c r="D191" s="139" t="inlineStr">
        <is>
          <t>520000  hectares</t>
        </is>
      </c>
      <c r="E191" s="139" t="n"/>
      <c r="F191" s="140" t="inlineStr">
        <is>
          <t>13th FYP</t>
        </is>
      </c>
      <c r="G191" s="140" t="inlineStr">
        <is>
          <t>r</t>
        </is>
      </c>
      <c r="H191" s="139" t="inlineStr">
        <is>
          <t>Environmental quality</t>
        </is>
      </c>
      <c r="I191" s="139" t="inlineStr">
        <is>
          <t>areas</t>
        </is>
      </c>
      <c r="J191" s="139" t="inlineStr">
        <is>
          <t>During the 13th Five-Year Plan period, it is planned to green 720,000 hectares of roads, railways, rivers, canals and lakes, build 860,000 hectares of farmland forest networks, and restore vegetation in mining areas to 520,000 hectares.</t>
        </is>
      </c>
      <c r="K191" s="141" t="inlineStr">
        <is>
          <t>PF1602.pdf</t>
        </is>
      </c>
      <c r="L191" s="139" t="inlineStr">
        <is>
          <t>LULUCF</t>
        </is>
      </c>
    </row>
    <row r="192" ht="18" customHeight="1" s="235">
      <c r="A192" s="0" t="n">
        <v>2026</v>
      </c>
      <c r="B192" s="0" t="inlineStr">
        <is>
          <t>water and soil conservation rate</t>
        </is>
      </c>
      <c r="C192" s="0" t="inlineStr">
        <is>
          <t>reach</t>
        </is>
      </c>
      <c r="D192" s="0" t="inlineStr">
        <is>
          <t>more than 74%</t>
        </is>
      </c>
      <c r="F192" s="0" t="n">
        <v>2030</v>
      </c>
      <c r="G192" s="0" t="inlineStr">
        <is>
          <t>r</t>
        </is>
      </c>
      <c r="H192" s="0" t="inlineStr">
        <is>
          <t>Environmental quality</t>
        </is>
      </c>
      <c r="I192" s="0" t="inlineStr">
        <is>
          <t>whole economy</t>
        </is>
      </c>
      <c r="J192" s="0" t="inlineStr">
        <is>
          <t>- the water and soil conservation rate will reach more than 74%;</t>
        </is>
      </c>
      <c r="K192" s="0" t="inlineStr">
        <is>
          <t>FYP2610.pdf</t>
        </is>
      </c>
      <c r="L192" s="0" t="inlineStr">
        <is>
          <t>LULUCF</t>
        </is>
      </c>
    </row>
    <row r="193" ht="18" customHeight="1" s="235">
      <c r="A193" s="0" t="n">
        <v>2026</v>
      </c>
      <c r="B193" s="0" t="inlineStr">
        <is>
          <t>water and soil conservation rate</t>
        </is>
      </c>
      <c r="C193" s="0" t="inlineStr">
        <is>
          <t>reach</t>
        </is>
      </c>
      <c r="D193" s="0" t="inlineStr">
        <is>
          <t>more than 74%</t>
        </is>
      </c>
      <c r="F193" s="0" t="n">
        <v>2030</v>
      </c>
      <c r="G193" s="0" t="inlineStr">
        <is>
          <t>n</t>
        </is>
      </c>
      <c r="H193" s="0" t="inlineStr">
        <is>
          <t>Environmental quality</t>
        </is>
      </c>
      <c r="I193" s="0" t="inlineStr">
        <is>
          <t>whole economy</t>
        </is>
      </c>
      <c r="J193" s="0" t="inlineStr">
        <is>
          <t>The control of water and soil loss and rocky desertification in key areas will be strengthened, eco-clean small watersheds built, and the water and soil conservation rate will reach more than 74%.</t>
        </is>
      </c>
      <c r="K193" s="0" t="inlineStr">
        <is>
          <t>FYP2609.htm</t>
        </is>
      </c>
      <c r="L193" s="0" t="inlineStr">
        <is>
          <t>LULUCF</t>
        </is>
      </c>
    </row>
    <row r="194" ht="18" customHeight="1" s="235">
      <c r="A194" s="139" t="n">
        <v>2019</v>
      </c>
      <c r="B194" s="139" t="inlineStr">
        <is>
          <t>water use efficiency of crops</t>
        </is>
      </c>
      <c r="C194" s="139" t="inlineStr">
        <is>
          <t>increase to</t>
        </is>
      </c>
      <c r="D194" s="139" t="inlineStr">
        <is>
          <t>1.1 kg/m3</t>
        </is>
      </c>
      <c r="E194" s="139" t="n"/>
      <c r="F194" s="140" t="inlineStr">
        <is>
          <t>2020</t>
        </is>
      </c>
      <c r="G194" s="140" t="inlineStr">
        <is>
          <t>n</t>
        </is>
      </c>
      <c r="H194" s="139" t="inlineStr">
        <is>
          <t>Resource efficiency</t>
        </is>
      </c>
      <c r="I194" s="139" t="inlineStr">
        <is>
          <t>sectors</t>
        </is>
      </c>
      <c r="J194" s="139" t="inlineStr">
        <is>
          <t>By 2020, water use efficiency of crops will increase to over 1.1 kg/m3.</t>
        </is>
      </c>
      <c r="K194" s="141" t="inlineStr">
        <is>
          <t>HL1902.pdf</t>
        </is>
      </c>
      <c r="L194" s="139" t="inlineStr">
        <is>
          <t>LULUCF</t>
        </is>
      </c>
    </row>
    <row r="195" ht="18" customHeight="1" s="235">
      <c r="A195" s="139" t="n">
        <v>2011</v>
      </c>
      <c r="B195" s="139" t="inlineStr">
        <is>
          <t>wetland areas</t>
        </is>
      </c>
      <c r="C195" s="139" t="inlineStr">
        <is>
          <t>reach</t>
        </is>
      </c>
      <c r="D195" s="139" t="inlineStr">
        <is>
          <t>42.48 million hectares</t>
        </is>
      </c>
      <c r="E195" s="139" t="n"/>
      <c r="F195" s="140" t="n">
        <v>2015</v>
      </c>
      <c r="G195" s="140" t="inlineStr">
        <is>
          <t>r</t>
        </is>
      </c>
      <c r="H195" s="139" t="inlineStr">
        <is>
          <t>Environmental quality</t>
        </is>
      </c>
      <c r="I195" s="139" t="inlineStr">
        <is>
          <t>whole economy</t>
        </is>
      </c>
      <c r="J195" s="139" t="inlineStr">
        <is>
          <t>The wetland area has reached 42.48 million hectares...</t>
        </is>
      </c>
      <c r="K195" s="141" t="inlineStr">
        <is>
          <t>AP1101.htm</t>
        </is>
      </c>
      <c r="L195" s="139" t="inlineStr">
        <is>
          <t>LULUCF</t>
        </is>
      </c>
    </row>
    <row r="196" ht="18" customHeight="1" s="235">
      <c r="A196" s="139" t="n">
        <v>2017</v>
      </c>
      <c r="B196" s="139" t="inlineStr">
        <is>
          <t>wetland areas</t>
        </is>
      </c>
      <c r="C196" s="139" t="inlineStr">
        <is>
          <t>reach</t>
        </is>
      </c>
      <c r="D196" s="139" t="inlineStr">
        <is>
          <t>800 million mu</t>
        </is>
      </c>
      <c r="E196" s="139" t="n"/>
      <c r="F196" s="140" t="inlineStr">
        <is>
          <t>2020</t>
        </is>
      </c>
      <c r="G196" s="140" t="inlineStr">
        <is>
          <t>n</t>
        </is>
      </c>
      <c r="H196" s="139" t="inlineStr">
        <is>
          <t>Environmental quality</t>
        </is>
      </c>
      <c r="I196" s="139" t="inlineStr">
        <is>
          <t>areas</t>
        </is>
      </c>
      <c r="J196" s="139" t="inlineStr">
        <is>
          <t>By 2020, the wetland area will be no less than 800 million mu.</t>
        </is>
      </c>
      <c r="K196" s="141" t="inlineStr">
        <is>
          <t>O1702.htm</t>
        </is>
      </c>
      <c r="L196" s="139" t="inlineStr">
        <is>
          <t>LULUCF</t>
        </is>
      </c>
    </row>
    <row r="197" ht="18" customHeight="1" s="235">
      <c r="A197" s="139" t="n">
        <v>2019</v>
      </c>
      <c r="B197" s="139" t="inlineStr">
        <is>
          <t>wetland areas</t>
        </is>
      </c>
      <c r="C197" s="139" t="inlineStr">
        <is>
          <t>achieve</t>
        </is>
      </c>
      <c r="D197" s="139" t="inlineStr">
        <is>
          <t>800 million mu</t>
        </is>
      </c>
      <c r="E197" s="139" t="n"/>
      <c r="F197" s="140" t="inlineStr">
        <is>
          <t>2020</t>
        </is>
      </c>
      <c r="G197" s="140" t="inlineStr">
        <is>
          <t>r</t>
        </is>
      </c>
      <c r="H197" s="139" t="inlineStr">
        <is>
          <t>Environmental quality</t>
        </is>
      </c>
      <c r="I197" s="139" t="inlineStr">
        <is>
          <t>areas</t>
        </is>
      </c>
      <c r="J197" s="139" t="inlineStr">
        <is>
          <t>By 2020, China is to achieve wetland areas of no less than 800 million mu</t>
        </is>
      </c>
      <c r="K197" s="141" t="inlineStr">
        <is>
          <t>HL1902.pdf</t>
        </is>
      </c>
      <c r="L197" s="139" t="inlineStr">
        <is>
          <t>LULUCF</t>
        </is>
      </c>
    </row>
    <row r="198" ht="18" customHeight="1" s="235">
      <c r="A198" s="139" t="n">
        <v>2019</v>
      </c>
      <c r="B198" s="139" t="inlineStr">
        <is>
          <t>wetland areas</t>
        </is>
      </c>
      <c r="C198" s="139" t="inlineStr">
        <is>
          <t>increase to</t>
        </is>
      </c>
      <c r="D198" s="139" t="inlineStr">
        <is>
          <t>42.48 million ha</t>
        </is>
      </c>
      <c r="E198" s="139" t="n"/>
      <c r="F198" s="140" t="inlineStr">
        <is>
          <t>2015</t>
        </is>
      </c>
      <c r="G198" s="140" t="inlineStr">
        <is>
          <t>n</t>
        </is>
      </c>
      <c r="H198" s="139" t="inlineStr">
        <is>
          <t>Environmental quality</t>
        </is>
      </c>
      <c r="I198" s="139" t="inlineStr">
        <is>
          <t>areas</t>
        </is>
      </c>
      <c r="J198" s="139" t="inlineStr">
        <is>
          <t>by 2015, increasing wetland area to 42.48 million ha</t>
        </is>
      </c>
      <c r="K198" s="141" t="inlineStr">
        <is>
          <t>HL1902.pdf</t>
        </is>
      </c>
      <c r="L198" s="139" t="inlineStr">
        <is>
          <t>LULUCF</t>
        </is>
      </c>
    </row>
    <row r="199" ht="18" customHeight="1" s="235">
      <c r="A199" s="139" t="n">
        <v>2023</v>
      </c>
      <c r="B199" s="139" t="inlineStr">
        <is>
          <t>wetland areas (coastal)</t>
        </is>
      </c>
      <c r="C199" s="139" t="inlineStr">
        <is>
          <t>exceed</t>
        </is>
      </c>
      <c r="D199" s="139" t="inlineStr">
        <is>
          <t>20000  ha</t>
        </is>
      </c>
      <c r="E199" s="139" t="n"/>
      <c r="F199" s="140" t="inlineStr">
        <is>
          <t>2025</t>
        </is>
      </c>
      <c r="G199" s="140" t="inlineStr">
        <is>
          <t>n</t>
        </is>
      </c>
      <c r="H199" s="139" t="inlineStr">
        <is>
          <t>Environmental quality</t>
        </is>
      </c>
      <c r="I199" s="139" t="inlineStr">
        <is>
          <t>areas</t>
        </is>
      </c>
      <c r="J199" s="139" t="inlineStr">
        <is>
          <t>Marine ecosystems: By 2025, the total area of coastal wetlands will be no less than 20,000 ha;</t>
        </is>
      </c>
      <c r="K199" s="141" t="inlineStr">
        <is>
          <t>HL2302.pdf</t>
        </is>
      </c>
      <c r="L199" s="139" t="inlineStr">
        <is>
          <t>LULUCF</t>
        </is>
      </c>
    </row>
    <row r="200" ht="18" customHeight="1" s="235"/>
    <row r="201" ht="18" customHeight="1" s="235"/>
    <row r="202" ht="18" customHeight="1" s="235"/>
    <row r="203" ht="18" customHeight="1" s="235"/>
    <row r="204" ht="18" customHeight="1" s="235"/>
    <row r="205"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0" summaryRight="0"/>
    <pageSetUpPr/>
  </sheetPr>
  <dimension ref="A1:L198"/>
  <sheetViews>
    <sheetView tabSelected="1" topLeftCell="A48" zoomScale="75" workbookViewId="0">
      <selection activeCell="F28" sqref="F28"/>
    </sheetView>
  </sheetViews>
  <sheetFormatPr baseColWidth="8" defaultColWidth="14" defaultRowHeight="13"/>
  <cols>
    <col width="8.09765625" customWidth="1" style="235" min="1" max="1"/>
    <col width="110" customWidth="1" style="235" min="2" max="2"/>
    <col width="12" customWidth="1" style="235" min="3" max="3"/>
    <col width="23" customWidth="1" style="235" min="4" max="4"/>
    <col width="11.09765625" customWidth="1" style="235" min="5" max="5"/>
    <col width="24.09765625" customWidth="1" style="235" min="6" max="6"/>
    <col width="9" customWidth="1" style="235" min="7" max="7"/>
    <col width="24" customWidth="1" style="235" min="8" max="9"/>
    <col width="118" customWidth="1" style="235" min="10" max="10"/>
    <col width="13" customWidth="1" style="235" min="11" max="11"/>
    <col width="14.59765625" customWidth="1" style="235" min="12" max="12"/>
    <col width="14" customWidth="1" style="235" min="13" max="13"/>
    <col width="17" customWidth="1" style="235" min="14" max="15"/>
    <col width="13" customWidth="1" style="235" min="16" max="20"/>
  </cols>
  <sheetData>
    <row r="1" ht="18" customHeight="1" s="235">
      <c r="A1" s="89" t="inlineStr">
        <is>
          <t>Announcement_Year</t>
        </is>
      </c>
      <c r="B1" s="89" t="inlineStr">
        <is>
          <t>Metric</t>
        </is>
      </c>
      <c r="C1" s="89" t="inlineStr">
        <is>
          <t>Direction</t>
        </is>
      </c>
      <c r="D1" s="89" t="inlineStr">
        <is>
          <t>Target_Magnitude</t>
        </is>
      </c>
      <c r="E1" s="89" t="inlineStr">
        <is>
          <t>Baseline</t>
        </is>
      </c>
      <c r="F1" s="89" t="inlineStr">
        <is>
          <t>Target_Year_or_Period</t>
        </is>
      </c>
      <c r="G1" s="89" t="inlineStr">
        <is>
          <t>Count</t>
        </is>
      </c>
      <c r="H1" s="89" t="inlineStr">
        <is>
          <t>Target_Category</t>
        </is>
      </c>
      <c r="I1" s="89" t="inlineStr">
        <is>
          <t>Accountability</t>
        </is>
      </c>
      <c r="J1" s="89" t="inlineStr">
        <is>
          <t>Sentence</t>
        </is>
      </c>
      <c r="K1" s="89" t="inlineStr">
        <is>
          <t>Document</t>
        </is>
      </c>
      <c r="L1" s="89" t="inlineStr">
        <is>
          <t>Topic_Label</t>
        </is>
      </c>
    </row>
    <row r="2" ht="18" customHeight="1" s="235">
      <c r="A2" s="147" t="n">
        <v>2016</v>
      </c>
      <c r="B2" s="148" t="inlineStr">
        <is>
          <t>additional daily recycled water utilization capacity</t>
        </is>
      </c>
      <c r="C2" s="147" t="inlineStr">
        <is>
          <t>complete</t>
        </is>
      </c>
      <c r="D2" s="147" t="inlineStr">
        <is>
          <t>15.05 million cubic meters</t>
        </is>
      </c>
      <c r="E2" s="147" t="n"/>
      <c r="F2" s="147" t="inlineStr">
        <is>
          <t>13th FYP</t>
        </is>
      </c>
      <c r="G2" s="147" t="inlineStr">
        <is>
          <t>n</t>
        </is>
      </c>
      <c r="H2" s="147" t="inlineStr">
        <is>
          <t>Recycling</t>
        </is>
      </c>
      <c r="I2" s="147" t="inlineStr">
        <is>
          <t>unclear</t>
        </is>
      </c>
      <c r="J2" s="147" t="inlineStr">
        <is>
          <t>During the 13th Five-Year Plan period, it is planned to add 15.05 million cubic meters of recycled water utilization facilities per day.</t>
        </is>
      </c>
      <c r="K2" s="149" t="inlineStr">
        <is>
          <t>FYP1612.pdf</t>
        </is>
      </c>
      <c r="L2" s="147" t="inlineStr">
        <is>
          <t>Circular Economy</t>
        </is>
      </c>
    </row>
    <row r="3" ht="18" customHeight="1" s="235">
      <c r="A3" s="147" t="n">
        <v>2016</v>
      </c>
      <c r="B3" s="148" t="inlineStr">
        <is>
          <t>additional daily recycled water utilization capacity</t>
        </is>
      </c>
      <c r="C3" s="147" t="inlineStr">
        <is>
          <t>reach</t>
        </is>
      </c>
      <c r="D3" s="147" t="inlineStr">
        <is>
          <t>15.05 million cubic meters</t>
        </is>
      </c>
      <c r="E3" s="147" t="n"/>
      <c r="F3" s="147" t="inlineStr">
        <is>
          <t>13th FYP</t>
        </is>
      </c>
      <c r="G3" s="147" t="inlineStr">
        <is>
          <t>r</t>
        </is>
      </c>
      <c r="H3" s="147" t="inlineStr">
        <is>
          <t>Recycling</t>
        </is>
      </c>
      <c r="I3" s="147" t="inlineStr">
        <is>
          <t>unclear</t>
        </is>
      </c>
      <c r="J3" s="147" t="inlineStr">
        <is>
          <t>During the 13th Five-Year Plan period, the scale of newly added recycled water utilization facilities will be 15.05 million cubic meters per day.</t>
        </is>
      </c>
      <c r="K3" s="149" t="inlineStr">
        <is>
          <t>FYP1612.pdf</t>
        </is>
      </c>
      <c r="L3" s="147" t="inlineStr">
        <is>
          <t>Circular Economy</t>
        </is>
      </c>
    </row>
    <row r="4" ht="18" customHeight="1" s="235">
      <c r="A4" s="147" t="n">
        <v>2021</v>
      </c>
      <c r="B4" s="148" t="inlineStr">
        <is>
          <t>additional daily sewage treatment capacity</t>
        </is>
      </c>
      <c r="C4" s="147" t="inlineStr">
        <is>
          <t>complete</t>
        </is>
      </c>
      <c r="D4" s="147" t="inlineStr">
        <is>
          <t>20 million cubic meters</t>
        </is>
      </c>
      <c r="E4" s="147" t="n"/>
      <c r="F4" s="147" t="inlineStr">
        <is>
          <t>14th FYP</t>
        </is>
      </c>
      <c r="G4" s="147" t="inlineStr">
        <is>
          <t>n</t>
        </is>
      </c>
      <c r="H4" s="147" t="inlineStr">
        <is>
          <t>Pollution control</t>
        </is>
      </c>
      <c r="I4" s="147" t="inlineStr">
        <is>
          <t>unclear</t>
        </is>
      </c>
      <c r="J4" s="147" t="inlineStr">
        <is>
          <t>By 2025, 20 million cubic meters of new daily sewage treatment capacity will be added.</t>
        </is>
      </c>
      <c r="K4" s="149" t="inlineStr">
        <is>
          <t>FYP2107.htm</t>
        </is>
      </c>
      <c r="L4" s="147" t="inlineStr">
        <is>
          <t>Circular Economy</t>
        </is>
      </c>
    </row>
    <row r="5" ht="18" customHeight="1" s="235">
      <c r="A5" s="148" t="n">
        <v>2016</v>
      </c>
      <c r="B5" s="148" t="inlineStr">
        <is>
          <t>additional sludge harmless disposal capacity</t>
        </is>
      </c>
      <c r="C5" s="148" t="inlineStr">
        <is>
          <t>complete</t>
        </is>
      </c>
      <c r="D5" s="148" t="inlineStr">
        <is>
          <t>60100  tons</t>
        </is>
      </c>
      <c r="E5" s="148" t="n"/>
      <c r="F5" s="148" t="inlineStr">
        <is>
          <t>13th FYP</t>
        </is>
      </c>
      <c r="G5" s="148" t="inlineStr">
        <is>
          <t>n</t>
        </is>
      </c>
      <c r="H5" s="147" t="inlineStr">
        <is>
          <t>Pollution control</t>
        </is>
      </c>
      <c r="I5" s="148" t="inlineStr">
        <is>
          <t>whole economy</t>
        </is>
      </c>
      <c r="J5" s="148" t="inlineStr">
        <is>
          <t>During the 13th Five-Year Plan period, the capacity of new or renovated sludge harmless treatment and disposal facilities will be 60,100 tons per day.</t>
        </is>
      </c>
      <c r="K5" s="150" t="inlineStr">
        <is>
          <t>FYP1612.pdf</t>
        </is>
      </c>
      <c r="L5" s="147" t="inlineStr">
        <is>
          <t>Circular Economy</t>
        </is>
      </c>
    </row>
    <row r="6" ht="18" customHeight="1" s="235">
      <c r="A6" s="147" t="n">
        <v>2016</v>
      </c>
      <c r="B6" s="147" t="inlineStr">
        <is>
          <t>additional sludge harmless disposal capacity</t>
        </is>
      </c>
      <c r="C6" s="147" t="inlineStr">
        <is>
          <t>complete</t>
        </is>
      </c>
      <c r="D6" s="147" t="inlineStr">
        <is>
          <t>60100  tons</t>
        </is>
      </c>
      <c r="E6" s="147" t="n"/>
      <c r="F6" s="151" t="inlineStr">
        <is>
          <t>13th FYP</t>
        </is>
      </c>
      <c r="G6" s="147" t="inlineStr">
        <is>
          <t>r</t>
        </is>
      </c>
      <c r="H6" s="147" t="inlineStr">
        <is>
          <t>Pollution control</t>
        </is>
      </c>
      <c r="I6" s="147" t="inlineStr">
        <is>
          <t>unclear</t>
        </is>
      </c>
      <c r="J6" s="152" t="inlineStr">
        <is>
          <t>During the 13th Five-Year Plan period, it is planned to add 60,100 tons of sludge (measured as wet sludge with 80% water content) for harmless disposal.</t>
        </is>
      </c>
      <c r="K6" s="153" t="inlineStr">
        <is>
          <t>FYP1612.pdf</t>
        </is>
      </c>
      <c r="L6" s="147" t="inlineStr">
        <is>
          <t>Circular Economy</t>
        </is>
      </c>
    </row>
    <row r="7" ht="18" customHeight="1" s="235">
      <c r="A7" s="147" t="n">
        <v>2022</v>
      </c>
      <c r="B7" s="147" t="inlineStr">
        <is>
          <t xml:space="preserve">amount of coking wastewater generated  </t>
        </is>
      </c>
      <c r="C7" s="147" t="inlineStr">
        <is>
          <t>reduce by</t>
        </is>
      </c>
      <c r="D7" s="147" t="inlineStr">
        <is>
          <t>30%</t>
        </is>
      </c>
      <c r="E7" s="147" t="n"/>
      <c r="F7" s="147" t="inlineStr">
        <is>
          <t>14th FYP</t>
        </is>
      </c>
      <c r="G7" s="147" t="inlineStr">
        <is>
          <t>n</t>
        </is>
      </c>
      <c r="H7" s="147" t="inlineStr">
        <is>
          <t>Pollution control</t>
        </is>
      </c>
      <c r="I7" s="147" t="inlineStr">
        <is>
          <t>sectors</t>
        </is>
      </c>
      <c r="J7" s="147" t="inlineStr">
        <is>
          <t>The "14th Five-Year Plan" for the Coking Industry proposes that by 2025, the amount of coking wastewater generated will be reduced by 30%.</t>
        </is>
      </c>
      <c r="K7" s="149" t="inlineStr">
        <is>
          <t>AP2206.pdf</t>
        </is>
      </c>
      <c r="L7" s="147" t="inlineStr">
        <is>
          <t>Circular Economy</t>
        </is>
      </c>
    </row>
    <row r="8" ht="18" customHeight="1" s="235">
      <c r="A8" s="147" t="n">
        <v>2016</v>
      </c>
      <c r="B8" s="147" t="inlineStr">
        <is>
          <t>amount of recycled resources replacing primary resources</t>
        </is>
      </c>
      <c r="C8" s="147" t="inlineStr">
        <is>
          <t>reach</t>
        </is>
      </c>
      <c r="D8" s="147" t="inlineStr">
        <is>
          <t>1.3 billion tons</t>
        </is>
      </c>
      <c r="E8" s="147" t="n"/>
      <c r="F8" s="147" t="inlineStr">
        <is>
          <t>2020</t>
        </is>
      </c>
      <c r="G8" s="147" t="inlineStr">
        <is>
          <t>n</t>
        </is>
      </c>
      <c r="H8" s="147" t="inlineStr">
        <is>
          <t>Recycling</t>
        </is>
      </c>
      <c r="I8" s="147" t="inlineStr">
        <is>
          <t>whole economy</t>
        </is>
      </c>
      <c r="J8" s="147" t="inlineStr">
        <is>
          <t>By 2020, the amount of recycled resources replacing primary resources will reach 1.3 billion tons.</t>
        </is>
      </c>
      <c r="K8" s="149" t="inlineStr">
        <is>
          <t>FYP1601.htm</t>
        </is>
      </c>
      <c r="L8" s="147" t="inlineStr">
        <is>
          <t>Circular Economy</t>
        </is>
      </c>
    </row>
    <row r="9" ht="18" customHeight="1" s="235">
      <c r="A9" s="147" t="n">
        <v>2016</v>
      </c>
      <c r="B9" s="147" t="inlineStr">
        <is>
          <t>amount of recycled resources replacing primary resources</t>
        </is>
      </c>
      <c r="C9" s="147" t="inlineStr">
        <is>
          <t>reach</t>
        </is>
      </c>
      <c r="D9" s="147" t="inlineStr">
        <is>
          <t>1.3 billion tons</t>
        </is>
      </c>
      <c r="E9" s="147" t="n"/>
      <c r="F9" s="147" t="inlineStr">
        <is>
          <t>2020</t>
        </is>
      </c>
      <c r="G9" s="147" t="inlineStr">
        <is>
          <t>r</t>
        </is>
      </c>
      <c r="H9" s="147" t="inlineStr">
        <is>
          <t>Recycling</t>
        </is>
      </c>
      <c r="I9" s="147" t="inlineStr">
        <is>
          <t>whole economy</t>
        </is>
      </c>
      <c r="J9" s="147" t="inlineStr">
        <is>
          <t>By 2020, we will strive to replace 1.3 billion tons of primary resources with recycled resources.</t>
        </is>
      </c>
      <c r="K9" s="149" t="inlineStr">
        <is>
          <t>FYP1613.htm</t>
        </is>
      </c>
      <c r="L9" s="147" t="inlineStr">
        <is>
          <t>Circular Economy</t>
        </is>
      </c>
    </row>
    <row r="10" ht="18" customHeight="1" s="235">
      <c r="A10" s="147" t="n">
        <v>2024</v>
      </c>
      <c r="B10" s="147" t="inlineStr">
        <is>
          <t xml:space="preserve">amount of scrapped cars recycled  </t>
        </is>
      </c>
      <c r="C10" s="147" t="inlineStr">
        <is>
          <t>increase by</t>
        </is>
      </c>
      <c r="D10" s="147" t="inlineStr">
        <is>
          <t>50%</t>
        </is>
      </c>
      <c r="E10" s="147" t="n">
        <v>2023</v>
      </c>
      <c r="F10" s="147" t="inlineStr">
        <is>
          <t>2025</t>
        </is>
      </c>
      <c r="G10" s="147" t="inlineStr">
        <is>
          <t>n</t>
        </is>
      </c>
      <c r="H10" s="147" t="inlineStr">
        <is>
          <t>Recycling</t>
        </is>
      </c>
      <c r="I10" s="147" t="inlineStr">
        <is>
          <t>sectors</t>
        </is>
      </c>
      <c r="J10" s="147" t="inlineStr">
        <is>
          <t>by 2025, the amount of scrapped cars recycled will increase by 50% compared with 2023</t>
        </is>
      </c>
      <c r="K10" s="149" t="inlineStr">
        <is>
          <t>AP2403.htm</t>
        </is>
      </c>
      <c r="L10" s="147" t="inlineStr">
        <is>
          <t>Circular Economy</t>
        </is>
      </c>
    </row>
    <row r="11" ht="18" customHeight="1" s="235">
      <c r="A11" s="147" t="n">
        <v>2024</v>
      </c>
      <c r="B11" s="147" t="inlineStr">
        <is>
          <t>amount of used home appliances recycled</t>
        </is>
      </c>
      <c r="C11" s="147" t="inlineStr">
        <is>
          <t>increase by</t>
        </is>
      </c>
      <c r="D11" s="147" t="inlineStr">
        <is>
          <t>15%</t>
        </is>
      </c>
      <c r="E11" s="147" t="n">
        <v>2023</v>
      </c>
      <c r="F11" s="147" t="inlineStr">
        <is>
          <t>2025</t>
        </is>
      </c>
      <c r="G11" s="147" t="inlineStr">
        <is>
          <t>n</t>
        </is>
      </c>
      <c r="H11" s="147" t="inlineStr">
        <is>
          <t>Recycling</t>
        </is>
      </c>
      <c r="I11" s="147" t="inlineStr">
        <is>
          <t>whole economy</t>
        </is>
      </c>
      <c r="J11" s="147" t="inlineStr">
        <is>
          <t>by 2025, the amount of used home appliances recycled will increase by 15% compared with 2023</t>
        </is>
      </c>
      <c r="K11" s="149" t="inlineStr">
        <is>
          <t>AP2403.htm</t>
        </is>
      </c>
      <c r="L11" s="147" t="inlineStr">
        <is>
          <t>Circular Economy</t>
        </is>
      </c>
    </row>
    <row r="12" ht="18" customHeight="1" s="235">
      <c r="A12" s="147" t="n">
        <v>2024</v>
      </c>
      <c r="B12" s="147" t="inlineStr">
        <is>
          <t>amount of used home appliances recycled</t>
        </is>
      </c>
      <c r="C12" s="147" t="inlineStr">
        <is>
          <t>increase by</t>
        </is>
      </c>
      <c r="D12" s="147" t="inlineStr">
        <is>
          <t>30%</t>
        </is>
      </c>
      <c r="E12" s="147" t="n">
        <v>2023</v>
      </c>
      <c r="F12" s="147" t="inlineStr">
        <is>
          <t>2027</t>
        </is>
      </c>
      <c r="G12" s="147" t="inlineStr">
        <is>
          <t>n</t>
        </is>
      </c>
      <c r="H12" s="147" t="inlineStr">
        <is>
          <t>Recycling</t>
        </is>
      </c>
      <c r="I12" s="147" t="inlineStr">
        <is>
          <t>whole economy</t>
        </is>
      </c>
      <c r="J12" s="147" t="inlineStr">
        <is>
          <t>by 2027, the amount of used home appliances recycled will increase by 30% compared with 2023.</t>
        </is>
      </c>
      <c r="K12" s="149" t="inlineStr">
        <is>
          <t>AP2403.htm</t>
        </is>
      </c>
      <c r="L12" s="147" t="inlineStr">
        <is>
          <t>Circular Economy</t>
        </is>
      </c>
    </row>
    <row r="13" ht="18" customHeight="1" s="235">
      <c r="A13" s="0" t="n">
        <v>2026</v>
      </c>
      <c r="B13" s="0" t="inlineStr">
        <is>
          <t>annual comprehensive utilization of retired photovoltaic modules</t>
        </is>
      </c>
      <c r="C13" s="0" t="inlineStr">
        <is>
          <t>reach</t>
        </is>
      </c>
      <c r="D13" s="0" t="inlineStr">
        <is>
          <t>around 80,000 tons</t>
        </is>
      </c>
      <c r="F13" s="0" t="n">
        <v>2030</v>
      </c>
      <c r="G13" s="0" t="inlineStr">
        <is>
          <t>n</t>
        </is>
      </c>
      <c r="H13" s="0" t="inlineStr">
        <is>
          <t>Recycling</t>
        </is>
      </c>
      <c r="I13" s="0" t="inlineStr">
        <is>
          <t>sectors</t>
        </is>
      </c>
      <c r="J13" s="0" t="inlineStr">
        <is>
          <t>By 2030, the annual comprehensive utilization of retired photovoltaic modules will reach around 80,000 tons.</t>
        </is>
      </c>
      <c r="K13" s="0" t="inlineStr">
        <is>
          <t>FYP2605.htm</t>
        </is>
      </c>
      <c r="L13" s="0" t="inlineStr">
        <is>
          <t>Circular Economy</t>
        </is>
      </c>
    </row>
    <row r="14" ht="18" customHeight="1" s="235">
      <c r="A14" s="0" t="n">
        <v>2026</v>
      </c>
      <c r="B14" s="0" t="inlineStr">
        <is>
          <t>annual comprehensive utilization of retired wind turbine blades</t>
        </is>
      </c>
      <c r="C14" s="0" t="inlineStr">
        <is>
          <t>reach</t>
        </is>
      </c>
      <c r="D14" s="0" t="inlineStr">
        <is>
          <t>around 170,000 tons</t>
        </is>
      </c>
      <c r="F14" s="0" t="n">
        <v>2030</v>
      </c>
      <c r="G14" s="0" t="inlineStr">
        <is>
          <t>n</t>
        </is>
      </c>
      <c r="H14" s="0" t="inlineStr">
        <is>
          <t>Recycling</t>
        </is>
      </c>
      <c r="I14" s="0" t="inlineStr">
        <is>
          <t>sectors</t>
        </is>
      </c>
      <c r="J14" s="0" t="inlineStr">
        <is>
          <t>By 2030, the annual comprehensive utilization of retired wind turbine blades will reach around 170,000 tons.</t>
        </is>
      </c>
      <c r="K14" s="0" t="inlineStr">
        <is>
          <t>FYP2605.htm</t>
        </is>
      </c>
      <c r="L14" s="0" t="inlineStr">
        <is>
          <t>Circular Economy</t>
        </is>
      </c>
    </row>
    <row r="15" ht="18" customHeight="1" s="235">
      <c r="A15" s="147" t="n">
        <v>2016</v>
      </c>
      <c r="B15" s="147" t="inlineStr">
        <is>
          <t>annual industrial wastewater</t>
        </is>
      </c>
      <c r="C15" s="147" t="inlineStr">
        <is>
          <t>reduce by</t>
        </is>
      </c>
      <c r="D15" s="147" t="inlineStr">
        <is>
          <t>400 million tons/year</t>
        </is>
      </c>
      <c r="E15" s="147" t="n">
        <v>2015</v>
      </c>
      <c r="F15" s="147" t="inlineStr">
        <is>
          <t>2020</t>
        </is>
      </c>
      <c r="G15" s="147" t="inlineStr">
        <is>
          <t>n</t>
        </is>
      </c>
      <c r="H15" s="147" t="inlineStr">
        <is>
          <t>Pollution control</t>
        </is>
      </c>
      <c r="I15" s="147" t="inlineStr">
        <is>
          <t>sectors</t>
        </is>
      </c>
      <c r="J15" s="147" t="inlineStr">
        <is>
          <t>By 2020, the country's industrial wastewater will be reduced by 400 million tons/year.</t>
        </is>
      </c>
      <c r="K15" s="149" t="inlineStr">
        <is>
          <t>DP1601.htm</t>
        </is>
      </c>
      <c r="L15" s="147" t="inlineStr">
        <is>
          <t>Circular Economy</t>
        </is>
      </c>
    </row>
    <row r="16" ht="18" customHeight="1" s="235">
      <c r="A16" s="152" t="n">
        <v>2021</v>
      </c>
      <c r="B16" s="147" t="inlineStr">
        <is>
          <t>annual output of recycled aluminum</t>
        </is>
      </c>
      <c r="C16" s="147" t="inlineStr">
        <is>
          <t>reach</t>
        </is>
      </c>
      <c r="D16" s="152" t="inlineStr">
        <is>
          <t>11.5 million tons</t>
        </is>
      </c>
      <c r="E16" s="152" t="n"/>
      <c r="F16" s="151" t="inlineStr">
        <is>
          <t>2025</t>
        </is>
      </c>
      <c r="G16" s="152" t="inlineStr">
        <is>
          <t>r</t>
        </is>
      </c>
      <c r="H16" s="147" t="inlineStr">
        <is>
          <t>Recycling</t>
        </is>
      </c>
      <c r="I16" s="147" t="inlineStr">
        <is>
          <t>whole economy</t>
        </is>
      </c>
      <c r="J16" s="152" t="inlineStr">
        <is>
          <t>By 2025, the production of recycled aluminum will reach 11.5 million tons.</t>
        </is>
      </c>
      <c r="K16" s="153" t="inlineStr">
        <is>
          <t>FYP2115.pdf</t>
        </is>
      </c>
      <c r="L16" s="147" t="inlineStr">
        <is>
          <t>Circular Economy</t>
        </is>
      </c>
    </row>
    <row r="17" ht="18" customHeight="1" s="235">
      <c r="A17" s="147" t="n">
        <v>2021</v>
      </c>
      <c r="B17" s="147" t="inlineStr">
        <is>
          <t>annual output of recycled aluminum</t>
        </is>
      </c>
      <c r="C17" s="147" t="inlineStr">
        <is>
          <t>reach</t>
        </is>
      </c>
      <c r="D17" s="147" t="inlineStr">
        <is>
          <t>11.5 million tons</t>
        </is>
      </c>
      <c r="E17" s="147" t="n"/>
      <c r="F17" s="147" t="inlineStr">
        <is>
          <t>2025</t>
        </is>
      </c>
      <c r="G17" s="147" t="inlineStr">
        <is>
          <t>n</t>
        </is>
      </c>
      <c r="H17" s="147" t="inlineStr">
        <is>
          <t>Recycling</t>
        </is>
      </c>
      <c r="I17" s="147" t="inlineStr">
        <is>
          <t>sectors</t>
        </is>
      </c>
      <c r="J17" s="147" t="inlineStr">
        <is>
          <t>By 2025, we will strive to obtain 11.5 million tons of  recycled aluminum.</t>
        </is>
      </c>
      <c r="K17" s="149" t="inlineStr">
        <is>
          <t>FYP2101.pdf</t>
        </is>
      </c>
      <c r="L17" s="147" t="inlineStr">
        <is>
          <t>Circular Economy</t>
        </is>
      </c>
    </row>
    <row r="18" ht="18" customHeight="1" s="235">
      <c r="A18" s="147" t="n">
        <v>2022</v>
      </c>
      <c r="B18" s="147" t="inlineStr">
        <is>
          <t xml:space="preserve">annual output of recycled aluminum    </t>
        </is>
      </c>
      <c r="C18" s="147" t="inlineStr">
        <is>
          <t>reach</t>
        </is>
      </c>
      <c r="D18" s="147" t="inlineStr">
        <is>
          <t>11.5 million tons</t>
        </is>
      </c>
      <c r="E18" s="147" t="n"/>
      <c r="F18" s="147" t="inlineStr">
        <is>
          <t>2025</t>
        </is>
      </c>
      <c r="G18" s="147" t="inlineStr">
        <is>
          <t>r</t>
        </is>
      </c>
      <c r="H18" s="147" t="inlineStr">
        <is>
          <t>Recycling</t>
        </is>
      </c>
      <c r="I18" s="147" t="inlineStr">
        <is>
          <t>whole economy</t>
        </is>
      </c>
      <c r="J18" s="147" t="inlineStr">
        <is>
          <t>By 2025, the output of recycled aluminum will reach 11.5 million tons.</t>
        </is>
      </c>
      <c r="K18" s="149" t="inlineStr">
        <is>
          <t>IP2221.htm</t>
        </is>
      </c>
      <c r="L18" s="147" t="inlineStr">
        <is>
          <t>Circular Economy</t>
        </is>
      </c>
    </row>
    <row r="19" ht="18" customHeight="1" s="235">
      <c r="A19" s="147" t="n">
        <v>2021</v>
      </c>
      <c r="B19" s="147" t="inlineStr">
        <is>
          <t>annual output of recycled copper</t>
        </is>
      </c>
      <c r="C19" s="147" t="inlineStr">
        <is>
          <t>obtain</t>
        </is>
      </c>
      <c r="D19" s="147" t="inlineStr">
        <is>
          <t>4 million tons</t>
        </is>
      </c>
      <c r="E19" s="147" t="n"/>
      <c r="F19" s="147" t="inlineStr">
        <is>
          <t>2025</t>
        </is>
      </c>
      <c r="G19" s="147" t="inlineStr">
        <is>
          <t>r</t>
        </is>
      </c>
      <c r="H19" s="147" t="inlineStr">
        <is>
          <t>Recycling</t>
        </is>
      </c>
      <c r="I19" s="147" t="inlineStr">
        <is>
          <t>whole economy</t>
        </is>
      </c>
      <c r="J19" s="147" t="inlineStr">
        <is>
          <t>By 2025, we will strive to obtain 4 million tons of recycled copper.</t>
        </is>
      </c>
      <c r="K19" s="149" t="inlineStr">
        <is>
          <t>FYP2101.pdf</t>
        </is>
      </c>
      <c r="L19" s="147" t="inlineStr">
        <is>
          <t>Circular Economy</t>
        </is>
      </c>
    </row>
    <row r="20" ht="18" customHeight="1" s="235">
      <c r="A20" s="152" t="n">
        <v>2021</v>
      </c>
      <c r="B20" s="147" t="inlineStr">
        <is>
          <t>annual output of recycled copper</t>
        </is>
      </c>
      <c r="C20" s="147" t="inlineStr">
        <is>
          <t>reach</t>
        </is>
      </c>
      <c r="D20" s="152" t="inlineStr">
        <is>
          <t>4 million tons</t>
        </is>
      </c>
      <c r="E20" s="152" t="n"/>
      <c r="F20" s="151" t="inlineStr">
        <is>
          <t>2025</t>
        </is>
      </c>
      <c r="G20" s="152" t="inlineStr">
        <is>
          <t>n</t>
        </is>
      </c>
      <c r="H20" s="147" t="inlineStr">
        <is>
          <t>Recycling</t>
        </is>
      </c>
      <c r="I20" s="147" t="inlineStr">
        <is>
          <t>whole economy</t>
        </is>
      </c>
      <c r="J20" s="152" t="inlineStr">
        <is>
          <t>By 2025, the production of recycled copper will reach 4 million tons.</t>
        </is>
      </c>
      <c r="K20" s="153" t="inlineStr">
        <is>
          <t>FYP2115.pdf</t>
        </is>
      </c>
      <c r="L20" s="147" t="inlineStr">
        <is>
          <t>Circular Economy</t>
        </is>
      </c>
    </row>
    <row r="21" ht="18" customHeight="1" s="235">
      <c r="A21" s="147" t="n">
        <v>2022</v>
      </c>
      <c r="B21" s="147" t="inlineStr">
        <is>
          <t xml:space="preserve">annual output of recycled copper    </t>
        </is>
      </c>
      <c r="C21" s="147" t="inlineStr">
        <is>
          <t>reach</t>
        </is>
      </c>
      <c r="D21" s="147" t="inlineStr">
        <is>
          <t>4 million tons</t>
        </is>
      </c>
      <c r="E21" s="147" t="n"/>
      <c r="F21" s="147" t="inlineStr">
        <is>
          <t>2025</t>
        </is>
      </c>
      <c r="G21" s="147" t="inlineStr">
        <is>
          <t>r</t>
        </is>
      </c>
      <c r="H21" s="147" t="inlineStr">
        <is>
          <t>Recycling</t>
        </is>
      </c>
      <c r="I21" s="147" t="inlineStr">
        <is>
          <t>whole economy</t>
        </is>
      </c>
      <c r="J21" s="147" t="inlineStr">
        <is>
          <t>By 2025, the output of recycled copper will reach 4 million tons.</t>
        </is>
      </c>
      <c r="K21" s="149" t="inlineStr">
        <is>
          <t>IP2221.htm</t>
        </is>
      </c>
      <c r="L21" s="147" t="inlineStr">
        <is>
          <t>Circular Economy</t>
        </is>
      </c>
    </row>
    <row r="22" ht="18" customHeight="1" s="235">
      <c r="A22" s="147" t="n">
        <v>2021</v>
      </c>
      <c r="B22" s="147" t="inlineStr">
        <is>
          <t>annual output of recycled lead</t>
        </is>
      </c>
      <c r="C22" s="147" t="inlineStr">
        <is>
          <t>reach</t>
        </is>
      </c>
      <c r="D22" s="147" t="inlineStr">
        <is>
          <t>2.9 million tons</t>
        </is>
      </c>
      <c r="E22" s="147" t="n"/>
      <c r="F22" s="147" t="inlineStr">
        <is>
          <t>2025</t>
        </is>
      </c>
      <c r="G22" s="147" t="inlineStr">
        <is>
          <t>n</t>
        </is>
      </c>
      <c r="H22" s="147" t="inlineStr">
        <is>
          <t>Recycling</t>
        </is>
      </c>
      <c r="I22" s="147" t="inlineStr">
        <is>
          <t>sectors</t>
        </is>
      </c>
      <c r="J22" s="147" t="inlineStr">
        <is>
          <t>By 2025, we will strive to obtain 2.9 million tons of recycled lead.</t>
        </is>
      </c>
      <c r="K22" s="149" t="inlineStr">
        <is>
          <t>FYP2101.pdf</t>
        </is>
      </c>
      <c r="L22" s="147" t="inlineStr">
        <is>
          <t>Circular Economy</t>
        </is>
      </c>
    </row>
    <row r="23" ht="18" customHeight="1" s="235">
      <c r="A23" s="152" t="n">
        <v>2021</v>
      </c>
      <c r="B23" s="147" t="inlineStr">
        <is>
          <t xml:space="preserve">annual output of recycled lead </t>
        </is>
      </c>
      <c r="C23" s="147" t="inlineStr">
        <is>
          <t>reach</t>
        </is>
      </c>
      <c r="D23" s="152" t="inlineStr">
        <is>
          <t>2.9 million tons</t>
        </is>
      </c>
      <c r="E23" s="152" t="n"/>
      <c r="F23" s="151" t="inlineStr">
        <is>
          <t>2025</t>
        </is>
      </c>
      <c r="G23" s="152" t="inlineStr">
        <is>
          <t>r</t>
        </is>
      </c>
      <c r="H23" s="147" t="inlineStr">
        <is>
          <t>Recycling</t>
        </is>
      </c>
      <c r="I23" s="147" t="inlineStr">
        <is>
          <t>whole economy</t>
        </is>
      </c>
      <c r="J23" s="152" t="inlineStr">
        <is>
          <t>By 2025, the production of recycled lead will reach 2.9 million tons.</t>
        </is>
      </c>
      <c r="K23" s="153" t="inlineStr">
        <is>
          <t>FYP2115.pdf</t>
        </is>
      </c>
      <c r="L23" s="147" t="inlineStr">
        <is>
          <t>Circular Economy</t>
        </is>
      </c>
    </row>
    <row r="24" ht="18" customHeight="1" s="235">
      <c r="A24" s="152" t="n">
        <v>2025</v>
      </c>
      <c r="B24" s="147" t="inlineStr">
        <is>
          <t>annual output of recycled metals</t>
        </is>
      </c>
      <c r="C24" s="147" t="inlineStr">
        <is>
          <t>exceed</t>
        </is>
      </c>
      <c r="D24" s="152" t="inlineStr">
        <is>
          <t>20 million tons</t>
        </is>
      </c>
      <c r="E24" s="152" t="n"/>
      <c r="F24" s="151" t="inlineStr">
        <is>
          <t>2025-2026</t>
        </is>
      </c>
      <c r="G24" s="152" t="inlineStr">
        <is>
          <t>n</t>
        </is>
      </c>
      <c r="H24" s="147" t="inlineStr">
        <is>
          <t>Recycling</t>
        </is>
      </c>
      <c r="I24" s="147" t="inlineStr">
        <is>
          <t>sectors</t>
        </is>
      </c>
      <c r="J24" s="152" t="inlineStr">
        <is>
          <t>Output of recycled metals is to exceed 20 million tonnes, supply capacity for high-end products is to continuously strengthen, and the levels of green/low-carbon and digital development are to steadily improve.</t>
        </is>
      </c>
      <c r="K24" s="153" t="inlineStr">
        <is>
          <t>WOP2503.pdf</t>
        </is>
      </c>
      <c r="L24" s="147" t="inlineStr">
        <is>
          <t>Circular Economy</t>
        </is>
      </c>
    </row>
    <row r="25" ht="18" customHeight="1" s="235">
      <c r="A25" s="147" t="n">
        <v>2021</v>
      </c>
      <c r="B25" s="147" t="inlineStr">
        <is>
          <t>annual output of recycled waste paper</t>
        </is>
      </c>
      <c r="C25" s="147" t="inlineStr">
        <is>
          <t>reach</t>
        </is>
      </c>
      <c r="D25" s="147" t="inlineStr">
        <is>
          <t>60 million tons</t>
        </is>
      </c>
      <c r="E25" s="147" t="n"/>
      <c r="F25" s="147" t="inlineStr">
        <is>
          <t>2025</t>
        </is>
      </c>
      <c r="G25" s="147" t="inlineStr">
        <is>
          <t>r</t>
        </is>
      </c>
      <c r="H25" s="147" t="inlineStr">
        <is>
          <t>Recycling</t>
        </is>
      </c>
      <c r="I25" s="147" t="inlineStr">
        <is>
          <t>sectors</t>
        </is>
      </c>
      <c r="J25" s="147" t="inlineStr">
        <is>
          <t>By 2025, we will strive to recycle 60 million tons of waste paper.</t>
        </is>
      </c>
      <c r="K25" s="149" t="inlineStr">
        <is>
          <t>FYP2101.pdf</t>
        </is>
      </c>
      <c r="L25" s="147" t="inlineStr">
        <is>
          <t>Circular Economy</t>
        </is>
      </c>
    </row>
    <row r="26" ht="18" customHeight="1" s="235">
      <c r="A26" s="152" t="n">
        <v>2021</v>
      </c>
      <c r="B26" s="147" t="inlineStr">
        <is>
          <t>annual output of recycled waste paper</t>
        </is>
      </c>
      <c r="C26" s="147" t="inlineStr">
        <is>
          <t>reach</t>
        </is>
      </c>
      <c r="D26" s="152" t="inlineStr">
        <is>
          <t>60 million tons</t>
        </is>
      </c>
      <c r="E26" s="152" t="n"/>
      <c r="F26" s="151" t="inlineStr">
        <is>
          <t>2025</t>
        </is>
      </c>
      <c r="G26" s="152" t="inlineStr">
        <is>
          <t>n</t>
        </is>
      </c>
      <c r="H26" s="147" t="inlineStr">
        <is>
          <t>Recycling</t>
        </is>
      </c>
      <c r="I26" s="147" t="inlineStr">
        <is>
          <t>sectors</t>
        </is>
      </c>
      <c r="J26" s="152" t="inlineStr">
        <is>
          <t>By 2025, the utilization of waste paper will reach 60 million tons.</t>
        </is>
      </c>
      <c r="K26" s="153" t="inlineStr">
        <is>
          <t>FYP2115.pdf</t>
        </is>
      </c>
      <c r="L26" s="147" t="inlineStr">
        <is>
          <t>Circular Economy</t>
        </is>
      </c>
    </row>
    <row r="27" ht="18" customHeight="1" s="235">
      <c r="A27" s="0" t="n">
        <v>2026</v>
      </c>
      <c r="B27" s="0" t="inlineStr">
        <is>
          <t>non-ferrous metals recycling annual output</t>
        </is>
      </c>
      <c r="C27" s="0" t="inlineStr">
        <is>
          <t>reach</t>
        </is>
      </c>
      <c r="D27" s="0" t="inlineStr">
        <is>
          <t>25 million tons</t>
        </is>
      </c>
      <c r="F27" s="0" t="n">
        <v>2030</v>
      </c>
      <c r="G27" s="0" t="inlineStr">
        <is>
          <t>r</t>
        </is>
      </c>
      <c r="H27" s="0" t="inlineStr">
        <is>
          <t>Recycling</t>
        </is>
      </c>
      <c r="I27" s="0" t="inlineStr">
        <is>
          <t>sectors</t>
        </is>
      </c>
      <c r="J27" s="0" t="inlineStr">
        <is>
          <t>By 2030, the annual output of recycled non-ferrous metals will reach 25 million tons.</t>
        </is>
      </c>
      <c r="K27" s="0" t="inlineStr">
        <is>
          <t>FYP2605.htm</t>
        </is>
      </c>
      <c r="L27" s="0" t="inlineStr">
        <is>
          <t>Circular Economy</t>
        </is>
      </c>
    </row>
    <row r="28" ht="18" customHeight="1" s="235">
      <c r="A28" s="0" t="n">
        <v>2026</v>
      </c>
      <c r="B28" s="0" t="inlineStr">
        <is>
          <t>number of cities developing "zero-waste cities"</t>
        </is>
      </c>
      <c r="C28" s="0" t="inlineStr">
        <is>
          <t>build</t>
        </is>
      </c>
      <c r="D28" s="0" t="inlineStr">
        <is>
          <t>around 200</t>
        </is>
      </c>
      <c r="F28" s="0" t="n">
        <v>2030</v>
      </c>
      <c r="G28" s="0" t="inlineStr">
        <is>
          <t>n</t>
        </is>
      </c>
      <c r="H28" s="0" t="inlineStr">
        <is>
          <t>Recycling</t>
        </is>
      </c>
      <c r="I28" s="0" t="inlineStr">
        <is>
          <t>areas</t>
        </is>
      </c>
      <c r="J28" s="0" t="inlineStr">
        <is>
          <t>Column 3: "Zero-waste city" construction projects: supporting around 200 cities in developing "zero-waste cities", and promoting the joint construction of "zero-waste cities" across the Beijing-Tianjin-Hebei region, the Yangtze River Delta, the Guangdong-Hong Kong-Macao Greater Bay Area and the Chengdu-Chongqing region.</t>
        </is>
      </c>
      <c r="K28" s="0" t="inlineStr">
        <is>
          <t>FYP2608.pdf</t>
        </is>
      </c>
      <c r="L28" s="0" t="inlineStr">
        <is>
          <t>Circular Economy</t>
        </is>
      </c>
    </row>
    <row r="29" ht="18" customHeight="1" s="235">
      <c r="A29" s="0" t="n">
        <v>2026</v>
      </c>
      <c r="B29" s="0" t="inlineStr">
        <is>
          <t>recycling volume of major renewable resources</t>
        </is>
      </c>
      <c r="C29" s="0" t="inlineStr">
        <is>
          <t>reach</t>
        </is>
      </c>
      <c r="D29" s="0" t="inlineStr">
        <is>
          <t>510 million tons</t>
        </is>
      </c>
      <c r="E29" s="0" t="inlineStr">
        <is>
          <t>380 million tons (2025)</t>
        </is>
      </c>
      <c r="F29" s="0" t="n">
        <v>2030</v>
      </c>
      <c r="G29" s="0" t="inlineStr">
        <is>
          <t>r</t>
        </is>
      </c>
      <c r="H29" s="0" t="inlineStr">
        <is>
          <t>Recycling</t>
        </is>
      </c>
      <c r="I29" s="0" t="inlineStr">
        <is>
          <t>whole economy</t>
        </is>
      </c>
      <c r="J29" s="0" t="inlineStr">
        <is>
          <t>Column 1: Annual recycling volume of major renewable resources (100 million tons), 3.8 in 2025 and 5.1 in 2030.</t>
        </is>
      </c>
      <c r="K29" s="0" t="inlineStr">
        <is>
          <t>FYP2605.htm</t>
        </is>
      </c>
      <c r="L29" s="0" t="inlineStr">
        <is>
          <t>Circular Economy</t>
        </is>
      </c>
    </row>
    <row r="30" ht="18" customHeight="1" s="235">
      <c r="A30" s="0" t="n">
        <v>2026</v>
      </c>
      <c r="B30" s="0" t="inlineStr">
        <is>
          <t>scrap steel annual recycling and utilisation</t>
        </is>
      </c>
      <c r="C30" s="0" t="inlineStr">
        <is>
          <t>reach</t>
        </is>
      </c>
      <c r="D30" s="0" t="inlineStr">
        <is>
          <t>300 million tons</t>
        </is>
      </c>
      <c r="F30" s="0" t="n">
        <v>2030</v>
      </c>
      <c r="G30" s="0" t="inlineStr">
        <is>
          <t>r</t>
        </is>
      </c>
      <c r="H30" s="0" t="inlineStr">
        <is>
          <t>Recycling</t>
        </is>
      </c>
      <c r="I30" s="0" t="inlineStr">
        <is>
          <t>whole economy</t>
        </is>
      </c>
      <c r="J30" s="0" t="inlineStr">
        <is>
          <t>By 2030, annual recycling and utilization of scrap steel will reach 300 million tons.</t>
        </is>
      </c>
      <c r="K30" s="0" t="inlineStr">
        <is>
          <t>FYP2605.htm</t>
        </is>
      </c>
      <c r="L30" s="0" t="inlineStr">
        <is>
          <t>Circular Economy</t>
        </is>
      </c>
    </row>
    <row r="31" ht="18" customHeight="1" s="235">
      <c r="A31" s="0" t="n">
        <v>2026</v>
      </c>
      <c r="B31" s="0" t="inlineStr">
        <is>
          <t>share of coal gangue stockpile sites remediated in the Yellow River basin</t>
        </is>
      </c>
      <c r="C31" s="0" t="inlineStr">
        <is>
          <t>complete</t>
        </is>
      </c>
      <c r="D31" s="0" t="inlineStr">
        <is>
          <t>more than 60%</t>
        </is>
      </c>
      <c r="F31" s="0" t="n">
        <v>2030</v>
      </c>
      <c r="G31" s="0" t="inlineStr">
        <is>
          <t>n</t>
        </is>
      </c>
      <c r="H31" s="0" t="inlineStr">
        <is>
          <t>Pollution control</t>
        </is>
      </c>
      <c r="I31" s="0" t="inlineStr">
        <is>
          <t>areas</t>
        </is>
      </c>
      <c r="J31" s="0" t="inlineStr">
        <is>
          <t>Focusing on Shanxi, Inner Mongolia, Shaanxi, Ningxia, Guizhou, Henan and other provinces, backfilling with coal gangue and fly ash will be promoted, completing the remediation of more than 60% of coal gangue stockpile sites in the Yellow River basin.</t>
        </is>
      </c>
      <c r="K31" s="0" t="inlineStr">
        <is>
          <t>FYP2608.pdf</t>
        </is>
      </c>
      <c r="L31" s="0" t="inlineStr">
        <is>
          <t>Circular Economy</t>
        </is>
      </c>
    </row>
    <row r="32" ht="18" customHeight="1" s="235">
      <c r="A32" s="0" t="n">
        <v>2026</v>
      </c>
      <c r="B32" s="0" t="inlineStr">
        <is>
          <t>share of hazardous waste disposed of by landfill</t>
        </is>
      </c>
      <c r="C32" s="0" t="inlineStr">
        <is>
          <t>control within</t>
        </is>
      </c>
      <c r="D32" s="0" t="inlineStr">
        <is>
          <t>10%</t>
        </is>
      </c>
      <c r="F32" s="0" t="n">
        <v>2030</v>
      </c>
      <c r="G32" s="0" t="inlineStr">
        <is>
          <t>n</t>
        </is>
      </c>
      <c r="H32" s="0" t="inlineStr">
        <is>
          <t>Pollution control</t>
        </is>
      </c>
      <c r="I32" s="0" t="inlineStr">
        <is>
          <t>sectors</t>
        </is>
      </c>
      <c r="J32" s="0" t="inlineStr">
        <is>
          <t>...the share of hazardous waste disposed of by landfill will be controlled within 10%.</t>
        </is>
      </c>
      <c r="K32" s="0" t="inlineStr">
        <is>
          <t>FYP2609.htm</t>
        </is>
      </c>
      <c r="L32" s="0" t="inlineStr">
        <is>
          <t>Circular Economy</t>
        </is>
      </c>
    </row>
    <row r="33" ht="18" customHeight="1" s="235">
      <c r="A33" s="0" t="n">
        <v>2026</v>
      </c>
      <c r="B33" s="0" t="inlineStr">
        <is>
          <t>share of historical solid waste stockpile sites with treatment completed</t>
        </is>
      </c>
      <c r="C33" s="0" t="inlineStr">
        <is>
          <t>complete</t>
        </is>
      </c>
      <c r="D33" s="0" t="inlineStr">
        <is>
          <t>more than 60%</t>
        </is>
      </c>
      <c r="F33" s="0" t="n">
        <v>2030</v>
      </c>
      <c r="G33" s="0" t="inlineStr">
        <is>
          <t>r</t>
        </is>
      </c>
      <c r="H33" s="0" t="inlineStr">
        <is>
          <t>Pollution control</t>
        </is>
      </c>
      <c r="I33" s="0" t="inlineStr">
        <is>
          <t>whole economy</t>
        </is>
      </c>
      <c r="J33" s="0" t="inlineStr">
        <is>
          <t>Environmental risk screening and remediation of stockpiles (slag yards), hazardous waste landfills and phosphogypsum reservoirs will be implemented, completing the treatment of more than 60% of historical solid waste stockpile sites, ...</t>
        </is>
      </c>
      <c r="K33" s="0" t="inlineStr">
        <is>
          <t>FYP2609.htm</t>
        </is>
      </c>
      <c r="L33" s="0" t="inlineStr">
        <is>
          <t>Circular Economy</t>
        </is>
      </c>
    </row>
    <row r="34" ht="18" customHeight="1" s="235">
      <c r="A34" s="0" t="n">
        <v>2026</v>
      </c>
      <c r="B34" s="0" t="inlineStr">
        <is>
          <t>share of historical solid waste stockpile sites with treatment completed</t>
        </is>
      </c>
      <c r="C34" s="0" t="inlineStr">
        <is>
          <t>complete</t>
        </is>
      </c>
      <c r="D34" s="0" t="inlineStr">
        <is>
          <t>more than 60%</t>
        </is>
      </c>
      <c r="F34" s="0" t="n">
        <v>2030</v>
      </c>
      <c r="G34" s="0" t="inlineStr">
        <is>
          <t>r</t>
        </is>
      </c>
      <c r="H34" s="0" t="inlineStr">
        <is>
          <t>Pollution control</t>
        </is>
      </c>
      <c r="I34" s="0" t="inlineStr">
        <is>
          <t>whole economy</t>
        </is>
      </c>
      <c r="J34" s="0" t="inlineStr">
        <is>
          <t>The Yangtze River basin will focus on manganese slag and antimony slag, and the Yellow River basin on coal gangue, fly ash and red mud, implementing systematic regional treatment and completing the treatment of more than 60% of historical solid waste stockpile sites.</t>
        </is>
      </c>
      <c r="K34" s="0" t="inlineStr">
        <is>
          <t>FYP2608.pdf</t>
        </is>
      </c>
      <c r="L34" s="0" t="inlineStr">
        <is>
          <t>Circular Economy</t>
        </is>
      </c>
    </row>
    <row r="35" ht="18" customHeight="1" s="235">
      <c r="A35" s="0" t="n">
        <v>2026</v>
      </c>
      <c r="B35" s="0" t="inlineStr">
        <is>
          <t>share of lithium, cobalt, nickel and other metals extracted from retired power batteries in the resources needed for power battery production in the same period</t>
        </is>
      </c>
      <c r="C35" s="0" t="inlineStr">
        <is>
          <t>reach</t>
        </is>
      </c>
      <c r="D35" s="0" t="inlineStr">
        <is>
          <t>10-15%</t>
        </is>
      </c>
      <c r="F35" s="0" t="n">
        <v>2030</v>
      </c>
      <c r="G35" s="0" t="inlineStr">
        <is>
          <t>n</t>
        </is>
      </c>
      <c r="H35" s="0" t="inlineStr">
        <is>
          <t>Recycling</t>
        </is>
      </c>
      <c r="I35" s="0" t="inlineStr">
        <is>
          <t>sectors</t>
        </is>
      </c>
      <c r="J35" s="0" t="inlineStr">
        <is>
          <t>By 2030, lithium, cobalt, nickel and other metals extracted from retired power batteries will account for 10-15% of the resources needed for power battery production in the same period.</t>
        </is>
      </c>
      <c r="K35" s="0" t="inlineStr">
        <is>
          <t>FYP2605.htm</t>
        </is>
      </c>
      <c r="L35" s="0" t="inlineStr">
        <is>
          <t>Circular Economy</t>
        </is>
      </c>
    </row>
    <row r="36" ht="18" customHeight="1" s="235">
      <c r="A36" s="0" t="n">
        <v>2026</v>
      </c>
      <c r="B36" s="0" t="inlineStr">
        <is>
          <t>utilization rate of bulk industrial solid waste</t>
        </is>
      </c>
      <c r="C36" s="0" t="inlineStr">
        <is>
          <t>reach</t>
        </is>
      </c>
      <c r="D36" s="0" t="inlineStr">
        <is>
          <t>62%</t>
        </is>
      </c>
      <c r="E36" s="0" t="inlineStr">
        <is>
          <t>57% (2025)</t>
        </is>
      </c>
      <c r="F36" s="0" t="n">
        <v>2030</v>
      </c>
      <c r="G36" s="0" t="inlineStr">
        <is>
          <t>r</t>
        </is>
      </c>
      <c r="H36" s="0" t="inlineStr">
        <is>
          <t>Recycling</t>
        </is>
      </c>
      <c r="I36" s="0" t="inlineStr">
        <is>
          <t>sectors</t>
        </is>
      </c>
      <c r="J36" s="0" t="inlineStr">
        <is>
          <t>Column 1: Utilization rate of bulk industrial solid waste (%), 57 in 2025 and 62 in 2030.</t>
        </is>
      </c>
      <c r="K36" s="0" t="inlineStr">
        <is>
          <t>FYP2605.htm</t>
        </is>
      </c>
      <c r="L36" s="0" t="inlineStr">
        <is>
          <t>Circular Economy</t>
        </is>
      </c>
    </row>
    <row r="37" ht="18" customHeight="1" s="235">
      <c r="A37" s="0" t="n">
        <v>2026</v>
      </c>
      <c r="B37" s="0" t="inlineStr">
        <is>
          <t>utilization rate of livestock and poultry manure</t>
        </is>
      </c>
      <c r="C37" s="0" t="inlineStr">
        <is>
          <t>reach</t>
        </is>
      </c>
      <c r="D37" s="0" t="inlineStr">
        <is>
          <t>85%</t>
        </is>
      </c>
      <c r="F37" s="0" t="n">
        <v>2030</v>
      </c>
      <c r="G37" s="0" t="inlineStr">
        <is>
          <t>r</t>
        </is>
      </c>
      <c r="H37" s="0" t="inlineStr">
        <is>
          <t>Recycling</t>
        </is>
      </c>
      <c r="I37" s="0" t="inlineStr">
        <is>
          <t>whole economy</t>
        </is>
      </c>
      <c r="J37" s="0" t="inlineStr">
        <is>
          <t>The collection, treatment and utilization of livestock and poultry manure will be strengthened, with the utilization rate reaching more than 85%.</t>
        </is>
      </c>
      <c r="K37" s="0" t="inlineStr">
        <is>
          <t>FYP2609.htm</t>
        </is>
      </c>
      <c r="L37" s="0" t="inlineStr">
        <is>
          <t>Circular Economy</t>
        </is>
      </c>
    </row>
    <row r="38" ht="18" customHeight="1" s="235">
      <c r="A38" s="0" t="n">
        <v>2026</v>
      </c>
      <c r="B38" s="0" t="inlineStr">
        <is>
          <t>utilization rate of manganese slag</t>
        </is>
      </c>
      <c r="C38" s="0" t="inlineStr">
        <is>
          <t>reach</t>
        </is>
      </c>
      <c r="D38" s="0" t="inlineStr">
        <is>
          <t>30%</t>
        </is>
      </c>
      <c r="F38" s="0" t="n">
        <v>2030</v>
      </c>
      <c r="G38" s="0" t="inlineStr">
        <is>
          <t>n</t>
        </is>
      </c>
      <c r="H38" s="0" t="inlineStr">
        <is>
          <t>Recycling</t>
        </is>
      </c>
      <c r="I38" s="0" t="inlineStr">
        <is>
          <t>sectors</t>
        </is>
      </c>
      <c r="J38" s="0" t="inlineStr">
        <is>
          <t>By 2030, the utilization rate of manganese slag will reach 30%.</t>
        </is>
      </c>
      <c r="K38" s="0" t="inlineStr">
        <is>
          <t>FYP2605.htm</t>
        </is>
      </c>
      <c r="L38" s="0" t="inlineStr">
        <is>
          <t>Circular Economy</t>
        </is>
      </c>
    </row>
    <row r="39" ht="18" customHeight="1" s="235">
      <c r="A39" s="0" t="n">
        <v>2026</v>
      </c>
      <c r="B39" s="0" t="inlineStr">
        <is>
          <t>utilization rate of phosphogypsum</t>
        </is>
      </c>
      <c r="C39" s="0" t="inlineStr">
        <is>
          <t>reach</t>
        </is>
      </c>
      <c r="D39" s="0" t="inlineStr">
        <is>
          <t>75%</t>
        </is>
      </c>
      <c r="F39" s="0" t="n">
        <v>2030</v>
      </c>
      <c r="G39" s="0" t="inlineStr">
        <is>
          <t>s/l-POS</t>
        </is>
      </c>
      <c r="H39" s="0" t="inlineStr">
        <is>
          <t>Recycling</t>
        </is>
      </c>
      <c r="I39" s="0" t="inlineStr">
        <is>
          <t>sectors</t>
        </is>
      </c>
      <c r="J39" s="0" t="inlineStr">
        <is>
          <t>By 2030, the utilization rate of phosphogypsum will reach 75%, achieving a dynamic balance between comprehensive consumption (including utilization and harmless treatment) and generation.</t>
        </is>
      </c>
      <c r="K39" s="0" t="inlineStr">
        <is>
          <t>FYP2605.htm</t>
        </is>
      </c>
      <c r="L39" s="0" t="inlineStr">
        <is>
          <t>Circular Economy</t>
        </is>
      </c>
    </row>
    <row r="40" ht="18" customHeight="1" s="235">
      <c r="A40" s="0" t="n">
        <v>2026</v>
      </c>
      <c r="B40" s="0" t="inlineStr">
        <is>
          <t>utilization rate of red mud</t>
        </is>
      </c>
      <c r="C40" s="0" t="inlineStr">
        <is>
          <t>reach</t>
        </is>
      </c>
      <c r="D40" s="0" t="inlineStr">
        <is>
          <t>25%</t>
        </is>
      </c>
      <c r="F40" s="0" t="n">
        <v>2030</v>
      </c>
      <c r="G40" s="0" t="inlineStr">
        <is>
          <t>s/l-POS</t>
        </is>
      </c>
      <c r="H40" s="0" t="inlineStr">
        <is>
          <t>Recycling</t>
        </is>
      </c>
      <c r="I40" s="0" t="inlineStr">
        <is>
          <t>sectors</t>
        </is>
      </c>
      <c r="J40" s="0" t="inlineStr">
        <is>
          <t>By 2030, the utilization rate of red mud will reach 25%.</t>
        </is>
      </c>
      <c r="K40" s="0" t="inlineStr">
        <is>
          <t>FYP2605.htm</t>
        </is>
      </c>
      <c r="L40" s="0" t="inlineStr">
        <is>
          <t>Circular Economy</t>
        </is>
      </c>
    </row>
    <row r="41" ht="18" customHeight="1" s="235">
      <c r="A41" s="0" t="n">
        <v>2026</v>
      </c>
      <c r="B41" s="0" t="inlineStr">
        <is>
          <t>utilization rate of straw</t>
        </is>
      </c>
      <c r="C41" s="0" t="inlineStr">
        <is>
          <t>maintain above</t>
        </is>
      </c>
      <c r="D41" s="0" t="inlineStr">
        <is>
          <t>88%</t>
        </is>
      </c>
      <c r="F41" s="0" t="n">
        <v>2030</v>
      </c>
      <c r="G41" s="0" t="inlineStr">
        <is>
          <t>r</t>
        </is>
      </c>
      <c r="H41" s="0" t="inlineStr">
        <is>
          <t>Recycling</t>
        </is>
      </c>
      <c r="I41" s="0" t="inlineStr">
        <is>
          <t>whole economy</t>
        </is>
      </c>
      <c r="J41" s="0" t="inlineStr">
        <is>
          <t>...the national straw utilization rate will remain stable above 88%.</t>
        </is>
      </c>
      <c r="K41" s="0" t="inlineStr">
        <is>
          <t>FYP2606.pdf</t>
        </is>
      </c>
      <c r="L41" s="0" t="inlineStr">
        <is>
          <t>Circular Economy</t>
        </is>
      </c>
    </row>
    <row r="42" ht="18" customHeight="1" s="235">
      <c r="A42" s="152" t="n">
        <v>2026</v>
      </c>
      <c r="B42" s="147" t="inlineStr">
        <is>
          <t>waste paper annual recycling and utilisation</t>
        </is>
      </c>
      <c r="C42" s="147" t="inlineStr">
        <is>
          <t>exceed</t>
        </is>
      </c>
      <c r="D42" s="152" t="inlineStr">
        <is>
          <t>80 million tonnes</t>
        </is>
      </c>
      <c r="E42" s="152" t="n"/>
      <c r="F42" s="151" t="n">
        <v>2030</v>
      </c>
      <c r="G42" s="152" t="inlineStr">
        <is>
          <t>n</t>
        </is>
      </c>
      <c r="H42" s="147" t="inlineStr">
        <is>
          <t>Recycling</t>
        </is>
      </c>
      <c r="I42" s="147" t="inlineStr">
        <is>
          <t>whole economy</t>
        </is>
      </c>
      <c r="J42" s="152" t="inlineStr">
        <is>
          <t>By 2030, annual recycling and utilisation of waste paper will exceed 80 million tonnes.</t>
        </is>
      </c>
      <c r="K42" s="153" t="inlineStr">
        <is>
          <t>AP2601.htm</t>
        </is>
      </c>
      <c r="L42" s="147" t="inlineStr">
        <is>
          <t>Circular Economy</t>
        </is>
      </c>
    </row>
    <row r="43" ht="18" customHeight="1" s="235">
      <c r="A43" s="147" t="n">
        <v>2013</v>
      </c>
      <c r="B43" s="147" t="inlineStr">
        <is>
          <t>annual remanufacturing capacity</t>
        </is>
      </c>
      <c r="C43" s="147" t="inlineStr">
        <is>
          <t>reach</t>
        </is>
      </c>
      <c r="D43" s="147" t="inlineStr">
        <is>
          <t>800000 engines</t>
        </is>
      </c>
      <c r="E43" s="147" t="n"/>
      <c r="F43" s="147" t="inlineStr">
        <is>
          <t>2015</t>
        </is>
      </c>
      <c r="G43" s="147" t="inlineStr">
        <is>
          <t>n</t>
        </is>
      </c>
      <c r="H43" s="147" t="inlineStr">
        <is>
          <t>Production-oriented</t>
        </is>
      </c>
      <c r="I43" s="147" t="inlineStr">
        <is>
          <t>sectors</t>
        </is>
      </c>
      <c r="J43" s="147" t="inlineStr">
        <is>
          <t>By 2015, the annual remanufacturing capacity will reach 800,000 engines.</t>
        </is>
      </c>
      <c r="K43" s="149" t="inlineStr">
        <is>
          <t>DP1301.htm</t>
        </is>
      </c>
      <c r="L43" s="147" t="inlineStr">
        <is>
          <t>Circular Economy</t>
        </is>
      </c>
    </row>
    <row r="44" ht="18" customHeight="1" s="235">
      <c r="A44" s="147" t="n">
        <v>2013</v>
      </c>
      <c r="B44" s="147" t="inlineStr">
        <is>
          <t>annual remanufacturing capacity</t>
        </is>
      </c>
      <c r="C44" s="147" t="inlineStr">
        <is>
          <t>reach</t>
        </is>
      </c>
      <c r="D44" s="147" t="inlineStr">
        <is>
          <t>8 million gearboxes, starters, generators, etc.</t>
        </is>
      </c>
      <c r="E44" s="147" t="n"/>
      <c r="F44" s="147" t="inlineStr">
        <is>
          <t>2015</t>
        </is>
      </c>
      <c r="G44" s="147" t="inlineStr">
        <is>
          <t>n</t>
        </is>
      </c>
      <c r="H44" s="147" t="inlineStr">
        <is>
          <t>Production-oriented</t>
        </is>
      </c>
      <c r="I44" s="147" t="inlineStr">
        <is>
          <t>sectors</t>
        </is>
      </c>
      <c r="J44" s="147" t="inlineStr">
        <is>
          <t>By 2015, the annual remanufacturing capacity will reach 800,000 engines, 8 million gearboxes, starters, generators, etc., and 200,000 sets of construction machinery, mining machinery, agricultural machinery, etc., and the annual output value of the remanufacturing industry will reach about 50 billion yuan.</t>
        </is>
      </c>
      <c r="K44" s="149" t="inlineStr">
        <is>
          <t>DP1301.htm</t>
        </is>
      </c>
      <c r="L44" s="147" t="inlineStr">
        <is>
          <t>Circular Economy</t>
        </is>
      </c>
    </row>
    <row r="45" ht="18" customHeight="1" s="235">
      <c r="A45" s="147" t="n">
        <v>2013</v>
      </c>
      <c r="B45" s="147" t="inlineStr">
        <is>
          <t>annual remanufacturing capacity</t>
        </is>
      </c>
      <c r="C45" s="147" t="inlineStr">
        <is>
          <t>reach</t>
        </is>
      </c>
      <c r="D45" s="147" t="inlineStr">
        <is>
          <t>200000  sets of construction machinery, mining machinery, agricultural machinery, etc.</t>
        </is>
      </c>
      <c r="E45" s="147" t="n"/>
      <c r="F45" s="147" t="inlineStr">
        <is>
          <t>2015</t>
        </is>
      </c>
      <c r="G45" s="147" t="inlineStr">
        <is>
          <t>n</t>
        </is>
      </c>
      <c r="H45" s="147" t="inlineStr">
        <is>
          <t>Production-oriented</t>
        </is>
      </c>
      <c r="I45" s="147" t="inlineStr">
        <is>
          <t>sectors</t>
        </is>
      </c>
      <c r="J45" s="147" t="inlineStr">
        <is>
          <t>By 2015, the annual remanufacturing capacity will reach 800,000 engines, 8 million gearboxes, starters, generators, etc., and 200,000 sets of construction machinery, mining machinery, agricultural machinery, etc., and the annual output value of the remanufacturing industry will reach about 50 billion yuan.</t>
        </is>
      </c>
      <c r="K45" s="149" t="inlineStr">
        <is>
          <t>DP1301.htm</t>
        </is>
      </c>
      <c r="L45" s="147" t="inlineStr">
        <is>
          <t>Circular Economy</t>
        </is>
      </c>
    </row>
    <row r="46" ht="18" customHeight="1" s="235">
      <c r="A46" s="147" t="n">
        <v>2021</v>
      </c>
      <c r="B46" s="147" t="inlineStr">
        <is>
          <t>annual utilization of bulk solid waste</t>
        </is>
      </c>
      <c r="C46" s="147" t="inlineStr">
        <is>
          <t>reach</t>
        </is>
      </c>
      <c r="D46" s="147" t="inlineStr">
        <is>
          <t>4 billion tons</t>
        </is>
      </c>
      <c r="E46" s="147" t="n"/>
      <c r="F46" s="151" t="inlineStr">
        <is>
          <t>2025</t>
        </is>
      </c>
      <c r="G46" s="147" t="inlineStr">
        <is>
          <t>n</t>
        </is>
      </c>
      <c r="H46" s="147" t="inlineStr">
        <is>
          <t>Recycling</t>
        </is>
      </c>
      <c r="I46" s="147" t="inlineStr">
        <is>
          <t>whole economy</t>
        </is>
      </c>
      <c r="J46" s="147" t="inlineStr">
        <is>
          <t>By 2025, the amount of bulk solid waste recycled annually will reach around 4 billion metric tons, rising to about 4.5 billion by 2030.</t>
        </is>
      </c>
      <c r="K46" s="149" t="inlineStr">
        <is>
          <t>HL2102.pdf</t>
        </is>
      </c>
      <c r="L46" s="147" t="inlineStr">
        <is>
          <t>Circular Economy</t>
        </is>
      </c>
    </row>
    <row r="47" ht="18" customHeight="1" s="235">
      <c r="A47" s="147" t="n">
        <v>2021</v>
      </c>
      <c r="B47" s="147" t="inlineStr">
        <is>
          <t>annual utilization of bulk solid waste</t>
        </is>
      </c>
      <c r="C47" s="147" t="inlineStr">
        <is>
          <t>reach</t>
        </is>
      </c>
      <c r="D47" s="147" t="inlineStr">
        <is>
          <t>around 4.5 billion tonnes</t>
        </is>
      </c>
      <c r="E47" s="147" t="n"/>
      <c r="F47" s="151" t="n">
        <v>2030</v>
      </c>
      <c r="G47" s="147" t="inlineStr">
        <is>
          <t>n</t>
        </is>
      </c>
      <c r="H47" s="147" t="inlineStr">
        <is>
          <t>Recycling</t>
        </is>
      </c>
      <c r="I47" s="147" t="inlineStr">
        <is>
          <t>whole economy</t>
        </is>
      </c>
      <c r="J47" s="147" t="inlineStr">
        <is>
          <t>By 2025, the amount of bulk solid waste recycled annually will reach around 4 billion metric tons, rising to about 4.5 billion by 2030.</t>
        </is>
      </c>
      <c r="K47" s="149" t="inlineStr">
        <is>
          <t>HL2102.pdf</t>
        </is>
      </c>
      <c r="L47" s="147" t="inlineStr">
        <is>
          <t>Circular Economy</t>
        </is>
      </c>
    </row>
    <row r="48" ht="18" customHeight="1" s="235">
      <c r="A48" s="147" t="n">
        <v>2024</v>
      </c>
      <c r="B48" s="147" t="inlineStr">
        <is>
          <t>annual utilization of bulk solid waste</t>
        </is>
      </c>
      <c r="C48" s="147" t="inlineStr">
        <is>
          <t>reach</t>
        </is>
      </c>
      <c r="D48" s="147" t="inlineStr">
        <is>
          <t>around 4.5 billion tonnes</t>
        </is>
      </c>
      <c r="E48" s="147" t="n"/>
      <c r="F48" s="147" t="inlineStr">
        <is>
          <t>2030</t>
        </is>
      </c>
      <c r="G48" s="147" t="inlineStr">
        <is>
          <t>r</t>
        </is>
      </c>
      <c r="H48" s="147" t="inlineStr">
        <is>
          <t>Recycling</t>
        </is>
      </c>
      <c r="I48" s="147" t="inlineStr">
        <is>
          <t>whole economy</t>
        </is>
      </c>
      <c r="J48" s="147" t="inlineStr">
        <is>
          <t>By 2030, the annual utilization of bulk solid waste will reach about 4.5 billion tons.</t>
        </is>
      </c>
      <c r="K48" s="149" t="inlineStr">
        <is>
          <t>O2407.htm</t>
        </is>
      </c>
      <c r="L48" s="147" t="inlineStr">
        <is>
          <t>Circular Economy</t>
        </is>
      </c>
    </row>
    <row r="49" ht="18" customHeight="1" s="235">
      <c r="A49" s="148" t="n">
        <v>2026</v>
      </c>
      <c r="B49" s="148" t="inlineStr">
        <is>
          <t>annual utilization of bulk solid waste</t>
        </is>
      </c>
      <c r="C49" s="148" t="inlineStr">
        <is>
          <t>reach</t>
        </is>
      </c>
      <c r="D49" s="148" t="inlineStr">
        <is>
          <t>around 4.5 billion tonnes</t>
        </is>
      </c>
      <c r="E49" s="148" t="n"/>
      <c r="F49" s="154" t="n">
        <v>2030</v>
      </c>
      <c r="G49" s="148" t="inlineStr">
        <is>
          <t>r</t>
        </is>
      </c>
      <c r="H49" s="147" t="inlineStr">
        <is>
          <t>Recycling</t>
        </is>
      </c>
      <c r="I49" s="147" t="inlineStr">
        <is>
          <t>whole economy</t>
        </is>
      </c>
      <c r="J49" s="148" t="inlineStr">
        <is>
          <t>The plan will promote circular-economy development and improve the waste recycling system, with annual utilisation of bulk solid waste reaching around 4.5 billion tonnes.</t>
        </is>
      </c>
      <c r="K49" s="150" t="inlineStr">
        <is>
          <t>HL2601.pdf</t>
        </is>
      </c>
      <c r="L49" s="147" t="inlineStr">
        <is>
          <t>Circular Economy</t>
        </is>
      </c>
    </row>
    <row r="50" ht="18" customHeight="1" s="235">
      <c r="A50" s="147" t="n">
        <v>2017</v>
      </c>
      <c r="B50" s="147" t="inlineStr">
        <is>
          <t>automobile recycling rate</t>
        </is>
      </c>
      <c r="C50" s="147" t="inlineStr">
        <is>
          <t xml:space="preserve">reach </t>
        </is>
      </c>
      <c r="D50" s="147" t="inlineStr">
        <is>
          <t>95%</t>
        </is>
      </c>
      <c r="E50" s="147" t="n"/>
      <c r="F50" s="147" t="inlineStr">
        <is>
          <t>2020</t>
        </is>
      </c>
      <c r="G50" s="147" t="inlineStr">
        <is>
          <t>n</t>
        </is>
      </c>
      <c r="H50" s="147" t="inlineStr">
        <is>
          <t>Recycling</t>
        </is>
      </c>
      <c r="I50" s="147" t="inlineStr">
        <is>
          <t>sectors</t>
        </is>
      </c>
      <c r="J50" s="147" t="inlineStr">
        <is>
          <t>By 2020, the automobile recycling rate will reach 95%.</t>
        </is>
      </c>
      <c r="K50" s="149" t="inlineStr">
        <is>
          <t>DP1701.htm</t>
        </is>
      </c>
      <c r="L50" s="147" t="inlineStr">
        <is>
          <t>Circular Economy</t>
        </is>
      </c>
    </row>
    <row r="51" ht="18" customHeight="1" s="235">
      <c r="A51" s="147" t="n">
        <v>2016</v>
      </c>
      <c r="B51" s="147" t="inlineStr">
        <is>
          <t>capacity for daily initial rainwater treatment facilities</t>
        </is>
      </c>
      <c r="C51" s="147" t="inlineStr">
        <is>
          <t>add</t>
        </is>
      </c>
      <c r="D51" s="147" t="inlineStr">
        <is>
          <t>8.31 million cubic meters</t>
        </is>
      </c>
      <c r="E51" s="147" t="n"/>
      <c r="F51" s="151" t="inlineStr">
        <is>
          <t>13th FYP</t>
        </is>
      </c>
      <c r="G51" s="147" t="inlineStr">
        <is>
          <t>n</t>
        </is>
      </c>
      <c r="H51" s="147" t="inlineStr">
        <is>
          <t>Pollution control</t>
        </is>
      </c>
      <c r="I51" s="147" t="inlineStr">
        <is>
          <t>whole economy</t>
        </is>
      </c>
      <c r="J51" s="147" t="inlineStr">
        <is>
          <t>During the 13th Five-Year Plan period, it is planned to add 8.31 million cubic meters of initial rainwater treatment facilities per day.</t>
        </is>
      </c>
      <c r="K51" s="149" t="inlineStr">
        <is>
          <t>FYP1612.pdf</t>
        </is>
      </c>
      <c r="L51" s="147" t="inlineStr">
        <is>
          <t>Circular Economy</t>
        </is>
      </c>
    </row>
    <row r="52" ht="18" customHeight="1" s="235">
      <c r="A52" s="147" t="n">
        <v>2013</v>
      </c>
      <c r="B52" s="147" t="inlineStr">
        <is>
          <t>cities with districts realizing the classified collection and resource utilization of food waste</t>
        </is>
      </c>
      <c r="C52" s="147" t="inlineStr">
        <is>
          <t>reach</t>
        </is>
      </c>
      <c r="D52" s="147" t="inlineStr">
        <is>
          <t>50%</t>
        </is>
      </c>
      <c r="E52" s="147" t="n"/>
      <c r="F52" s="147" t="inlineStr">
        <is>
          <t>2015</t>
        </is>
      </c>
      <c r="G52" s="147" t="inlineStr">
        <is>
          <t>n</t>
        </is>
      </c>
      <c r="H52" s="147" t="inlineStr">
        <is>
          <t>Recycling</t>
        </is>
      </c>
      <c r="I52" s="147" t="inlineStr">
        <is>
          <t>cities</t>
        </is>
      </c>
      <c r="J52" s="147" t="inlineStr">
        <is>
          <t>By 2015, 50% of cities with districts will initially realize the classified collection and resource utilization of food waste.</t>
        </is>
      </c>
      <c r="K52" s="149" t="inlineStr">
        <is>
          <t>DP1301.htm</t>
        </is>
      </c>
      <c r="L52" s="147" t="inlineStr">
        <is>
          <t>Circular Economy</t>
        </is>
      </c>
    </row>
    <row r="53" ht="18" customHeight="1" s="235">
      <c r="A53" s="147" t="n">
        <v>2016</v>
      </c>
      <c r="B53" s="147" t="inlineStr">
        <is>
          <t>comprehensive utilisation rate of steelmaking slag</t>
        </is>
      </c>
      <c r="C53" s="147" t="inlineStr">
        <is>
          <t>reach</t>
        </is>
      </c>
      <c r="D53" s="147" t="inlineStr">
        <is>
          <t>90% or above</t>
        </is>
      </c>
      <c r="E53" s="147" t="n"/>
      <c r="F53" s="151" t="n">
        <v>2020</v>
      </c>
      <c r="G53" s="147" t="inlineStr">
        <is>
          <t>n</t>
        </is>
      </c>
      <c r="H53" s="147" t="inlineStr">
        <is>
          <t>Recycling</t>
        </is>
      </c>
      <c r="I53" s="147" t="inlineStr">
        <is>
          <t>sectors</t>
        </is>
      </c>
      <c r="J53" s="147" t="inlineStr">
        <is>
          <t>By 2020, the comprehensive utilisation rate of steelmaking slag will increase from 79% in 2015 to 90% or above.</t>
        </is>
      </c>
      <c r="K53" s="149" t="inlineStr">
        <is>
          <t>FYP1626.pdf</t>
        </is>
      </c>
      <c r="L53" s="147" t="inlineStr">
        <is>
          <t>Circular Economy</t>
        </is>
      </c>
    </row>
    <row r="54" ht="18" customHeight="1" s="235">
      <c r="A54" s="147" t="n">
        <v>2012</v>
      </c>
      <c r="B54" s="147" t="inlineStr">
        <is>
          <t>county sewage treatment rate</t>
        </is>
      </c>
      <c r="C54" s="147" t="inlineStr">
        <is>
          <t>reach</t>
        </is>
      </c>
      <c r="D54" s="147" t="inlineStr">
        <is>
          <t>70%</t>
        </is>
      </c>
      <c r="E54" s="147" t="n"/>
      <c r="F54" s="147" t="inlineStr">
        <is>
          <t>2015</t>
        </is>
      </c>
      <c r="G54" s="147" t="inlineStr">
        <is>
          <t>n</t>
        </is>
      </c>
      <c r="H54" s="147" t="inlineStr">
        <is>
          <t>Pollution control</t>
        </is>
      </c>
      <c r="I54" s="147" t="inlineStr">
        <is>
          <t>cities</t>
        </is>
      </c>
      <c r="J54" s="147" t="inlineStr">
        <is>
          <t>By 2015, the county sewage treatment rate will reach 70%.</t>
        </is>
      </c>
      <c r="K54" s="149" t="inlineStr">
        <is>
          <t>FYP1201.htm</t>
        </is>
      </c>
      <c r="L54" s="147" t="inlineStr">
        <is>
          <t>Circular Economy</t>
        </is>
      </c>
    </row>
    <row r="55" ht="18" customHeight="1" s="235">
      <c r="A55" s="147" t="n">
        <v>2013</v>
      </c>
      <c r="B55" s="147" t="inlineStr">
        <is>
          <t>crude oil processing industry's average water reuse rate</t>
        </is>
      </c>
      <c r="C55" s="147" t="inlineStr">
        <is>
          <t>reach</t>
        </is>
      </c>
      <c r="D55" s="147" t="inlineStr">
        <is>
          <t>90%</t>
        </is>
      </c>
      <c r="E55" s="147" t="n"/>
      <c r="F55" s="147" t="inlineStr">
        <is>
          <t>2015</t>
        </is>
      </c>
      <c r="G55" s="147" t="inlineStr">
        <is>
          <t>n</t>
        </is>
      </c>
      <c r="H55" s="147" t="inlineStr">
        <is>
          <t>Recycling</t>
        </is>
      </c>
      <c r="I55" s="147" t="inlineStr">
        <is>
          <t>sectors</t>
        </is>
      </c>
      <c r="J55" s="147" t="inlineStr">
        <is>
          <t>By 2015, the crude oil processing industry's average water reuse rate will reach 90%.</t>
        </is>
      </c>
      <c r="K55" s="149" t="inlineStr">
        <is>
          <t>DP1301.htm</t>
        </is>
      </c>
      <c r="L55" s="147" t="inlineStr">
        <is>
          <t>Circular Economy</t>
        </is>
      </c>
    </row>
    <row r="56" ht="18" customHeight="1" s="235">
      <c r="A56" s="147" t="n">
        <v>2014</v>
      </c>
      <c r="B56" s="147" t="inlineStr">
        <is>
          <t>discharge of major water pollutants per unit of industrial added value in key industries</t>
        </is>
      </c>
      <c r="C56" s="147" t="inlineStr">
        <is>
          <t>reduce by</t>
        </is>
      </c>
      <c r="D56" s="147" t="inlineStr">
        <is>
          <t>more than 30%</t>
        </is>
      </c>
      <c r="E56" s="147" t="n">
        <v>2010</v>
      </c>
      <c r="F56" s="147" t="inlineStr">
        <is>
          <t>2015</t>
        </is>
      </c>
      <c r="G56" s="147" t="inlineStr">
        <is>
          <t>n</t>
        </is>
      </c>
      <c r="H56" s="147" t="inlineStr">
        <is>
          <t>Pollution control</t>
        </is>
      </c>
      <c r="I56" s="147" t="inlineStr">
        <is>
          <t>sectors</t>
        </is>
      </c>
      <c r="J56" s="147" t="inlineStr">
        <is>
          <t>By 2015, the discharge of major water pollutants per unit of industrial added value in key industries will drop by more than 30%.</t>
        </is>
      </c>
      <c r="K56" s="149" t="inlineStr">
        <is>
          <t>AP1404.htm</t>
        </is>
      </c>
      <c r="L56" s="147" t="inlineStr">
        <is>
          <t>Circular Economy</t>
        </is>
      </c>
    </row>
    <row r="57" ht="18" customHeight="1" s="235">
      <c r="A57" s="147" t="n">
        <v>2013</v>
      </c>
      <c r="B57" s="147" t="inlineStr">
        <is>
          <t>food waste resource utilization capacity</t>
        </is>
      </c>
      <c r="C57" s="147" t="inlineStr">
        <is>
          <t>reach</t>
        </is>
      </c>
      <c r="D57" s="147" t="inlineStr">
        <is>
          <t>30000  tons/day</t>
        </is>
      </c>
      <c r="E57" s="147" t="n"/>
      <c r="F57" s="147" t="inlineStr">
        <is>
          <t>2015</t>
        </is>
      </c>
      <c r="G57" s="147" t="inlineStr">
        <is>
          <t>n</t>
        </is>
      </c>
      <c r="H57" s="147" t="inlineStr">
        <is>
          <t>Recycling</t>
        </is>
      </c>
      <c r="I57" s="147" t="inlineStr">
        <is>
          <t>whole economy</t>
        </is>
      </c>
      <c r="J57" s="147" t="inlineStr">
        <is>
          <t>By 2015, the food waste resource utilization capacity will reach 30,000 tons/day.</t>
        </is>
      </c>
      <c r="K57" s="149" t="inlineStr">
        <is>
          <t>DP1301.htm</t>
        </is>
      </c>
      <c r="L57" s="147" t="inlineStr">
        <is>
          <t>Circular Economy</t>
        </is>
      </c>
    </row>
    <row r="58" ht="18" customHeight="1" s="235">
      <c r="A58" s="147" t="n">
        <v>2012</v>
      </c>
      <c r="B58" s="147" t="inlineStr">
        <is>
          <t xml:space="preserve">harmless disposal rate of urban sludge   </t>
        </is>
      </c>
      <c r="C58" s="147" t="inlineStr">
        <is>
          <t>reach</t>
        </is>
      </c>
      <c r="D58" s="147" t="inlineStr">
        <is>
          <t>70%</t>
        </is>
      </c>
      <c r="E58" s="147" t="n"/>
      <c r="F58" s="147" t="inlineStr">
        <is>
          <t>2015</t>
        </is>
      </c>
      <c r="G58" s="147" t="inlineStr">
        <is>
          <t>n</t>
        </is>
      </c>
      <c r="H58" s="147" t="inlineStr">
        <is>
          <t>Pollution control</t>
        </is>
      </c>
      <c r="I58" s="147" t="inlineStr">
        <is>
          <t>cities</t>
        </is>
      </c>
      <c r="J58" s="147" t="inlineStr">
        <is>
          <t>By 2015, the sludge harmless disposal rate will reach 70%.</t>
        </is>
      </c>
      <c r="K58" s="149" t="inlineStr">
        <is>
          <t>FYP1201.htm</t>
        </is>
      </c>
      <c r="L58" s="147" t="inlineStr">
        <is>
          <t>Circular Economy</t>
        </is>
      </c>
    </row>
    <row r="59" ht="18" customHeight="1" s="235">
      <c r="A59" s="147" t="n">
        <v>2021</v>
      </c>
      <c r="B59" s="147" t="inlineStr">
        <is>
          <t xml:space="preserve">harmless disposal rate of urban sludge    </t>
        </is>
      </c>
      <c r="C59" s="147" t="inlineStr">
        <is>
          <t>reach</t>
        </is>
      </c>
      <c r="D59" s="147" t="inlineStr">
        <is>
          <t>90%</t>
        </is>
      </c>
      <c r="E59" s="147" t="n"/>
      <c r="F59" s="147" t="inlineStr">
        <is>
          <t>2025</t>
        </is>
      </c>
      <c r="G59" s="147" t="inlineStr">
        <is>
          <t>n</t>
        </is>
      </c>
      <c r="H59" s="147" t="inlineStr">
        <is>
          <t>Pollution control</t>
        </is>
      </c>
      <c r="I59" s="147" t="inlineStr">
        <is>
          <t>cities</t>
        </is>
      </c>
      <c r="J59" s="147" t="inlineStr">
        <is>
          <t>By 2025, the harmless disposal rate of urban sludge will reach 90%.</t>
        </is>
      </c>
      <c r="K59" s="149" t="inlineStr">
        <is>
          <t>FYP2107.htm</t>
        </is>
      </c>
      <c r="L59" s="147" t="inlineStr">
        <is>
          <t>Circular Economy</t>
        </is>
      </c>
    </row>
    <row r="60" ht="18" customHeight="1" s="235">
      <c r="A60" s="148" t="n">
        <v>2024</v>
      </c>
      <c r="B60" s="148" t="inlineStr">
        <is>
          <t xml:space="preserve">harmless disposal rate of urban sludge    </t>
        </is>
      </c>
      <c r="C60" s="148" t="inlineStr">
        <is>
          <t>reach</t>
        </is>
      </c>
      <c r="D60" s="148" t="inlineStr">
        <is>
          <t>over 90%</t>
        </is>
      </c>
      <c r="E60" s="148" t="n"/>
      <c r="F60" s="148" t="inlineStr">
        <is>
          <t>2025</t>
        </is>
      </c>
      <c r="G60" s="148" t="inlineStr">
        <is>
          <t>r</t>
        </is>
      </c>
      <c r="H60" s="147" t="inlineStr">
        <is>
          <t>Pollution control</t>
        </is>
      </c>
      <c r="I60" s="148" t="inlineStr">
        <is>
          <t>cities</t>
        </is>
      </c>
      <c r="J60" s="148" t="inlineStr">
        <is>
          <t>By 2025, the hazard-free disposal rate of urban sludge will reach over 90%.</t>
        </is>
      </c>
      <c r="K60" s="150" t="inlineStr">
        <is>
          <t>HL2401.pdf</t>
        </is>
      </c>
      <c r="L60" s="147" t="inlineStr">
        <is>
          <t>Circular Economy</t>
        </is>
      </c>
    </row>
    <row r="61" ht="18" customHeight="1" s="235">
      <c r="A61" s="147" t="n">
        <v>2013</v>
      </c>
      <c r="B61" s="147" t="inlineStr">
        <is>
          <t>incineration treatment capacity for urban domestic waste</t>
        </is>
      </c>
      <c r="C61" s="147" t="inlineStr">
        <is>
          <t>reach</t>
        </is>
      </c>
      <c r="D61" s="147" t="inlineStr">
        <is>
          <t>more than 870000  tons</t>
        </is>
      </c>
      <c r="E61" s="147" t="n"/>
      <c r="F61" s="147" t="inlineStr">
        <is>
          <t>2015</t>
        </is>
      </c>
      <c r="G61" s="147" t="inlineStr">
        <is>
          <t>n</t>
        </is>
      </c>
      <c r="H61" s="147" t="inlineStr">
        <is>
          <t>Pollution control</t>
        </is>
      </c>
      <c r="I61" s="147" t="inlineStr">
        <is>
          <t>cities</t>
        </is>
      </c>
      <c r="J61" s="147" t="inlineStr">
        <is>
          <t>By 2015, the harmless treatment capacity for urban domestic waste will reach more than 870,000 tons per day.</t>
        </is>
      </c>
      <c r="K61" s="149" t="inlineStr">
        <is>
          <t>O1302.htm</t>
        </is>
      </c>
      <c r="L61" s="147" t="inlineStr">
        <is>
          <t>Circular Economy</t>
        </is>
      </c>
    </row>
    <row r="62" ht="18" customHeight="1" s="235">
      <c r="A62" s="147" t="n">
        <v>2021</v>
      </c>
      <c r="B62" s="148" t="inlineStr">
        <is>
          <t xml:space="preserve">incineration treatment capacity of urban domestic waste  </t>
        </is>
      </c>
      <c r="C62" s="147" t="inlineStr">
        <is>
          <t>reach</t>
        </is>
      </c>
      <c r="D62" s="147" t="inlineStr">
        <is>
          <t>800000  tons</t>
        </is>
      </c>
      <c r="E62" s="147" t="n"/>
      <c r="F62" s="147" t="inlineStr">
        <is>
          <t>2025</t>
        </is>
      </c>
      <c r="G62" s="147" t="inlineStr">
        <is>
          <t>n</t>
        </is>
      </c>
      <c r="H62" s="147" t="inlineStr">
        <is>
          <t>Pollution control</t>
        </is>
      </c>
      <c r="I62" s="147" t="inlineStr">
        <is>
          <t>cities</t>
        </is>
      </c>
      <c r="J62" s="147" t="inlineStr">
        <is>
          <t>By 2025, the incineration treatment capacity of urban domestic waste will reach about 800,000 tons per day.</t>
        </is>
      </c>
      <c r="K62" s="149" t="inlineStr">
        <is>
          <t>FYP2107.htm</t>
        </is>
      </c>
      <c r="L62" s="147" t="inlineStr">
        <is>
          <t>Circular Economy</t>
        </is>
      </c>
    </row>
    <row r="63" ht="18" customHeight="1" s="235">
      <c r="A63" s="147" t="n">
        <v>2021</v>
      </c>
      <c r="B63" s="147" t="inlineStr">
        <is>
          <t xml:space="preserve">incineration treatment capacity of urban domestic waste  </t>
        </is>
      </c>
      <c r="C63" s="147" t="inlineStr">
        <is>
          <t>account for</t>
        </is>
      </c>
      <c r="D63" s="147" t="inlineStr">
        <is>
          <t>65%</t>
        </is>
      </c>
      <c r="E63" s="147" t="n"/>
      <c r="F63" s="147" t="inlineStr">
        <is>
          <t>2025</t>
        </is>
      </c>
      <c r="G63" s="147" t="inlineStr">
        <is>
          <t>n</t>
        </is>
      </c>
      <c r="H63" s="147" t="inlineStr">
        <is>
          <t>Pollution control</t>
        </is>
      </c>
      <c r="I63" s="147" t="inlineStr">
        <is>
          <t>cities</t>
        </is>
      </c>
      <c r="J63" s="147" t="inlineStr">
        <is>
          <t>By 2025, the incineration treatment capacity of urban domestic waste will account for about 65% of the total incineration capacity.</t>
        </is>
      </c>
      <c r="K63" s="149" t="inlineStr">
        <is>
          <t>FYP2107.htm</t>
        </is>
      </c>
      <c r="L63" s="147" t="inlineStr">
        <is>
          <t>Circular Economy</t>
        </is>
      </c>
    </row>
    <row r="64" ht="18" customHeight="1" s="235">
      <c r="A64" s="147" t="n">
        <v>2007</v>
      </c>
      <c r="B64" s="147" t="inlineStr">
        <is>
          <t>industrial water savings</t>
        </is>
      </c>
      <c r="C64" s="147" t="inlineStr">
        <is>
          <t>save</t>
        </is>
      </c>
      <c r="D64" s="147" t="inlineStr">
        <is>
          <t>3.1 billion cubic meters</t>
        </is>
      </c>
      <c r="E64" s="147" t="n"/>
      <c r="F64" s="147" t="inlineStr">
        <is>
          <t>11th FYP</t>
        </is>
      </c>
      <c r="G64" s="147" t="inlineStr">
        <is>
          <t>n</t>
        </is>
      </c>
      <c r="H64" s="147" t="inlineStr">
        <is>
          <t>Resource efficiency</t>
        </is>
      </c>
      <c r="I64" s="147" t="inlineStr">
        <is>
          <t>sectors</t>
        </is>
      </c>
      <c r="J64" s="147" t="inlineStr">
        <is>
          <t>By 2010, key industries will save 3.1 billion cubic meters of water during the 11th Five-Year Plan period.</t>
        </is>
      </c>
      <c r="K64" s="149" t="inlineStr">
        <is>
          <t>WOP0701.htm</t>
        </is>
      </c>
      <c r="L64" s="147" t="inlineStr">
        <is>
          <t>Circular Economy</t>
        </is>
      </c>
    </row>
    <row r="65" ht="18" customHeight="1" s="235">
      <c r="A65" s="147" t="n">
        <v>2018</v>
      </c>
      <c r="B65" s="147" t="inlineStr">
        <is>
          <t>matching rate of manure and waste treatment facilities and equipment in large-scale farms</t>
        </is>
      </c>
      <c r="C65" s="147" t="inlineStr">
        <is>
          <t>reach</t>
        </is>
      </c>
      <c r="D65" s="147" t="inlineStr">
        <is>
          <t>95%</t>
        </is>
      </c>
      <c r="E65" s="147" t="n"/>
      <c r="F65" s="147" t="inlineStr">
        <is>
          <t>2020</t>
        </is>
      </c>
      <c r="G65" s="147" t="inlineStr">
        <is>
          <t>n</t>
        </is>
      </c>
      <c r="H65" s="147" t="inlineStr">
        <is>
          <t>Pollution control</t>
        </is>
      </c>
      <c r="I65" s="147" t="inlineStr">
        <is>
          <t>enterprises</t>
        </is>
      </c>
      <c r="J65" s="147" t="inlineStr">
        <is>
          <t>By 2020, the comprehensive utilization rate of livestock and poultry manure and waste in the country will reach more than 75%, and the matching rate of manure and waste treatment facilities and equipment in large-scale farms will reach more than 95%.</t>
        </is>
      </c>
      <c r="K65" s="149" t="inlineStr">
        <is>
          <t>O1802.htm</t>
        </is>
      </c>
      <c r="L65" s="147" t="inlineStr">
        <is>
          <t>Circular Economy</t>
        </is>
      </c>
    </row>
    <row r="66" ht="18" customHeight="1" s="235">
      <c r="A66" s="147" t="n">
        <v>2024</v>
      </c>
      <c r="B66" s="147" t="inlineStr">
        <is>
          <t>national municipal solid waste (MSW) resource utilization rate</t>
        </is>
      </c>
      <c r="C66" s="147" t="inlineStr">
        <is>
          <t>reach</t>
        </is>
      </c>
      <c r="D66" s="147" t="inlineStr">
        <is>
          <t>around 60%</t>
        </is>
      </c>
      <c r="E66" s="147" t="n"/>
      <c r="F66" s="147" t="inlineStr">
        <is>
          <t>2025</t>
        </is>
      </c>
      <c r="G66" s="147" t="inlineStr">
        <is>
          <t>n</t>
        </is>
      </c>
      <c r="H66" s="147" t="inlineStr">
        <is>
          <t>Recycling</t>
        </is>
      </c>
      <c r="I66" s="147" t="inlineStr">
        <is>
          <t>cities</t>
        </is>
      </c>
      <c r="J66" s="147" t="inlineStr">
        <is>
          <t>By 2025, the national MSW resource utilization rate will reach around 60%.</t>
        </is>
      </c>
      <c r="K66" s="149" t="inlineStr">
        <is>
          <t>HL2401.pdf</t>
        </is>
      </c>
      <c r="L66" s="147" t="inlineStr">
        <is>
          <t>Circular Economy</t>
        </is>
      </c>
    </row>
    <row r="67" ht="18" customHeight="1" s="235">
      <c r="A67" s="147" t="n">
        <v>2021</v>
      </c>
      <c r="B67" s="147" t="inlineStr">
        <is>
          <t>new and renovated sewage collection pipelines</t>
        </is>
      </c>
      <c r="C67" s="147" t="inlineStr">
        <is>
          <t>add</t>
        </is>
      </c>
      <c r="D67" s="147" t="inlineStr">
        <is>
          <t>80000  kilometers</t>
        </is>
      </c>
      <c r="E67" s="147" t="n"/>
      <c r="F67" s="147" t="inlineStr">
        <is>
          <t>14th FYP</t>
        </is>
      </c>
      <c r="G67" s="147" t="inlineStr">
        <is>
          <t>n</t>
        </is>
      </c>
      <c r="H67" s="147" t="inlineStr">
        <is>
          <t>Pollution control</t>
        </is>
      </c>
      <c r="I67" s="147" t="inlineStr">
        <is>
          <t>unclear</t>
        </is>
      </c>
      <c r="J67" s="147" t="inlineStr">
        <is>
          <t>By 2025, 80,000 kilometers of new and renovated sewage collection pipelines will be added.</t>
        </is>
      </c>
      <c r="K67" s="149" t="inlineStr">
        <is>
          <t>FYP2107.htm</t>
        </is>
      </c>
      <c r="L67" s="147" t="inlineStr">
        <is>
          <t>Circular Economy</t>
        </is>
      </c>
    </row>
    <row r="68" ht="18" customHeight="1" s="235">
      <c r="A68" s="147" t="n">
        <v>2016</v>
      </c>
      <c r="B68" s="148" t="inlineStr">
        <is>
          <t>new sewage pipes</t>
        </is>
      </c>
      <c r="C68" s="147" t="inlineStr">
        <is>
          <t>add</t>
        </is>
      </c>
      <c r="D68" s="147" t="inlineStr">
        <is>
          <t>125900  kilometers</t>
        </is>
      </c>
      <c r="E68" s="147" t="n"/>
      <c r="F68" s="147" t="inlineStr">
        <is>
          <t>13th FYP</t>
        </is>
      </c>
      <c r="G68" s="148" t="inlineStr">
        <is>
          <t>n</t>
        </is>
      </c>
      <c r="H68" s="147" t="inlineStr">
        <is>
          <t>Pollution control</t>
        </is>
      </c>
      <c r="I68" s="147" t="inlineStr">
        <is>
          <t>unclear</t>
        </is>
      </c>
      <c r="J68" s="147" t="inlineStr">
        <is>
          <t>During the 13th Five-Year Plan period, it is planned to add 125,900 kilometers of new sewage pipes, renovate 27,700 kilometers of old sewage pipes, renovate 28,800 kilometers of combined pipes, add 50.22 million cubic meters of sewage treatment facilities per day, upgrade and renovate 42.20 million cubic meters of sewage treatment facilities per day, add 60,100 tons of sludge (measured as wet sludge with 80% water content) for harmless disposal, add 15.05 million cubic meters of recycled water utilization facilities per day, and add 8.31 million cubic meters of initial rainwater treatment facilities per day.</t>
        </is>
      </c>
      <c r="K68" s="150" t="inlineStr">
        <is>
          <t>FYP1612.pdf</t>
        </is>
      </c>
      <c r="L68" s="147" t="inlineStr">
        <is>
          <t>Circular Economy</t>
        </is>
      </c>
    </row>
    <row r="69" ht="18" customHeight="1" s="235">
      <c r="A69" s="147" t="n">
        <v>2016</v>
      </c>
      <c r="B69" s="147" t="inlineStr">
        <is>
          <t>new sewage pipes</t>
        </is>
      </c>
      <c r="C69" s="147" t="inlineStr">
        <is>
          <t>add</t>
        </is>
      </c>
      <c r="D69" s="147" t="inlineStr">
        <is>
          <t>125900  kilometers</t>
        </is>
      </c>
      <c r="E69" s="147" t="n"/>
      <c r="F69" s="147" t="inlineStr">
        <is>
          <t>13th FYP</t>
        </is>
      </c>
      <c r="G69" s="147" t="inlineStr">
        <is>
          <t>r</t>
        </is>
      </c>
      <c r="H69" s="147" t="inlineStr">
        <is>
          <t>Pollution control</t>
        </is>
      </c>
      <c r="I69" s="147" t="inlineStr">
        <is>
          <t>unclear</t>
        </is>
      </c>
      <c r="J69" s="147" t="inlineStr">
        <is>
          <t>During the 13th Five-Year Plan period, it is planned to add 125,900 kilometers of new sewage pipes.</t>
        </is>
      </c>
      <c r="K69" s="149" t="inlineStr">
        <is>
          <t>FYP1612.pdf</t>
        </is>
      </c>
      <c r="L69" s="147" t="inlineStr">
        <is>
          <t>Circular Economy</t>
        </is>
      </c>
    </row>
    <row r="70" ht="18" customHeight="1" s="235">
      <c r="A70" s="147" t="n">
        <v>2016</v>
      </c>
      <c r="B70" s="147" t="inlineStr">
        <is>
          <t>new water consumption per tonne of steel</t>
        </is>
      </c>
      <c r="C70" s="147" t="inlineStr">
        <is>
          <t>reduce to</t>
        </is>
      </c>
      <c r="D70" s="147" t="inlineStr">
        <is>
          <t>3.2 cubic meters/t or below</t>
        </is>
      </c>
      <c r="E70" s="147" t="n"/>
      <c r="F70" s="151" t="n">
        <v>2020</v>
      </c>
      <c r="G70" s="147" t="inlineStr">
        <is>
          <t>n</t>
        </is>
      </c>
      <c r="H70" s="147" t="inlineStr">
        <is>
          <t>Resource efficiency</t>
        </is>
      </c>
      <c r="I70" s="147" t="inlineStr">
        <is>
          <t>sectors</t>
        </is>
      </c>
      <c r="J70" s="147" t="inlineStr">
        <is>
          <t>By 2020, new water consumption per tonne of steel will be reduced from 3.25 cubic meters/t in 2015 to 3.2 cubic meters/t or below.</t>
        </is>
      </c>
      <c r="K70" s="149" t="inlineStr">
        <is>
          <t>FYP1626.pdf</t>
        </is>
      </c>
      <c r="L70" s="147" t="inlineStr">
        <is>
          <t>Circular Economy</t>
        </is>
      </c>
    </row>
    <row r="71" ht="18" customHeight="1" s="235">
      <c r="A71" s="148" t="n">
        <v>2013</v>
      </c>
      <c r="B71" s="148" t="inlineStr">
        <is>
          <t>non-ferrous metals recycling annual output</t>
        </is>
      </c>
      <c r="C71" s="148" t="inlineStr">
        <is>
          <t>reach</t>
        </is>
      </c>
      <c r="D71" s="148" t="inlineStr">
        <is>
          <t>12 million tons</t>
        </is>
      </c>
      <c r="E71" s="148" t="n"/>
      <c r="F71" s="148" t="inlineStr">
        <is>
          <t>2015</t>
        </is>
      </c>
      <c r="G71" s="148" t="inlineStr">
        <is>
          <t>n</t>
        </is>
      </c>
      <c r="H71" s="147" t="inlineStr">
        <is>
          <t>Recycling</t>
        </is>
      </c>
      <c r="I71" s="148" t="inlineStr">
        <is>
          <t>whole economy</t>
        </is>
      </c>
      <c r="J71" s="148" t="inlineStr">
        <is>
          <t>By 2015, the output of major recycled non-ferrous metals will reach 12 million tons.</t>
        </is>
      </c>
      <c r="K71" s="150" t="inlineStr">
        <is>
          <t>DP1301.htm</t>
        </is>
      </c>
      <c r="L71" s="147" t="inlineStr">
        <is>
          <t>Circular Economy</t>
        </is>
      </c>
    </row>
    <row r="72" ht="18" customHeight="1" s="235">
      <c r="A72" s="152" t="n">
        <v>2021</v>
      </c>
      <c r="B72" s="147" t="inlineStr">
        <is>
          <t>non-ferrous metals recycling annual output</t>
        </is>
      </c>
      <c r="C72" s="147" t="inlineStr">
        <is>
          <t>reach</t>
        </is>
      </c>
      <c r="D72" s="152" t="inlineStr">
        <is>
          <t>20 million tons</t>
        </is>
      </c>
      <c r="E72" s="152" t="n"/>
      <c r="F72" s="151" t="inlineStr">
        <is>
          <t>2025</t>
        </is>
      </c>
      <c r="G72" s="152" t="inlineStr">
        <is>
          <t>n</t>
        </is>
      </c>
      <c r="H72" s="147" t="inlineStr">
        <is>
          <t>Recycling</t>
        </is>
      </c>
      <c r="I72" s="147" t="inlineStr">
        <is>
          <t>whole economy</t>
        </is>
      </c>
      <c r="J72" s="152" t="inlineStr">
        <is>
          <t>By 2025, the production of recycled non-ferrous metals will reach 20 million tons.</t>
        </is>
      </c>
      <c r="K72" s="153" t="inlineStr">
        <is>
          <t>FYP2115.pdf</t>
        </is>
      </c>
      <c r="L72" s="147" t="inlineStr">
        <is>
          <t>Circular Economy</t>
        </is>
      </c>
    </row>
    <row r="73" ht="18" customHeight="1" s="235">
      <c r="A73" s="147" t="n">
        <v>2021</v>
      </c>
      <c r="B73" s="147" t="inlineStr">
        <is>
          <t>non-ferrous metals recycling annual output</t>
        </is>
      </c>
      <c r="C73" s="147" t="inlineStr">
        <is>
          <t>recycle</t>
        </is>
      </c>
      <c r="D73" s="147" t="inlineStr">
        <is>
          <t>20 million tons</t>
        </is>
      </c>
      <c r="E73" s="147" t="n"/>
      <c r="F73" s="147" t="inlineStr">
        <is>
          <t>2025</t>
        </is>
      </c>
      <c r="G73" s="147" t="inlineStr">
        <is>
          <t>r</t>
        </is>
      </c>
      <c r="H73" s="147" t="inlineStr">
        <is>
          <t>Recycling</t>
        </is>
      </c>
      <c r="I73" s="147" t="inlineStr">
        <is>
          <t>whole economy</t>
        </is>
      </c>
      <c r="J73" s="147" t="inlineStr">
        <is>
          <t>By 2025, we will strive to recycle 20 million tons of scrap non-ferrous metals.</t>
        </is>
      </c>
      <c r="K73" s="149" t="inlineStr">
        <is>
          <t>FYP2101.pdf</t>
        </is>
      </c>
      <c r="L73" s="147" t="inlineStr">
        <is>
          <t>Circular Economy</t>
        </is>
      </c>
    </row>
    <row r="74" ht="18" customHeight="1" s="235">
      <c r="A74" s="147" t="n">
        <v>2026</v>
      </c>
      <c r="B74" s="147" t="inlineStr">
        <is>
          <t>non-ferrous metals recycling annual output</t>
        </is>
      </c>
      <c r="C74" s="147" t="inlineStr">
        <is>
          <t>exceed</t>
        </is>
      </c>
      <c r="D74" s="147" t="inlineStr">
        <is>
          <t>25 million tonnes</t>
        </is>
      </c>
      <c r="E74" s="147" t="n"/>
      <c r="F74" s="151" t="n">
        <v>2030</v>
      </c>
      <c r="G74" s="147" t="inlineStr">
        <is>
          <t>n</t>
        </is>
      </c>
      <c r="H74" s="147" t="inlineStr">
        <is>
          <t>Recycling</t>
        </is>
      </c>
      <c r="I74" s="147" t="inlineStr">
        <is>
          <t>sectors</t>
        </is>
      </c>
      <c r="J74" s="147" t="inlineStr">
        <is>
          <t>By 2030, annual output of recycled non-ferrous metals will exceed 25 million tonnes.</t>
        </is>
      </c>
      <c r="K74" s="149" t="inlineStr">
        <is>
          <t>AP2601.htm</t>
        </is>
      </c>
      <c r="L74" s="147" t="inlineStr">
        <is>
          <t>Circular Economy</t>
        </is>
      </c>
    </row>
    <row r="75" ht="18" customHeight="1" s="235">
      <c r="A75" s="147" t="n">
        <v>2005</v>
      </c>
      <c r="B75" s="147" t="inlineStr">
        <is>
          <t>output rate of major resources</t>
        </is>
      </c>
      <c r="C75" s="147" t="inlineStr">
        <is>
          <t>increase by</t>
        </is>
      </c>
      <c r="D75" s="147" t="inlineStr">
        <is>
          <t>about 25%</t>
        </is>
      </c>
      <c r="E75" s="147" t="n">
        <v>2003</v>
      </c>
      <c r="F75" s="147" t="inlineStr">
        <is>
          <t>2010</t>
        </is>
      </c>
      <c r="G75" s="147" t="inlineStr">
        <is>
          <t>n</t>
        </is>
      </c>
      <c r="H75" s="147" t="inlineStr">
        <is>
          <t>Resource efficiency</t>
        </is>
      </c>
      <c r="I75" s="147" t="inlineStr">
        <is>
          <t>whole economy</t>
        </is>
      </c>
      <c r="J75" s="147" t="inlineStr">
        <is>
          <t>By 2010, China will increase GDP per ton of 15 major resources—including energy, iron ore, nonferrous metals, and non-metallic minerals—by about 25% compared with 2003.</t>
        </is>
      </c>
      <c r="K75" s="149" t="inlineStr">
        <is>
          <t>O0501.htm</t>
        </is>
      </c>
      <c r="L75" s="147" t="inlineStr">
        <is>
          <t>Circular Economy</t>
        </is>
      </c>
    </row>
    <row r="76" ht="18" customHeight="1" s="235">
      <c r="A76" s="147" t="n">
        <v>2024</v>
      </c>
      <c r="B76" s="147" t="inlineStr">
        <is>
          <t>output rate of major resources</t>
        </is>
      </c>
      <c r="C76" s="147" t="inlineStr">
        <is>
          <t>increase by</t>
        </is>
      </c>
      <c r="D76" s="147" t="inlineStr">
        <is>
          <t>45%</t>
        </is>
      </c>
      <c r="E76" s="147" t="n">
        <v>2020</v>
      </c>
      <c r="F76" s="147" t="inlineStr">
        <is>
          <t>2030</t>
        </is>
      </c>
      <c r="G76" s="147" t="inlineStr">
        <is>
          <t>n</t>
        </is>
      </c>
      <c r="H76" s="147" t="inlineStr">
        <is>
          <t>Resource efficiency</t>
        </is>
      </c>
      <c r="I76" s="147" t="inlineStr">
        <is>
          <t>whole economy</t>
        </is>
      </c>
      <c r="J76" s="147" t="inlineStr">
        <is>
          <t>By 2030, the output rate of major resources will increase by about 45% compared with 2020.</t>
        </is>
      </c>
      <c r="K76" s="149" t="inlineStr">
        <is>
          <t>O2407.htm</t>
        </is>
      </c>
      <c r="L76" s="147" t="inlineStr">
        <is>
          <t>Circular Economy</t>
        </is>
      </c>
    </row>
    <row r="77" ht="18" customHeight="1" s="235">
      <c r="A77" s="152" t="n">
        <v>2021</v>
      </c>
      <c r="B77" s="147" t="inlineStr">
        <is>
          <t>output rate of major resources</t>
        </is>
      </c>
      <c r="C77" s="147" t="inlineStr">
        <is>
          <t>increase by</t>
        </is>
      </c>
      <c r="D77" s="152" t="inlineStr">
        <is>
          <t>20%</t>
        </is>
      </c>
      <c r="E77" s="152" t="n">
        <v>2020</v>
      </c>
      <c r="F77" s="151" t="inlineStr">
        <is>
          <t>2025</t>
        </is>
      </c>
      <c r="G77" s="152" t="inlineStr">
        <is>
          <t>n</t>
        </is>
      </c>
      <c r="H77" s="147" t="inlineStr">
        <is>
          <t>Resource efficiency</t>
        </is>
      </c>
      <c r="I77" s="147" t="inlineStr">
        <is>
          <t>whole economy</t>
        </is>
      </c>
      <c r="J77" s="152" t="inlineStr">
        <is>
          <t>By 2025, the output rate of major resources will increase by about 20% compared to 2020.</t>
        </is>
      </c>
      <c r="K77" s="153" t="inlineStr">
        <is>
          <t>FYP2115.pdf</t>
        </is>
      </c>
      <c r="L77" s="147" t="inlineStr">
        <is>
          <t>Circular Economy</t>
        </is>
      </c>
    </row>
    <row r="78" ht="18" customHeight="1" s="235">
      <c r="A78" s="147" t="n">
        <v>2024</v>
      </c>
      <c r="B78" s="147" t="inlineStr">
        <is>
          <t>output rate of major resources</t>
        </is>
      </c>
      <c r="C78" s="147" t="inlineStr">
        <is>
          <t>increase by</t>
        </is>
      </c>
      <c r="D78" s="147" t="inlineStr">
        <is>
          <t>45%</t>
        </is>
      </c>
      <c r="E78" s="147" t="n">
        <v>2020</v>
      </c>
      <c r="F78" s="151" t="n">
        <v>2030</v>
      </c>
      <c r="G78" s="147" t="inlineStr">
        <is>
          <t>r</t>
        </is>
      </c>
      <c r="H78" s="147" t="inlineStr">
        <is>
          <t>Resource efficiency</t>
        </is>
      </c>
      <c r="I78" s="147" t="inlineStr">
        <is>
          <t>whole economy</t>
        </is>
      </c>
      <c r="J78" s="147" t="inlineStr">
        <is>
          <t>It also aims to increase the productivity of major resources by approximately 45% by 2030 compared to 2020.</t>
        </is>
      </c>
      <c r="K78" s="149" t="inlineStr">
        <is>
          <t>HL2404.pdf</t>
        </is>
      </c>
      <c r="L78" s="147" t="inlineStr">
        <is>
          <t>Circular Economy</t>
        </is>
      </c>
    </row>
    <row r="79" ht="18" customHeight="1" s="235">
      <c r="A79" s="147" t="n">
        <v>2026</v>
      </c>
      <c r="B79" s="147" t="inlineStr">
        <is>
          <t>output rate of major resources</t>
        </is>
      </c>
      <c r="C79" s="147" t="inlineStr">
        <is>
          <t>increase by</t>
        </is>
      </c>
      <c r="D79" s="147" t="inlineStr">
        <is>
          <t>around 16%</t>
        </is>
      </c>
      <c r="E79" s="147" t="n"/>
      <c r="F79" s="151" t="inlineStr">
        <is>
          <t>15th FYP</t>
        </is>
      </c>
      <c r="G79" s="147" t="inlineStr">
        <is>
          <t>n</t>
        </is>
      </c>
      <c r="H79" s="147" t="inlineStr">
        <is>
          <t>Resource efficiency</t>
        </is>
      </c>
      <c r="I79" s="147" t="inlineStr">
        <is>
          <t>whole economy</t>
        </is>
      </c>
      <c r="J79" s="147" t="inlineStr">
        <is>
          <t>The plan will improve waste recycling, recycled-resource processing and high-quality recycled material application systems, increasing the output rate of major resources by around 16%.</t>
        </is>
      </c>
      <c r="K79" s="149" t="inlineStr">
        <is>
          <t>HL2601.pdf</t>
        </is>
      </c>
      <c r="L79" s="147" t="inlineStr">
        <is>
          <t>Circular Economy</t>
        </is>
      </c>
    </row>
    <row r="80" ht="18" customHeight="1" s="235">
      <c r="A80" s="147" t="n">
        <v>2013</v>
      </c>
      <c r="B80" s="147" t="inlineStr">
        <is>
          <t xml:space="preserve">output value of recycled resources    </t>
        </is>
      </c>
      <c r="C80" s="147" t="inlineStr">
        <is>
          <t>reach</t>
        </is>
      </c>
      <c r="D80" s="147" t="inlineStr">
        <is>
          <t>1.2 trillion yuan</t>
        </is>
      </c>
      <c r="E80" s="147" t="n"/>
      <c r="F80" s="147" t="inlineStr">
        <is>
          <t>2015</t>
        </is>
      </c>
      <c r="G80" s="147" t="inlineStr">
        <is>
          <t>n</t>
        </is>
      </c>
      <c r="H80" s="147" t="inlineStr">
        <is>
          <t>Recycling</t>
        </is>
      </c>
      <c r="I80" s="147" t="inlineStr">
        <is>
          <t>whole economy</t>
        </is>
      </c>
      <c r="J80" s="147" t="inlineStr">
        <is>
          <t>By 2015, the output value of recycled resources will reach 1.2 trillion yuan.</t>
        </is>
      </c>
      <c r="K80" s="149" t="inlineStr">
        <is>
          <t>DP1301.htm</t>
        </is>
      </c>
      <c r="L80" s="147" t="inlineStr">
        <is>
          <t>Circular Economy</t>
        </is>
      </c>
    </row>
    <row r="81" ht="18" customHeight="1" s="235">
      <c r="A81" s="147" t="n">
        <v>2016</v>
      </c>
      <c r="B81" s="147" t="inlineStr">
        <is>
          <t xml:space="preserve">output value of remanufacturing industry  </t>
        </is>
      </c>
      <c r="C81" s="147" t="inlineStr">
        <is>
          <t>exceed</t>
        </is>
      </c>
      <c r="D81" s="147" t="inlineStr">
        <is>
          <t>100 billion yuan</t>
        </is>
      </c>
      <c r="E81" s="147" t="n"/>
      <c r="F81" s="147" t="inlineStr">
        <is>
          <t>2020</t>
        </is>
      </c>
      <c r="G81" s="147" t="inlineStr">
        <is>
          <t>n</t>
        </is>
      </c>
      <c r="H81" s="147" t="inlineStr">
        <is>
          <t>Production-oriented</t>
        </is>
      </c>
      <c r="I81" s="147" t="inlineStr">
        <is>
          <t>sectors</t>
        </is>
      </c>
      <c r="J81" s="147" t="inlineStr">
        <is>
          <t>By 2020, the output value of the remanufacturing industry will exceed 100 billion yuan.</t>
        </is>
      </c>
      <c r="K81" s="149" t="inlineStr">
        <is>
          <t>FYP1601.htm</t>
        </is>
      </c>
      <c r="L81" s="147" t="inlineStr">
        <is>
          <t>Circular Economy</t>
        </is>
      </c>
    </row>
    <row r="82" ht="18" customHeight="1" s="235">
      <c r="A82" s="147" t="n">
        <v>2016</v>
      </c>
      <c r="B82" s="147" t="inlineStr">
        <is>
          <t>output value of resource circular utilisation industry</t>
        </is>
      </c>
      <c r="C82" s="147" t="inlineStr">
        <is>
          <t>reach</t>
        </is>
      </c>
      <c r="D82" s="147" t="inlineStr">
        <is>
          <t>3 trillion yuan</t>
        </is>
      </c>
      <c r="E82" s="147" t="n"/>
      <c r="F82" s="147" t="inlineStr">
        <is>
          <t>2020</t>
        </is>
      </c>
      <c r="G82" s="147" t="inlineStr">
        <is>
          <t>r</t>
        </is>
      </c>
      <c r="H82" s="147" t="inlineStr">
        <is>
          <t>Recycling</t>
        </is>
      </c>
      <c r="I82" s="147" t="inlineStr">
        <is>
          <t>sectors</t>
        </is>
      </c>
      <c r="J82" s="147" t="inlineStr">
        <is>
          <t>By 2020, we will strive to achieve an output value of 3 trillion yuan for the resource recycling industry.</t>
        </is>
      </c>
      <c r="K82" s="149" t="inlineStr">
        <is>
          <t>FYP1613.htm</t>
        </is>
      </c>
      <c r="L82" s="147" t="inlineStr">
        <is>
          <t>Circular Economy</t>
        </is>
      </c>
    </row>
    <row r="83" ht="18" customHeight="1" s="235">
      <c r="A83" s="147" t="n">
        <v>2016</v>
      </c>
      <c r="B83" s="147" t="inlineStr">
        <is>
          <t>output value of resource circular utilisation industry</t>
        </is>
      </c>
      <c r="C83" s="147" t="inlineStr">
        <is>
          <t>reach</t>
        </is>
      </c>
      <c r="D83" s="147" t="inlineStr">
        <is>
          <t>3 trillion yuan</t>
        </is>
      </c>
      <c r="E83" s="147" t="n"/>
      <c r="F83" s="147" t="inlineStr">
        <is>
          <t>2020</t>
        </is>
      </c>
      <c r="G83" s="147" t="inlineStr">
        <is>
          <t>n</t>
        </is>
      </c>
      <c r="H83" s="147" t="inlineStr">
        <is>
          <t>Recycling</t>
        </is>
      </c>
      <c r="I83" s="147" t="inlineStr">
        <is>
          <t>sectors</t>
        </is>
      </c>
      <c r="J83" s="147" t="inlineStr">
        <is>
          <t>By 2020, the output value of the resource circular utilisation industry will reach 3 trillion yuan.</t>
        </is>
      </c>
      <c r="K83" s="149" t="inlineStr">
        <is>
          <t>FYP1601.htm</t>
        </is>
      </c>
      <c r="L83" s="147" t="inlineStr">
        <is>
          <t>Circular Economy</t>
        </is>
      </c>
    </row>
    <row r="84" ht="18" customHeight="1" s="235">
      <c r="A84" s="152" t="n">
        <v>2021</v>
      </c>
      <c r="B84" s="147" t="inlineStr">
        <is>
          <t>output value of resource circular utilisation industry</t>
        </is>
      </c>
      <c r="C84" s="147" t="inlineStr">
        <is>
          <t>reach</t>
        </is>
      </c>
      <c r="D84" s="147" t="inlineStr">
        <is>
          <t>5 trillion yuan</t>
        </is>
      </c>
      <c r="E84" s="152" t="n"/>
      <c r="F84" s="151" t="inlineStr">
        <is>
          <t>2025</t>
        </is>
      </c>
      <c r="G84" s="152" t="inlineStr">
        <is>
          <t>n</t>
        </is>
      </c>
      <c r="H84" s="147" t="inlineStr">
        <is>
          <t>Recycling</t>
        </is>
      </c>
      <c r="I84" s="147" t="inlineStr">
        <is>
          <t>sectors</t>
        </is>
      </c>
      <c r="J84" s="152" t="inlineStr">
        <is>
          <t>By 2025, the output value of the resource circular utilisation industry will reach 5 trillion yuan.</t>
        </is>
      </c>
      <c r="K84" s="153" t="inlineStr">
        <is>
          <t>FYP2115.pdf</t>
        </is>
      </c>
      <c r="L84" s="147" t="inlineStr">
        <is>
          <t>Circular Economy</t>
        </is>
      </c>
    </row>
    <row r="85" ht="18" customHeight="1" s="235">
      <c r="A85" s="147" t="n">
        <v>2016</v>
      </c>
      <c r="B85" s="147" t="inlineStr">
        <is>
          <t>output value of the resource recycling industry</t>
        </is>
      </c>
      <c r="C85" s="147" t="inlineStr">
        <is>
          <t>reach</t>
        </is>
      </c>
      <c r="D85" s="147" t="inlineStr">
        <is>
          <t>1.5 trillion yuan</t>
        </is>
      </c>
      <c r="E85" s="147" t="n"/>
      <c r="F85" s="147" t="inlineStr">
        <is>
          <t>2020</t>
        </is>
      </c>
      <c r="G85" s="147" t="inlineStr">
        <is>
          <t>n</t>
        </is>
      </c>
      <c r="H85" s="147" t="inlineStr">
        <is>
          <t>Recycling</t>
        </is>
      </c>
      <c r="I85" s="147" t="inlineStr">
        <is>
          <t>sectors</t>
        </is>
      </c>
      <c r="J85" s="147" t="inlineStr">
        <is>
          <t>By 2020, the output value of the resource recycling industry will reach 1.5 trillion yuan.</t>
        </is>
      </c>
      <c r="K85" s="149" t="inlineStr">
        <is>
          <t>FYP1601.htm</t>
        </is>
      </c>
      <c r="L85" s="147" t="inlineStr">
        <is>
          <t>Circular Economy</t>
        </is>
      </c>
    </row>
    <row r="86" ht="18" customHeight="1" s="235">
      <c r="A86" s="147" t="n">
        <v>2016</v>
      </c>
      <c r="B86" s="147" t="inlineStr">
        <is>
          <t>per capita water consumption</t>
        </is>
      </c>
      <c r="C86" s="147" t="inlineStr">
        <is>
          <t>reduce by</t>
        </is>
      </c>
      <c r="D86" s="147" t="inlineStr">
        <is>
          <t>17.84%</t>
        </is>
      </c>
      <c r="E86" s="147" t="n">
        <v>2010</v>
      </c>
      <c r="F86" s="151" t="n">
        <v>2015</v>
      </c>
      <c r="G86" s="147" t="inlineStr">
        <is>
          <t>n</t>
        </is>
      </c>
      <c r="H86" s="147" t="inlineStr">
        <is>
          <t>Resource efficiency</t>
        </is>
      </c>
      <c r="I86" s="147" t="inlineStr">
        <is>
          <t>whole economy</t>
        </is>
      </c>
      <c r="J86" s="147" t="inlineStr">
        <is>
          <t>Compared with 2010, per capita water consumption decreased by 17.84% in 2015.</t>
        </is>
      </c>
      <c r="K86" s="149" t="inlineStr">
        <is>
          <t>FYP1618.htm</t>
        </is>
      </c>
      <c r="L86" s="147" t="inlineStr">
        <is>
          <t>Circular Economy</t>
        </is>
      </c>
    </row>
    <row r="87" ht="18" customHeight="1" s="235">
      <c r="A87" s="148" t="n">
        <v>2012</v>
      </c>
      <c r="B87" s="148" t="inlineStr">
        <is>
          <t>percent of large-scale farms and breeding communities with supporting waste treatment facilities</t>
        </is>
      </c>
      <c r="C87" s="148" t="inlineStr">
        <is>
          <t>reach</t>
        </is>
      </c>
      <c r="D87" s="148" t="inlineStr">
        <is>
          <t>50%</t>
        </is>
      </c>
      <c r="E87" s="148" t="n"/>
      <c r="F87" s="148" t="inlineStr">
        <is>
          <t>2015</t>
        </is>
      </c>
      <c r="G87" s="148" t="inlineStr">
        <is>
          <t>n</t>
        </is>
      </c>
      <c r="H87" s="147" t="inlineStr">
        <is>
          <t>Pollution control</t>
        </is>
      </c>
      <c r="I87" s="147" t="inlineStr">
        <is>
          <t>enterprises</t>
        </is>
      </c>
      <c r="J87" s="148" t="inlineStr">
        <is>
          <t>By 2015, more than 50% of large-scale farms and breeding communities will have built supporting waste treatment facilities.</t>
        </is>
      </c>
      <c r="K87" s="150" t="inlineStr">
        <is>
          <t>FYP1201.htm</t>
        </is>
      </c>
      <c r="L87" s="147" t="inlineStr">
        <is>
          <t>Circular Economy</t>
        </is>
      </c>
    </row>
    <row r="88" ht="18" customHeight="1" s="235">
      <c r="A88" s="147" t="n">
        <v>2023</v>
      </c>
      <c r="B88" s="147" t="inlineStr">
        <is>
          <t>percentage of livestock manure utilized as organic fertilizers or biofuel</t>
        </is>
      </c>
      <c r="C88" s="147" t="inlineStr">
        <is>
          <t>reach</t>
        </is>
      </c>
      <c r="D88" s="147" t="inlineStr">
        <is>
          <t>80%</t>
        </is>
      </c>
      <c r="E88" s="147" t="n"/>
      <c r="F88" s="147" t="inlineStr">
        <is>
          <t>2025</t>
        </is>
      </c>
      <c r="G88" s="147" t="inlineStr">
        <is>
          <t>n</t>
        </is>
      </c>
      <c r="H88" s="147" t="inlineStr">
        <is>
          <t>Recycling</t>
        </is>
      </c>
      <c r="I88" s="147" t="inlineStr">
        <is>
          <t>unclear</t>
        </is>
      </c>
      <c r="J88" s="147" t="inlineStr">
        <is>
          <t>By 2025, the percentage of livestock manure utilized as organic fertilizers or biofuels will reach more than 80%</t>
        </is>
      </c>
      <c r="K88" s="149" t="inlineStr">
        <is>
          <t>HL2302.pdf</t>
        </is>
      </c>
      <c r="L88" s="147" t="inlineStr">
        <is>
          <t>Circular Economy</t>
        </is>
      </c>
    </row>
    <row r="89" ht="18" customHeight="1" s="235">
      <c r="A89" s="147" t="n">
        <v>2026</v>
      </c>
      <c r="B89" s="147" t="inlineStr">
        <is>
          <t>plastics annual recycling output</t>
        </is>
      </c>
      <c r="C89" s="147" t="inlineStr">
        <is>
          <t>exceed</t>
        </is>
      </c>
      <c r="D89" s="147" t="inlineStr">
        <is>
          <t>19.5 million tonnes</t>
        </is>
      </c>
      <c r="E89" s="147" t="n"/>
      <c r="F89" s="151" t="n">
        <v>2030</v>
      </c>
      <c r="G89" s="147" t="inlineStr">
        <is>
          <t>n</t>
        </is>
      </c>
      <c r="H89" s="147" t="inlineStr">
        <is>
          <t>Recycling</t>
        </is>
      </c>
      <c r="I89" s="147" t="inlineStr">
        <is>
          <t>whole economy</t>
        </is>
      </c>
      <c r="J89" s="147" t="inlineStr">
        <is>
          <t>By 2030, annual output of recycled plastics will exceed 19.5 million tonnes.</t>
        </is>
      </c>
      <c r="K89" s="149" t="inlineStr">
        <is>
          <t>AP2601.htm</t>
        </is>
      </c>
      <c r="L89" s="147" t="inlineStr">
        <is>
          <t>Circular Economy</t>
        </is>
      </c>
    </row>
    <row r="90" ht="18" customHeight="1" s="235">
      <c r="A90" s="147" t="n">
        <v>2024</v>
      </c>
      <c r="B90" s="147" t="inlineStr">
        <is>
          <t>proportion of "zero-waste city" construction</t>
        </is>
      </c>
      <c r="C90" s="147" t="inlineStr">
        <is>
          <t>reach</t>
        </is>
      </c>
      <c r="D90" s="147" t="inlineStr">
        <is>
          <t>60%</t>
        </is>
      </c>
      <c r="E90" s="147" t="n"/>
      <c r="F90" s="147" t="inlineStr">
        <is>
          <t>2027</t>
        </is>
      </c>
      <c r="G90" s="147" t="inlineStr">
        <is>
          <t>n</t>
        </is>
      </c>
      <c r="H90" s="147" t="inlineStr">
        <is>
          <t>Recycling</t>
        </is>
      </c>
      <c r="I90" s="147" t="inlineStr">
        <is>
          <t>cities</t>
        </is>
      </c>
      <c r="J90" s="147" t="inlineStr">
        <is>
          <t>By 2027, the proportion of "zero-waste city" construction will reach 60%.</t>
        </is>
      </c>
      <c r="K90" s="149" t="inlineStr">
        <is>
          <t>O2405.htm</t>
        </is>
      </c>
      <c r="L90" s="147" t="inlineStr">
        <is>
          <t>Circular Economy</t>
        </is>
      </c>
    </row>
    <row r="91" ht="18" customHeight="1" s="235">
      <c r="A91" s="147" t="n">
        <v>2016</v>
      </c>
      <c r="B91" s="147" t="inlineStr">
        <is>
          <t>proportion of administrative villages treating domestic waste</t>
        </is>
      </c>
      <c r="C91" s="147" t="inlineStr">
        <is>
          <t>reach</t>
        </is>
      </c>
      <c r="D91" s="147" t="inlineStr">
        <is>
          <t>90%</t>
        </is>
      </c>
      <c r="E91" s="147" t="n"/>
      <c r="F91" s="147" t="inlineStr">
        <is>
          <t>2020</t>
        </is>
      </c>
      <c r="G91" s="147" t="inlineStr">
        <is>
          <t>n</t>
        </is>
      </c>
      <c r="H91" s="147" t="inlineStr">
        <is>
          <t>Pollution control</t>
        </is>
      </c>
      <c r="I91" s="147" t="inlineStr">
        <is>
          <t>cities</t>
        </is>
      </c>
      <c r="J91" s="147" t="inlineStr">
        <is>
          <t>By 2020, domestic waste in more than 90% of administrative villages will be treated.</t>
        </is>
      </c>
      <c r="K91" s="149" t="inlineStr">
        <is>
          <t>FYP1601.htm</t>
        </is>
      </c>
      <c r="L91" s="147" t="inlineStr">
        <is>
          <t>Circular Economy</t>
        </is>
      </c>
    </row>
    <row r="92" ht="18" customHeight="1" s="235">
      <c r="A92" s="147" t="n">
        <v>2024</v>
      </c>
      <c r="B92" s="147" t="inlineStr">
        <is>
          <t xml:space="preserve">proportion of recycled metal supply  </t>
        </is>
      </c>
      <c r="C92" s="147" t="inlineStr">
        <is>
          <t>reach</t>
        </is>
      </c>
      <c r="D92" s="147" t="inlineStr">
        <is>
          <t>more than 24%</t>
        </is>
      </c>
      <c r="E92" s="147" t="n"/>
      <c r="F92" s="147" t="inlineStr">
        <is>
          <t>2025</t>
        </is>
      </c>
      <c r="G92" s="147" t="inlineStr">
        <is>
          <t>r</t>
        </is>
      </c>
      <c r="H92" s="147" t="inlineStr">
        <is>
          <t>Recycling</t>
        </is>
      </c>
      <c r="I92" s="147" t="inlineStr">
        <is>
          <t>sectors</t>
        </is>
      </c>
      <c r="J92" s="147" t="inlineStr">
        <is>
          <t>By the end of 2025, the proportion of recycled metal supply will reach more than 24%.</t>
        </is>
      </c>
      <c r="K92" s="149" t="inlineStr">
        <is>
          <t>AP2405.htm</t>
        </is>
      </c>
      <c r="L92" s="147" t="inlineStr">
        <is>
          <t>Circular Economy</t>
        </is>
      </c>
    </row>
    <row r="93" ht="18" customHeight="1" s="235">
      <c r="A93" s="147" t="n">
        <v>2022</v>
      </c>
      <c r="B93" s="147" t="inlineStr">
        <is>
          <t xml:space="preserve">proportion of recycled metal supply  </t>
        </is>
      </c>
      <c r="C93" s="147" t="inlineStr">
        <is>
          <t>exceed</t>
        </is>
      </c>
      <c r="D93" s="147" t="inlineStr">
        <is>
          <t>24%</t>
        </is>
      </c>
      <c r="E93" s="147" t="n"/>
      <c r="F93" s="147" t="inlineStr">
        <is>
          <t>2025</t>
        </is>
      </c>
      <c r="G93" s="147" t="inlineStr">
        <is>
          <t>n</t>
        </is>
      </c>
      <c r="H93" s="147" t="inlineStr">
        <is>
          <t>Recycling</t>
        </is>
      </c>
      <c r="I93" s="147" t="inlineStr">
        <is>
          <t>sectors</t>
        </is>
      </c>
      <c r="J93" s="147" t="inlineStr">
        <is>
          <t>By 2025, the proportion of recycled metal supply will exceed 24%.</t>
        </is>
      </c>
      <c r="K93" s="149" t="inlineStr">
        <is>
          <t>IP2221.htm</t>
        </is>
      </c>
      <c r="L93" s="147" t="inlineStr">
        <is>
          <t>Circular Economy</t>
        </is>
      </c>
    </row>
    <row r="94" ht="18" customHeight="1" s="235">
      <c r="A94" s="147" t="n">
        <v>2024</v>
      </c>
      <c r="B94" s="147" t="inlineStr">
        <is>
          <t>proportion of supply of recycled metals</t>
        </is>
      </c>
      <c r="C94" s="147" t="inlineStr">
        <is>
          <t>reach</t>
        </is>
      </c>
      <c r="D94" s="147" t="inlineStr">
        <is>
          <t>24%</t>
        </is>
      </c>
      <c r="E94" s="147" t="n"/>
      <c r="F94" s="147" t="inlineStr">
        <is>
          <t>14th FYP</t>
        </is>
      </c>
      <c r="G94" s="147" t="inlineStr">
        <is>
          <t>n</t>
        </is>
      </c>
      <c r="H94" s="147" t="inlineStr">
        <is>
          <t>Recycling</t>
        </is>
      </c>
      <c r="I94" s="147" t="inlineStr">
        <is>
          <t>sectors</t>
        </is>
      </c>
      <c r="J94" s="147" t="inlineStr">
        <is>
          <t>During the "14th Five-Year Plan" period, the supply of recycled metals will reach over 24%.</t>
        </is>
      </c>
      <c r="K94" s="149" t="inlineStr">
        <is>
          <t>HL2401.pdf</t>
        </is>
      </c>
      <c r="L94" s="147" t="inlineStr">
        <is>
          <t>Circular Economy</t>
        </is>
      </c>
    </row>
    <row r="95" ht="18" customHeight="1" s="235">
      <c r="A95" s="147" t="n">
        <v>2019</v>
      </c>
      <c r="B95" s="147" t="inlineStr">
        <is>
          <t>proportion of supporting waste disposal facilities in large-scale livestock and poultry farms and breeding zones</t>
        </is>
      </c>
      <c r="C95" s="147" t="inlineStr">
        <is>
          <t>reach</t>
        </is>
      </c>
      <c r="D95" s="147" t="inlineStr">
        <is>
          <t>75%</t>
        </is>
      </c>
      <c r="E95" s="147" t="n"/>
      <c r="F95" s="151" t="n">
        <v>2020</v>
      </c>
      <c r="G95" s="147" t="inlineStr">
        <is>
          <t>n</t>
        </is>
      </c>
      <c r="H95" s="147" t="inlineStr">
        <is>
          <t>Pollution control</t>
        </is>
      </c>
      <c r="I95" s="147" t="inlineStr">
        <is>
          <t>areas</t>
        </is>
      </c>
      <c r="J95" s="147" t="inlineStr">
        <is>
          <t>In agriculture, China will strive to increase the proportion of supporting waste disposal facilities in large-scale livestock and poultry farms and breeding zones to over 75% by 2020.</t>
        </is>
      </c>
      <c r="K95" s="149" t="inlineStr">
        <is>
          <t>HL1902.pdf</t>
        </is>
      </c>
      <c r="L95" s="147" t="inlineStr">
        <is>
          <t>Circular Economy</t>
        </is>
      </c>
    </row>
    <row r="96" ht="18" customHeight="1" s="235">
      <c r="A96" s="147" t="n">
        <v>2021</v>
      </c>
      <c r="B96" s="147" t="inlineStr">
        <is>
          <t>reclamation rate for urban household waste</t>
        </is>
      </c>
      <c r="C96" s="147" t="inlineStr">
        <is>
          <t>reach</t>
        </is>
      </c>
      <c r="D96" s="147" t="inlineStr">
        <is>
          <t>60%</t>
        </is>
      </c>
      <c r="E96" s="147" t="n"/>
      <c r="F96" s="147" t="inlineStr">
        <is>
          <t>2025</t>
        </is>
      </c>
      <c r="G96" s="147" t="inlineStr">
        <is>
          <t>n</t>
        </is>
      </c>
      <c r="H96" s="147" t="inlineStr">
        <is>
          <t>Recycling</t>
        </is>
      </c>
      <c r="I96" s="147" t="inlineStr">
        <is>
          <t>cities</t>
        </is>
      </c>
      <c r="J96" s="147" t="inlineStr">
        <is>
          <t>By 2025, a basic sorting system for urban household waste will be established, with the reclamation rate up to about 60%.</t>
        </is>
      </c>
      <c r="K96" s="149" t="inlineStr">
        <is>
          <t>HL2102.pdf</t>
        </is>
      </c>
      <c r="L96" s="147" t="inlineStr">
        <is>
          <t>Circular Economy</t>
        </is>
      </c>
    </row>
    <row r="97" ht="18" customHeight="1" s="235">
      <c r="A97" s="147" t="n">
        <v>2021</v>
      </c>
      <c r="B97" s="147" t="inlineStr">
        <is>
          <t>reclamation rate for urban household waste</t>
        </is>
      </c>
      <c r="C97" s="147" t="inlineStr">
        <is>
          <t>reach</t>
        </is>
      </c>
      <c r="D97" s="147" t="inlineStr">
        <is>
          <t>65%</t>
        </is>
      </c>
      <c r="E97" s="147" t="n"/>
      <c r="F97" s="147" t="inlineStr">
        <is>
          <t>2030</t>
        </is>
      </c>
      <c r="G97" s="147" t="inlineStr">
        <is>
          <t>n</t>
        </is>
      </c>
      <c r="H97" s="147" t="inlineStr">
        <is>
          <t>Recycling</t>
        </is>
      </c>
      <c r="I97" s="147" t="inlineStr">
        <is>
          <t>cities</t>
        </is>
      </c>
      <c r="J97" s="147" t="inlineStr">
        <is>
          <t>By 2030, the sorting system for urban household waste will  cover all cities, and the reclamation rate will rise to 65%.</t>
        </is>
      </c>
      <c r="K97" s="149" t="inlineStr">
        <is>
          <t>HL2102.pdf</t>
        </is>
      </c>
      <c r="L97" s="147" t="inlineStr">
        <is>
          <t>Circular Economy</t>
        </is>
      </c>
    </row>
    <row r="98" ht="18" customHeight="1" s="235">
      <c r="A98" s="148" t="n">
        <v>2022</v>
      </c>
      <c r="B98" s="148" t="inlineStr">
        <is>
          <t>recycled metals share in non-ferrous metals supply</t>
        </is>
      </c>
      <c r="C98" s="148" t="inlineStr">
        <is>
          <t>reach</t>
        </is>
      </c>
      <c r="D98" s="148" t="inlineStr">
        <is>
          <t>24% or above</t>
        </is>
      </c>
      <c r="E98" s="148" t="n"/>
      <c r="F98" s="154" t="inlineStr">
        <is>
          <t>14th FYP</t>
        </is>
      </c>
      <c r="G98" s="148" t="inlineStr">
        <is>
          <t>n</t>
        </is>
      </c>
      <c r="H98" s="147" t="inlineStr">
        <is>
          <t>Recycling</t>
        </is>
      </c>
      <c r="I98" s="148" t="inlineStr">
        <is>
          <t>sectors</t>
        </is>
      </c>
      <c r="J98" s="148" t="inlineStr">
        <is>
          <t>During the 14th Five-Year Plan period, the non-ferrous metals industry’s industrial structure and energy-use structure will be significantly optimized, important progress will be made in the R&amp;D and application of low-carbon processes, energy consumption and carbon-emission intensity per unit of key products will further decline, and the share of recycled metals in supply will reach more than 24%.</t>
        </is>
      </c>
      <c r="K98" s="150" t="inlineStr">
        <is>
          <t>IP2220.htm</t>
        </is>
      </c>
      <c r="L98" s="147" t="inlineStr">
        <is>
          <t>Circular Economy</t>
        </is>
      </c>
    </row>
    <row r="99" ht="18" customHeight="1" s="235">
      <c r="A99" s="147" t="n">
        <v>2017</v>
      </c>
      <c r="B99" s="147" t="inlineStr">
        <is>
          <t xml:space="preserve">recycling rate of agricultural film    </t>
        </is>
      </c>
      <c r="C99" s="147" t="inlineStr">
        <is>
          <t>reach</t>
        </is>
      </c>
      <c r="D99" s="147" t="inlineStr">
        <is>
          <t>80%</t>
        </is>
      </c>
      <c r="E99" s="147" t="n"/>
      <c r="F99" s="147" t="inlineStr">
        <is>
          <t>2020</t>
        </is>
      </c>
      <c r="G99" s="147" t="inlineStr">
        <is>
          <t>n</t>
        </is>
      </c>
      <c r="H99" s="147" t="inlineStr">
        <is>
          <t>Recycling</t>
        </is>
      </c>
      <c r="I99" s="147" t="inlineStr">
        <is>
          <t>sectors</t>
        </is>
      </c>
      <c r="J99" s="147" t="inlineStr">
        <is>
          <t>By 2020, the recycling rate of agricultural film will reach 80%.</t>
        </is>
      </c>
      <c r="K99" s="149" t="inlineStr">
        <is>
          <t>O1702.htm</t>
        </is>
      </c>
      <c r="L99" s="147" t="inlineStr">
        <is>
          <t>Circular Economy</t>
        </is>
      </c>
    </row>
    <row r="100" ht="18" customHeight="1" s="235">
      <c r="A100" s="147" t="n">
        <v>2023</v>
      </c>
      <c r="B100" s="147" t="inlineStr">
        <is>
          <t xml:space="preserve">recycling rate of agricultural film    </t>
        </is>
      </c>
      <c r="C100" s="147" t="inlineStr">
        <is>
          <t>reach</t>
        </is>
      </c>
      <c r="D100" s="147" t="inlineStr">
        <is>
          <t>85%</t>
        </is>
      </c>
      <c r="E100" s="147" t="n"/>
      <c r="F100" s="147" t="inlineStr">
        <is>
          <t>2025</t>
        </is>
      </c>
      <c r="G100" s="147" t="inlineStr">
        <is>
          <t>n</t>
        </is>
      </c>
      <c r="H100" s="147" t="inlineStr">
        <is>
          <t>Recycling</t>
        </is>
      </c>
      <c r="I100" s="147" t="inlineStr">
        <is>
          <t>sectors</t>
        </is>
      </c>
      <c r="J100" s="147" t="inlineStr">
        <is>
          <t>By 2025, the recycling rate of agricultural film will reach 85%</t>
        </is>
      </c>
      <c r="K100" s="149" t="inlineStr">
        <is>
          <t>HL2302.pdf</t>
        </is>
      </c>
      <c r="L100" s="147" t="inlineStr">
        <is>
          <t>Circular Economy</t>
        </is>
      </c>
    </row>
    <row r="101" ht="18" customHeight="1" s="235">
      <c r="A101" s="147" t="n">
        <v>2016</v>
      </c>
      <c r="B101" s="147" t="inlineStr">
        <is>
          <t xml:space="preserve">recycling rate of agricultural films    </t>
        </is>
      </c>
      <c r="C101" s="147" t="inlineStr">
        <is>
          <t>reach</t>
        </is>
      </c>
      <c r="D101" s="147" t="inlineStr">
        <is>
          <t>80%</t>
        </is>
      </c>
      <c r="E101" s="147" t="n"/>
      <c r="F101" s="147" t="inlineStr">
        <is>
          <t>2020</t>
        </is>
      </c>
      <c r="G101" s="147" t="inlineStr">
        <is>
          <t>r</t>
        </is>
      </c>
      <c r="H101" s="147" t="inlineStr">
        <is>
          <t>Recycling</t>
        </is>
      </c>
      <c r="I101" s="147" t="inlineStr">
        <is>
          <t>sectors</t>
        </is>
      </c>
      <c r="J101" s="147" t="inlineStr">
        <is>
          <t>By 2020, the recycling rate of agricultural films will reach more than 80%, and take the lead in achieving zero growth in the production of agricultural films in large fields on the black soil in Northeast China.</t>
        </is>
      </c>
      <c r="K101" s="149" t="inlineStr">
        <is>
          <t>FYP1601.htm</t>
        </is>
      </c>
      <c r="L101" s="147" t="inlineStr">
        <is>
          <t>Circular Economy</t>
        </is>
      </c>
    </row>
    <row r="102" ht="18" customHeight="1" s="235">
      <c r="A102" s="147" t="n">
        <v>2013</v>
      </c>
      <c r="B102" s="147" t="inlineStr">
        <is>
          <t xml:space="preserve">recycling rate of industrial water    </t>
        </is>
      </c>
      <c r="C102" s="147" t="inlineStr">
        <is>
          <t>reach</t>
        </is>
      </c>
      <c r="D102" s="147" t="inlineStr">
        <is>
          <t>87%</t>
        </is>
      </c>
      <c r="E102" s="147" t="n"/>
      <c r="F102" s="147" t="inlineStr">
        <is>
          <t>2015</t>
        </is>
      </c>
      <c r="G102" s="147" t="inlineStr">
        <is>
          <t>n</t>
        </is>
      </c>
      <c r="H102" s="147" t="inlineStr">
        <is>
          <t>Recycling</t>
        </is>
      </c>
      <c r="I102" s="147" t="inlineStr">
        <is>
          <t>sectors</t>
        </is>
      </c>
      <c r="J102" s="147" t="inlineStr">
        <is>
          <t>By 2015, the recycling rate of industrial water will reach 87%.</t>
        </is>
      </c>
      <c r="K102" s="149" t="inlineStr">
        <is>
          <t>DP1301.htm</t>
        </is>
      </c>
      <c r="L102" s="147" t="inlineStr">
        <is>
          <t>Circular Economy</t>
        </is>
      </c>
    </row>
    <row r="103" ht="18" customHeight="1" s="235">
      <c r="A103" s="147" t="n">
        <v>2013</v>
      </c>
      <c r="B103" s="147" t="inlineStr">
        <is>
          <t>recycling rate of major non-ferrous metals and steel</t>
        </is>
      </c>
      <c r="C103" s="147" t="inlineStr">
        <is>
          <t>reach</t>
        </is>
      </c>
      <c r="D103" s="147" t="inlineStr">
        <is>
          <t>40%</t>
        </is>
      </c>
      <c r="E103" s="147" t="n"/>
      <c r="F103" s="147" t="inlineStr">
        <is>
          <t>2017</t>
        </is>
      </c>
      <c r="G103" s="147" t="inlineStr">
        <is>
          <t>n</t>
        </is>
      </c>
      <c r="H103" s="147" t="inlineStr">
        <is>
          <t>Recycling</t>
        </is>
      </c>
      <c r="I103" s="147" t="inlineStr">
        <is>
          <t>whole economy</t>
        </is>
      </c>
      <c r="J103" s="147" t="inlineStr">
        <is>
          <t>By 2017, the recycling proportion of major non-ferrous metals and steel will reach about 40%.</t>
        </is>
      </c>
      <c r="K103" s="149" t="inlineStr">
        <is>
          <t>AP1302.htm</t>
        </is>
      </c>
      <c r="L103" s="147" t="inlineStr">
        <is>
          <t>Circular Economy</t>
        </is>
      </c>
    </row>
    <row r="104" ht="18" customHeight="1" s="235">
      <c r="A104" s="147" t="n">
        <v>2013</v>
      </c>
      <c r="B104" s="147" t="inlineStr">
        <is>
          <t>recycling rate of major types of renewable resources</t>
        </is>
      </c>
      <c r="C104" s="147" t="inlineStr">
        <is>
          <t>reach</t>
        </is>
      </c>
      <c r="D104" s="147" t="inlineStr">
        <is>
          <t>70%</t>
        </is>
      </c>
      <c r="E104" s="147" t="n"/>
      <c r="F104" s="147" t="inlineStr">
        <is>
          <t>2015</t>
        </is>
      </c>
      <c r="G104" s="147" t="inlineStr">
        <is>
          <t>n</t>
        </is>
      </c>
      <c r="H104" s="147" t="inlineStr">
        <is>
          <t>Recycling</t>
        </is>
      </c>
      <c r="I104" s="147" t="inlineStr">
        <is>
          <t>whole economy</t>
        </is>
      </c>
      <c r="J104" s="147" t="inlineStr">
        <is>
          <t>By 2015, an advanced and complete renewable resource recycling system will be established, waste sorting will make significant progress, and the recycling rate of major types of renewable resources will reach 70%.</t>
        </is>
      </c>
      <c r="K104" s="149" t="inlineStr">
        <is>
          <t>DP1301.htm</t>
        </is>
      </c>
      <c r="L104" s="147" t="inlineStr">
        <is>
          <t>Circular Economy</t>
        </is>
      </c>
    </row>
    <row r="105" ht="18" customHeight="1" s="235">
      <c r="A105" s="147" t="n">
        <v>2013</v>
      </c>
      <c r="B105" s="147" t="inlineStr">
        <is>
          <t>recycling rate of waste lead-acid batteries in communication base stations</t>
        </is>
      </c>
      <c r="C105" s="147" t="inlineStr">
        <is>
          <t>reach</t>
        </is>
      </c>
      <c r="D105" s="147" t="inlineStr">
        <is>
          <t>90%</t>
        </is>
      </c>
      <c r="E105" s="147" t="n"/>
      <c r="F105" s="147" t="inlineStr">
        <is>
          <t>2015</t>
        </is>
      </c>
      <c r="G105" s="147" t="inlineStr">
        <is>
          <t>n</t>
        </is>
      </c>
      <c r="H105" s="147" t="inlineStr">
        <is>
          <t>Recycling</t>
        </is>
      </c>
      <c r="I105" s="147" t="inlineStr">
        <is>
          <t>whole economy</t>
        </is>
      </c>
      <c r="J105" s="147" t="inlineStr">
        <is>
          <t>By 2015, the recycling rate of waste lead-acid batteries in communication base stations will reach more than 90%.</t>
        </is>
      </c>
      <c r="K105" s="149" t="inlineStr">
        <is>
          <t>DP1301.htm</t>
        </is>
      </c>
      <c r="L105" s="147" t="inlineStr">
        <is>
          <t>Circular Economy</t>
        </is>
      </c>
    </row>
    <row r="106" ht="18" customHeight="1" s="235">
      <c r="A106" s="147" t="n">
        <v>2017</v>
      </c>
      <c r="B106" s="147" t="inlineStr">
        <is>
          <t>recycling rates of waste asphalt pavement materials on expressways</t>
        </is>
      </c>
      <c r="C106" s="147" t="inlineStr">
        <is>
          <t>reach</t>
        </is>
      </c>
      <c r="D106" s="147" t="inlineStr">
        <is>
          <t>85%</t>
        </is>
      </c>
      <c r="E106" s="147" t="n"/>
      <c r="F106" s="147" t="inlineStr">
        <is>
          <t>2020</t>
        </is>
      </c>
      <c r="G106" s="147" t="inlineStr">
        <is>
          <t>n</t>
        </is>
      </c>
      <c r="H106" s="147" t="inlineStr">
        <is>
          <t>Recycling</t>
        </is>
      </c>
      <c r="I106" s="147" t="inlineStr">
        <is>
          <t>whole economy</t>
        </is>
      </c>
      <c r="J106" s="147" t="inlineStr">
        <is>
          <t>By 2020, the recycling rates of waste asphalt pavement materials on expressways will reach over 85%.</t>
        </is>
      </c>
      <c r="K106" s="149" t="inlineStr">
        <is>
          <t>IP1701.htm</t>
        </is>
      </c>
      <c r="L106" s="147" t="inlineStr">
        <is>
          <t>Circular Economy</t>
        </is>
      </c>
    </row>
    <row r="107" ht="18" customHeight="1" s="235">
      <c r="A107" s="147" t="n">
        <v>2017</v>
      </c>
      <c r="B107" s="147" t="inlineStr">
        <is>
          <t>recycling rates of waste asphalt pavement materials on ordinary national and provincial trunk roads</t>
        </is>
      </c>
      <c r="C107" s="147" t="inlineStr">
        <is>
          <t>reach</t>
        </is>
      </c>
      <c r="D107" s="147" t="inlineStr">
        <is>
          <t>75%</t>
        </is>
      </c>
      <c r="E107" s="147" t="n"/>
      <c r="F107" s="147" t="inlineStr">
        <is>
          <t>2020</t>
        </is>
      </c>
      <c r="G107" s="147" t="inlineStr">
        <is>
          <t>n</t>
        </is>
      </c>
      <c r="H107" s="147" t="inlineStr">
        <is>
          <t>Recycling</t>
        </is>
      </c>
      <c r="I107" s="147" t="inlineStr">
        <is>
          <t>whole economy</t>
        </is>
      </c>
      <c r="J107" s="147" t="inlineStr">
        <is>
          <t>By 2020, the recycling rates of waste asphalt pavement materials on ordinary national and provincial trunk roads will reach over 75%.</t>
        </is>
      </c>
      <c r="K107" s="149" t="inlineStr">
        <is>
          <t>IP1701.htm</t>
        </is>
      </c>
      <c r="L107" s="147" t="inlineStr">
        <is>
          <t>Circular Economy</t>
        </is>
      </c>
    </row>
    <row r="108" ht="18" customHeight="1" s="235">
      <c r="A108" s="147" t="n">
        <v>2024</v>
      </c>
      <c r="B108" s="147" t="inlineStr">
        <is>
          <t xml:space="preserve">recycling volume of major renewable resources  </t>
        </is>
      </c>
      <c r="C108" s="147" t="inlineStr">
        <is>
          <t>reach</t>
        </is>
      </c>
      <c r="D108" s="147" t="inlineStr">
        <is>
          <t>510 million tons</t>
        </is>
      </c>
      <c r="E108" s="147" t="n"/>
      <c r="F108" s="151" t="n">
        <v>2030</v>
      </c>
      <c r="G108" s="147" t="inlineStr">
        <is>
          <t>n</t>
        </is>
      </c>
      <c r="H108" s="147" t="inlineStr">
        <is>
          <t>Recycling</t>
        </is>
      </c>
      <c r="I108" s="147" t="inlineStr">
        <is>
          <t>whole economy</t>
        </is>
      </c>
      <c r="J108" s="147" t="inlineStr">
        <is>
          <t>By 2030, the recycling volume of major renewable resources will reach 510 million tons.</t>
        </is>
      </c>
      <c r="K108" s="149" t="inlineStr">
        <is>
          <t>GO2401.htm</t>
        </is>
      </c>
      <c r="L108" s="147" t="inlineStr">
        <is>
          <t>Circular Economy</t>
        </is>
      </c>
    </row>
    <row r="109" ht="18" customHeight="1" s="235">
      <c r="A109" s="147" t="n">
        <v>2021</v>
      </c>
      <c r="B109" s="147" t="inlineStr">
        <is>
          <t>recycling volume of nine major reusable resources including steel scrap, cooper, aluminum, lead, zinc, waste paper, plastic, rubber, and glass</t>
        </is>
      </c>
      <c r="C109" s="147" t="inlineStr">
        <is>
          <t>reach</t>
        </is>
      </c>
      <c r="D109" s="147" t="inlineStr">
        <is>
          <t>450 million</t>
        </is>
      </c>
      <c r="E109" s="147" t="n"/>
      <c r="F109" s="151" t="inlineStr">
        <is>
          <t>2025</t>
        </is>
      </c>
      <c r="G109" s="147" t="inlineStr">
        <is>
          <t>n</t>
        </is>
      </c>
      <c r="H109" s="147" t="inlineStr">
        <is>
          <t>Recycling</t>
        </is>
      </c>
      <c r="I109" s="147" t="inlineStr">
        <is>
          <t>whole economy</t>
        </is>
      </c>
      <c r="J109" s="147" t="inlineStr">
        <is>
          <t>By 2025, the total amount of nine major reusable resources including steel scrap, cooper, aluminum, lead, zinc, waste paper, plastic, rubber, and glass recycled will top 450 million metric tons, reaching 510 million by 2030.</t>
        </is>
      </c>
      <c r="K109" s="149" t="inlineStr">
        <is>
          <t>HL2102.pdf</t>
        </is>
      </c>
      <c r="L109" s="147" t="inlineStr">
        <is>
          <t>Circular Economy</t>
        </is>
      </c>
    </row>
    <row r="110" ht="18" customHeight="1" s="235">
      <c r="A110" s="147" t="n">
        <v>2021</v>
      </c>
      <c r="B110" s="147" t="inlineStr">
        <is>
          <t>recycling volume of nine major reusable resources including steel scrap, cooper, aluminum, lead, zinc, waste paper, plastic, rubber, and glass</t>
        </is>
      </c>
      <c r="C110" s="147" t="inlineStr">
        <is>
          <t>reach</t>
        </is>
      </c>
      <c r="D110" s="147" t="inlineStr">
        <is>
          <t>510 million</t>
        </is>
      </c>
      <c r="E110" s="147" t="n"/>
      <c r="F110" s="151" t="n">
        <v>2030</v>
      </c>
      <c r="G110" s="147" t="inlineStr">
        <is>
          <t>r</t>
        </is>
      </c>
      <c r="H110" s="147" t="inlineStr">
        <is>
          <t>Recycling</t>
        </is>
      </c>
      <c r="I110" s="147" t="inlineStr">
        <is>
          <t>whole economy</t>
        </is>
      </c>
      <c r="J110" s="147" t="inlineStr">
        <is>
          <t>By 2025, the total amount of nine major reusable resources including steel scrap, cooper, aluminum, lead, zinc, waste paper, plastic, rubber, and glass recycled will top 450 million metric tons, reaching 510 million by 2030.</t>
        </is>
      </c>
      <c r="K110" s="149" t="inlineStr">
        <is>
          <t>HL2102.pdf</t>
        </is>
      </c>
      <c r="L110" s="147" t="inlineStr">
        <is>
          <t>Circular Economy</t>
        </is>
      </c>
    </row>
    <row r="111" ht="18" customHeight="1" s="235">
      <c r="A111" s="147" t="n">
        <v>2016</v>
      </c>
      <c r="B111" s="147" t="inlineStr">
        <is>
          <t>renovated combined pipes</t>
        </is>
      </c>
      <c r="C111" s="147" t="inlineStr">
        <is>
          <t>renovate</t>
        </is>
      </c>
      <c r="D111" s="147" t="inlineStr">
        <is>
          <t>28800  kilometers</t>
        </is>
      </c>
      <c r="E111" s="147" t="n"/>
      <c r="F111" s="147" t="inlineStr">
        <is>
          <t>13th FYP</t>
        </is>
      </c>
      <c r="G111" s="147" t="inlineStr">
        <is>
          <t>n</t>
        </is>
      </c>
      <c r="H111" s="147" t="inlineStr">
        <is>
          <t>Pollution control</t>
        </is>
      </c>
      <c r="I111" s="147" t="inlineStr">
        <is>
          <t>unclear</t>
        </is>
      </c>
      <c r="J111" s="147" t="inlineStr">
        <is>
          <t>During the 13th Five-Year Plan period, it is planned to renovate 28,800 kilometers of combined pipes.</t>
        </is>
      </c>
      <c r="K111" s="149" t="inlineStr">
        <is>
          <t>FYP1612.pdf</t>
        </is>
      </c>
      <c r="L111" s="147" t="inlineStr">
        <is>
          <t>Circular Economy</t>
        </is>
      </c>
    </row>
    <row r="112" ht="18" customHeight="1" s="235">
      <c r="A112" s="147" t="n">
        <v>2016</v>
      </c>
      <c r="B112" s="147" t="inlineStr">
        <is>
          <t>renovated old sewage pipes</t>
        </is>
      </c>
      <c r="C112" s="147" t="inlineStr">
        <is>
          <t>renovate</t>
        </is>
      </c>
      <c r="D112" s="147" t="inlineStr">
        <is>
          <t>27700  kilometers</t>
        </is>
      </c>
      <c r="E112" s="147" t="n"/>
      <c r="F112" s="147" t="inlineStr">
        <is>
          <t>13th FYP</t>
        </is>
      </c>
      <c r="G112" s="147" t="inlineStr">
        <is>
          <t>n</t>
        </is>
      </c>
      <c r="H112" s="147" t="inlineStr">
        <is>
          <t>Pollution control</t>
        </is>
      </c>
      <c r="I112" s="147" t="inlineStr">
        <is>
          <t>unclear</t>
        </is>
      </c>
      <c r="J112" s="147" t="inlineStr">
        <is>
          <t>During the 13th Five-Year Plan period, it is planned to renovate 27,700 kilometers of old sewage pipes.</t>
        </is>
      </c>
      <c r="K112" s="149" t="inlineStr">
        <is>
          <t>FYP1612.pdf</t>
        </is>
      </c>
      <c r="L112" s="147" t="inlineStr">
        <is>
          <t>Circular Economy</t>
        </is>
      </c>
    </row>
    <row r="113" ht="18" customHeight="1" s="235">
      <c r="A113" s="147" t="n">
        <v>2012</v>
      </c>
      <c r="B113" s="147" t="inlineStr">
        <is>
          <t>resource recycling and processing capacity of the remanufacturing industry</t>
        </is>
      </c>
      <c r="C113" s="147" t="inlineStr">
        <is>
          <t>reach</t>
        </is>
      </c>
      <c r="D113" s="147" t="inlineStr">
        <is>
          <t>25 million tons</t>
        </is>
      </c>
      <c r="E113" s="147" t="n"/>
      <c r="F113" s="147" t="inlineStr">
        <is>
          <t>2015</t>
        </is>
      </c>
      <c r="G113" s="147" t="inlineStr">
        <is>
          <t>n</t>
        </is>
      </c>
      <c r="H113" s="147" t="inlineStr">
        <is>
          <t>Recycling</t>
        </is>
      </c>
      <c r="I113" s="147" t="inlineStr">
        <is>
          <t>sectors</t>
        </is>
      </c>
      <c r="J113" s="147" t="inlineStr">
        <is>
          <t>By 2015, the remanufacturing industry will reach a resource recycling and processing capacity of 25 million tons per year.</t>
        </is>
      </c>
      <c r="K113" s="149" t="inlineStr">
        <is>
          <t>FYP1203.htm</t>
        </is>
      </c>
      <c r="L113" s="147" t="inlineStr">
        <is>
          <t>Circular Economy</t>
        </is>
      </c>
    </row>
    <row r="114" ht="18" customHeight="1" s="235">
      <c r="A114" s="147" t="n">
        <v>2014</v>
      </c>
      <c r="B114" s="147" t="inlineStr">
        <is>
          <t>resource utilization rate of coal-fired solid waste</t>
        </is>
      </c>
      <c r="C114" s="147" t="inlineStr">
        <is>
          <t>exceed</t>
        </is>
      </c>
      <c r="D114" s="147" t="inlineStr">
        <is>
          <t>75%</t>
        </is>
      </c>
      <c r="E114" s="147" t="n"/>
      <c r="F114" s="151" t="inlineStr">
        <is>
          <t>2020</t>
        </is>
      </c>
      <c r="G114" s="147" t="inlineStr">
        <is>
          <t>n</t>
        </is>
      </c>
      <c r="H114" s="147" t="inlineStr">
        <is>
          <t>Recycling</t>
        </is>
      </c>
      <c r="I114" s="147" t="inlineStr">
        <is>
          <t>sectors</t>
        </is>
      </c>
      <c r="J114" s="152" t="inlineStr">
        <is>
          <t>By 2020, the resource utilization rate of coal-fired solid waste will exceed 75%.</t>
        </is>
      </c>
      <c r="K114" s="153" t="inlineStr">
        <is>
          <t>O1401.htm</t>
        </is>
      </c>
      <c r="L114" s="147" t="inlineStr">
        <is>
          <t>Circular Economy</t>
        </is>
      </c>
    </row>
    <row r="115" ht="18" customHeight="1" s="235">
      <c r="A115" s="147" t="n">
        <v>2016</v>
      </c>
      <c r="B115" s="147" t="inlineStr">
        <is>
          <t xml:space="preserve">resource utilization rate of food waste    </t>
        </is>
      </c>
      <c r="C115" s="147" t="inlineStr">
        <is>
          <t>reach</t>
        </is>
      </c>
      <c r="D115" s="147" t="inlineStr">
        <is>
          <t>more than 30%</t>
        </is>
      </c>
      <c r="E115" s="147" t="n"/>
      <c r="F115" s="147" t="inlineStr">
        <is>
          <t>2020</t>
        </is>
      </c>
      <c r="G115" s="147" t="inlineStr">
        <is>
          <t>n</t>
        </is>
      </c>
      <c r="H115" s="147" t="inlineStr">
        <is>
          <t>Recycling</t>
        </is>
      </c>
      <c r="I115" s="147" t="inlineStr">
        <is>
          <t>whole economy</t>
        </is>
      </c>
      <c r="J115" s="147" t="inlineStr">
        <is>
          <t>By 2020, the resource utilization rate of food waste will reach 30%.</t>
        </is>
      </c>
      <c r="K115" s="149" t="inlineStr">
        <is>
          <t>FYP1601.htm</t>
        </is>
      </c>
      <c r="L115" s="147" t="inlineStr">
        <is>
          <t>Circular Economy</t>
        </is>
      </c>
    </row>
    <row r="116" ht="18" customHeight="1" s="235">
      <c r="A116" s="147" t="n">
        <v>2021</v>
      </c>
      <c r="B116" s="148" t="inlineStr">
        <is>
          <t>rural domestic sewage treatment rate</t>
        </is>
      </c>
      <c r="C116" s="147" t="inlineStr">
        <is>
          <t>reach</t>
        </is>
      </c>
      <c r="D116" s="147" t="inlineStr">
        <is>
          <t>40%</t>
        </is>
      </c>
      <c r="E116" s="147" t="n"/>
      <c r="F116" s="147" t="inlineStr">
        <is>
          <t>2025</t>
        </is>
      </c>
      <c r="G116" s="147" t="inlineStr">
        <is>
          <t>n</t>
        </is>
      </c>
      <c r="H116" s="147" t="inlineStr">
        <is>
          <t>Pollution control</t>
        </is>
      </c>
      <c r="I116" s="147" t="inlineStr">
        <is>
          <t>areas</t>
        </is>
      </c>
      <c r="J116" s="147" t="inlineStr">
        <is>
          <t>By 2025, the rural domestic sewage treatment rate will reach 40%.</t>
        </is>
      </c>
      <c r="K116" s="149" t="inlineStr">
        <is>
          <t>FYP2107.htm</t>
        </is>
      </c>
      <c r="L116" s="147" t="inlineStr">
        <is>
          <t>Circular Economy</t>
        </is>
      </c>
    </row>
    <row r="117" ht="18" customHeight="1" s="235">
      <c r="A117" s="147" t="n">
        <v>2016</v>
      </c>
      <c r="B117" s="148" t="inlineStr">
        <is>
          <t>scale of new sewage treatment facilities</t>
        </is>
      </c>
      <c r="C117" s="148" t="inlineStr">
        <is>
          <t>reach</t>
        </is>
      </c>
      <c r="D117" s="148" t="inlineStr">
        <is>
          <t>50.22 million cubic meters per day</t>
        </is>
      </c>
      <c r="E117" s="148" t="n"/>
      <c r="F117" s="148" t="inlineStr">
        <is>
          <t>13th FYP</t>
        </is>
      </c>
      <c r="G117" s="148" t="inlineStr">
        <is>
          <t>n</t>
        </is>
      </c>
      <c r="H117" s="147" t="inlineStr">
        <is>
          <t>Pollution control</t>
        </is>
      </c>
      <c r="I117" s="147" t="inlineStr">
        <is>
          <t>unclear</t>
        </is>
      </c>
      <c r="J117" s="148" t="inlineStr">
        <is>
          <t>During the 13th Five-Year Plan period, the scale of new sewage treatment facilities will be 50.22 million cubic meters per day.</t>
        </is>
      </c>
      <c r="K117" s="150" t="inlineStr">
        <is>
          <t>FYP1612.pdf</t>
        </is>
      </c>
      <c r="L117" s="147" t="inlineStr">
        <is>
          <t>Circular Economy</t>
        </is>
      </c>
    </row>
    <row r="118" ht="18" customHeight="1" s="235">
      <c r="A118" s="147" t="n">
        <v>2013</v>
      </c>
      <c r="B118" s="147" t="inlineStr">
        <is>
          <t xml:space="preserve">scale of urban sewage treatment  </t>
        </is>
      </c>
      <c r="C118" s="147" t="inlineStr">
        <is>
          <t>reach</t>
        </is>
      </c>
      <c r="D118" s="147" t="inlineStr">
        <is>
          <t>200 million cubic meters per day</t>
        </is>
      </c>
      <c r="E118" s="147" t="n"/>
      <c r="F118" s="147" t="inlineStr">
        <is>
          <t>2015</t>
        </is>
      </c>
      <c r="G118" s="147" t="inlineStr">
        <is>
          <t>n</t>
        </is>
      </c>
      <c r="H118" s="147" t="inlineStr">
        <is>
          <t>Pollution control</t>
        </is>
      </c>
      <c r="I118" s="147" t="inlineStr">
        <is>
          <t>cities</t>
        </is>
      </c>
      <c r="J118" s="147" t="inlineStr">
        <is>
          <t>By 2015, the scale of urban sewage treatment will reach more than 200 million cubic meters per day.</t>
        </is>
      </c>
      <c r="K118" s="149" t="inlineStr">
        <is>
          <t>O1302.htm</t>
        </is>
      </c>
      <c r="L118" s="147" t="inlineStr">
        <is>
          <t>Circular Economy</t>
        </is>
      </c>
    </row>
    <row r="119" ht="18" customHeight="1" s="235">
      <c r="A119" s="147" t="n">
        <v>2016</v>
      </c>
      <c r="B119" s="147" t="inlineStr">
        <is>
          <t>scale of urban sewage treatment facilities upgraded and renovated</t>
        </is>
      </c>
      <c r="C119" s="147" t="inlineStr">
        <is>
          <t>achieve</t>
        </is>
      </c>
      <c r="D119" s="147" t="inlineStr">
        <is>
          <t>42.2 million cubic meters per day</t>
        </is>
      </c>
      <c r="E119" s="147" t="n"/>
      <c r="F119" s="147" t="inlineStr">
        <is>
          <t>13th FYP</t>
        </is>
      </c>
      <c r="G119" s="147" t="inlineStr">
        <is>
          <t>n</t>
        </is>
      </c>
      <c r="H119" s="147" t="inlineStr">
        <is>
          <t>Pollution control</t>
        </is>
      </c>
      <c r="I119" s="147" t="inlineStr">
        <is>
          <t>cities</t>
        </is>
      </c>
      <c r="J119" s="147" t="inlineStr">
        <is>
          <t>During the 13th Five-Year Plan period, the scale of urban sewage treatment facilities upgraded and renovated was 42.2 million cubic meters per day.</t>
        </is>
      </c>
      <c r="K119" s="149" t="inlineStr">
        <is>
          <t>FYP1612.pdf</t>
        </is>
      </c>
      <c r="L119" s="147" t="inlineStr">
        <is>
          <t>Circular Economy</t>
        </is>
      </c>
    </row>
    <row r="120" ht="18" customHeight="1" s="235">
      <c r="A120" s="147" t="n">
        <v>2016</v>
      </c>
      <c r="B120" s="147" t="inlineStr">
        <is>
          <t>scrap rate of castings</t>
        </is>
      </c>
      <c r="C120" s="147" t="inlineStr">
        <is>
          <t>reduce by</t>
        </is>
      </c>
      <c r="D120" s="147" t="inlineStr">
        <is>
          <t>10%</t>
        </is>
      </c>
      <c r="E120" s="147" t="n">
        <v>2015</v>
      </c>
      <c r="F120" s="147" t="inlineStr">
        <is>
          <t>2020</t>
        </is>
      </c>
      <c r="G120" s="147" t="inlineStr">
        <is>
          <t>n</t>
        </is>
      </c>
      <c r="H120" s="147" t="inlineStr">
        <is>
          <t>Resource efficiency</t>
        </is>
      </c>
      <c r="I120" s="147" t="inlineStr">
        <is>
          <t>unclear</t>
        </is>
      </c>
      <c r="J120" s="147" t="inlineStr">
        <is>
          <t>By 2020, the scrap rate of castings will be reduced by 10%.</t>
        </is>
      </c>
      <c r="K120" s="149" t="inlineStr">
        <is>
          <t>DP1601.htm</t>
        </is>
      </c>
      <c r="L120" s="147" t="inlineStr">
        <is>
          <t>Circular Economy</t>
        </is>
      </c>
    </row>
    <row r="121" ht="18" customHeight="1" s="235">
      <c r="A121" s="148" t="n">
        <v>2026</v>
      </c>
      <c r="B121" s="148" t="inlineStr">
        <is>
          <t xml:space="preserve">scrap steel annual recycling and utilisation </t>
        </is>
      </c>
      <c r="C121" s="148" t="inlineStr">
        <is>
          <t>exceed</t>
        </is>
      </c>
      <c r="D121" s="148" t="inlineStr">
        <is>
          <t>300 million tonnes</t>
        </is>
      </c>
      <c r="E121" s="148" t="n"/>
      <c r="F121" s="154" t="n">
        <v>2030</v>
      </c>
      <c r="G121" s="148" t="inlineStr">
        <is>
          <t>n</t>
        </is>
      </c>
      <c r="H121" s="147" t="inlineStr">
        <is>
          <t>Recycling</t>
        </is>
      </c>
      <c r="I121" s="148" t="inlineStr">
        <is>
          <t>whole economy</t>
        </is>
      </c>
      <c r="J121" s="148" t="inlineStr">
        <is>
          <t>By 2030, annual recycling and utilisation of scrap steel will exceed 300 million tonnes.</t>
        </is>
      </c>
      <c r="K121" s="150" t="inlineStr">
        <is>
          <t>AP2601.htm</t>
        </is>
      </c>
      <c r="L121" s="147" t="inlineStr">
        <is>
          <t>Circular Economy</t>
        </is>
      </c>
    </row>
    <row r="122" ht="18" customHeight="1" s="235">
      <c r="A122" s="152" t="n">
        <v>2021</v>
      </c>
      <c r="B122" s="147" t="inlineStr">
        <is>
          <t xml:space="preserve">scrap steel annual recycling and utilisation </t>
        </is>
      </c>
      <c r="C122" s="147" t="inlineStr">
        <is>
          <t>reach</t>
        </is>
      </c>
      <c r="D122" s="152" t="inlineStr">
        <is>
          <t>320 million tons</t>
        </is>
      </c>
      <c r="E122" s="152" t="n"/>
      <c r="F122" s="151" t="inlineStr">
        <is>
          <t>2025</t>
        </is>
      </c>
      <c r="G122" s="152" t="inlineStr">
        <is>
          <t>n</t>
        </is>
      </c>
      <c r="H122" s="147" t="inlineStr">
        <is>
          <t>Recycling</t>
        </is>
      </c>
      <c r="I122" s="147" t="inlineStr">
        <is>
          <t>sectors</t>
        </is>
      </c>
      <c r="J122" s="152" t="inlineStr">
        <is>
          <t>By 2025, the utilization of scrap steel will reach 320 million tons.</t>
        </is>
      </c>
      <c r="K122" s="153" t="inlineStr">
        <is>
          <t>FYP2115.pdf</t>
        </is>
      </c>
      <c r="L122" s="147" t="inlineStr">
        <is>
          <t>Circular Economy</t>
        </is>
      </c>
    </row>
    <row r="123" ht="18" customHeight="1" s="235">
      <c r="A123" s="152" t="n">
        <v>2022</v>
      </c>
      <c r="B123" s="147" t="inlineStr">
        <is>
          <t xml:space="preserve">scrap steel annual recycling and utilisation </t>
        </is>
      </c>
      <c r="C123" s="152" t="inlineStr">
        <is>
          <t>reach</t>
        </is>
      </c>
      <c r="D123" s="152" t="inlineStr">
        <is>
          <t>more than 300 million tons</t>
        </is>
      </c>
      <c r="E123" s="152" t="n"/>
      <c r="F123" s="155" t="n">
        <v>2025</v>
      </c>
      <c r="G123" s="152" t="inlineStr">
        <is>
          <t>s/l-NEG</t>
        </is>
      </c>
      <c r="H123" s="147" t="inlineStr">
        <is>
          <t>Recycling</t>
        </is>
      </c>
      <c r="I123" s="152" t="inlineStr">
        <is>
          <t>sectors</t>
        </is>
      </c>
      <c r="J123" s="152" t="inlineStr">
        <is>
          <t>By 2025, the steel industry's use of scrap steel resources will reach more than 300 million tons.</t>
        </is>
      </c>
      <c r="K123" s="153" t="inlineStr">
        <is>
          <t>GO2204.htm</t>
        </is>
      </c>
      <c r="L123" s="147" t="inlineStr">
        <is>
          <t>Circular Economy</t>
        </is>
      </c>
    </row>
    <row r="124" ht="18" customHeight="1" s="235">
      <c r="A124" s="147" t="n">
        <v>2024</v>
      </c>
      <c r="B124" s="147" t="inlineStr">
        <is>
          <t xml:space="preserve">scrap steel annual recycling and utilisation </t>
        </is>
      </c>
      <c r="C124" s="147" t="inlineStr">
        <is>
          <t>reach</t>
        </is>
      </c>
      <c r="D124" s="147" t="inlineStr">
        <is>
          <t>300 million tons</t>
        </is>
      </c>
      <c r="E124" s="147" t="n"/>
      <c r="F124" s="147" t="inlineStr">
        <is>
          <t>2025</t>
        </is>
      </c>
      <c r="G124" s="147" t="inlineStr">
        <is>
          <t>r</t>
        </is>
      </c>
      <c r="H124" s="147" t="inlineStr">
        <is>
          <t>Recycling</t>
        </is>
      </c>
      <c r="I124" s="147" t="inlineStr">
        <is>
          <t>sectors</t>
        </is>
      </c>
      <c r="J124" s="147" t="inlineStr">
        <is>
          <t>By the end of 2025, the utilization of scrap steel will reach 300 million tons.</t>
        </is>
      </c>
      <c r="K124" s="149" t="inlineStr">
        <is>
          <t>AP2405.htm</t>
        </is>
      </c>
      <c r="L124" s="147" t="inlineStr">
        <is>
          <t>Circular Economy</t>
        </is>
      </c>
    </row>
    <row r="125" ht="18" customHeight="1" s="235">
      <c r="A125" s="147" t="n">
        <v>2021</v>
      </c>
      <c r="B125" s="147" t="inlineStr">
        <is>
          <t xml:space="preserve">scrap steel annual recycling and utilisation </t>
        </is>
      </c>
      <c r="C125" s="147" t="inlineStr">
        <is>
          <t>recycle</t>
        </is>
      </c>
      <c r="D125" s="147" t="inlineStr">
        <is>
          <t>320 million tons</t>
        </is>
      </c>
      <c r="E125" s="147" t="n"/>
      <c r="F125" s="147" t="inlineStr">
        <is>
          <t>2025</t>
        </is>
      </c>
      <c r="G125" s="147" t="inlineStr">
        <is>
          <t>r</t>
        </is>
      </c>
      <c r="H125" s="147" t="inlineStr">
        <is>
          <t>Recycling</t>
        </is>
      </c>
      <c r="I125" s="147" t="inlineStr">
        <is>
          <t>sectors</t>
        </is>
      </c>
      <c r="J125" s="147" t="inlineStr">
        <is>
          <t>By 2025, we will strive to recycle 320 million tons of scrap steel.</t>
        </is>
      </c>
      <c r="K125" s="149" t="inlineStr">
        <is>
          <t>FYP2101.pdf</t>
        </is>
      </c>
      <c r="L125" s="147" t="inlineStr">
        <is>
          <t>Circular Economy</t>
        </is>
      </c>
    </row>
    <row r="126" ht="18" customHeight="1" s="235">
      <c r="A126" s="147" t="n">
        <v>2013</v>
      </c>
      <c r="B126" s="147" t="inlineStr">
        <is>
          <t xml:space="preserve">scrap steel annual recycling and utilisation </t>
        </is>
      </c>
      <c r="C126" s="147" t="inlineStr">
        <is>
          <t>reach</t>
        </is>
      </c>
      <c r="D126" s="147" t="inlineStr">
        <is>
          <t>130 million tons</t>
        </is>
      </c>
      <c r="E126" s="147" t="n"/>
      <c r="F126" s="147" t="inlineStr">
        <is>
          <t>2015</t>
        </is>
      </c>
      <c r="G126" s="147" t="inlineStr">
        <is>
          <t>n</t>
        </is>
      </c>
      <c r="H126" s="147" t="inlineStr">
        <is>
          <t>Recycling</t>
        </is>
      </c>
      <c r="I126" s="147" t="inlineStr">
        <is>
          <t>sectors</t>
        </is>
      </c>
      <c r="J126" s="147" t="inlineStr">
        <is>
          <t>By 2015, the scrap steel recycling volume will reach 130 million tons.</t>
        </is>
      </c>
      <c r="K126" s="149" t="inlineStr">
        <is>
          <t>DP1301.htm</t>
        </is>
      </c>
      <c r="L126" s="147" t="inlineStr">
        <is>
          <t>Circular Economy</t>
        </is>
      </c>
    </row>
    <row r="127" ht="18" customHeight="1" s="235">
      <c r="A127" s="147" t="n">
        <v>2024</v>
      </c>
      <c r="B127" s="147" t="inlineStr">
        <is>
          <t>scrap steel processing enterprises annual processing capacity</t>
        </is>
      </c>
      <c r="C127" s="147" t="inlineStr">
        <is>
          <t>exceed</t>
        </is>
      </c>
      <c r="D127" s="147" t="inlineStr">
        <is>
          <t>180 million tons</t>
        </is>
      </c>
      <c r="E127" s="147" t="n"/>
      <c r="F127" s="147" t="inlineStr">
        <is>
          <t>2025</t>
        </is>
      </c>
      <c r="G127" s="147" t="inlineStr">
        <is>
          <t>n</t>
        </is>
      </c>
      <c r="H127" s="147" t="inlineStr">
        <is>
          <t>Production-oriented</t>
        </is>
      </c>
      <c r="I127" s="147" t="inlineStr">
        <is>
          <t>sectors</t>
        </is>
      </c>
      <c r="J127" s="147" t="inlineStr">
        <is>
          <t>By 2025, scrap steel processing enterprises will have an annual processing capacity exceeding 180 million tons</t>
        </is>
      </c>
      <c r="K127" s="149" t="inlineStr">
        <is>
          <t>HL2401.pdf</t>
        </is>
      </c>
      <c r="L127" s="147" t="inlineStr">
        <is>
          <t>Circular Economy</t>
        </is>
      </c>
    </row>
    <row r="128" ht="18" customHeight="1" s="235">
      <c r="A128" s="147" t="n">
        <v>2024</v>
      </c>
      <c r="B128" s="147" t="inlineStr">
        <is>
          <t>self-generation rate of waste heat, waste pressure and waste energy in steel industry</t>
        </is>
      </c>
      <c r="C128" s="147" t="inlineStr">
        <is>
          <t>increase by</t>
        </is>
      </c>
      <c r="D128" s="147" t="inlineStr">
        <is>
          <t>3%</t>
        </is>
      </c>
      <c r="E128" s="147" t="n"/>
      <c r="F128" s="147" t="inlineStr">
        <is>
          <t>2025</t>
        </is>
      </c>
      <c r="G128" s="147" t="inlineStr">
        <is>
          <t>n</t>
        </is>
      </c>
      <c r="H128" s="147" t="inlineStr">
        <is>
          <t>Energy efficiency</t>
        </is>
      </c>
      <c r="I128" s="147" t="inlineStr">
        <is>
          <t>sectors</t>
        </is>
      </c>
      <c r="J128" s="147" t="inlineStr">
        <is>
          <t>By the end of 2025, the self-generation rate of waste heat, waste pressure and waste energy in the steel industry will increase by more than 3 percentage points.</t>
        </is>
      </c>
      <c r="K128" s="149" t="inlineStr">
        <is>
          <t>AP2405.htm</t>
        </is>
      </c>
      <c r="L128" s="147" t="inlineStr">
        <is>
          <t>Circular Economy</t>
        </is>
      </c>
    </row>
    <row r="129" ht="18" customHeight="1" s="235">
      <c r="A129" s="147" t="n">
        <v>2007</v>
      </c>
      <c r="B129" s="147" t="inlineStr">
        <is>
          <t>sewage treatment rate in cities nationwide</t>
        </is>
      </c>
      <c r="C129" s="147" t="inlineStr">
        <is>
          <t>reach</t>
        </is>
      </c>
      <c r="D129" s="147" t="inlineStr">
        <is>
          <t>70%</t>
        </is>
      </c>
      <c r="E129" s="147" t="n"/>
      <c r="F129" s="147" t="inlineStr">
        <is>
          <t>2010</t>
        </is>
      </c>
      <c r="G129" s="147" t="inlineStr">
        <is>
          <t>n</t>
        </is>
      </c>
      <c r="H129" s="147" t="inlineStr">
        <is>
          <t>Pollution control</t>
        </is>
      </c>
      <c r="I129" s="147" t="inlineStr">
        <is>
          <t>cities</t>
        </is>
      </c>
      <c r="J129" s="147" t="inlineStr">
        <is>
          <t>By 2010, the sewage treatment rate in cities nationwide will reach no less than 70%.</t>
        </is>
      </c>
      <c r="K129" s="149" t="inlineStr">
        <is>
          <t>WOP0701.htm</t>
        </is>
      </c>
      <c r="L129" s="147" t="inlineStr">
        <is>
          <t>Circular Economy</t>
        </is>
      </c>
    </row>
    <row r="130" ht="18" customHeight="1" s="235">
      <c r="A130" s="147" t="n">
        <v>2016</v>
      </c>
      <c r="B130" s="147" t="inlineStr">
        <is>
          <t xml:space="preserve">sewage treatment rates of cities </t>
        </is>
      </c>
      <c r="C130" s="147" t="inlineStr">
        <is>
          <t>reach</t>
        </is>
      </c>
      <c r="D130" s="147" t="inlineStr">
        <is>
          <t>95%</t>
        </is>
      </c>
      <c r="E130" s="147" t="n"/>
      <c r="F130" s="147" t="inlineStr">
        <is>
          <t>2020</t>
        </is>
      </c>
      <c r="G130" s="147" t="inlineStr">
        <is>
          <t>n</t>
        </is>
      </c>
      <c r="H130" s="147" t="inlineStr">
        <is>
          <t>Pollution control</t>
        </is>
      </c>
      <c r="I130" s="147" t="inlineStr">
        <is>
          <t>cities</t>
        </is>
      </c>
      <c r="J130" s="147" t="inlineStr">
        <is>
          <t>By 2020, the sewage treatment rates of cities will reach about 95% respectively.</t>
        </is>
      </c>
      <c r="K130" s="149" t="inlineStr">
        <is>
          <t>FYP1601.htm</t>
        </is>
      </c>
      <c r="L130" s="147" t="inlineStr">
        <is>
          <t>Circular Economy</t>
        </is>
      </c>
    </row>
    <row r="131" ht="18" customHeight="1" s="235">
      <c r="A131" s="147" t="n">
        <v>2016</v>
      </c>
      <c r="B131" s="147" t="inlineStr">
        <is>
          <t xml:space="preserve">sewage treatment rates of county towns    </t>
        </is>
      </c>
      <c r="C131" s="147" t="inlineStr">
        <is>
          <t>reach</t>
        </is>
      </c>
      <c r="D131" s="147" t="inlineStr">
        <is>
          <t>about 85%</t>
        </is>
      </c>
      <c r="E131" s="147" t="n"/>
      <c r="F131" s="147" t="inlineStr">
        <is>
          <t>2020</t>
        </is>
      </c>
      <c r="G131" s="147" t="inlineStr">
        <is>
          <t>n</t>
        </is>
      </c>
      <c r="H131" s="147" t="inlineStr">
        <is>
          <t>Pollution control</t>
        </is>
      </c>
      <c r="I131" s="147" t="inlineStr">
        <is>
          <t>cities</t>
        </is>
      </c>
      <c r="J131" s="147" t="inlineStr">
        <is>
          <t>By 2020, all county towns and key towns in the country will have sewage treatment capacity, and the sewage treatment rates of cities and county towns will reach about 95% and 85% respectively.</t>
        </is>
      </c>
      <c r="K131" s="149" t="inlineStr">
        <is>
          <t>FYP1601.htm</t>
        </is>
      </c>
      <c r="L131" s="147" t="inlineStr">
        <is>
          <t>Circular Economy</t>
        </is>
      </c>
    </row>
    <row r="132" ht="18" customHeight="1" s="235">
      <c r="A132" s="147" t="n">
        <v>2013</v>
      </c>
      <c r="B132" s="147" t="inlineStr">
        <is>
          <t>share of domestic waste incineration facilities in total harmless treatment capacity</t>
        </is>
      </c>
      <c r="C132" s="147" t="inlineStr">
        <is>
          <t>account for</t>
        </is>
      </c>
      <c r="D132" s="147" t="inlineStr">
        <is>
          <t>more than 35%</t>
        </is>
      </c>
      <c r="E132" s="147" t="n"/>
      <c r="F132" s="147" t="inlineStr">
        <is>
          <t>2015</t>
        </is>
      </c>
      <c r="G132" s="147" t="inlineStr">
        <is>
          <t>n</t>
        </is>
      </c>
      <c r="H132" s="147" t="inlineStr">
        <is>
          <t>Pollution control</t>
        </is>
      </c>
      <c r="I132" s="147" t="inlineStr">
        <is>
          <t>unclear</t>
        </is>
      </c>
      <c r="J132" s="147" t="inlineStr">
        <is>
          <t>By 2015, domestic waste incineration facilities will account for more than 35% of the total harmless treatment capacity.</t>
        </is>
      </c>
      <c r="K132" s="149" t="inlineStr">
        <is>
          <t>O1302.htm</t>
        </is>
      </c>
      <c r="L132" s="147" t="inlineStr">
        <is>
          <t>Circular Economy</t>
        </is>
      </c>
    </row>
    <row r="133" ht="18" customHeight="1" s="235">
      <c r="A133" s="147" t="n">
        <v>2013</v>
      </c>
      <c r="B133" s="147" t="inlineStr">
        <is>
          <t>share of national-level industrial parks having implemented circular transformation</t>
        </is>
      </c>
      <c r="C133" s="147" t="inlineStr">
        <is>
          <t>reach</t>
        </is>
      </c>
      <c r="D133" s="147" t="inlineStr">
        <is>
          <t>50%</t>
        </is>
      </c>
      <c r="E133" s="147" t="n"/>
      <c r="F133" s="147" t="inlineStr">
        <is>
          <t>2017</t>
        </is>
      </c>
      <c r="G133" s="147" t="inlineStr">
        <is>
          <t>n</t>
        </is>
      </c>
      <c r="H133" s="147" t="inlineStr">
        <is>
          <t>Recycling</t>
        </is>
      </c>
      <c r="I133" s="147" t="inlineStr">
        <is>
          <t>whole economy</t>
        </is>
      </c>
      <c r="J133" s="147" t="inlineStr">
        <is>
          <t>By 2017, the recycling transformation will be implemented in more than 50% of various national-level parks.</t>
        </is>
      </c>
      <c r="K133" s="149" t="inlineStr">
        <is>
          <t>AP1302.htm</t>
        </is>
      </c>
      <c r="L133" s="147" t="inlineStr">
        <is>
          <t>Circular Economy</t>
        </is>
      </c>
    </row>
    <row r="134" ht="18" customHeight="1" s="235">
      <c r="A134" s="147" t="n">
        <v>2016</v>
      </c>
      <c r="B134" s="147" t="inlineStr">
        <is>
          <t>share of national-level industrial parks having implemented circular transformation</t>
        </is>
      </c>
      <c r="C134" s="147" t="inlineStr">
        <is>
          <t>reach</t>
        </is>
      </c>
      <c r="D134" s="147" t="inlineStr">
        <is>
          <t>75%</t>
        </is>
      </c>
      <c r="E134" s="147" t="n"/>
      <c r="F134" s="147" t="inlineStr">
        <is>
          <t>2020</t>
        </is>
      </c>
      <c r="G134" s="147" t="inlineStr">
        <is>
          <t>n</t>
        </is>
      </c>
      <c r="H134" s="147" t="inlineStr">
        <is>
          <t>Recycling</t>
        </is>
      </c>
      <c r="I134" s="147" t="inlineStr">
        <is>
          <t>industrial parks</t>
        </is>
      </c>
      <c r="J134" s="147" t="inlineStr">
        <is>
          <t>By 2020, 75% of national-level industrial parks will have implemented circular transformation.</t>
        </is>
      </c>
      <c r="K134" s="149" t="inlineStr">
        <is>
          <t>FYP1601.htm</t>
        </is>
      </c>
      <c r="L134" s="147" t="inlineStr">
        <is>
          <t>Circular Economy</t>
        </is>
      </c>
    </row>
    <row r="135" ht="18" customHeight="1" s="235">
      <c r="A135" s="147" t="n">
        <v>2013</v>
      </c>
      <c r="B135" s="147" t="inlineStr">
        <is>
          <t>share of national-level industrial parks having implemented circular transformation</t>
        </is>
      </c>
      <c r="C135" s="147" t="inlineStr">
        <is>
          <t>reach</t>
        </is>
      </c>
      <c r="D135" s="147" t="inlineStr">
        <is>
          <t>50%</t>
        </is>
      </c>
      <c r="E135" s="147" t="n"/>
      <c r="F135" s="147" t="inlineStr">
        <is>
          <t>2015</t>
        </is>
      </c>
      <c r="G135" s="147" t="inlineStr">
        <is>
          <t>n</t>
        </is>
      </c>
      <c r="H135" s="147" t="inlineStr">
        <is>
          <t>Recycling</t>
        </is>
      </c>
      <c r="I135" s="147" t="inlineStr">
        <is>
          <t>industrial parks</t>
        </is>
      </c>
      <c r="J135" s="147" t="inlineStr">
        <is>
          <t>By 2015, more than 50% of national-level industrial parks will have implemented recycling transformation.</t>
        </is>
      </c>
      <c r="K135" s="149" t="inlineStr">
        <is>
          <t>DP1301.htm</t>
        </is>
      </c>
      <c r="L135" s="147" t="inlineStr">
        <is>
          <t>Circular Economy</t>
        </is>
      </c>
    </row>
    <row r="136" ht="18" customHeight="1" s="235">
      <c r="A136" s="147" t="n">
        <v>2016</v>
      </c>
      <c r="B136" s="147" t="inlineStr">
        <is>
          <t>share of provincial-level and above (including provincial-level) heavy chemical industrial parks in the Yangtze River Economic Belt  having implemented circular transformation</t>
        </is>
      </c>
      <c r="C136" s="147" t="inlineStr">
        <is>
          <t>reach</t>
        </is>
      </c>
      <c r="D136" s="147" t="inlineStr">
        <is>
          <t>90%</t>
        </is>
      </c>
      <c r="E136" s="147" t="n"/>
      <c r="F136" s="147" t="inlineStr">
        <is>
          <t>2020</t>
        </is>
      </c>
      <c r="G136" s="147" t="inlineStr">
        <is>
          <t>n</t>
        </is>
      </c>
      <c r="H136" s="147" t="inlineStr">
        <is>
          <t>Recycling</t>
        </is>
      </c>
      <c r="I136" s="147" t="inlineStr">
        <is>
          <t>industrial parks</t>
        </is>
      </c>
      <c r="J136" s="147" t="inlineStr">
        <is>
          <t>By 2020, more than 90% of provincial-level and above (including provincial-level) heavy chemical industrial parks in the Yangtze River Economic Belt will have implemented circular transformation.</t>
        </is>
      </c>
      <c r="K136" s="149" t="inlineStr">
        <is>
          <t>FYP1601.htm</t>
        </is>
      </c>
      <c r="L136" s="147" t="inlineStr">
        <is>
          <t>Circular Economy</t>
        </is>
      </c>
    </row>
    <row r="137" ht="18" customHeight="1" s="235">
      <c r="A137" s="147" t="n">
        <v>2016</v>
      </c>
      <c r="B137" s="147" t="inlineStr">
        <is>
          <t>share of provincial-level industrial parks having implemented circular transformation</t>
        </is>
      </c>
      <c r="C137" s="147" t="inlineStr">
        <is>
          <t>reach</t>
        </is>
      </c>
      <c r="D137" s="147" t="inlineStr">
        <is>
          <t>50%</t>
        </is>
      </c>
      <c r="E137" s="147" t="n"/>
      <c r="F137" s="147" t="inlineStr">
        <is>
          <t>2020</t>
        </is>
      </c>
      <c r="G137" s="147" t="inlineStr">
        <is>
          <t>n</t>
        </is>
      </c>
      <c r="H137" s="147" t="inlineStr">
        <is>
          <t>Recycling</t>
        </is>
      </c>
      <c r="I137" s="147" t="inlineStr">
        <is>
          <t>industrial parks</t>
        </is>
      </c>
      <c r="J137" s="147" t="inlineStr">
        <is>
          <t>By 2020, 50% of provincial-level industrial parks will have implemented circular transformation.</t>
        </is>
      </c>
      <c r="K137" s="149" t="inlineStr">
        <is>
          <t>FYP1601.htm</t>
        </is>
      </c>
      <c r="L137" s="147" t="inlineStr">
        <is>
          <t>Circular Economy</t>
        </is>
      </c>
    </row>
    <row r="138" ht="18" customHeight="1" s="235">
      <c r="A138" s="147" t="n">
        <v>2013</v>
      </c>
      <c r="B138" s="147" t="inlineStr">
        <is>
          <t>share of provincial-level industrial parks having implemented circular transformation</t>
        </is>
      </c>
      <c r="C138" s="147" t="inlineStr">
        <is>
          <t>reach</t>
        </is>
      </c>
      <c r="D138" s="147" t="inlineStr">
        <is>
          <t>30%</t>
        </is>
      </c>
      <c r="E138" s="147" t="n"/>
      <c r="F138" s="147" t="inlineStr">
        <is>
          <t>2015</t>
        </is>
      </c>
      <c r="G138" s="147" t="inlineStr">
        <is>
          <t>n</t>
        </is>
      </c>
      <c r="H138" s="147" t="inlineStr">
        <is>
          <t>Recycling</t>
        </is>
      </c>
      <c r="I138" s="147" t="inlineStr">
        <is>
          <t>industrial parks</t>
        </is>
      </c>
      <c r="J138" s="147" t="inlineStr">
        <is>
          <t>By 2015, more than 30% of provincial-level industrial parks will have implemented recycling transformation.</t>
        </is>
      </c>
      <c r="K138" s="149" t="inlineStr">
        <is>
          <t>DP1301.htm</t>
        </is>
      </c>
      <c r="L138" s="147" t="inlineStr">
        <is>
          <t>Circular Economy</t>
        </is>
      </c>
    </row>
    <row r="139" ht="18" customHeight="1" s="235">
      <c r="A139" s="147" t="n">
        <v>2017</v>
      </c>
      <c r="B139" s="147" t="inlineStr">
        <is>
          <t>standardized disposal rate of hazardous waste in Class</t>
        </is>
      </c>
      <c r="C139" s="147" t="inlineStr">
        <is>
          <t>reach</t>
        </is>
      </c>
      <c r="D139" s="147" t="inlineStr">
        <is>
          <t>95%</t>
        </is>
      </c>
      <c r="E139" s="147" t="n"/>
      <c r="F139" s="147" t="inlineStr">
        <is>
          <t>2020</t>
        </is>
      </c>
      <c r="G139" s="147" t="inlineStr">
        <is>
          <t>n</t>
        </is>
      </c>
      <c r="H139" s="147" t="inlineStr">
        <is>
          <t>Pollution control</t>
        </is>
      </c>
      <c r="I139" s="147" t="inlineStr">
        <is>
          <t>unclear</t>
        </is>
      </c>
      <c r="J139" s="147" t="inlineStr">
        <is>
          <t>By 2020, the standardized disposal rate of hazardous waste in Class I and Class II maintenance enterprises across the country will reach more than 95%.</t>
        </is>
      </c>
      <c r="K139" s="149" t="inlineStr">
        <is>
          <t>IP1701.htm</t>
        </is>
      </c>
      <c r="L139" s="147" t="inlineStr">
        <is>
          <t>Circular Economy</t>
        </is>
      </c>
    </row>
    <row r="140" ht="18" customHeight="1" s="235">
      <c r="A140" s="147" t="n">
        <v>2013</v>
      </c>
      <c r="B140" s="147" t="inlineStr">
        <is>
          <t>total amount of major renewable resources utilized</t>
        </is>
      </c>
      <c r="C140" s="147" t="inlineStr">
        <is>
          <t>reach</t>
        </is>
      </c>
      <c r="D140" s="147" t="inlineStr">
        <is>
          <t>266 million tons</t>
        </is>
      </c>
      <c r="E140" s="147" t="n"/>
      <c r="F140" s="147" t="inlineStr">
        <is>
          <t>2015</t>
        </is>
      </c>
      <c r="G140" s="147" t="inlineStr">
        <is>
          <t>n</t>
        </is>
      </c>
      <c r="H140" s="147" t="inlineStr">
        <is>
          <t>Recycling</t>
        </is>
      </c>
      <c r="I140" s="147" t="inlineStr">
        <is>
          <t>whole economy</t>
        </is>
      </c>
      <c r="J140" s="147" t="inlineStr">
        <is>
          <t>By 2015, the total amount of major renewable resources utilized will reach 266 million tons.</t>
        </is>
      </c>
      <c r="K140" s="149" t="inlineStr">
        <is>
          <t>DP1301.htm</t>
        </is>
      </c>
      <c r="L140" s="147" t="inlineStr">
        <is>
          <t>Circular Economy</t>
        </is>
      </c>
    </row>
    <row r="141" ht="18" customHeight="1" s="235">
      <c r="A141" s="147" t="n">
        <v>2013</v>
      </c>
      <c r="B141" s="147" t="inlineStr">
        <is>
          <t>total amount of recycled textile fibres</t>
        </is>
      </c>
      <c r="C141" s="147" t="inlineStr">
        <is>
          <t>reach</t>
        </is>
      </c>
      <c r="D141" s="147" t="inlineStr">
        <is>
          <t>8 million tons</t>
        </is>
      </c>
      <c r="E141" s="147" t="n"/>
      <c r="F141" s="147" t="inlineStr">
        <is>
          <t>2015</t>
        </is>
      </c>
      <c r="G141" s="147" t="inlineStr">
        <is>
          <t>n</t>
        </is>
      </c>
      <c r="H141" s="147" t="inlineStr">
        <is>
          <t>Recycling</t>
        </is>
      </c>
      <c r="I141" s="147" t="inlineStr">
        <is>
          <t>whole economy</t>
        </is>
      </c>
      <c r="J141" s="147" t="inlineStr">
        <is>
          <t>By 2015, the total amount of recycled textile fibers will reach 8 million tons.</t>
        </is>
      </c>
      <c r="K141" s="149" t="inlineStr">
        <is>
          <t>DP1301.htm</t>
        </is>
      </c>
      <c r="L141" s="147" t="inlineStr">
        <is>
          <t>Circular Economy</t>
        </is>
      </c>
    </row>
    <row r="142" ht="18" customHeight="1" s="235">
      <c r="A142" s="147" t="n">
        <v>2024</v>
      </c>
      <c r="B142" s="147" t="inlineStr">
        <is>
          <t>total national water consumption</t>
        </is>
      </c>
      <c r="C142" s="147" t="inlineStr">
        <is>
          <t>keep below</t>
        </is>
      </c>
      <c r="D142" s="147" t="inlineStr">
        <is>
          <t>640 billion cubic meters</t>
        </is>
      </c>
      <c r="E142" s="147" t="n"/>
      <c r="F142" s="151" t="inlineStr">
        <is>
          <t>2025</t>
        </is>
      </c>
      <c r="G142" s="147" t="inlineStr">
        <is>
          <t>n</t>
        </is>
      </c>
      <c r="H142" s="147" t="inlineStr">
        <is>
          <t>Resource efficiency</t>
        </is>
      </c>
      <c r="I142" s="147" t="inlineStr">
        <is>
          <t>whole economy</t>
        </is>
      </c>
      <c r="J142" s="147" t="inlineStr">
        <is>
          <t>By 2025, The country’s total water consumption will be kept below 640 billion cubic meters.</t>
        </is>
      </c>
      <c r="K142" s="149" t="inlineStr">
        <is>
          <t>HL2401.pdf</t>
        </is>
      </c>
      <c r="L142" s="147" t="inlineStr">
        <is>
          <t>Circular Economy</t>
        </is>
      </c>
    </row>
    <row r="143" ht="18" customHeight="1" s="235">
      <c r="A143" s="148" t="n">
        <v>2019</v>
      </c>
      <c r="B143" s="148" t="inlineStr">
        <is>
          <t>total national water consumption</t>
        </is>
      </c>
      <c r="C143" s="148" t="inlineStr">
        <is>
          <t>control within</t>
        </is>
      </c>
      <c r="D143" s="148" t="inlineStr">
        <is>
          <t>670 billion m3</t>
        </is>
      </c>
      <c r="E143" s="148" t="n"/>
      <c r="F143" s="154" t="inlineStr">
        <is>
          <t>2020</t>
        </is>
      </c>
      <c r="G143" s="148" t="inlineStr">
        <is>
          <t>n</t>
        </is>
      </c>
      <c r="H143" s="147" t="inlineStr">
        <is>
          <t>Resource efficiency</t>
        </is>
      </c>
      <c r="I143" s="148" t="inlineStr">
        <is>
          <t>whole economy</t>
        </is>
      </c>
      <c r="J143" s="148" t="inlineStr">
        <is>
          <t>By 2020, total national water consumption will be controlled within 670 billion m3.</t>
        </is>
      </c>
      <c r="K143" s="150" t="inlineStr">
        <is>
          <t>HL1902.pdf</t>
        </is>
      </c>
      <c r="L143" s="147" t="inlineStr">
        <is>
          <t>Circular Economy</t>
        </is>
      </c>
    </row>
    <row r="144" ht="18" customHeight="1" s="235">
      <c r="A144" s="148" t="n">
        <v>2015</v>
      </c>
      <c r="B144" s="147" t="inlineStr">
        <is>
          <t>total national water consumption</t>
        </is>
      </c>
      <c r="C144" s="148" t="inlineStr">
        <is>
          <t>control within</t>
        </is>
      </c>
      <c r="D144" s="148" t="inlineStr">
        <is>
          <t>670 billion cubic meters</t>
        </is>
      </c>
      <c r="E144" s="148" t="n"/>
      <c r="F144" s="154" t="inlineStr">
        <is>
          <t>2020</t>
        </is>
      </c>
      <c r="G144" s="148" t="inlineStr">
        <is>
          <t>r</t>
        </is>
      </c>
      <c r="H144" s="147" t="inlineStr">
        <is>
          <t>Resource efficiency</t>
        </is>
      </c>
      <c r="I144" s="147" t="inlineStr">
        <is>
          <t>whole economy</t>
        </is>
      </c>
      <c r="J144" s="148" t="inlineStr">
        <is>
          <t>By 2020, the total water consumption will be controlled within 670 billion cubic meters.</t>
        </is>
      </c>
      <c r="K144" s="150" t="inlineStr">
        <is>
          <t>HL1503.htm</t>
        </is>
      </c>
      <c r="L144" s="147" t="inlineStr">
        <is>
          <t>Circular Economy</t>
        </is>
      </c>
    </row>
    <row r="145" ht="18" customHeight="1" s="235">
      <c r="A145" s="148" t="n">
        <v>2018</v>
      </c>
      <c r="B145" s="147" t="inlineStr">
        <is>
          <t>total national water consumption</t>
        </is>
      </c>
      <c r="C145" s="148" t="inlineStr">
        <is>
          <t>control within</t>
        </is>
      </c>
      <c r="D145" s="148" t="inlineStr">
        <is>
          <t>670 billion cubic meters</t>
        </is>
      </c>
      <c r="E145" s="148" t="n"/>
      <c r="F145" s="154" t="inlineStr">
        <is>
          <t>2020</t>
        </is>
      </c>
      <c r="G145" s="148" t="inlineStr">
        <is>
          <t>r</t>
        </is>
      </c>
      <c r="H145" s="147" t="inlineStr">
        <is>
          <t>Resource efficiency</t>
        </is>
      </c>
      <c r="I145" s="148" t="inlineStr">
        <is>
          <t>whole economy</t>
        </is>
      </c>
      <c r="J145" s="148" t="inlineStr">
        <is>
          <t>By 2020, the total water consumption in the country will be controlled within 670 billion cubic meters.</t>
        </is>
      </c>
      <c r="K145" s="148" t="inlineStr">
        <is>
          <t>O1802.htm</t>
        </is>
      </c>
      <c r="L145" s="147" t="inlineStr">
        <is>
          <t>Circular Economy</t>
        </is>
      </c>
    </row>
    <row r="146" ht="18" customHeight="1" s="235">
      <c r="A146" s="148" t="n">
        <v>2013</v>
      </c>
      <c r="B146" s="147" t="inlineStr">
        <is>
          <t xml:space="preserve">treatment and comprehensive utilization rate of facility fishery wastewater  </t>
        </is>
      </c>
      <c r="C146" s="148" t="inlineStr">
        <is>
          <t>reach</t>
        </is>
      </c>
      <c r="D146" s="148" t="inlineStr">
        <is>
          <t>80%</t>
        </is>
      </c>
      <c r="E146" s="148" t="n"/>
      <c r="F146" s="148" t="inlineStr">
        <is>
          <t>2015</t>
        </is>
      </c>
      <c r="G146" s="148" t="inlineStr">
        <is>
          <t>n</t>
        </is>
      </c>
      <c r="H146" s="147" t="inlineStr">
        <is>
          <t>Recycling</t>
        </is>
      </c>
      <c r="I146" s="147" t="inlineStr">
        <is>
          <t>sectors</t>
        </is>
      </c>
      <c r="J146" s="148" t="inlineStr">
        <is>
          <t>By 2015, the treatment and comprehensive utilization rate of facility fishery wastewater will reach more than 80%.</t>
        </is>
      </c>
      <c r="K146" s="150" t="inlineStr">
        <is>
          <t>DP1301.htm</t>
        </is>
      </c>
      <c r="L146" s="147" t="inlineStr">
        <is>
          <t>Circular Economy</t>
        </is>
      </c>
    </row>
    <row r="147" ht="18" customHeight="1" s="235">
      <c r="A147" s="148" t="n">
        <v>2026</v>
      </c>
      <c r="B147" s="147" t="inlineStr">
        <is>
          <t>treatment of historical solid waste stockpile sites</t>
        </is>
      </c>
      <c r="C147" s="148" t="inlineStr">
        <is>
          <t>complete</t>
        </is>
      </c>
      <c r="D147" s="148" t="inlineStr">
        <is>
          <t>more than 60%</t>
        </is>
      </c>
      <c r="E147" s="148" t="n"/>
      <c r="F147" s="154" t="n">
        <v>2030</v>
      </c>
      <c r="G147" s="148" t="inlineStr">
        <is>
          <t>n</t>
        </is>
      </c>
      <c r="H147" s="147" t="inlineStr">
        <is>
          <t>Pollution control</t>
        </is>
      </c>
      <c r="I147" s="147" t="inlineStr">
        <is>
          <t>whole economy</t>
        </is>
      </c>
      <c r="J147" s="148" t="inlineStr">
        <is>
          <t>By 2030, more than 60% of historical solid waste stockpile sites nationwide will be treated.</t>
        </is>
      </c>
      <c r="K147" s="150" t="inlineStr">
        <is>
          <t>AP2602.htm</t>
        </is>
      </c>
      <c r="L147" s="147" t="inlineStr">
        <is>
          <t>Circular Economy</t>
        </is>
      </c>
    </row>
    <row r="148" ht="18" customHeight="1" s="235">
      <c r="A148" s="148" t="n">
        <v>2012</v>
      </c>
      <c r="B148" s="147" t="inlineStr">
        <is>
          <t>urban sewage treatment rate</t>
        </is>
      </c>
      <c r="C148" s="148" t="inlineStr">
        <is>
          <t>reach</t>
        </is>
      </c>
      <c r="D148" s="148" t="inlineStr">
        <is>
          <t>85%</t>
        </is>
      </c>
      <c r="E148" s="148" t="n"/>
      <c r="F148" s="148" t="inlineStr">
        <is>
          <t>2015</t>
        </is>
      </c>
      <c r="G148" s="148" t="inlineStr">
        <is>
          <t>n</t>
        </is>
      </c>
      <c r="H148" s="147" t="inlineStr">
        <is>
          <t>Pollution control</t>
        </is>
      </c>
      <c r="I148" s="148" t="inlineStr">
        <is>
          <t>cities</t>
        </is>
      </c>
      <c r="J148" s="148" t="inlineStr">
        <is>
          <t>By 2015, the urban sewage treatment rate will reach 85%.</t>
        </is>
      </c>
      <c r="K148" s="150" t="inlineStr">
        <is>
          <t>FYP1201.htm</t>
        </is>
      </c>
      <c r="L148" s="147" t="inlineStr">
        <is>
          <t>Circular Economy</t>
        </is>
      </c>
    </row>
    <row r="149" ht="18" customHeight="1" s="235">
      <c r="A149" s="148" t="n">
        <v>2026</v>
      </c>
      <c r="B149" s="147" t="inlineStr">
        <is>
          <t>utilisation of waste photovoltaic modules</t>
        </is>
      </c>
      <c r="C149" s="148" t="inlineStr">
        <is>
          <t>reach</t>
        </is>
      </c>
      <c r="D149" s="148" t="inlineStr">
        <is>
          <t>250000 tonnes</t>
        </is>
      </c>
      <c r="E149" s="148" t="n"/>
      <c r="F149" s="154" t="n">
        <v>2027</v>
      </c>
      <c r="G149" s="148" t="inlineStr">
        <is>
          <t>n</t>
        </is>
      </c>
      <c r="H149" s="147" t="inlineStr">
        <is>
          <t>Recycling</t>
        </is>
      </c>
      <c r="I149" s="147" t="inlineStr">
        <is>
          <t>sectors</t>
        </is>
      </c>
      <c r="J149" s="148" t="inlineStr">
        <is>
          <t>By 2027, the cumulative comprehensive utilisation volume of waste photovoltaic modules will reach 250000 tonnes.</t>
        </is>
      </c>
      <c r="K149" s="150" t="inlineStr">
        <is>
          <t>GO2603.htm</t>
        </is>
      </c>
      <c r="L149" s="147" t="inlineStr">
        <is>
          <t>Circular Economy</t>
        </is>
      </c>
    </row>
    <row r="150" ht="18" customHeight="1" s="235">
      <c r="A150" s="147" t="n">
        <v>2016</v>
      </c>
      <c r="B150" s="147" t="inlineStr">
        <is>
          <t>utilization of bulk industrial solid waste</t>
        </is>
      </c>
      <c r="C150" s="147" t="inlineStr">
        <is>
          <t>reach</t>
        </is>
      </c>
      <c r="D150" s="147" t="inlineStr">
        <is>
          <t>2.1 billion tons</t>
        </is>
      </c>
      <c r="E150" s="147" t="n"/>
      <c r="F150" s="147" t="inlineStr">
        <is>
          <t>2020</t>
        </is>
      </c>
      <c r="G150" s="147" t="inlineStr">
        <is>
          <t>n</t>
        </is>
      </c>
      <c r="H150" s="147" t="inlineStr">
        <is>
          <t>Recycling</t>
        </is>
      </c>
      <c r="I150" s="147" t="inlineStr">
        <is>
          <t>sectors</t>
        </is>
      </c>
      <c r="J150" s="147" t="inlineStr">
        <is>
          <t>By 2020, the comprehensive utilization of bulk industrial solid waste will reach 2.1 billion tons.</t>
        </is>
      </c>
      <c r="K150" s="149" t="inlineStr">
        <is>
          <t>DP1601.htm</t>
        </is>
      </c>
      <c r="L150" s="147" t="inlineStr">
        <is>
          <t>Circular Economy</t>
        </is>
      </c>
    </row>
    <row r="151" ht="18" customHeight="1" s="235">
      <c r="A151" s="147" t="n">
        <v>2007</v>
      </c>
      <c r="B151" s="147" t="inlineStr">
        <is>
          <t>utilization of mine water in key industries</t>
        </is>
      </c>
      <c r="C151" s="147" t="inlineStr">
        <is>
          <t>increase by</t>
        </is>
      </c>
      <c r="D151" s="147" t="inlineStr">
        <is>
          <t>2.6 billion cubic meters</t>
        </is>
      </c>
      <c r="E151" s="147" t="n"/>
      <c r="F151" s="147" t="inlineStr">
        <is>
          <t>11th FYP</t>
        </is>
      </c>
      <c r="G151" s="147" t="inlineStr">
        <is>
          <t>n</t>
        </is>
      </c>
      <c r="H151" s="147" t="inlineStr">
        <is>
          <t>Recycling</t>
        </is>
      </c>
      <c r="I151" s="147" t="inlineStr">
        <is>
          <t>sectors</t>
        </is>
      </c>
      <c r="J151" s="147" t="inlineStr">
        <is>
          <t>By 2010, key industries will increase mine water utilization by 2.6 billion cubic meters during the 11th Five-Year Plan period.</t>
        </is>
      </c>
      <c r="K151" s="149" t="inlineStr">
        <is>
          <t>WOP0701.htm</t>
        </is>
      </c>
      <c r="L151" s="147" t="inlineStr">
        <is>
          <t>Circular Economy</t>
        </is>
      </c>
    </row>
    <row r="152" ht="18" customHeight="1" s="235">
      <c r="A152" s="147" t="n">
        <v>2007</v>
      </c>
      <c r="B152" s="147" t="inlineStr">
        <is>
          <t>utilization of mine water in key industries</t>
        </is>
      </c>
      <c r="C152" s="147" t="inlineStr">
        <is>
          <t>increase by</t>
        </is>
      </c>
      <c r="D152" s="147" t="inlineStr">
        <is>
          <t>500 million cubic meters</t>
        </is>
      </c>
      <c r="E152" s="147" t="n"/>
      <c r="F152" s="151" t="n">
        <v>2010</v>
      </c>
      <c r="G152" s="147" t="inlineStr">
        <is>
          <t>n</t>
        </is>
      </c>
      <c r="H152" s="147" t="inlineStr">
        <is>
          <t>Recycling</t>
        </is>
      </c>
      <c r="I152" s="147" t="inlineStr">
        <is>
          <t>sectors</t>
        </is>
      </c>
      <c r="J152" s="147" t="inlineStr">
        <is>
          <t>In 2010, key industries will increase mine water utilization by 500 million cubic meters.</t>
        </is>
      </c>
      <c r="K152" s="149" t="inlineStr">
        <is>
          <t>WOP0701.htm</t>
        </is>
      </c>
      <c r="L152" s="147" t="inlineStr">
        <is>
          <t>Circular Economy</t>
        </is>
      </c>
    </row>
    <row r="153" ht="18" customHeight="1" s="235">
      <c r="A153" s="148" t="n">
        <v>2017</v>
      </c>
      <c r="B153" s="147" t="inlineStr">
        <is>
          <t xml:space="preserve">utilization rate of breeding waste    </t>
        </is>
      </c>
      <c r="C153" s="148" t="inlineStr">
        <is>
          <t>reach</t>
        </is>
      </c>
      <c r="D153" s="148" t="inlineStr">
        <is>
          <t>75%</t>
        </is>
      </c>
      <c r="E153" s="148" t="n"/>
      <c r="F153" s="148" t="inlineStr">
        <is>
          <t>2020</t>
        </is>
      </c>
      <c r="G153" s="148" t="inlineStr">
        <is>
          <t>n</t>
        </is>
      </c>
      <c r="H153" s="147" t="inlineStr">
        <is>
          <t>Recycling</t>
        </is>
      </c>
      <c r="I153" s="147" t="inlineStr">
        <is>
          <t>sectors</t>
        </is>
      </c>
      <c r="J153" s="148" t="inlineStr">
        <is>
          <t>By 2020, the comprehensive utilization rate of breeding waste will reach 75%.</t>
        </is>
      </c>
      <c r="K153" s="150" t="inlineStr">
        <is>
          <t>O1702.htm</t>
        </is>
      </c>
      <c r="L153" s="147" t="inlineStr">
        <is>
          <t>Circular Economy</t>
        </is>
      </c>
    </row>
    <row r="154" ht="18" customHeight="1" s="235">
      <c r="A154" s="147" t="n">
        <v>2024</v>
      </c>
      <c r="B154" s="147" t="inlineStr">
        <is>
          <t>utilization rate of bulk industrial solid waste</t>
        </is>
      </c>
      <c r="C154" s="147" t="inlineStr">
        <is>
          <t>reach</t>
        </is>
      </c>
      <c r="D154" s="147" t="inlineStr">
        <is>
          <t>62%</t>
        </is>
      </c>
      <c r="E154" s="147" t="n"/>
      <c r="F154" s="147" t="inlineStr">
        <is>
          <t>2030</t>
        </is>
      </c>
      <c r="G154" s="147" t="inlineStr">
        <is>
          <t>n</t>
        </is>
      </c>
      <c r="H154" s="147" t="inlineStr">
        <is>
          <t>Recycling</t>
        </is>
      </c>
      <c r="I154" s="147" t="inlineStr">
        <is>
          <t>sectors</t>
        </is>
      </c>
      <c r="J154" s="147" t="inlineStr">
        <is>
          <t>By 2030, the comprehensive utilization rate of bulk industrial solid waste will reach 62%.</t>
        </is>
      </c>
      <c r="K154" s="149" t="inlineStr">
        <is>
          <t>GO2401.htm</t>
        </is>
      </c>
      <c r="L154" s="147" t="inlineStr">
        <is>
          <t>Circular Economy</t>
        </is>
      </c>
    </row>
    <row r="155" ht="18" customHeight="1" s="235">
      <c r="A155" s="152" t="n">
        <v>2021</v>
      </c>
      <c r="B155" s="147" t="inlineStr">
        <is>
          <t>utilization rate of bulk solid waste</t>
        </is>
      </c>
      <c r="C155" s="147" t="inlineStr">
        <is>
          <t>reach</t>
        </is>
      </c>
      <c r="D155" s="152" t="inlineStr">
        <is>
          <t>60%</t>
        </is>
      </c>
      <c r="E155" s="152" t="n"/>
      <c r="F155" s="151" t="inlineStr">
        <is>
          <t>2025</t>
        </is>
      </c>
      <c r="G155" s="152" t="inlineStr">
        <is>
          <t>n</t>
        </is>
      </c>
      <c r="H155" s="147" t="inlineStr">
        <is>
          <t>Recycling</t>
        </is>
      </c>
      <c r="I155" s="147" t="inlineStr">
        <is>
          <t>sectors</t>
        </is>
      </c>
      <c r="J155" s="152" t="inlineStr">
        <is>
          <t>By 2025, the comprehensive utilization rate of bulk solid waste will reach 60%.</t>
        </is>
      </c>
      <c r="K155" s="153" t="inlineStr">
        <is>
          <t>FYP2115.pdf</t>
        </is>
      </c>
      <c r="L155" s="147" t="inlineStr">
        <is>
          <t>Circular Economy</t>
        </is>
      </c>
    </row>
    <row r="156" ht="18" customHeight="1" s="235">
      <c r="A156" s="156" t="n">
        <v>2021</v>
      </c>
      <c r="B156" s="147" t="inlineStr">
        <is>
          <t>utilization rate of construction waste</t>
        </is>
      </c>
      <c r="C156" s="147" t="inlineStr">
        <is>
          <t>reach</t>
        </is>
      </c>
      <c r="D156" s="156" t="inlineStr">
        <is>
          <t>60%</t>
        </is>
      </c>
      <c r="E156" s="156" t="n"/>
      <c r="F156" s="154" t="inlineStr">
        <is>
          <t>2025</t>
        </is>
      </c>
      <c r="G156" s="156" t="inlineStr">
        <is>
          <t>n</t>
        </is>
      </c>
      <c r="H156" s="147" t="inlineStr">
        <is>
          <t>Recycling</t>
        </is>
      </c>
      <c r="I156" s="147" t="inlineStr">
        <is>
          <t>sectors</t>
        </is>
      </c>
      <c r="J156" s="156" t="inlineStr">
        <is>
          <t>By 2025, the comprehensive utilization rate of construction waste will reach 60%.</t>
        </is>
      </c>
      <c r="K156" s="157" t="inlineStr">
        <is>
          <t>FYP2115.pdf</t>
        </is>
      </c>
      <c r="L156" s="147" t="inlineStr">
        <is>
          <t>Circular Economy</t>
        </is>
      </c>
    </row>
    <row r="157" ht="18" customHeight="1" s="235">
      <c r="A157" s="148" t="n">
        <v>2016</v>
      </c>
      <c r="B157" s="147" t="inlineStr">
        <is>
          <t xml:space="preserve">utilization rate of cutting materials    </t>
        </is>
      </c>
      <c r="C157" s="148" t="inlineStr">
        <is>
          <t>increase by</t>
        </is>
      </c>
      <c r="D157" s="148" t="inlineStr">
        <is>
          <t>10%</t>
        </is>
      </c>
      <c r="E157" s="148" t="n">
        <v>2015</v>
      </c>
      <c r="F157" s="148" t="inlineStr">
        <is>
          <t>2020</t>
        </is>
      </c>
      <c r="G157" s="148" t="inlineStr">
        <is>
          <t>n</t>
        </is>
      </c>
      <c r="H157" s="147" t="inlineStr">
        <is>
          <t>Resource efficiency</t>
        </is>
      </c>
      <c r="I157" s="147" t="inlineStr">
        <is>
          <t>sectors</t>
        </is>
      </c>
      <c r="J157" s="148" t="inlineStr">
        <is>
          <t>By 2020, the utilization rate of cutting materials will be increased by 10%.</t>
        </is>
      </c>
      <c r="K157" s="150" t="inlineStr">
        <is>
          <t>DP1601.htm</t>
        </is>
      </c>
      <c r="L157" s="147" t="inlineStr">
        <is>
          <t>Circular Economy</t>
        </is>
      </c>
    </row>
    <row r="158" ht="18" customHeight="1" s="235">
      <c r="A158" s="148" t="n">
        <v>2017</v>
      </c>
      <c r="B158" s="147" t="inlineStr">
        <is>
          <t xml:space="preserve">utilization rate of fertilizers and pesticides  </t>
        </is>
      </c>
      <c r="C158" s="148" t="inlineStr">
        <is>
          <t>reach</t>
        </is>
      </c>
      <c r="D158" s="148" t="inlineStr">
        <is>
          <t>40%</t>
        </is>
      </c>
      <c r="E158" s="148" t="n"/>
      <c r="F158" s="147" t="inlineStr">
        <is>
          <t>2020</t>
        </is>
      </c>
      <c r="G158" s="148" t="inlineStr">
        <is>
          <t>n</t>
        </is>
      </c>
      <c r="H158" s="147" t="inlineStr">
        <is>
          <t>Environmental quality</t>
        </is>
      </c>
      <c r="I158" s="147" t="inlineStr">
        <is>
          <t>sectors</t>
        </is>
      </c>
      <c r="J158" s="148" t="inlineStr">
        <is>
          <t>By 2020, the utilization rate of fertilizers and pesticides will reach 40%.</t>
        </is>
      </c>
      <c r="K158" s="150" t="inlineStr">
        <is>
          <t>O1702.htm</t>
        </is>
      </c>
      <c r="L158" s="147" t="inlineStr">
        <is>
          <t>Circular Economy</t>
        </is>
      </c>
    </row>
    <row r="159" ht="18" customHeight="1" s="235">
      <c r="A159" s="147" t="n">
        <v>2013</v>
      </c>
      <c r="B159" s="147" t="inlineStr">
        <is>
          <t xml:space="preserve">utilization rate of fly ash    </t>
        </is>
      </c>
      <c r="C159" s="147" t="inlineStr">
        <is>
          <t>reach</t>
        </is>
      </c>
      <c r="D159" s="147" t="inlineStr">
        <is>
          <t>70%</t>
        </is>
      </c>
      <c r="E159" s="148" t="n"/>
      <c r="F159" s="147" t="inlineStr">
        <is>
          <t>2015</t>
        </is>
      </c>
      <c r="G159" s="147" t="inlineStr">
        <is>
          <t>n</t>
        </is>
      </c>
      <c r="H159" s="147" t="inlineStr">
        <is>
          <t>Recycling</t>
        </is>
      </c>
      <c r="I159" s="147" t="inlineStr">
        <is>
          <t>sectors</t>
        </is>
      </c>
      <c r="J159" s="147" t="inlineStr">
        <is>
          <t>By 2015, the comprehensive utilization rate of fly ash will reach 70%.</t>
        </is>
      </c>
      <c r="K159" s="149" t="inlineStr">
        <is>
          <t>DP1301.htm</t>
        </is>
      </c>
      <c r="L159" s="147" t="inlineStr">
        <is>
          <t>Circular Economy</t>
        </is>
      </c>
    </row>
    <row r="160" ht="18" customHeight="1" s="235">
      <c r="A160" s="148" t="n">
        <v>2016</v>
      </c>
      <c r="B160" s="147" t="inlineStr">
        <is>
          <t xml:space="preserve">utilization rate of fly ash    </t>
        </is>
      </c>
      <c r="C160" s="148" t="inlineStr">
        <is>
          <t>reach</t>
        </is>
      </c>
      <c r="D160" s="148" t="inlineStr">
        <is>
          <t>75%</t>
        </is>
      </c>
      <c r="E160" s="148" t="n"/>
      <c r="F160" s="147" t="inlineStr">
        <is>
          <t>2020</t>
        </is>
      </c>
      <c r="G160" s="147" t="inlineStr">
        <is>
          <t>n</t>
        </is>
      </c>
      <c r="H160" s="147" t="inlineStr">
        <is>
          <t>Recycling</t>
        </is>
      </c>
      <c r="I160" s="147" t="inlineStr">
        <is>
          <t>sectors</t>
        </is>
      </c>
      <c r="J160" s="148" t="inlineStr">
        <is>
          <t>By 2020, the utilization rate of fly ash will be 75%.</t>
        </is>
      </c>
      <c r="K160" s="150" t="inlineStr">
        <is>
          <t>DP1601.htm</t>
        </is>
      </c>
      <c r="L160" s="147" t="inlineStr">
        <is>
          <t>Circular Economy</t>
        </is>
      </c>
    </row>
    <row r="161" ht="18" customHeight="1" s="235">
      <c r="A161" s="148" t="n">
        <v>2013</v>
      </c>
      <c r="B161" s="147" t="inlineStr">
        <is>
          <t>utilization rate of food industry by-products</t>
        </is>
      </c>
      <c r="C161" s="148" t="inlineStr">
        <is>
          <t>increase to</t>
        </is>
      </c>
      <c r="D161" s="148" t="inlineStr">
        <is>
          <t>80%</t>
        </is>
      </c>
      <c r="E161" s="148" t="n"/>
      <c r="F161" s="147" t="inlineStr">
        <is>
          <t>2015</t>
        </is>
      </c>
      <c r="G161" s="147" t="inlineStr">
        <is>
          <t>n</t>
        </is>
      </c>
      <c r="H161" s="147" t="inlineStr">
        <is>
          <t>Recycling</t>
        </is>
      </c>
      <c r="I161" s="147" t="inlineStr">
        <is>
          <t>sectors</t>
        </is>
      </c>
      <c r="J161" s="148" t="inlineStr">
        <is>
          <t>By 2015, the comprehensive utilization rate of food industry by-products will increase to more than 80%.</t>
        </is>
      </c>
      <c r="K161" s="150" t="inlineStr">
        <is>
          <t>DP1301.htm</t>
        </is>
      </c>
      <c r="L161" s="147" t="inlineStr">
        <is>
          <t>Circular Economy</t>
        </is>
      </c>
    </row>
    <row r="162" ht="18" customHeight="1" s="235">
      <c r="A162" s="148" t="n">
        <v>2013</v>
      </c>
      <c r="B162" s="147" t="inlineStr">
        <is>
          <t>utilization rate of forestry "three wastes"</t>
        </is>
      </c>
      <c r="C162" s="148" t="inlineStr">
        <is>
          <t>reach</t>
        </is>
      </c>
      <c r="D162" s="148" t="inlineStr">
        <is>
          <t>80%</t>
        </is>
      </c>
      <c r="E162" s="148" t="n"/>
      <c r="F162" s="147" t="inlineStr">
        <is>
          <t>2015</t>
        </is>
      </c>
      <c r="G162" s="147" t="inlineStr">
        <is>
          <t>n</t>
        </is>
      </c>
      <c r="H162" s="147" t="inlineStr">
        <is>
          <t>Recycling</t>
        </is>
      </c>
      <c r="I162" s="147" t="inlineStr">
        <is>
          <t>sectors</t>
        </is>
      </c>
      <c r="J162" s="148" t="inlineStr">
        <is>
          <t>By 2015, the comprehensive utilization rate of forestry "three wastes" will reach more than 80%.</t>
        </is>
      </c>
      <c r="K162" s="150" t="inlineStr">
        <is>
          <t>DP1301.htm</t>
        </is>
      </c>
      <c r="L162" s="147" t="inlineStr">
        <is>
          <t>Circular Economy</t>
        </is>
      </c>
    </row>
    <row r="163" ht="18" customHeight="1" s="235">
      <c r="A163" s="148" t="n">
        <v>2016</v>
      </c>
      <c r="B163" s="147" t="inlineStr">
        <is>
          <t xml:space="preserve">utilization rate of forging materials    </t>
        </is>
      </c>
      <c r="C163" s="148" t="inlineStr">
        <is>
          <t>increase by</t>
        </is>
      </c>
      <c r="D163" s="148" t="inlineStr">
        <is>
          <t>10%</t>
        </is>
      </c>
      <c r="E163" s="148" t="n">
        <v>2015</v>
      </c>
      <c r="F163" s="147" t="inlineStr">
        <is>
          <t>2020</t>
        </is>
      </c>
      <c r="G163" s="147" t="inlineStr">
        <is>
          <t>n</t>
        </is>
      </c>
      <c r="H163" s="147" t="inlineStr">
        <is>
          <t>Resource efficiency</t>
        </is>
      </c>
      <c r="I163" s="147" t="inlineStr">
        <is>
          <t>sectors</t>
        </is>
      </c>
      <c r="J163" s="148" t="inlineStr">
        <is>
          <t>By 2020, the utilization rate of forging materials will be increased by 10%.</t>
        </is>
      </c>
      <c r="K163" s="150" t="inlineStr">
        <is>
          <t>DP1601.htm</t>
        </is>
      </c>
      <c r="L163" s="147" t="inlineStr">
        <is>
          <t>Circular Economy</t>
        </is>
      </c>
    </row>
    <row r="164" ht="18" customHeight="1" s="235">
      <c r="A164" s="148" t="n">
        <v>2016</v>
      </c>
      <c r="B164" s="147" t="inlineStr">
        <is>
          <t xml:space="preserve">utilization rate of industrial solid waste  </t>
        </is>
      </c>
      <c r="C164" s="148" t="inlineStr">
        <is>
          <t>reach</t>
        </is>
      </c>
      <c r="D164" s="148" t="inlineStr">
        <is>
          <t>more than 73%</t>
        </is>
      </c>
      <c r="E164" s="148" t="n"/>
      <c r="F164" s="147" t="inlineStr">
        <is>
          <t>2020</t>
        </is>
      </c>
      <c r="G164" s="147" t="inlineStr">
        <is>
          <t>n</t>
        </is>
      </c>
      <c r="H164" s="147" t="inlineStr">
        <is>
          <t>Recycling</t>
        </is>
      </c>
      <c r="I164" s="147" t="inlineStr">
        <is>
          <t>sectors</t>
        </is>
      </c>
      <c r="J164" s="148" t="inlineStr">
        <is>
          <t>By 2020, the comprehensive utilization rate of industrial solid waste will reach more than 73%.</t>
        </is>
      </c>
      <c r="K164" s="150" t="inlineStr">
        <is>
          <t>FYP1601.htm</t>
        </is>
      </c>
      <c r="L164" s="147" t="inlineStr">
        <is>
          <t>Circular Economy</t>
        </is>
      </c>
    </row>
    <row r="165" ht="18" customHeight="1" s="235">
      <c r="A165" s="148" t="n">
        <v>2007</v>
      </c>
      <c r="B165" s="147" t="inlineStr">
        <is>
          <t xml:space="preserve">utilization rate of industrial solid waste  </t>
        </is>
      </c>
      <c r="C165" s="148" t="inlineStr">
        <is>
          <t>reach</t>
        </is>
      </c>
      <c r="D165" s="148" t="inlineStr">
        <is>
          <t>60%</t>
        </is>
      </c>
      <c r="E165" s="148" t="n"/>
      <c r="F165" s="147" t="inlineStr">
        <is>
          <t>2010</t>
        </is>
      </c>
      <c r="G165" s="147" t="inlineStr">
        <is>
          <t>n</t>
        </is>
      </c>
      <c r="H165" s="147" t="inlineStr">
        <is>
          <t>Recycling</t>
        </is>
      </c>
      <c r="I165" s="147" t="inlineStr">
        <is>
          <t>sectors</t>
        </is>
      </c>
      <c r="J165" s="148" t="inlineStr">
        <is>
          <t>By 2010, the comprehensive utilization rate of industrial solid waste will reach more than 60%.</t>
        </is>
      </c>
      <c r="K165" s="150" t="inlineStr">
        <is>
          <t>WOP0701.htm</t>
        </is>
      </c>
      <c r="L165" s="147" t="inlineStr">
        <is>
          <t>Circular Economy</t>
        </is>
      </c>
    </row>
    <row r="166" ht="18" customHeight="1" s="235">
      <c r="A166" s="148" t="n">
        <v>2021</v>
      </c>
      <c r="B166" s="147" t="inlineStr">
        <is>
          <t>utilization rate of livestock and poultry manure</t>
        </is>
      </c>
      <c r="C166" s="148" t="inlineStr">
        <is>
          <t>reach</t>
        </is>
      </c>
      <c r="D166" s="148" t="inlineStr">
        <is>
          <t>80%</t>
        </is>
      </c>
      <c r="E166" s="148" t="n"/>
      <c r="F166" s="147" t="inlineStr">
        <is>
          <t>2025</t>
        </is>
      </c>
      <c r="G166" s="147" t="inlineStr">
        <is>
          <t>r</t>
        </is>
      </c>
      <c r="H166" s="147" t="inlineStr">
        <is>
          <t>Recycling</t>
        </is>
      </c>
      <c r="I166" s="147" t="inlineStr">
        <is>
          <t>sectors</t>
        </is>
      </c>
      <c r="J166" s="148" t="inlineStr">
        <is>
          <t>By 2025, the comprehensive utilization rate of livestock and poultry manure will reach above 80%.</t>
        </is>
      </c>
      <c r="K166" s="150" t="inlineStr">
        <is>
          <t>FYP2107.htm</t>
        </is>
      </c>
      <c r="L166" s="147" t="inlineStr">
        <is>
          <t>Circular Economy</t>
        </is>
      </c>
    </row>
    <row r="167" ht="18" customHeight="1" s="235">
      <c r="A167" s="147" t="n">
        <v>2024</v>
      </c>
      <c r="B167" s="147" t="inlineStr">
        <is>
          <t>utilization rate of livestock and poultry manure</t>
        </is>
      </c>
      <c r="C167" s="147" t="inlineStr">
        <is>
          <t>reach</t>
        </is>
      </c>
      <c r="D167" s="147" t="inlineStr">
        <is>
          <t>85%</t>
        </is>
      </c>
      <c r="E167" s="147" t="n"/>
      <c r="F167" s="147" t="inlineStr">
        <is>
          <t>2030</t>
        </is>
      </c>
      <c r="G167" s="147" t="inlineStr">
        <is>
          <t>n</t>
        </is>
      </c>
      <c r="H167" s="147" t="inlineStr">
        <is>
          <t>Recycling</t>
        </is>
      </c>
      <c r="I167" s="147" t="inlineStr">
        <is>
          <t>sectors</t>
        </is>
      </c>
      <c r="J167" s="147" t="inlineStr">
        <is>
          <t>By 2030, the comprehensive utilization rate of livestock and poultry manure will reach more than 85%.</t>
        </is>
      </c>
      <c r="K167" s="149" t="inlineStr">
        <is>
          <t>GO2404.htm</t>
        </is>
      </c>
      <c r="L167" s="147" t="inlineStr">
        <is>
          <t>Circular Economy</t>
        </is>
      </c>
    </row>
    <row r="168" ht="18" customHeight="1" s="235">
      <c r="A168" s="147" t="n">
        <v>2024</v>
      </c>
      <c r="B168" s="147" t="inlineStr">
        <is>
          <t>utilization rate of livestock and poultry manure</t>
        </is>
      </c>
      <c r="C168" s="147" t="inlineStr">
        <is>
          <t>reach</t>
        </is>
      </c>
      <c r="D168" s="147" t="inlineStr">
        <is>
          <t>80%</t>
        </is>
      </c>
      <c r="E168" s="147" t="n"/>
      <c r="F168" s="147" t="inlineStr">
        <is>
          <t>2025</t>
        </is>
      </c>
      <c r="G168" s="147" t="inlineStr">
        <is>
          <t>n</t>
        </is>
      </c>
      <c r="H168" s="147" t="inlineStr">
        <is>
          <t>Recycling</t>
        </is>
      </c>
      <c r="I168" s="147" t="inlineStr">
        <is>
          <t>sectors</t>
        </is>
      </c>
      <c r="J168" s="147" t="inlineStr">
        <is>
          <t>By 2025, the comprehensive utilization rate of livestock and poultry manure will reach over 80%</t>
        </is>
      </c>
      <c r="K168" s="149" t="inlineStr">
        <is>
          <t>HL2401.pdf</t>
        </is>
      </c>
      <c r="L168" s="147" t="inlineStr">
        <is>
          <t>Circular Economy</t>
        </is>
      </c>
    </row>
    <row r="169" ht="18" customHeight="1" s="235">
      <c r="A169" s="148" t="n">
        <v>2024</v>
      </c>
      <c r="B169" s="147" t="inlineStr">
        <is>
          <t>utilization rate of livestock and poultry manure</t>
        </is>
      </c>
      <c r="C169" s="148" t="inlineStr">
        <is>
          <t>reach</t>
        </is>
      </c>
      <c r="D169" s="148" t="inlineStr">
        <is>
          <t>85%</t>
        </is>
      </c>
      <c r="E169" s="148" t="n"/>
      <c r="F169" s="147" t="inlineStr">
        <is>
          <t>2030</t>
        </is>
      </c>
      <c r="G169" s="147" t="inlineStr">
        <is>
          <t>r</t>
        </is>
      </c>
      <c r="H169" s="147" t="inlineStr">
        <is>
          <t>Recycling</t>
        </is>
      </c>
      <c r="I169" s="147" t="inlineStr">
        <is>
          <t>sectors</t>
        </is>
      </c>
      <c r="J169" s="148" t="inlineStr">
        <is>
          <t>By 2030, the comprehensive utilization rate of livestock and poultry manure will reach over 85%</t>
        </is>
      </c>
      <c r="K169" s="150" t="inlineStr">
        <is>
          <t>HL2401.pdf</t>
        </is>
      </c>
      <c r="L169" s="147" t="inlineStr">
        <is>
          <t>Circular Economy</t>
        </is>
      </c>
    </row>
    <row r="170" ht="18" customHeight="1" s="235">
      <c r="A170" s="147" t="n">
        <v>2018</v>
      </c>
      <c r="B170" s="147" t="inlineStr">
        <is>
          <t>utilization rate of livestock and poultry manure</t>
        </is>
      </c>
      <c r="C170" s="147" t="inlineStr">
        <is>
          <t>reach</t>
        </is>
      </c>
      <c r="D170" s="147" t="inlineStr">
        <is>
          <t>more than 75%</t>
        </is>
      </c>
      <c r="E170" s="147" t="n"/>
      <c r="F170" s="147" t="inlineStr">
        <is>
          <t>2020</t>
        </is>
      </c>
      <c r="G170" s="152" t="inlineStr">
        <is>
          <t>s/l-POS</t>
        </is>
      </c>
      <c r="H170" s="147" t="inlineStr">
        <is>
          <t>Recycling</t>
        </is>
      </c>
      <c r="I170" s="147" t="inlineStr">
        <is>
          <t>sectors</t>
        </is>
      </c>
      <c r="J170" s="147" t="inlineStr">
        <is>
          <t>By 2020, the comprehensive utilization rate of livestock and poultry manure and waste in the country will reach more than 75%.</t>
        </is>
      </c>
      <c r="K170" s="149" t="inlineStr">
        <is>
          <t>O1802.htm</t>
        </is>
      </c>
      <c r="L170" s="147" t="inlineStr">
        <is>
          <t>Circular Economy</t>
        </is>
      </c>
    </row>
    <row r="171" ht="18" customHeight="1" s="235">
      <c r="A171" s="148" t="n">
        <v>2016</v>
      </c>
      <c r="B171" s="147" t="inlineStr">
        <is>
          <t xml:space="preserve">utilization rate of major renewable resources  </t>
        </is>
      </c>
      <c r="C171" s="148" t="inlineStr">
        <is>
          <t>reach</t>
        </is>
      </c>
      <c r="D171" s="148" t="inlineStr">
        <is>
          <t>75%</t>
        </is>
      </c>
      <c r="E171" s="148" t="n"/>
      <c r="F171" s="147" t="inlineStr">
        <is>
          <t>2020</t>
        </is>
      </c>
      <c r="G171" s="147" t="inlineStr">
        <is>
          <t>n</t>
        </is>
      </c>
      <c r="H171" s="147" t="inlineStr">
        <is>
          <t>Recycling</t>
        </is>
      </c>
      <c r="I171" s="147" t="inlineStr">
        <is>
          <t>sectors</t>
        </is>
      </c>
      <c r="J171" s="148" t="inlineStr">
        <is>
          <t>By 2020, the utilization rate of major renewable resources will reach 75%.</t>
        </is>
      </c>
      <c r="K171" s="150" t="inlineStr">
        <is>
          <t>DP1601.htm</t>
        </is>
      </c>
      <c r="L171" s="147" t="inlineStr">
        <is>
          <t>Circular Economy</t>
        </is>
      </c>
    </row>
    <row r="172" ht="18" customHeight="1" s="235">
      <c r="A172" s="147" t="n">
        <v>2016</v>
      </c>
      <c r="B172" s="147" t="inlineStr">
        <is>
          <t>utilization rate of medium and low-grade waste heat and pressure</t>
        </is>
      </c>
      <c r="C172" s="147" t="inlineStr">
        <is>
          <t>reach</t>
        </is>
      </c>
      <c r="D172" s="147" t="inlineStr">
        <is>
          <t>80%</t>
        </is>
      </c>
      <c r="E172" s="147" t="n"/>
      <c r="F172" s="147" t="inlineStr">
        <is>
          <t>2020</t>
        </is>
      </c>
      <c r="G172" s="147" t="inlineStr">
        <is>
          <t>n</t>
        </is>
      </c>
      <c r="H172" s="147" t="inlineStr">
        <is>
          <t>Energy efficiency</t>
        </is>
      </c>
      <c r="I172" s="147" t="inlineStr">
        <is>
          <t>sectors</t>
        </is>
      </c>
      <c r="J172" s="147" t="inlineStr">
        <is>
          <t>By 2020, the utilization rate of medium and low-grade waste heat and pressure will reach 80%.</t>
        </is>
      </c>
      <c r="K172" s="149" t="inlineStr">
        <is>
          <t>DP1601.htm</t>
        </is>
      </c>
      <c r="L172" s="147" t="inlineStr">
        <is>
          <t>Circular Economy</t>
        </is>
      </c>
    </row>
    <row r="173" ht="18" customHeight="1" s="235">
      <c r="A173" s="148" t="n">
        <v>2013</v>
      </c>
      <c r="B173" s="147" t="inlineStr">
        <is>
          <t>utilization rate of mine water</t>
        </is>
      </c>
      <c r="C173" s="148" t="inlineStr">
        <is>
          <t>reach</t>
        </is>
      </c>
      <c r="D173" s="148" t="inlineStr">
        <is>
          <t>75%</t>
        </is>
      </c>
      <c r="E173" s="148" t="n"/>
      <c r="F173" s="147" t="inlineStr">
        <is>
          <t>2015</t>
        </is>
      </c>
      <c r="G173" s="147" t="inlineStr">
        <is>
          <t>r</t>
        </is>
      </c>
      <c r="H173" s="147" t="inlineStr">
        <is>
          <t>Recycling</t>
        </is>
      </c>
      <c r="I173" s="147" t="inlineStr">
        <is>
          <t>unclear</t>
        </is>
      </c>
      <c r="J173" s="148" t="inlineStr">
        <is>
          <t>By 2015, mine water utilization rate will reach 75%.</t>
        </is>
      </c>
      <c r="K173" s="150" t="inlineStr">
        <is>
          <t>FYP1302.htm</t>
        </is>
      </c>
      <c r="L173" s="147" t="inlineStr">
        <is>
          <t>Circular Economy</t>
        </is>
      </c>
    </row>
    <row r="174" ht="18" customHeight="1" s="235">
      <c r="A174" s="147" t="n">
        <v>2013</v>
      </c>
      <c r="B174" s="147" t="inlineStr">
        <is>
          <t>utilization rate of mine water</t>
        </is>
      </c>
      <c r="C174" s="147" t="inlineStr">
        <is>
          <t>reach</t>
        </is>
      </c>
      <c r="D174" s="147" t="inlineStr">
        <is>
          <t>75%</t>
        </is>
      </c>
      <c r="E174" s="147" t="n"/>
      <c r="F174" s="147" t="inlineStr">
        <is>
          <t>2015</t>
        </is>
      </c>
      <c r="G174" s="147" t="inlineStr">
        <is>
          <t>n</t>
        </is>
      </c>
      <c r="H174" s="147" t="inlineStr">
        <is>
          <t>Recycling</t>
        </is>
      </c>
      <c r="I174" s="147" t="inlineStr">
        <is>
          <t>sectors</t>
        </is>
      </c>
      <c r="J174" s="147" t="inlineStr">
        <is>
          <t>By 2015, the comprehensive utilization rate of mine water will reach 75%.</t>
        </is>
      </c>
      <c r="K174" s="149" t="inlineStr">
        <is>
          <t>DP1301.htm</t>
        </is>
      </c>
      <c r="L174" s="147" t="inlineStr">
        <is>
          <t>Circular Economy</t>
        </is>
      </c>
    </row>
    <row r="175" ht="18" customHeight="1" s="235">
      <c r="A175" s="148" t="n">
        <v>2022</v>
      </c>
      <c r="B175" s="147" t="inlineStr">
        <is>
          <t>utilization rate of new bulk solid waste</t>
        </is>
      </c>
      <c r="C175" s="148" t="inlineStr">
        <is>
          <t>reach</t>
        </is>
      </c>
      <c r="D175" s="148" t="inlineStr">
        <is>
          <t>60%</t>
        </is>
      </c>
      <c r="E175" s="148" t="n"/>
      <c r="F175" s="147" t="inlineStr">
        <is>
          <t>2025</t>
        </is>
      </c>
      <c r="G175" s="147" t="inlineStr">
        <is>
          <t>r</t>
        </is>
      </c>
      <c r="H175" s="147" t="inlineStr">
        <is>
          <t>Recycling</t>
        </is>
      </c>
      <c r="I175" s="147" t="inlineStr">
        <is>
          <t>sectors</t>
        </is>
      </c>
      <c r="J175" s="148" t="inlineStr">
        <is>
          <t>By 2025, the comprehensive utilization rate of new bulk solid waste will reach 60%, and the stock of bulk solid waste will be reduced in an orderly manner.</t>
        </is>
      </c>
      <c r="K175" s="150" t="inlineStr">
        <is>
          <t>IP2201.htm</t>
        </is>
      </c>
      <c r="L175" s="147" t="inlineStr">
        <is>
          <t>Circular Economy</t>
        </is>
      </c>
    </row>
    <row r="176" ht="18" customHeight="1" s="235">
      <c r="A176" s="148" t="n">
        <v>2016</v>
      </c>
      <c r="B176" s="147" t="inlineStr">
        <is>
          <t>utilization rate of phosphogypsum</t>
        </is>
      </c>
      <c r="C176" s="148" t="inlineStr">
        <is>
          <t>reach</t>
        </is>
      </c>
      <c r="D176" s="148" t="inlineStr">
        <is>
          <t>40%</t>
        </is>
      </c>
      <c r="E176" s="148" t="n"/>
      <c r="F176" s="147" t="inlineStr">
        <is>
          <t>2020</t>
        </is>
      </c>
      <c r="G176" s="147" t="inlineStr">
        <is>
          <t>n</t>
        </is>
      </c>
      <c r="H176" s="147" t="inlineStr">
        <is>
          <t>Recycling</t>
        </is>
      </c>
      <c r="I176" s="147" t="inlineStr">
        <is>
          <t>sectors</t>
        </is>
      </c>
      <c r="J176" s="148" t="inlineStr">
        <is>
          <t>By 2020, the utilization rate of phosphogypsum will be 40%.</t>
        </is>
      </c>
      <c r="K176" s="150" t="inlineStr">
        <is>
          <t>DP1601.htm</t>
        </is>
      </c>
      <c r="L176" s="147" t="inlineStr">
        <is>
          <t>Circular Economy</t>
        </is>
      </c>
    </row>
    <row r="177" ht="18" customHeight="1" s="235">
      <c r="A177" s="148" t="n">
        <v>2012</v>
      </c>
      <c r="B177" s="147" t="inlineStr">
        <is>
          <t>utilization rate of recycled water in urban sewage treatment plants</t>
        </is>
      </c>
      <c r="C177" s="148" t="inlineStr">
        <is>
          <t>reach</t>
        </is>
      </c>
      <c r="D177" s="148" t="inlineStr">
        <is>
          <t>15%</t>
        </is>
      </c>
      <c r="E177" s="148" t="n"/>
      <c r="F177" s="147" t="inlineStr">
        <is>
          <t>2015</t>
        </is>
      </c>
      <c r="G177" s="147" t="inlineStr">
        <is>
          <t>n</t>
        </is>
      </c>
      <c r="H177" s="147" t="inlineStr">
        <is>
          <t>Recycling</t>
        </is>
      </c>
      <c r="I177" s="147" t="inlineStr">
        <is>
          <t>sectors</t>
        </is>
      </c>
      <c r="J177" s="148" t="inlineStr">
        <is>
          <t>By 2015, the utilization rate of recycled water in urban sewage treatment plants across the country will reach more than 15%.</t>
        </is>
      </c>
      <c r="K177" s="150" t="inlineStr">
        <is>
          <t>FYP1201.htm</t>
        </is>
      </c>
      <c r="L177" s="147" t="inlineStr">
        <is>
          <t>Circular Economy</t>
        </is>
      </c>
    </row>
    <row r="178" ht="18" customHeight="1" s="235">
      <c r="A178" s="147" t="n">
        <v>2013</v>
      </c>
      <c r="B178" s="147" t="inlineStr">
        <is>
          <t xml:space="preserve">utilization rate of smelting waste    </t>
        </is>
      </c>
      <c r="C178" s="147" t="inlineStr">
        <is>
          <t>reach</t>
        </is>
      </c>
      <c r="D178" s="147" t="inlineStr">
        <is>
          <t>97%</t>
        </is>
      </c>
      <c r="E178" s="147" t="n"/>
      <c r="F178" s="147" t="inlineStr">
        <is>
          <t>2015</t>
        </is>
      </c>
      <c r="G178" s="147" t="inlineStr">
        <is>
          <t>n</t>
        </is>
      </c>
      <c r="H178" s="147" t="inlineStr">
        <is>
          <t>Recycling</t>
        </is>
      </c>
      <c r="I178" s="147" t="inlineStr">
        <is>
          <t>sectors</t>
        </is>
      </c>
      <c r="J178" s="147" t="inlineStr">
        <is>
          <t>By 2015, the comprehensive utilization rate of smelting waste will reach 97%.</t>
        </is>
      </c>
      <c r="K178" s="149" t="inlineStr">
        <is>
          <t>DP1301.htm</t>
        </is>
      </c>
      <c r="L178" s="147" t="inlineStr">
        <is>
          <t>Circular Economy</t>
        </is>
      </c>
    </row>
    <row r="179" ht="18" customHeight="1" s="235">
      <c r="A179" s="148" t="n">
        <v>2013</v>
      </c>
      <c r="B179" s="147" t="inlineStr">
        <is>
          <t>utilization rate of solid waste</t>
        </is>
      </c>
      <c r="C179" s="158" t="inlineStr">
        <is>
          <t>reach</t>
        </is>
      </c>
      <c r="D179" s="148" t="inlineStr">
        <is>
          <t>75%</t>
        </is>
      </c>
      <c r="E179" s="148" t="n"/>
      <c r="F179" s="147" t="inlineStr">
        <is>
          <t>2015</t>
        </is>
      </c>
      <c r="G179" s="147" t="inlineStr">
        <is>
          <t>n</t>
        </is>
      </c>
      <c r="H179" s="147" t="inlineStr">
        <is>
          <t>Recycling</t>
        </is>
      </c>
      <c r="I179" s="147" t="inlineStr">
        <is>
          <t>sectors</t>
        </is>
      </c>
      <c r="J179" s="148" t="inlineStr">
        <is>
          <t>By 2015, the comprehensive utilization rate of solid waste will reach 75%.</t>
        </is>
      </c>
      <c r="K179" s="150" t="inlineStr">
        <is>
          <t>DP1301.htm</t>
        </is>
      </c>
      <c r="L179" s="147" t="inlineStr">
        <is>
          <t>Circular Economy</t>
        </is>
      </c>
    </row>
    <row r="180" ht="18" customHeight="1" s="235">
      <c r="A180" s="156" t="n">
        <v>2021</v>
      </c>
      <c r="B180" s="147" t="inlineStr">
        <is>
          <t>utilization rate of straw</t>
        </is>
      </c>
      <c r="C180" s="148" t="inlineStr">
        <is>
          <t>remain</t>
        </is>
      </c>
      <c r="D180" s="156" t="inlineStr">
        <is>
          <t>above 86%</t>
        </is>
      </c>
      <c r="E180" s="156" t="n"/>
      <c r="F180" s="147" t="inlineStr">
        <is>
          <t>2025</t>
        </is>
      </c>
      <c r="G180" s="147" t="inlineStr">
        <is>
          <t>n</t>
        </is>
      </c>
      <c r="H180" s="147" t="inlineStr">
        <is>
          <t>Recycling</t>
        </is>
      </c>
      <c r="I180" s="147" t="inlineStr">
        <is>
          <t>sectors</t>
        </is>
      </c>
      <c r="J180" s="156" t="inlineStr">
        <is>
          <t>By 2025, the comprehensive utilization rate of crop straw will remain above 86%.</t>
        </is>
      </c>
      <c r="K180" s="157" t="inlineStr">
        <is>
          <t>FYP2115.pdf</t>
        </is>
      </c>
      <c r="L180" s="147" t="inlineStr">
        <is>
          <t>Circular Economy</t>
        </is>
      </c>
    </row>
    <row r="181" ht="18" customHeight="1" s="235">
      <c r="A181" s="148" t="n">
        <v>2013</v>
      </c>
      <c r="B181" s="147" t="inlineStr">
        <is>
          <t>utilization rate of straw</t>
        </is>
      </c>
      <c r="C181" s="147" t="inlineStr">
        <is>
          <t>increase to</t>
        </is>
      </c>
      <c r="D181" s="147" t="inlineStr">
        <is>
          <t>80%</t>
        </is>
      </c>
      <c r="E181" s="148" t="n"/>
      <c r="F181" s="147" t="inlineStr">
        <is>
          <t>2015</t>
        </is>
      </c>
      <c r="G181" s="147" t="inlineStr">
        <is>
          <t>n</t>
        </is>
      </c>
      <c r="H181" s="147" t="inlineStr">
        <is>
          <t>Recycling</t>
        </is>
      </c>
      <c r="I181" s="147" t="inlineStr">
        <is>
          <t>sectors</t>
        </is>
      </c>
      <c r="J181" s="147" t="inlineStr">
        <is>
          <t>By 2015, the comprehensive utilization rate of straw will be increased to 80%.</t>
        </is>
      </c>
      <c r="K181" s="150" t="inlineStr">
        <is>
          <t>DP1301.htm</t>
        </is>
      </c>
      <c r="L181" s="147" t="inlineStr">
        <is>
          <t>Circular Economy</t>
        </is>
      </c>
    </row>
    <row r="182" ht="18" customHeight="1" s="235">
      <c r="A182" s="148" t="n">
        <v>2021</v>
      </c>
      <c r="B182" s="147" t="inlineStr">
        <is>
          <t>utilization rate of straw</t>
        </is>
      </c>
      <c r="C182" s="147" t="inlineStr">
        <is>
          <t>stabilize at</t>
        </is>
      </c>
      <c r="D182" s="147" t="inlineStr">
        <is>
          <t>86%</t>
        </is>
      </c>
      <c r="E182" s="147" t="n"/>
      <c r="F182" s="147" t="inlineStr">
        <is>
          <t>2025</t>
        </is>
      </c>
      <c r="G182" s="147" t="inlineStr">
        <is>
          <t>r</t>
        </is>
      </c>
      <c r="H182" s="147" t="inlineStr">
        <is>
          <t>Recycling</t>
        </is>
      </c>
      <c r="I182" s="147" t="inlineStr">
        <is>
          <t>sectors</t>
        </is>
      </c>
      <c r="J182" s="147" t="inlineStr">
        <is>
          <t>By 2025, the comprehensive utilization rate of straw will be stabilized at above 86%.</t>
        </is>
      </c>
      <c r="K182" s="150" t="inlineStr">
        <is>
          <t>FYP2107.htm</t>
        </is>
      </c>
      <c r="L182" s="147" t="inlineStr">
        <is>
          <t>Circular Economy</t>
        </is>
      </c>
    </row>
    <row r="183" ht="18" customHeight="1" s="235">
      <c r="A183" s="148" t="n">
        <v>2024</v>
      </c>
      <c r="B183" s="147" t="inlineStr">
        <is>
          <t>utilization rate of straw</t>
        </is>
      </c>
      <c r="C183" s="147" t="inlineStr">
        <is>
          <t>maintain above</t>
        </is>
      </c>
      <c r="D183" s="147" t="inlineStr">
        <is>
          <t>88%</t>
        </is>
      </c>
      <c r="E183" s="147" t="n"/>
      <c r="F183" s="147" t="inlineStr">
        <is>
          <t>2030</t>
        </is>
      </c>
      <c r="G183" s="147" t="inlineStr">
        <is>
          <t>n</t>
        </is>
      </c>
      <c r="H183" s="147" t="inlineStr">
        <is>
          <t>Recycling</t>
        </is>
      </c>
      <c r="I183" s="147" t="inlineStr">
        <is>
          <t>sectors</t>
        </is>
      </c>
      <c r="J183" s="147" t="inlineStr">
        <is>
          <t>By 2030, the comprehensive utilization rate of straw will be maintained above 88%.</t>
        </is>
      </c>
      <c r="K183" s="150" t="inlineStr">
        <is>
          <t>GO2404.htm</t>
        </is>
      </c>
      <c r="L183" s="147" t="inlineStr">
        <is>
          <t>Circular Economy</t>
        </is>
      </c>
    </row>
    <row r="184" ht="18" customHeight="1" s="235">
      <c r="A184" s="148" t="n">
        <v>2017</v>
      </c>
      <c r="B184" s="147" t="inlineStr">
        <is>
          <t>utilization rate of straw</t>
        </is>
      </c>
      <c r="C184" s="147" t="inlineStr">
        <is>
          <t>reach</t>
        </is>
      </c>
      <c r="D184" s="147" t="inlineStr">
        <is>
          <t>85%</t>
        </is>
      </c>
      <c r="E184" s="147" t="n"/>
      <c r="F184" s="147" t="inlineStr">
        <is>
          <t>2020</t>
        </is>
      </c>
      <c r="G184" s="147" t="inlineStr">
        <is>
          <t>r</t>
        </is>
      </c>
      <c r="H184" s="147" t="inlineStr">
        <is>
          <t>Recycling</t>
        </is>
      </c>
      <c r="I184" s="147" t="inlineStr">
        <is>
          <t>sectors</t>
        </is>
      </c>
      <c r="J184" s="147" t="inlineStr">
        <is>
          <t>By 2020, the comprehensive utilization rate of straw will reach 85%.</t>
        </is>
      </c>
      <c r="K184" s="150" t="inlineStr">
        <is>
          <t>O1702.htm</t>
        </is>
      </c>
      <c r="L184" s="147" t="inlineStr">
        <is>
          <t>Circular Economy</t>
        </is>
      </c>
    </row>
    <row r="185" ht="18" customHeight="1" s="235">
      <c r="A185" s="148" t="n">
        <v>2016</v>
      </c>
      <c r="B185" s="147" t="inlineStr">
        <is>
          <t xml:space="preserve">utilization rate of straw    </t>
        </is>
      </c>
      <c r="C185" s="147" t="inlineStr">
        <is>
          <t>reach</t>
        </is>
      </c>
      <c r="D185" s="147" t="inlineStr">
        <is>
          <t>85%</t>
        </is>
      </c>
      <c r="E185" s="147" t="n"/>
      <c r="F185" s="147" t="inlineStr">
        <is>
          <t>2020</t>
        </is>
      </c>
      <c r="G185" s="147" t="inlineStr">
        <is>
          <t>n</t>
        </is>
      </c>
      <c r="H185" s="147" t="inlineStr">
        <is>
          <t>Recycling</t>
        </is>
      </c>
      <c r="I185" s="147" t="inlineStr">
        <is>
          <t>sectors</t>
        </is>
      </c>
      <c r="J185" s="147" t="inlineStr">
        <is>
          <t>By 2020, the comprehensive utilization rate of crop straw will reach 85%.</t>
        </is>
      </c>
      <c r="K185" s="150" t="inlineStr">
        <is>
          <t>FYP1601.htm</t>
        </is>
      </c>
      <c r="L185" s="147" t="inlineStr">
        <is>
          <t>Circular Economy</t>
        </is>
      </c>
    </row>
    <row r="186" ht="18" customHeight="1" s="235">
      <c r="A186" s="148" t="n">
        <v>2018</v>
      </c>
      <c r="B186" s="147" t="inlineStr">
        <is>
          <t xml:space="preserve">utilization rate of straw    </t>
        </is>
      </c>
      <c r="C186" s="147" t="inlineStr">
        <is>
          <t>reach</t>
        </is>
      </c>
      <c r="D186" s="147" t="inlineStr">
        <is>
          <t>85%</t>
        </is>
      </c>
      <c r="E186" s="147" t="n"/>
      <c r="F186" s="147" t="inlineStr">
        <is>
          <t>2020</t>
        </is>
      </c>
      <c r="G186" s="147" t="inlineStr">
        <is>
          <t>r</t>
        </is>
      </c>
      <c r="H186" s="147" t="inlineStr">
        <is>
          <t>Recycling</t>
        </is>
      </c>
      <c r="I186" s="147" t="inlineStr">
        <is>
          <t>sectors</t>
        </is>
      </c>
      <c r="J186" s="147" t="inlineStr">
        <is>
          <t>By 2020, the national comprehensive utilization rate of straw will reach 85%.</t>
        </is>
      </c>
      <c r="K186" s="150" t="inlineStr">
        <is>
          <t>AP1802.htm</t>
        </is>
      </c>
      <c r="L186" s="147" t="inlineStr">
        <is>
          <t>Circular Economy</t>
        </is>
      </c>
    </row>
    <row r="187" ht="18" customHeight="1" s="235">
      <c r="A187" s="148" t="n">
        <v>2012</v>
      </c>
      <c r="B187" s="147" t="inlineStr">
        <is>
          <t>utilization rate of waste heat and waste pressure in key large and medium-sized enterprises</t>
        </is>
      </c>
      <c r="C187" s="147" t="inlineStr">
        <is>
          <t>reach</t>
        </is>
      </c>
      <c r="D187" s="147" t="inlineStr">
        <is>
          <t>50%</t>
        </is>
      </c>
      <c r="E187" s="147" t="n"/>
      <c r="F187" s="147" t="inlineStr">
        <is>
          <t>2015</t>
        </is>
      </c>
      <c r="G187" s="147" t="inlineStr">
        <is>
          <t>n</t>
        </is>
      </c>
      <c r="H187" s="147" t="inlineStr">
        <is>
          <t>Energy efficiency</t>
        </is>
      </c>
      <c r="I187" s="147" t="inlineStr">
        <is>
          <t>enterprises</t>
        </is>
      </c>
      <c r="J187" s="147" t="inlineStr">
        <is>
          <t>By 2015, the utilization rate of waste heat and waste pressure in key large and medium-sized enterprises will reach more than 50%.</t>
        </is>
      </c>
      <c r="K187" s="150" t="inlineStr">
        <is>
          <t>FYP1201.htm</t>
        </is>
      </c>
      <c r="L187" s="147" t="inlineStr">
        <is>
          <t>Circular Economy</t>
        </is>
      </c>
    </row>
    <row r="188" ht="18" customHeight="1" s="235">
      <c r="A188" s="148" t="n">
        <v>2013</v>
      </c>
      <c r="B188" s="147" t="inlineStr">
        <is>
          <t xml:space="preserve">utilization rate of waste paper    </t>
        </is>
      </c>
      <c r="C188" s="147" t="inlineStr">
        <is>
          <t>reach</t>
        </is>
      </c>
      <c r="D188" s="147" t="inlineStr">
        <is>
          <t>72%</t>
        </is>
      </c>
      <c r="E188" s="147" t="n"/>
      <c r="F188" s="147" t="inlineStr">
        <is>
          <t>2015</t>
        </is>
      </c>
      <c r="G188" s="147" t="inlineStr">
        <is>
          <t>n</t>
        </is>
      </c>
      <c r="H188" s="147" t="inlineStr">
        <is>
          <t>Recycling</t>
        </is>
      </c>
      <c r="I188" s="147" t="inlineStr">
        <is>
          <t>whole economy</t>
        </is>
      </c>
      <c r="J188" s="147" t="inlineStr">
        <is>
          <t>By 2015, the utilization rate of waste paper will reach 72%.</t>
        </is>
      </c>
      <c r="K188" s="150" t="inlineStr">
        <is>
          <t>DP1301.htm</t>
        </is>
      </c>
      <c r="L188" s="147" t="inlineStr">
        <is>
          <t>Circular Economy</t>
        </is>
      </c>
    </row>
    <row r="189" ht="18" customHeight="1" s="235">
      <c r="A189" s="148" t="n">
        <v>2021</v>
      </c>
      <c r="B189" s="147" t="inlineStr">
        <is>
          <t>utilization rates of industrial by-product gypsum</t>
        </is>
      </c>
      <c r="C189" s="147" t="inlineStr">
        <is>
          <t>reach</t>
        </is>
      </c>
      <c r="D189" s="147" t="inlineStr">
        <is>
          <t>73%</t>
        </is>
      </c>
      <c r="E189" s="147" t="n"/>
      <c r="F189" s="147" t="inlineStr">
        <is>
          <t>2025</t>
        </is>
      </c>
      <c r="G189" s="147" t="inlineStr">
        <is>
          <t>n</t>
        </is>
      </c>
      <c r="H189" s="147" t="inlineStr">
        <is>
          <t>Recycling</t>
        </is>
      </c>
      <c r="I189" s="147" t="inlineStr">
        <is>
          <t>sectors</t>
        </is>
      </c>
      <c r="J189" s="147" t="inlineStr">
        <is>
          <t>By 2025, the comprehensive utilization rates of industrial by-product gypsum will reach 73%.</t>
        </is>
      </c>
      <c r="K189" s="150" t="inlineStr">
        <is>
          <t>FYP2101.pdf</t>
        </is>
      </c>
      <c r="L189" s="147" t="inlineStr">
        <is>
          <t>Circular Economy</t>
        </is>
      </c>
    </row>
    <row r="190" ht="18" customHeight="1" s="235">
      <c r="A190" s="148" t="n">
        <v>2021</v>
      </c>
      <c r="B190" s="147" t="inlineStr">
        <is>
          <t>utilization rates of smelting slag (excluding red mud)</t>
        </is>
      </c>
      <c r="C190" s="147" t="inlineStr">
        <is>
          <t>reach</t>
        </is>
      </c>
      <c r="D190" s="147" t="inlineStr">
        <is>
          <t>73%</t>
        </is>
      </c>
      <c r="E190" s="147" t="n"/>
      <c r="F190" s="147" t="inlineStr">
        <is>
          <t>2025</t>
        </is>
      </c>
      <c r="G190" s="147" t="inlineStr">
        <is>
          <t>n</t>
        </is>
      </c>
      <c r="H190" s="147" t="inlineStr">
        <is>
          <t>Recycling</t>
        </is>
      </c>
      <c r="I190" s="147" t="inlineStr">
        <is>
          <t>sectors</t>
        </is>
      </c>
      <c r="J190" s="147" t="inlineStr">
        <is>
          <t>By 2025, the comprehensive utilization rates of smelting slag (excluding red mud) will reach 73%.</t>
        </is>
      </c>
      <c r="K190" s="150" t="inlineStr">
        <is>
          <t>FYP2101.pdf</t>
        </is>
      </c>
      <c r="L190" s="147" t="inlineStr">
        <is>
          <t>Circular Economy</t>
        </is>
      </c>
    </row>
    <row r="191" ht="18" customHeight="1" s="235">
      <c r="A191" s="0" t="n">
        <v>2026</v>
      </c>
      <c r="B191" s="0" t="inlineStr">
        <is>
          <t>waste paper annual recycling and utilisation</t>
        </is>
      </c>
      <c r="C191" s="0" t="inlineStr">
        <is>
          <t>reach</t>
        </is>
      </c>
      <c r="D191" s="0" t="inlineStr">
        <is>
          <t>80 million tons</t>
        </is>
      </c>
      <c r="F191" s="0" t="n">
        <v>2030</v>
      </c>
      <c r="G191" s="0" t="inlineStr">
        <is>
          <t>r</t>
        </is>
      </c>
      <c r="H191" s="0" t="inlineStr">
        <is>
          <t>Recycling</t>
        </is>
      </c>
      <c r="I191" s="0" t="inlineStr">
        <is>
          <t>whole economy</t>
        </is>
      </c>
      <c r="J191" s="0" t="inlineStr">
        <is>
          <t>By 2030, annual recycling and utilization of waste paper will reach 80 million tons.</t>
        </is>
      </c>
      <c r="K191" s="0" t="inlineStr">
        <is>
          <t>FYP2605.htm</t>
        </is>
      </c>
      <c r="L191" s="0" t="inlineStr">
        <is>
          <t>Circular Economy</t>
        </is>
      </c>
    </row>
    <row r="192" ht="18" customHeight="1" s="235">
      <c r="A192" s="0" t="n">
        <v>2026</v>
      </c>
      <c r="B192" s="0" t="inlineStr">
        <is>
          <t>waste plastic annual recycling and utilization</t>
        </is>
      </c>
      <c r="C192" s="0" t="inlineStr">
        <is>
          <t>reach</t>
        </is>
      </c>
      <c r="D192" s="0" t="inlineStr">
        <is>
          <t>22 million tons</t>
        </is>
      </c>
      <c r="F192" s="0" t="n">
        <v>2030</v>
      </c>
      <c r="G192" s="0" t="inlineStr">
        <is>
          <t>n</t>
        </is>
      </c>
      <c r="H192" s="0" t="inlineStr">
        <is>
          <t>Recycling</t>
        </is>
      </c>
      <c r="I192" s="0" t="inlineStr">
        <is>
          <t>whole economy</t>
        </is>
      </c>
      <c r="J192" s="0" t="inlineStr">
        <is>
          <t>By 2030, annual recycling and utilization of waste plastic will reach 22 million tons.</t>
        </is>
      </c>
      <c r="K192" s="0" t="inlineStr">
        <is>
          <t>FYP2605.htm</t>
        </is>
      </c>
      <c r="L192" s="0" t="inlineStr">
        <is>
          <t>Circular Economy</t>
        </is>
      </c>
    </row>
    <row r="193" ht="18" customHeight="1" s="235">
      <c r="A193" s="0" t="n">
        <v>2026</v>
      </c>
      <c r="B193" s="0" t="inlineStr">
        <is>
          <t>waste tire annual recycling and utilization</t>
        </is>
      </c>
      <c r="C193" s="0" t="inlineStr">
        <is>
          <t>reach</t>
        </is>
      </c>
      <c r="D193" s="0" t="inlineStr">
        <is>
          <t>21 million tons</t>
        </is>
      </c>
      <c r="F193" s="0" t="n">
        <v>2030</v>
      </c>
      <c r="G193" s="0" t="inlineStr">
        <is>
          <t>n</t>
        </is>
      </c>
      <c r="H193" s="0" t="inlineStr">
        <is>
          <t>Recycling</t>
        </is>
      </c>
      <c r="I193" s="0" t="inlineStr">
        <is>
          <t>whole economy</t>
        </is>
      </c>
      <c r="J193" s="0" t="inlineStr">
        <is>
          <t>By 2030, annual recycling and utilization of waste tires will reach 21 million tons.</t>
        </is>
      </c>
      <c r="K193" s="0" t="inlineStr">
        <is>
          <t>FYP2605.htm</t>
        </is>
      </c>
      <c r="L193" s="0" t="inlineStr">
        <is>
          <t>Circular Economy</t>
        </is>
      </c>
    </row>
    <row r="194" ht="18" customHeight="1" s="235">
      <c r="A194" s="148" t="n">
        <v>2013</v>
      </c>
      <c r="B194" s="148" t="inlineStr">
        <is>
          <t>water consumption per ton of refined oil</t>
        </is>
      </c>
      <c r="C194" s="147" t="inlineStr">
        <is>
          <t>reduce to</t>
        </is>
      </c>
      <c r="D194" s="147" t="inlineStr">
        <is>
          <t>0.5  tons</t>
        </is>
      </c>
      <c r="E194" s="147" t="n"/>
      <c r="F194" s="147" t="inlineStr">
        <is>
          <t>2015</t>
        </is>
      </c>
      <c r="G194" s="147" t="inlineStr">
        <is>
          <t>n</t>
        </is>
      </c>
      <c r="H194" s="147" t="inlineStr">
        <is>
          <t>Resource efficiency</t>
        </is>
      </c>
      <c r="I194" s="147" t="inlineStr">
        <is>
          <t>sectors</t>
        </is>
      </c>
      <c r="J194" s="147" t="inlineStr">
        <is>
          <t>By 2015, water consumption per ton of refined oil will drop to 0.5 tons.</t>
        </is>
      </c>
      <c r="K194" s="150" t="inlineStr">
        <is>
          <t>FYP1302.htm</t>
        </is>
      </c>
      <c r="L194" s="147" t="inlineStr">
        <is>
          <t>Circular Economy</t>
        </is>
      </c>
    </row>
    <row r="195" ht="18" customHeight="1" s="235">
      <c r="A195" s="148" t="n">
        <v>2019</v>
      </c>
      <c r="B195" s="156" t="inlineStr">
        <is>
          <t>water consumption per unit of GDP</t>
        </is>
      </c>
      <c r="C195" s="148" t="inlineStr">
        <is>
          <t>reduce by</t>
        </is>
      </c>
      <c r="D195" s="148" t="inlineStr">
        <is>
          <t>23%</t>
        </is>
      </c>
      <c r="E195" s="148" t="n">
        <v>2015</v>
      </c>
      <c r="F195" s="147" t="inlineStr">
        <is>
          <t>2020</t>
        </is>
      </c>
      <c r="G195" s="147" t="inlineStr">
        <is>
          <t>n</t>
        </is>
      </c>
      <c r="H195" s="147" t="inlineStr">
        <is>
          <t>Resource efficiency</t>
        </is>
      </c>
      <c r="I195" s="148" t="inlineStr">
        <is>
          <t>whole economy</t>
        </is>
      </c>
      <c r="J195" s="148" t="inlineStr">
        <is>
          <t>By 2020, water consumption per ten thousand Yuan of GDP will decrease by 23% compared to 2015 levels.</t>
        </is>
      </c>
      <c r="K195" s="150" t="inlineStr">
        <is>
          <t>HL1902.pdf</t>
        </is>
      </c>
      <c r="L195" s="147" t="inlineStr">
        <is>
          <t>Circular Economy</t>
        </is>
      </c>
    </row>
    <row r="196" ht="18" customHeight="1" s="235">
      <c r="A196" s="156" t="n">
        <v>2021</v>
      </c>
      <c r="B196" s="156" t="inlineStr">
        <is>
          <t>water consumption per unit of GDP</t>
        </is>
      </c>
      <c r="C196" s="148" t="inlineStr">
        <is>
          <t>reduce by</t>
        </is>
      </c>
      <c r="D196" s="156" t="inlineStr">
        <is>
          <t>16%</t>
        </is>
      </c>
      <c r="E196" s="156" t="n">
        <v>2020</v>
      </c>
      <c r="F196" s="147" t="inlineStr">
        <is>
          <t>2025</t>
        </is>
      </c>
      <c r="G196" s="147" t="inlineStr">
        <is>
          <t>n</t>
        </is>
      </c>
      <c r="H196" s="148" t="inlineStr">
        <is>
          <t>Resource efficiency</t>
        </is>
      </c>
      <c r="I196" s="148" t="inlineStr">
        <is>
          <t>whole economy</t>
        </is>
      </c>
      <c r="J196" s="156" t="inlineStr">
        <is>
          <t>By 2025, the water consumption per unit of GDP will decrease by about 16% compared with 2020.</t>
        </is>
      </c>
      <c r="K196" s="156" t="inlineStr">
        <is>
          <t>FYP2115.pdf</t>
        </is>
      </c>
      <c r="L196" s="147" t="inlineStr">
        <is>
          <t>Circular Economy</t>
        </is>
      </c>
    </row>
    <row r="197" ht="18" customHeight="1" s="235">
      <c r="A197" s="148" t="n">
        <v>2022</v>
      </c>
      <c r="B197" s="148" t="inlineStr">
        <is>
          <t>water resource consumption intensity in the steel sector</t>
        </is>
      </c>
      <c r="C197" s="148" t="inlineStr">
        <is>
          <t>reduce by</t>
        </is>
      </c>
      <c r="D197" s="148" t="inlineStr">
        <is>
          <t>10%</t>
        </is>
      </c>
      <c r="E197" s="148" t="n">
        <v>2020</v>
      </c>
      <c r="F197" s="147" t="inlineStr">
        <is>
          <t>2025</t>
        </is>
      </c>
      <c r="G197" s="147" t="inlineStr">
        <is>
          <t>n</t>
        </is>
      </c>
      <c r="H197" s="147" t="inlineStr">
        <is>
          <t>Resource efficiency</t>
        </is>
      </c>
      <c r="I197" s="148" t="inlineStr">
        <is>
          <t>sectors</t>
        </is>
      </c>
      <c r="J197" s="148" t="inlineStr">
        <is>
          <t>By 2025, water resource consumption intensity in the steel sector will be reduced by more than 10%.</t>
        </is>
      </c>
      <c r="K197" s="150" t="inlineStr">
        <is>
          <t>GO2204.htm</t>
        </is>
      </c>
      <c r="L197" s="147" t="inlineStr">
        <is>
          <t>Circular Economy</t>
        </is>
      </c>
    </row>
    <row r="198" ht="18" customHeight="1" s="235">
      <c r="A198" s="148" t="n">
        <v>2007</v>
      </c>
      <c r="B198" s="148" t="inlineStr">
        <is>
          <t>water savings in key industries</t>
        </is>
      </c>
      <c r="C198" s="148" t="inlineStr">
        <is>
          <t>save</t>
        </is>
      </c>
      <c r="D198" s="148" t="inlineStr">
        <is>
          <t>1 billion cubic meters</t>
        </is>
      </c>
      <c r="E198" s="148" t="n"/>
      <c r="F198" s="148" t="inlineStr">
        <is>
          <t>2010</t>
        </is>
      </c>
      <c r="G198" s="148" t="inlineStr">
        <is>
          <t>n</t>
        </is>
      </c>
      <c r="H198" s="148" t="inlineStr">
        <is>
          <t>Resource efficiency</t>
        </is>
      </c>
      <c r="I198" s="148" t="inlineStr">
        <is>
          <t>sectors</t>
        </is>
      </c>
      <c r="J198" s="148" t="inlineStr">
        <is>
          <t>In 2010, key industries will save 1 billion cubic meters of water.</t>
        </is>
      </c>
      <c r="K198" s="148" t="inlineStr">
        <is>
          <t>WOP0701.htm</t>
        </is>
      </c>
      <c r="L198" s="148" t="inlineStr">
        <is>
          <t>Circular Economy</t>
        </is>
      </c>
    </row>
    <row r="199" ht="18" customHeight="1" s="235"/>
    <row r="200" ht="18" customHeight="1" s="235"/>
    <row r="201" ht="18" customHeight="1" s="235"/>
    <row r="202" ht="18" customHeight="1" s="235"/>
    <row r="203" ht="18" customHeight="1" s="235"/>
    <row r="204" ht="18" customHeight="1" s="235"/>
    <row r="205" ht="18" customHeight="1" s="235"/>
    <row r="206" ht="18" customHeight="1" s="235"/>
    <row r="207" ht="18" customHeight="1" s="235"/>
    <row r="208" ht="18" customHeight="1" s="235"/>
    <row r="209" ht="18" customHeight="1" s="235"/>
    <row r="210" ht="18" customHeight="1" s="235"/>
    <row r="211" ht="18" customHeight="1" s="235"/>
    <row r="212" ht="18" customHeight="1" s="235"/>
    <row r="213"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0" summaryRight="0"/>
    <pageSetUpPr/>
  </sheetPr>
  <dimension ref="A1:L81"/>
  <sheetViews>
    <sheetView zoomScale="75" workbookViewId="0">
      <selection activeCell="I21" sqref="I21"/>
    </sheetView>
  </sheetViews>
  <sheetFormatPr baseColWidth="8" defaultColWidth="14" defaultRowHeight="13"/>
  <cols>
    <col width="11.39843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3" customWidth="1" style="235" min="8" max="9"/>
    <col width="118" customWidth="1" style="235" min="10" max="10"/>
    <col width="13" customWidth="1" style="235" min="11" max="11"/>
    <col width="14.296875" customWidth="1" style="235" min="12" max="12"/>
    <col width="14" customWidth="1" style="235" min="13" max="13"/>
    <col width="17" customWidth="1" style="235" min="14" max="15"/>
    <col width="13" customWidth="1" style="235" min="16" max="20"/>
  </cols>
  <sheetData>
    <row r="1" ht="18" customHeight="1" s="235">
      <c r="A1" s="89" t="inlineStr">
        <is>
          <t>Announcement_Year</t>
        </is>
      </c>
      <c r="B1" s="89" t="inlineStr">
        <is>
          <t>Metric</t>
        </is>
      </c>
      <c r="C1" s="89" t="inlineStr">
        <is>
          <t>Direction</t>
        </is>
      </c>
      <c r="D1" s="89" t="inlineStr">
        <is>
          <t>Target_Magnitude</t>
        </is>
      </c>
      <c r="E1" s="89" t="inlineStr">
        <is>
          <t>Baseline</t>
        </is>
      </c>
      <c r="F1" s="89" t="inlineStr">
        <is>
          <t>Target_Year_or_Period</t>
        </is>
      </c>
      <c r="G1" s="89" t="inlineStr">
        <is>
          <t>Count</t>
        </is>
      </c>
      <c r="H1" s="89" t="inlineStr">
        <is>
          <t>Target_Category</t>
        </is>
      </c>
      <c r="I1" s="89" t="inlineStr">
        <is>
          <t>Accountability</t>
        </is>
      </c>
      <c r="J1" s="89" t="inlineStr">
        <is>
          <t>Sentence</t>
        </is>
      </c>
      <c r="K1" s="89" t="inlineStr">
        <is>
          <t>Document</t>
        </is>
      </c>
      <c r="L1" s="89" t="inlineStr">
        <is>
          <t>Topic_Label</t>
        </is>
      </c>
    </row>
    <row r="2" hidden="1" ht="18" customHeight="1" s="235">
      <c r="A2" s="159" t="n">
        <v>2023</v>
      </c>
      <c r="B2" s="159" t="inlineStr">
        <is>
          <t>ammonia (NH₃) emissions from large-scale livestock and poultry farms in the Beijing-Tianjin-Hebei region and surrounding areas</t>
        </is>
      </c>
      <c r="C2" s="159" t="inlineStr">
        <is>
          <t>reduce by</t>
        </is>
      </c>
      <c r="D2" s="159" t="inlineStr">
        <is>
          <t>5%</t>
        </is>
      </c>
      <c r="E2" s="159" t="n">
        <v>2020</v>
      </c>
      <c r="F2" s="160" t="inlineStr">
        <is>
          <t>2025</t>
        </is>
      </c>
      <c r="G2" s="159" t="inlineStr">
        <is>
          <t>r</t>
        </is>
      </c>
      <c r="H2" s="159" t="inlineStr">
        <is>
          <t>Pollution control</t>
        </is>
      </c>
      <c r="I2" s="159" t="inlineStr">
        <is>
          <t>areas</t>
        </is>
      </c>
      <c r="J2" s="159" t="inlineStr">
        <is>
          <t>By 2025, the total atmospheric ammonia emissions from large-scale livestock and poultry farms in the Beijing-Tianjin-Hebei region and surrounding areas will be reduced by 5% compared with 2020.</t>
        </is>
      </c>
      <c r="K2" s="161" t="inlineStr">
        <is>
          <t>AP2304.htm</t>
        </is>
      </c>
      <c r="L2" s="162" t="inlineStr">
        <is>
          <t>Pollution</t>
        </is>
      </c>
    </row>
    <row r="3" ht="18" customHeight="1" s="235">
      <c r="A3" s="159" t="n">
        <v>2021</v>
      </c>
      <c r="B3" s="159" t="inlineStr">
        <is>
          <t>ammonia (NH₃) emissions from large-scale livestock and poultry farms in the Beijing-Tianjin-Hebei region and surrounding areas</t>
        </is>
      </c>
      <c r="C3" s="159" t="inlineStr">
        <is>
          <t>reduce by</t>
        </is>
      </c>
      <c r="D3" s="159" t="inlineStr">
        <is>
          <t>5%</t>
        </is>
      </c>
      <c r="E3" s="159" t="n">
        <v>2020</v>
      </c>
      <c r="F3" s="160" t="inlineStr">
        <is>
          <t>2025</t>
        </is>
      </c>
      <c r="G3" s="159" t="inlineStr">
        <is>
          <t>n</t>
        </is>
      </c>
      <c r="H3" s="159" t="inlineStr">
        <is>
          <t>Pollution control</t>
        </is>
      </c>
      <c r="I3" s="159" t="inlineStr">
        <is>
          <t>areas</t>
        </is>
      </c>
      <c r="J3" s="159" t="inlineStr">
        <is>
          <t>By 2025, the total ammonia emissions from large-scale farms in the Beijing-Tianjin-Hebei region and surrounding areas will be reduced by 5%.</t>
        </is>
      </c>
      <c r="K3" s="161" t="inlineStr">
        <is>
          <t>FYP2107.htm</t>
        </is>
      </c>
      <c r="L3" s="161" t="inlineStr">
        <is>
          <t>Pollution</t>
        </is>
      </c>
    </row>
    <row r="4" ht="18" customHeight="1" s="235">
      <c r="A4" s="159" t="n">
        <v>2014</v>
      </c>
      <c r="B4" s="159" t="inlineStr">
        <is>
          <t>ammonia nitrogen (NH₃) emissions reduction capacities</t>
        </is>
      </c>
      <c r="C4" s="159" t="inlineStr">
        <is>
          <t>increase by</t>
        </is>
      </c>
      <c r="D4" s="159" t="inlineStr">
        <is>
          <t>300000  tons</t>
        </is>
      </c>
      <c r="E4" s="159" t="n">
        <v>2014</v>
      </c>
      <c r="F4" s="160" t="inlineStr">
        <is>
          <t>2015</t>
        </is>
      </c>
      <c r="G4" s="159" t="inlineStr">
        <is>
          <t>n</t>
        </is>
      </c>
      <c r="H4" s="159" t="inlineStr">
        <is>
          <t>Pollution control</t>
        </is>
      </c>
      <c r="I4" s="159" t="inlineStr">
        <is>
          <t>unclear</t>
        </is>
      </c>
      <c r="J4" s="159" t="inlineStr">
        <is>
          <t>By the end of 2015, the ammonia nitrogen emission reduction capacities will be increased by 300,000 tons respectively.</t>
        </is>
      </c>
      <c r="K4" s="161" t="inlineStr">
        <is>
          <t>AP1404.htm</t>
        </is>
      </c>
      <c r="L4" s="161" t="inlineStr">
        <is>
          <t>Pollution</t>
        </is>
      </c>
    </row>
    <row r="5" ht="18" customHeight="1" s="235">
      <c r="A5" s="159" t="n">
        <v>2012</v>
      </c>
      <c r="B5" s="159" t="inlineStr">
        <is>
          <t>ammonia nitrogen (NH₃) emissions reduction through new large-scale farms and breeding communities</t>
        </is>
      </c>
      <c r="C5" s="159" t="inlineStr">
        <is>
          <t>reach</t>
        </is>
      </c>
      <c r="D5" s="159" t="inlineStr">
        <is>
          <t>100000  tons</t>
        </is>
      </c>
      <c r="E5" s="159" t="n"/>
      <c r="F5" s="160" t="inlineStr">
        <is>
          <t>2015</t>
        </is>
      </c>
      <c r="G5" s="159" t="inlineStr">
        <is>
          <t>n</t>
        </is>
      </c>
      <c r="H5" s="159" t="inlineStr">
        <is>
          <t>Pollution control</t>
        </is>
      </c>
      <c r="I5" s="159" t="inlineStr">
        <is>
          <t>sectors</t>
        </is>
      </c>
      <c r="J5" s="159" t="inlineStr">
        <is>
          <t>By 2015, 100,000 tons of ammonia nitrogen will be reduced through new large-scale farms and breeding communities.</t>
        </is>
      </c>
      <c r="K5" s="161" t="inlineStr">
        <is>
          <t>FYP1201.htm</t>
        </is>
      </c>
      <c r="L5" s="161" t="inlineStr">
        <is>
          <t>Pollution</t>
        </is>
      </c>
    </row>
    <row r="6" ht="18" customHeight="1" s="235">
      <c r="A6" s="159" t="n">
        <v>2014</v>
      </c>
      <c r="B6" s="159" t="inlineStr">
        <is>
          <t>ammonia nitrogen (NH₃) total national emissions</t>
        </is>
      </c>
      <c r="C6" s="159" t="inlineStr">
        <is>
          <t>reduce by</t>
        </is>
      </c>
      <c r="D6" s="159" t="inlineStr">
        <is>
          <t>2%</t>
        </is>
      </c>
      <c r="E6" s="159" t="n">
        <v>2014</v>
      </c>
      <c r="F6" s="160" t="n">
        <v>2015</v>
      </c>
      <c r="G6" s="159" t="inlineStr">
        <is>
          <t>n</t>
        </is>
      </c>
      <c r="H6" s="159" t="inlineStr">
        <is>
          <t>Pollution control</t>
        </is>
      </c>
      <c r="I6" s="159" t="inlineStr">
        <is>
          <t>whole economy</t>
        </is>
      </c>
      <c r="J6" s="159" t="inlineStr">
        <is>
          <t>From 2014 to 2015, ammonia nitrogen emissions will decrease by 2%.</t>
        </is>
      </c>
      <c r="K6" s="161" t="inlineStr">
        <is>
          <t>AP1404.htm</t>
        </is>
      </c>
      <c r="L6" s="161" t="inlineStr">
        <is>
          <t>Pollution</t>
        </is>
      </c>
    </row>
    <row r="7" ht="18" customHeight="1" s="235">
      <c r="A7" s="159" t="n">
        <v>2021</v>
      </c>
      <c r="B7" s="159" t="inlineStr">
        <is>
          <t>ammonia nitrogen (NH₃) total national emissions</t>
        </is>
      </c>
      <c r="C7" s="159" t="inlineStr">
        <is>
          <t>reduce by</t>
        </is>
      </c>
      <c r="D7" s="159" t="inlineStr">
        <is>
          <t>8%</t>
        </is>
      </c>
      <c r="E7" s="159" t="n">
        <v>2020</v>
      </c>
      <c r="F7" s="160" t="inlineStr">
        <is>
          <t>2025</t>
        </is>
      </c>
      <c r="G7" s="159" t="inlineStr">
        <is>
          <t>n</t>
        </is>
      </c>
      <c r="H7" s="159" t="inlineStr">
        <is>
          <t>Pollution control</t>
        </is>
      </c>
      <c r="I7" s="159" t="inlineStr">
        <is>
          <t>whole economy</t>
        </is>
      </c>
      <c r="J7" s="159" t="inlineStr">
        <is>
          <t>By 2025, the total national emissions of ammonia nitrogen will be reduced by 8% compared with 2020 levels.</t>
        </is>
      </c>
      <c r="K7" s="161" t="inlineStr">
        <is>
          <t>FYP2107.htm</t>
        </is>
      </c>
      <c r="L7" s="161" t="inlineStr">
        <is>
          <t>Pollution</t>
        </is>
      </c>
    </row>
    <row r="8" ht="18" customHeight="1" s="235">
      <c r="A8" s="159" t="n">
        <v>2022</v>
      </c>
      <c r="B8" s="159" t="inlineStr">
        <is>
          <t>ammonia nitrogen (NH₃) total national emissions</t>
        </is>
      </c>
      <c r="C8" s="159" t="inlineStr">
        <is>
          <t>reduce by</t>
        </is>
      </c>
      <c r="D8" s="159" t="inlineStr">
        <is>
          <t>8%</t>
        </is>
      </c>
      <c r="E8" s="159" t="n">
        <v>2020</v>
      </c>
      <c r="F8" s="160" t="inlineStr">
        <is>
          <t>2025</t>
        </is>
      </c>
      <c r="G8" s="159" t="inlineStr">
        <is>
          <t>r</t>
        </is>
      </c>
      <c r="H8" s="159" t="inlineStr">
        <is>
          <t>Pollution control</t>
        </is>
      </c>
      <c r="I8" s="159" t="inlineStr">
        <is>
          <t>whole economy</t>
        </is>
      </c>
      <c r="J8" s="159" t="inlineStr">
        <is>
          <t>By 2025, the total emissions of ammonia nitrogen will be reduced by 8% compared with 2020.</t>
        </is>
      </c>
      <c r="K8" s="161" t="inlineStr">
        <is>
          <t>AP2206.pdf</t>
        </is>
      </c>
      <c r="L8" s="161" t="inlineStr">
        <is>
          <t>Pollution</t>
        </is>
      </c>
    </row>
    <row r="9" ht="18" customHeight="1" s="235">
      <c r="A9" s="159" t="n">
        <v>2012</v>
      </c>
      <c r="B9" s="159" t="inlineStr">
        <is>
          <t>annual ammonia nitrogen (NH₃) total national emissions</t>
        </is>
      </c>
      <c r="C9" s="159" t="inlineStr">
        <is>
          <t>control at</t>
        </is>
      </c>
      <c r="D9" s="159" t="inlineStr">
        <is>
          <t>2.38 million tons</t>
        </is>
      </c>
      <c r="E9" s="159" t="n"/>
      <c r="F9" s="160" t="inlineStr">
        <is>
          <t>2015</t>
        </is>
      </c>
      <c r="G9" s="159" t="inlineStr">
        <is>
          <t>n</t>
        </is>
      </c>
      <c r="H9" s="159" t="inlineStr">
        <is>
          <t>Pollution control</t>
        </is>
      </c>
      <c r="I9" s="159" t="inlineStr">
        <is>
          <t>whole economy</t>
        </is>
      </c>
      <c r="J9" s="159" t="inlineStr">
        <is>
          <t>In 2015, the national total ammonia nitrogen emissions will be controlled at 2.38 million tons.</t>
        </is>
      </c>
      <c r="K9" s="161" t="inlineStr">
        <is>
          <t>FYP1201.htm</t>
        </is>
      </c>
      <c r="L9" s="161" t="inlineStr">
        <is>
          <t>Pollution</t>
        </is>
      </c>
    </row>
    <row r="10" hidden="1" ht="18" customHeight="1" s="235">
      <c r="A10" s="159" t="n">
        <v>2016</v>
      </c>
      <c r="B10" s="159" t="inlineStr">
        <is>
          <t>annual ammonia nitrogen (NH₃) total national emissions</t>
        </is>
      </c>
      <c r="C10" s="159" t="inlineStr">
        <is>
          <t>control at</t>
        </is>
      </c>
      <c r="D10" s="159" t="inlineStr">
        <is>
          <t>2.07 million tons</t>
        </is>
      </c>
      <c r="E10" s="159" t="n"/>
      <c r="F10" s="160" t="inlineStr">
        <is>
          <t>2020</t>
        </is>
      </c>
      <c r="G10" s="159" t="inlineStr">
        <is>
          <t>n</t>
        </is>
      </c>
      <c r="H10" s="159" t="inlineStr">
        <is>
          <t>Pollution control</t>
        </is>
      </c>
      <c r="I10" s="159" t="inlineStr">
        <is>
          <t>whole economy</t>
        </is>
      </c>
      <c r="J10" s="159" t="inlineStr">
        <is>
          <t>The total national emissions of ammonia nitrogen will be controlled within 2.07 million tons by 2020.</t>
        </is>
      </c>
      <c r="K10" s="161" t="inlineStr">
        <is>
          <t>FYP1601.htm</t>
        </is>
      </c>
      <c r="L10" s="161" t="inlineStr">
        <is>
          <t>Pollution</t>
        </is>
      </c>
    </row>
    <row r="11" ht="18" customHeight="1" s="235">
      <c r="A11" s="159" t="n">
        <v>2016</v>
      </c>
      <c r="B11" s="159" t="inlineStr">
        <is>
          <t>annual arsenic (As) total national emissions</t>
        </is>
      </c>
      <c r="C11" s="159" t="inlineStr">
        <is>
          <t>reduce by</t>
        </is>
      </c>
      <c r="D11" s="159" t="inlineStr">
        <is>
          <t>10  tons</t>
        </is>
      </c>
      <c r="E11" s="159" t="n">
        <v>2015</v>
      </c>
      <c r="F11" s="159" t="inlineStr">
        <is>
          <t>2020</t>
        </is>
      </c>
      <c r="G11" s="159" t="inlineStr">
        <is>
          <t>n</t>
        </is>
      </c>
      <c r="H11" s="159" t="inlineStr">
        <is>
          <t>Pollution control</t>
        </is>
      </c>
      <c r="I11" s="159" t="inlineStr">
        <is>
          <t>whole economy</t>
        </is>
      </c>
      <c r="J11" s="159" t="inlineStr">
        <is>
          <t>By 2020, arsenic emissions will be reduced by 10 tons/year.</t>
        </is>
      </c>
      <c r="K11" s="161" t="inlineStr">
        <is>
          <t>DP1601.htm</t>
        </is>
      </c>
      <c r="L11" s="161" t="inlineStr">
        <is>
          <t>Pollution</t>
        </is>
      </c>
    </row>
    <row r="12" ht="18" customHeight="1" s="235">
      <c r="A12" s="159" t="n">
        <v>2016</v>
      </c>
      <c r="B12" s="159" t="inlineStr">
        <is>
          <t>annual chromium (Cr) total national emissions</t>
        </is>
      </c>
      <c r="C12" s="159" t="inlineStr">
        <is>
          <t>reduce by</t>
        </is>
      </c>
      <c r="D12" s="159" t="inlineStr">
        <is>
          <t>15  tons</t>
        </is>
      </c>
      <c r="E12" s="159" t="n">
        <v>2015</v>
      </c>
      <c r="F12" s="159" t="inlineStr">
        <is>
          <t>2020</t>
        </is>
      </c>
      <c r="G12" s="159" t="inlineStr">
        <is>
          <t>n</t>
        </is>
      </c>
      <c r="H12" s="159" t="inlineStr">
        <is>
          <t>Pollution control</t>
        </is>
      </c>
      <c r="I12" s="159" t="inlineStr">
        <is>
          <t>whole economy</t>
        </is>
      </c>
      <c r="J12" s="159" t="inlineStr">
        <is>
          <t>By 2020, total chromium emissions will be reduced by 15 tons/year.</t>
        </is>
      </c>
      <c r="K12" s="161" t="inlineStr">
        <is>
          <t>DP1601.htm</t>
        </is>
      </c>
      <c r="L12" s="161" t="inlineStr">
        <is>
          <t>Pollution</t>
        </is>
      </c>
    </row>
    <row r="13" ht="18" customHeight="1" s="235">
      <c r="A13" s="159" t="n">
        <v>2016</v>
      </c>
      <c r="B13" s="159" t="inlineStr">
        <is>
          <t>annual industrial ammonia nitrogen emissions</t>
        </is>
      </c>
      <c r="C13" s="159" t="inlineStr">
        <is>
          <t>reduce by</t>
        </is>
      </c>
      <c r="D13" s="159" t="inlineStr">
        <is>
          <t>50000  tons</t>
        </is>
      </c>
      <c r="E13" s="159" t="n">
        <v>2015</v>
      </c>
      <c r="F13" s="159" t="inlineStr">
        <is>
          <t>2020</t>
        </is>
      </c>
      <c r="G13" s="159" t="inlineStr">
        <is>
          <t>n</t>
        </is>
      </c>
      <c r="H13" s="159" t="inlineStr">
        <is>
          <t>Pollution control</t>
        </is>
      </c>
      <c r="I13" s="159" t="inlineStr">
        <is>
          <t>sectors</t>
        </is>
      </c>
      <c r="J13" s="159" t="inlineStr">
        <is>
          <t>By 2020, the country's industrial ammonia nitrogen pollution will be reduced by 50,000 tons/year.</t>
        </is>
      </c>
      <c r="K13" s="161" t="inlineStr">
        <is>
          <t>DP1601.htm</t>
        </is>
      </c>
      <c r="L13" s="161" t="inlineStr">
        <is>
          <t>Pollution</t>
        </is>
      </c>
    </row>
    <row r="14" ht="18" customHeight="1" s="235">
      <c r="A14" s="159" t="n">
        <v>2016</v>
      </c>
      <c r="B14" s="159" t="inlineStr">
        <is>
          <t>annual industrial chemical oxygen demand emissions</t>
        </is>
      </c>
      <c r="C14" s="159" t="inlineStr">
        <is>
          <t>reduce by</t>
        </is>
      </c>
      <c r="D14" s="159" t="inlineStr">
        <is>
          <t>500000  tons</t>
        </is>
      </c>
      <c r="E14" s="159" t="n">
        <v>2015</v>
      </c>
      <c r="F14" s="159" t="inlineStr">
        <is>
          <t>2020</t>
        </is>
      </c>
      <c r="G14" s="159" t="inlineStr">
        <is>
          <t>n</t>
        </is>
      </c>
      <c r="H14" s="159" t="inlineStr">
        <is>
          <t>Pollution control</t>
        </is>
      </c>
      <c r="I14" s="159" t="inlineStr">
        <is>
          <t>sectors</t>
        </is>
      </c>
      <c r="J14" s="159" t="inlineStr">
        <is>
          <t>By 2020, the country's industrial chemical oxygen demand will be reduced by 500,000 tons/year.</t>
        </is>
      </c>
      <c r="K14" s="161" t="inlineStr">
        <is>
          <t>DP1601.htm</t>
        </is>
      </c>
      <c r="L14" s="161" t="inlineStr">
        <is>
          <t>Pollution</t>
        </is>
      </c>
    </row>
    <row r="15" ht="18" customHeight="1" s="235">
      <c r="A15" s="159" t="n">
        <v>2016</v>
      </c>
      <c r="B15" s="159" t="inlineStr">
        <is>
          <t>annual industrial smoke and dust emissions</t>
        </is>
      </c>
      <c r="C15" s="159" t="inlineStr">
        <is>
          <t>reduce by</t>
        </is>
      </c>
      <c r="D15" s="159" t="inlineStr">
        <is>
          <t>1 million tons</t>
        </is>
      </c>
      <c r="E15" s="159" t="n">
        <v>2015</v>
      </c>
      <c r="F15" s="159" t="inlineStr">
        <is>
          <t>2020</t>
        </is>
      </c>
      <c r="G15" s="159" t="inlineStr">
        <is>
          <t>n</t>
        </is>
      </c>
      <c r="H15" s="159" t="inlineStr">
        <is>
          <t>Pollution control</t>
        </is>
      </c>
      <c r="I15" s="159" t="inlineStr">
        <is>
          <t>sectors</t>
        </is>
      </c>
      <c r="J15" s="159" t="inlineStr">
        <is>
          <t>By 2020, the country's industry will reduce smoke and dust by 1 million tons/year.</t>
        </is>
      </c>
      <c r="K15" s="161" t="inlineStr">
        <is>
          <t>DP1601.htm</t>
        </is>
      </c>
      <c r="L15" s="161" t="inlineStr">
        <is>
          <t>Pollution</t>
        </is>
      </c>
    </row>
    <row r="16" ht="18" customHeight="1" s="235">
      <c r="A16" s="159" t="n">
        <v>2016</v>
      </c>
      <c r="B16" s="159" t="inlineStr">
        <is>
          <t>annual lead (Pb) total national emissions</t>
        </is>
      </c>
      <c r="C16" s="159" t="inlineStr">
        <is>
          <t>reduce by</t>
        </is>
      </c>
      <c r="D16" s="159" t="inlineStr">
        <is>
          <t>15  tons</t>
        </is>
      </c>
      <c r="E16" s="159" t="n">
        <v>2015</v>
      </c>
      <c r="F16" s="159" t="inlineStr">
        <is>
          <t>2020</t>
        </is>
      </c>
      <c r="G16" s="159" t="inlineStr">
        <is>
          <t>n</t>
        </is>
      </c>
      <c r="H16" s="159" t="inlineStr">
        <is>
          <t>Pollution control</t>
        </is>
      </c>
      <c r="I16" s="159" t="inlineStr">
        <is>
          <t>whole economy</t>
        </is>
      </c>
      <c r="J16" s="159" t="inlineStr">
        <is>
          <t>By 2020, total lead emissions will be reduced by 15 tons/year.</t>
        </is>
      </c>
      <c r="K16" s="161" t="inlineStr">
        <is>
          <t>DP1601.htm</t>
        </is>
      </c>
      <c r="L16" s="161" t="inlineStr">
        <is>
          <t>Pollution</t>
        </is>
      </c>
    </row>
    <row r="17" ht="18" customHeight="1" s="235">
      <c r="A17" s="159" t="n">
        <v>2016</v>
      </c>
      <c r="B17" s="159" t="inlineStr">
        <is>
          <t>annual nitrogen oxides (NOₓ) industrial emissions</t>
        </is>
      </c>
      <c r="C17" s="159" t="inlineStr">
        <is>
          <t>reduce by</t>
        </is>
      </c>
      <c r="D17" s="159" t="inlineStr">
        <is>
          <t>1.8 million tons</t>
        </is>
      </c>
      <c r="E17" s="159" t="n">
        <v>2015</v>
      </c>
      <c r="F17" s="159" t="inlineStr">
        <is>
          <t>2020</t>
        </is>
      </c>
      <c r="G17" s="159" t="inlineStr">
        <is>
          <t>n</t>
        </is>
      </c>
      <c r="H17" s="159" t="inlineStr">
        <is>
          <t>Pollution control</t>
        </is>
      </c>
      <c r="I17" s="159" t="inlineStr">
        <is>
          <t>sectors</t>
        </is>
      </c>
      <c r="J17" s="159" t="inlineStr">
        <is>
          <t>By 2020, the country's industry will reduce nitrogen oxides by 1.8 million tons/year.</t>
        </is>
      </c>
      <c r="K17" s="161" t="inlineStr">
        <is>
          <t>DP1601.htm</t>
        </is>
      </c>
      <c r="L17" s="161" t="inlineStr">
        <is>
          <t>Pollution</t>
        </is>
      </c>
    </row>
    <row r="18" ht="18" customHeight="1" s="235">
      <c r="A18" s="159" t="n">
        <v>2022</v>
      </c>
      <c r="B18" s="159" t="inlineStr">
        <is>
          <t>chemical oxygen demand (COD) total national emissions</t>
        </is>
      </c>
      <c r="C18" s="159" t="inlineStr">
        <is>
          <t>reduce by</t>
        </is>
      </c>
      <c r="D18" s="159" t="inlineStr">
        <is>
          <t>8%</t>
        </is>
      </c>
      <c r="E18" s="159" t="n">
        <v>2020</v>
      </c>
      <c r="F18" s="160" t="inlineStr">
        <is>
          <t>2025</t>
        </is>
      </c>
      <c r="G18" s="159" t="inlineStr">
        <is>
          <t>r</t>
        </is>
      </c>
      <c r="H18" s="159" t="inlineStr">
        <is>
          <t>Pollution control</t>
        </is>
      </c>
      <c r="I18" s="159" t="inlineStr">
        <is>
          <t>whole economy</t>
        </is>
      </c>
      <c r="J18" s="159" t="inlineStr">
        <is>
          <t>By 2025, the total emissions of chemical oxygen demand will be reduced by 8% compared with 2020.</t>
        </is>
      </c>
      <c r="K18" s="161" t="inlineStr">
        <is>
          <t>AP2206.pdf</t>
        </is>
      </c>
      <c r="L18" s="161" t="inlineStr">
        <is>
          <t>Pollution</t>
        </is>
      </c>
    </row>
    <row r="19" ht="18" customHeight="1" s="235">
      <c r="A19" s="159" t="n">
        <v>2016</v>
      </c>
      <c r="B19" s="159" t="inlineStr">
        <is>
          <t>annual sulfur dioxide (SO₂) industrial emissions</t>
        </is>
      </c>
      <c r="C19" s="159" t="inlineStr">
        <is>
          <t>reduce by</t>
        </is>
      </c>
      <c r="D19" s="159" t="inlineStr">
        <is>
          <t>500000  tons</t>
        </is>
      </c>
      <c r="E19" s="159" t="n">
        <v>2015</v>
      </c>
      <c r="F19" s="159" t="inlineStr">
        <is>
          <t>2020</t>
        </is>
      </c>
      <c r="G19" s="159" t="inlineStr">
        <is>
          <t>n</t>
        </is>
      </c>
      <c r="H19" s="159" t="inlineStr">
        <is>
          <t>Pollution control</t>
        </is>
      </c>
      <c r="I19" s="159" t="inlineStr">
        <is>
          <t>sectors</t>
        </is>
      </c>
      <c r="J19" s="159" t="inlineStr">
        <is>
          <t>By 2020, the country's industry will reduce sulfur dioxide by 500,000 tons/year.</t>
        </is>
      </c>
      <c r="K19" s="161" t="inlineStr">
        <is>
          <t>DP1601.htm</t>
        </is>
      </c>
      <c r="L19" s="161" t="inlineStr">
        <is>
          <t>Pollution</t>
        </is>
      </c>
    </row>
    <row r="20" hidden="1" ht="18" customHeight="1" s="235">
      <c r="A20" s="159" t="n">
        <v>2012</v>
      </c>
      <c r="B20" s="159" t="inlineStr">
        <is>
          <t>chemical oxygen demand (COD) emissions reduction through new large-scale farms and breeding communities</t>
        </is>
      </c>
      <c r="C20" s="159" t="inlineStr">
        <is>
          <t>reduce by</t>
        </is>
      </c>
      <c r="D20" s="159" t="inlineStr">
        <is>
          <t>1.4 million tons</t>
        </is>
      </c>
      <c r="E20" s="159" t="n">
        <v>2010</v>
      </c>
      <c r="F20" s="160" t="inlineStr">
        <is>
          <t>2015</t>
        </is>
      </c>
      <c r="G20" s="159" t="inlineStr">
        <is>
          <t>n</t>
        </is>
      </c>
      <c r="H20" s="159" t="inlineStr">
        <is>
          <t>Pollution control</t>
        </is>
      </c>
      <c r="I20" s="159" t="inlineStr">
        <is>
          <t>unclear</t>
        </is>
      </c>
      <c r="J20" s="159" t="inlineStr">
        <is>
          <t>By 2015, 1.4 million tons of chemical oxygen demand will be reduced through new large-scale farms and breeding communities.</t>
        </is>
      </c>
      <c r="K20" s="161" t="inlineStr">
        <is>
          <t>FYP1201.htm</t>
        </is>
      </c>
      <c r="L20" s="161" t="inlineStr">
        <is>
          <t>Pollution</t>
        </is>
      </c>
    </row>
    <row r="21" ht="18" customHeight="1" s="235">
      <c r="A21" s="159" t="n">
        <v>2007</v>
      </c>
      <c r="B21" s="159" t="inlineStr">
        <is>
          <t>chemical oxygen demand (COD) total annual national emissions</t>
        </is>
      </c>
      <c r="C21" s="159" t="inlineStr">
        <is>
          <t>reduce to</t>
        </is>
      </c>
      <c r="D21" s="159" t="inlineStr">
        <is>
          <t>12.73 million tons</t>
        </is>
      </c>
      <c r="E21" s="159" t="n"/>
      <c r="F21" s="160" t="inlineStr">
        <is>
          <t>2010</t>
        </is>
      </c>
      <c r="G21" s="159" t="inlineStr">
        <is>
          <t>n</t>
        </is>
      </c>
      <c r="H21" s="159" t="inlineStr">
        <is>
          <t>Pollution control</t>
        </is>
      </c>
      <c r="I21" s="159" t="inlineStr">
        <is>
          <t>whole economy</t>
        </is>
      </c>
      <c r="J21" s="159" t="inlineStr">
        <is>
          <t>By 2010, chemical oxygen demand (COD) will be reduced from 14.14 million tons in 2005 to 12.73 million tons.</t>
        </is>
      </c>
      <c r="K21" s="161" t="inlineStr">
        <is>
          <t>WOP0701.htm</t>
        </is>
      </c>
      <c r="L21" s="161" t="inlineStr">
        <is>
          <t>Pollution</t>
        </is>
      </c>
    </row>
    <row r="22" ht="18" customHeight="1" s="235">
      <c r="A22" s="159" t="n">
        <v>2012</v>
      </c>
      <c r="B22" s="159" t="inlineStr">
        <is>
          <t>chemical oxygen demand (COD) total annual national emissions</t>
        </is>
      </c>
      <c r="C22" s="159" t="inlineStr">
        <is>
          <t>control at</t>
        </is>
      </c>
      <c r="D22" s="159" t="inlineStr">
        <is>
          <t>23.476 million tons</t>
        </is>
      </c>
      <c r="E22" s="159" t="n"/>
      <c r="F22" s="160" t="inlineStr">
        <is>
          <t>2015</t>
        </is>
      </c>
      <c r="G22" s="159" t="inlineStr">
        <is>
          <t>n</t>
        </is>
      </c>
      <c r="H22" s="159" t="inlineStr">
        <is>
          <t>Pollution control</t>
        </is>
      </c>
      <c r="I22" s="159" t="inlineStr">
        <is>
          <t>whole economy</t>
        </is>
      </c>
      <c r="J22" s="159" t="inlineStr">
        <is>
          <t>In 2015, the national total chemical oxygen demand will be controlled at 23.476 million tons.</t>
        </is>
      </c>
      <c r="K22" s="161" t="inlineStr">
        <is>
          <t>FYP1201.htm</t>
        </is>
      </c>
      <c r="L22" s="161" t="inlineStr">
        <is>
          <t>Pollution</t>
        </is>
      </c>
    </row>
    <row r="23" ht="18" customHeight="1" s="235">
      <c r="A23" s="159" t="n">
        <v>2016</v>
      </c>
      <c r="B23" s="159" t="inlineStr">
        <is>
          <t>chemical oxygen demand (COD) total annual national emissions</t>
        </is>
      </c>
      <c r="C23" s="159" t="inlineStr">
        <is>
          <t>control within</t>
        </is>
      </c>
      <c r="D23" s="159" t="inlineStr">
        <is>
          <t>20.01 million tons</t>
        </is>
      </c>
      <c r="E23" s="159" t="n"/>
      <c r="F23" s="160" t="inlineStr">
        <is>
          <t>2020</t>
        </is>
      </c>
      <c r="G23" s="159" t="inlineStr">
        <is>
          <t>n</t>
        </is>
      </c>
      <c r="H23" s="159" t="inlineStr">
        <is>
          <t>Pollution control</t>
        </is>
      </c>
      <c r="I23" s="159" t="inlineStr">
        <is>
          <t>whole economy</t>
        </is>
      </c>
      <c r="J23" s="159" t="inlineStr">
        <is>
          <t>The total national emissions of chemical oxygen demand will be controlled within 20.01 million tons by 2020.</t>
        </is>
      </c>
      <c r="K23" s="161" t="inlineStr">
        <is>
          <t>FYP1601.htm</t>
        </is>
      </c>
      <c r="L23" s="161" t="inlineStr">
        <is>
          <t>Pollution</t>
        </is>
      </c>
    </row>
    <row r="24" ht="18" customHeight="1" s="235">
      <c r="A24" s="159" t="n">
        <v>2014</v>
      </c>
      <c r="B24" s="159" t="inlineStr">
        <is>
          <t>chemical oxygen demand (COD) total national emissions</t>
        </is>
      </c>
      <c r="C24" s="159" t="inlineStr">
        <is>
          <t>reduce by</t>
        </is>
      </c>
      <c r="D24" s="159" t="inlineStr">
        <is>
          <t>2%</t>
        </is>
      </c>
      <c r="E24" s="159" t="n">
        <v>2014</v>
      </c>
      <c r="F24" s="160" t="n">
        <v>2015</v>
      </c>
      <c r="G24" s="159" t="inlineStr">
        <is>
          <t>n</t>
        </is>
      </c>
      <c r="H24" s="159" t="inlineStr">
        <is>
          <t>Pollution control</t>
        </is>
      </c>
      <c r="I24" s="159" t="inlineStr">
        <is>
          <t>whole economy</t>
        </is>
      </c>
      <c r="J24" s="159" t="inlineStr">
        <is>
          <t>From 2014 to 2015, chemical oxygen demand will decrease by 2%.</t>
        </is>
      </c>
      <c r="K24" s="161" t="inlineStr">
        <is>
          <t>AP1404.htm</t>
        </is>
      </c>
      <c r="L24" s="161" t="inlineStr">
        <is>
          <t>Pollution</t>
        </is>
      </c>
    </row>
    <row r="25" ht="18" customHeight="1" s="235">
      <c r="A25" s="159" t="n">
        <v>2021</v>
      </c>
      <c r="B25" s="159" t="inlineStr">
        <is>
          <t>chemical oxygen demand (COD) total national emissions</t>
        </is>
      </c>
      <c r="C25" s="159" t="inlineStr">
        <is>
          <t>reduce by</t>
        </is>
      </c>
      <c r="D25" s="159" t="inlineStr">
        <is>
          <t>8%</t>
        </is>
      </c>
      <c r="E25" s="159" t="n">
        <v>2020</v>
      </c>
      <c r="F25" s="160" t="inlineStr">
        <is>
          <t>2025</t>
        </is>
      </c>
      <c r="G25" s="159" t="inlineStr">
        <is>
          <t>n</t>
        </is>
      </c>
      <c r="H25" s="159" t="inlineStr">
        <is>
          <t>Pollution control</t>
        </is>
      </c>
      <c r="I25" s="159" t="inlineStr">
        <is>
          <t>whole economy</t>
        </is>
      </c>
      <c r="J25" s="159" t="inlineStr">
        <is>
          <t>By 2025, the total national emissions of chemical oxygen demand will be reduced by 8% compared with 2020 levels.</t>
        </is>
      </c>
      <c r="K25" s="161" t="inlineStr">
        <is>
          <t>FYP2107.htm</t>
        </is>
      </c>
      <c r="L25" s="161" t="inlineStr">
        <is>
          <t>Pollution</t>
        </is>
      </c>
    </row>
    <row r="26" ht="18" customHeight="1" s="235">
      <c r="A26" s="159" t="n">
        <v>2014</v>
      </c>
      <c r="B26" s="159" t="inlineStr">
        <is>
          <t>chemical oxygen demand (COD) total national emissions reduction capacity</t>
        </is>
      </c>
      <c r="C26" s="159" t="inlineStr">
        <is>
          <t>increase by</t>
        </is>
      </c>
      <c r="D26" s="159" t="inlineStr">
        <is>
          <t>2 million tons</t>
        </is>
      </c>
      <c r="E26" s="159" t="n">
        <v>2014</v>
      </c>
      <c r="F26" s="160" t="inlineStr">
        <is>
          <t>2015</t>
        </is>
      </c>
      <c r="G26" s="159" t="inlineStr">
        <is>
          <t>n</t>
        </is>
      </c>
      <c r="H26" s="159" t="inlineStr">
        <is>
          <t>Pollution control</t>
        </is>
      </c>
      <c r="I26" s="159" t="inlineStr">
        <is>
          <t>whole economy</t>
        </is>
      </c>
      <c r="J26" s="159" t="inlineStr">
        <is>
          <t>By the end of 2015, the chemical oxygen demand emission reduction capacities will be increased by 2 million tons.</t>
        </is>
      </c>
      <c r="K26" s="161" t="inlineStr">
        <is>
          <t>AP1404.htm</t>
        </is>
      </c>
      <c r="L26" s="161" t="inlineStr">
        <is>
          <t>Pollution</t>
        </is>
      </c>
    </row>
    <row r="27" ht="18" customHeight="1" s="235">
      <c r="A27" s="159" t="n">
        <v>2015</v>
      </c>
      <c r="B27" s="159" t="inlineStr">
        <is>
          <t>emission intensity of major pollutants in key industries</t>
        </is>
      </c>
      <c r="C27" s="159" t="inlineStr">
        <is>
          <t>reduce by</t>
        </is>
      </c>
      <c r="D27" s="159" t="inlineStr">
        <is>
          <t>20%</t>
        </is>
      </c>
      <c r="E27" s="159" t="n">
        <v>2015</v>
      </c>
      <c r="F27" s="159" t="inlineStr">
        <is>
          <t>2020</t>
        </is>
      </c>
      <c r="G27" s="159" t="inlineStr">
        <is>
          <t>n</t>
        </is>
      </c>
      <c r="H27" s="159" t="inlineStr">
        <is>
          <t>Pollution control</t>
        </is>
      </c>
      <c r="I27" s="159" t="inlineStr">
        <is>
          <t>sectors</t>
        </is>
      </c>
      <c r="J27" s="159" t="inlineStr">
        <is>
          <t>By 2020, the emission intensity of major pollutants in key industries will drop by 20%.</t>
        </is>
      </c>
      <c r="K27" s="161" t="inlineStr">
        <is>
          <t>HL1504.htm</t>
        </is>
      </c>
      <c r="L27" s="161" t="inlineStr">
        <is>
          <t>Pollution</t>
        </is>
      </c>
    </row>
    <row r="28" ht="18" customHeight="1" s="235">
      <c r="A28" s="159" t="n">
        <v>2024</v>
      </c>
      <c r="B28" s="159" t="inlineStr">
        <is>
          <t>fine particulate matter national average concentration</t>
        </is>
      </c>
      <c r="C28" s="159" t="inlineStr">
        <is>
          <t>reduce to</t>
        </is>
      </c>
      <c r="D28" s="159" t="inlineStr">
        <is>
          <t>28 micrograms per cubic meter</t>
        </is>
      </c>
      <c r="E28" s="159" t="n"/>
      <c r="F28" s="159" t="inlineStr">
        <is>
          <t>2027</t>
        </is>
      </c>
      <c r="G28" s="159" t="inlineStr">
        <is>
          <t>n</t>
        </is>
      </c>
      <c r="H28" s="159" t="inlineStr">
        <is>
          <t>Pollution control</t>
        </is>
      </c>
      <c r="I28" s="159" t="inlineStr">
        <is>
          <t>whole economy</t>
        </is>
      </c>
      <c r="J28" s="159" t="inlineStr">
        <is>
          <t>By 2027, the national average concentration of fine particulate matter will drop to below 28 micrograms per cubic meter.</t>
        </is>
      </c>
      <c r="K28" s="161" t="inlineStr">
        <is>
          <t>O2405.htm</t>
        </is>
      </c>
      <c r="L28" s="161" t="inlineStr">
        <is>
          <t>Pollution</t>
        </is>
      </c>
    </row>
    <row r="29" ht="18" customHeight="1" s="235">
      <c r="A29" s="159" t="n">
        <v>2024</v>
      </c>
      <c r="B29" s="159" t="inlineStr">
        <is>
          <t>fine particulate matter national average concentration</t>
        </is>
      </c>
      <c r="C29" s="159" t="inlineStr">
        <is>
          <t>reduce to</t>
        </is>
      </c>
      <c r="D29" s="159" t="inlineStr">
        <is>
          <t>25 micrograms per cubic meter</t>
        </is>
      </c>
      <c r="E29" s="159" t="n"/>
      <c r="F29" s="159" t="inlineStr">
        <is>
          <t>2035</t>
        </is>
      </c>
      <c r="G29" s="159" t="inlineStr">
        <is>
          <t>n</t>
        </is>
      </c>
      <c r="H29" s="159" t="inlineStr">
        <is>
          <t>Pollution control</t>
        </is>
      </c>
      <c r="I29" s="159" t="inlineStr">
        <is>
          <t>whole economy</t>
        </is>
      </c>
      <c r="J29" s="159" t="inlineStr">
        <is>
          <t>By 2035, the national concentration of fine particulate matter will drop to below 25 micrograms per cubic meter.</t>
        </is>
      </c>
      <c r="K29" s="161" t="inlineStr">
        <is>
          <t>O2405.htm</t>
        </is>
      </c>
      <c r="L29" s="161" t="inlineStr">
        <is>
          <t>Pollution</t>
        </is>
      </c>
    </row>
    <row r="30" ht="18" customHeight="1" s="235">
      <c r="A30" s="159" t="n">
        <v>2012</v>
      </c>
      <c r="B30" s="159" t="inlineStr">
        <is>
          <t>flue gas desulfurization efficiency of all sintering machines and pelletizing production equipment located in urban built-up areas</t>
        </is>
      </c>
      <c r="C30" s="159" t="inlineStr">
        <is>
          <t>reach</t>
        </is>
      </c>
      <c r="D30" s="159" t="inlineStr">
        <is>
          <t>95%</t>
        </is>
      </c>
      <c r="E30" s="159" t="n"/>
      <c r="F30" s="159" t="inlineStr">
        <is>
          <t>2015</t>
        </is>
      </c>
      <c r="G30" s="159" t="inlineStr">
        <is>
          <t>n</t>
        </is>
      </c>
      <c r="H30" s="159" t="inlineStr">
        <is>
          <t>Pollution control</t>
        </is>
      </c>
      <c r="I30" s="159" t="inlineStr">
        <is>
          <t>cities</t>
        </is>
      </c>
      <c r="J30" s="159" t="inlineStr">
        <is>
          <t>By 2015, the flue gas desulfurization efficiency of all sintering machines and pelletizing production equipment located in urban built-up areas will reach more than 95%.</t>
        </is>
      </c>
      <c r="K30" s="161" t="inlineStr">
        <is>
          <t>FYP1201.htm</t>
        </is>
      </c>
      <c r="L30" s="161" t="inlineStr">
        <is>
          <t>Pollution</t>
        </is>
      </c>
    </row>
    <row r="31" ht="18" customHeight="1" s="235">
      <c r="A31" s="163" t="n">
        <v>2007</v>
      </c>
      <c r="B31" s="163" t="inlineStr">
        <is>
          <t xml:space="preserve">major pollutants total national emissions </t>
        </is>
      </c>
      <c r="C31" s="163" t="inlineStr">
        <is>
          <t>reduce by</t>
        </is>
      </c>
      <c r="D31" s="163" t="inlineStr">
        <is>
          <t>10%</t>
        </is>
      </c>
      <c r="E31" s="163" t="n"/>
      <c r="F31" s="163" t="inlineStr">
        <is>
          <t>11th FYP</t>
        </is>
      </c>
      <c r="G31" s="163" t="inlineStr">
        <is>
          <t>r</t>
        </is>
      </c>
      <c r="H31" s="159" t="inlineStr">
        <is>
          <t>Pollution control</t>
        </is>
      </c>
      <c r="I31" s="163" t="inlineStr">
        <is>
          <t>whole economy</t>
        </is>
      </c>
      <c r="J31" s="163" t="inlineStr">
        <is>
          <t>China aims to achieve the goal of basically curbing the trend of ecological deterioration, reducing total emissions of major pollutants by 10%, and gain visible results in the control of greenhouse gas emissions during its 11th Five-Year Plan period (2006-2010).</t>
        </is>
      </c>
      <c r="K31" s="164" t="inlineStr">
        <is>
          <t>PF0701.htm</t>
        </is>
      </c>
      <c r="L31" s="161" t="inlineStr">
        <is>
          <t>Pollution</t>
        </is>
      </c>
    </row>
    <row r="32" ht="18" customHeight="1" s="235">
      <c r="A32" s="159" t="n">
        <v>2007</v>
      </c>
      <c r="B32" s="159" t="inlineStr">
        <is>
          <t xml:space="preserve">major pollutants total national emissions </t>
        </is>
      </c>
      <c r="C32" s="159" t="inlineStr">
        <is>
          <t>reduce by</t>
        </is>
      </c>
      <c r="D32" s="159" t="inlineStr">
        <is>
          <t>10%</t>
        </is>
      </c>
      <c r="E32" s="159" t="n"/>
      <c r="F32" s="159" t="inlineStr">
        <is>
          <t>11th FYP</t>
        </is>
      </c>
      <c r="G32" s="159" t="inlineStr">
        <is>
          <t>r</t>
        </is>
      </c>
      <c r="H32" s="159" t="inlineStr">
        <is>
          <t>Pollution control</t>
        </is>
      </c>
      <c r="I32" s="159" t="inlineStr">
        <is>
          <t>whole economy</t>
        </is>
      </c>
      <c r="J32" s="159" t="inlineStr">
        <is>
          <t>The Outline of the 11th Five-Year Plan for National Economic and Social Development of the People's Republic of China projects that the total amount of major pollutants discharged will have been reduced by 10%.</t>
        </is>
      </c>
      <c r="K32" s="161" t="inlineStr">
        <is>
          <t>PF0701.htm</t>
        </is>
      </c>
      <c r="L32" s="161" t="inlineStr">
        <is>
          <t>Pollution</t>
        </is>
      </c>
    </row>
    <row r="33" ht="18" customHeight="1" s="235">
      <c r="A33" s="159" t="n">
        <v>2013</v>
      </c>
      <c r="B33" s="159" t="inlineStr">
        <is>
          <t>inhalable particulate matter concentration in cities at the prefecture level and above across the country</t>
        </is>
      </c>
      <c r="C33" s="159" t="inlineStr">
        <is>
          <t>reduce by</t>
        </is>
      </c>
      <c r="D33" s="159" t="inlineStr">
        <is>
          <t>10%</t>
        </is>
      </c>
      <c r="E33" s="159" t="n">
        <v>2012</v>
      </c>
      <c r="F33" s="160" t="n">
        <v>2017</v>
      </c>
      <c r="G33" s="159" t="inlineStr">
        <is>
          <t>n</t>
        </is>
      </c>
      <c r="H33" s="159" t="inlineStr">
        <is>
          <t>Pollution control</t>
        </is>
      </c>
      <c r="I33" s="159" t="inlineStr">
        <is>
          <t>cities</t>
        </is>
      </c>
      <c r="J33" s="159" t="inlineStr">
        <is>
          <t>By 2017, the concentration of inhalable particulate matter in cities at the prefecture level and above across the country will drop by more than 10% compared with 2012.</t>
        </is>
      </c>
      <c r="K33" s="161" t="inlineStr">
        <is>
          <t>AP1302.htm</t>
        </is>
      </c>
      <c r="L33" s="161" t="inlineStr">
        <is>
          <t>Pollution</t>
        </is>
      </c>
    </row>
    <row r="34" hidden="1" ht="18" customHeight="1" s="235">
      <c r="A34" s="159" t="n">
        <v>2007</v>
      </c>
      <c r="B34" s="159" t="inlineStr">
        <is>
          <t xml:space="preserve">major pollutants total national emissions </t>
        </is>
      </c>
      <c r="C34" s="159" t="inlineStr">
        <is>
          <t>reduce by</t>
        </is>
      </c>
      <c r="D34" s="159" t="inlineStr">
        <is>
          <t>10%</t>
        </is>
      </c>
      <c r="E34" s="159" t="n">
        <v>2005</v>
      </c>
      <c r="F34" s="159" t="inlineStr">
        <is>
          <t>2010</t>
        </is>
      </c>
      <c r="G34" s="159" t="inlineStr">
        <is>
          <t>n</t>
        </is>
      </c>
      <c r="H34" s="159" t="inlineStr">
        <is>
          <t>Pollution control</t>
        </is>
      </c>
      <c r="I34" s="159" t="inlineStr">
        <is>
          <t>whole economy</t>
        </is>
      </c>
      <c r="J34" s="159" t="inlineStr">
        <is>
          <t>By 2010, total emissions of major pollutants will have decreased by 10%.</t>
        </is>
      </c>
      <c r="K34" s="161" t="inlineStr">
        <is>
          <t>WOP0701.htm</t>
        </is>
      </c>
      <c r="L34" s="161" t="inlineStr">
        <is>
          <t>Pollution</t>
        </is>
      </c>
    </row>
    <row r="35" hidden="1" ht="18" customHeight="1" s="235">
      <c r="A35" s="0" t="n">
        <v>2026</v>
      </c>
      <c r="B35" s="0" t="inlineStr">
        <is>
          <t>national average concentration of fine particulate matter (PM2.5)</t>
        </is>
      </c>
      <c r="C35" s="0" t="inlineStr">
        <is>
          <t>reduce to</t>
        </is>
      </c>
      <c r="D35" s="0" t="inlineStr">
        <is>
          <t>below 25 micrograms per cubic meter</t>
        </is>
      </c>
      <c r="F35" s="0" t="n">
        <v>2035</v>
      </c>
      <c r="G35" s="0" t="inlineStr">
        <is>
          <t>r</t>
        </is>
      </c>
      <c r="H35" s="0" t="inlineStr">
        <is>
          <t>Pollution control</t>
        </is>
      </c>
      <c r="I35" s="0" t="inlineStr">
        <is>
          <t>whole economy</t>
        </is>
      </c>
      <c r="J35" s="0" t="inlineStr">
        <is>
          <t>The national average concentration of fine particulate matter (PM2.5) will be reduced to below 25 micrograms per cubic meter, ...</t>
        </is>
      </c>
      <c r="K35" s="0" t="inlineStr">
        <is>
          <t>FYP2609.htm</t>
        </is>
      </c>
      <c r="L35" s="0" t="inlineStr">
        <is>
          <t>Pollution</t>
        </is>
      </c>
    </row>
    <row r="36" ht="18" customHeight="1" s="235">
      <c r="A36" s="159" t="n">
        <v>2010</v>
      </c>
      <c r="B36" s="159" t="inlineStr">
        <is>
          <t>nitrogen oxides (NOₓ) emissions from the cement sector</t>
        </is>
      </c>
      <c r="C36" s="159" t="inlineStr">
        <is>
          <t>reduce by</t>
        </is>
      </c>
      <c r="D36" s="159" t="inlineStr">
        <is>
          <t>25%</t>
        </is>
      </c>
      <c r="E36" s="159" t="n">
        <v>2009</v>
      </c>
      <c r="F36" s="160" t="n">
        <v>2015</v>
      </c>
      <c r="G36" s="159" t="inlineStr">
        <is>
          <t>n</t>
        </is>
      </c>
      <c r="H36" s="159" t="inlineStr">
        <is>
          <t>Pollution control</t>
        </is>
      </c>
      <c r="I36" s="159" t="inlineStr">
        <is>
          <t>sectors</t>
        </is>
      </c>
      <c r="J36" s="159" t="inlineStr">
        <is>
          <t>Particulate matter emissions from the cement sector are targeted to decrease by 50% relative to 2009 levels, nitrogen oxide (NOₓ) emissions by 25% relative to 2009 levels, while carbon dioxide emissions intensity is expected to decline further.</t>
        </is>
      </c>
      <c r="K36" s="159" t="inlineStr">
        <is>
          <t>GO1001.pdf</t>
        </is>
      </c>
      <c r="L36" s="159" t="inlineStr">
        <is>
          <t>Pollution</t>
        </is>
      </c>
    </row>
    <row r="37" ht="18" customHeight="1" s="235">
      <c r="A37" s="159" t="n">
        <v>2023</v>
      </c>
      <c r="B37" s="159" t="inlineStr">
        <is>
          <t>nitrogen oxides (NOₓ) and volatile organic compounds (VOCs) total national emissions</t>
        </is>
      </c>
      <c r="C37" s="159" t="inlineStr">
        <is>
          <t>reduce by</t>
        </is>
      </c>
      <c r="D37" s="159" t="inlineStr">
        <is>
          <t>10%</t>
        </is>
      </c>
      <c r="E37" s="159" t="n">
        <v>2020</v>
      </c>
      <c r="F37" s="159" t="inlineStr">
        <is>
          <t>2025</t>
        </is>
      </c>
      <c r="G37" s="159" t="inlineStr">
        <is>
          <t>n</t>
        </is>
      </c>
      <c r="H37" s="159" t="inlineStr">
        <is>
          <t>Pollution control</t>
        </is>
      </c>
      <c r="I37" s="159" t="inlineStr">
        <is>
          <t>whole economy</t>
        </is>
      </c>
      <c r="J37" s="159" t="inlineStr">
        <is>
          <t>By 2025, the total emissions of nitrogen oxides and VOCs will be reduced by more than 10% compared with 2020.</t>
        </is>
      </c>
      <c r="K37" s="161" t="inlineStr">
        <is>
          <t>AP2304.htm</t>
        </is>
      </c>
      <c r="L37" s="161" t="inlineStr">
        <is>
          <t>Pollution</t>
        </is>
      </c>
    </row>
    <row r="38" ht="18" customHeight="1" s="235">
      <c r="A38" s="159" t="n">
        <v>2014</v>
      </c>
      <c r="B38" s="159" t="inlineStr">
        <is>
          <t>nitrogen oxides (NOₓ) emission reduction capacities</t>
        </is>
      </c>
      <c r="C38" s="159" t="inlineStr">
        <is>
          <t>increase by</t>
        </is>
      </c>
      <c r="D38" s="159" t="inlineStr">
        <is>
          <t>2.6 million tons</t>
        </is>
      </c>
      <c r="E38" s="159" t="n">
        <v>2014</v>
      </c>
      <c r="F38" s="159" t="inlineStr">
        <is>
          <t>2015</t>
        </is>
      </c>
      <c r="G38" s="159" t="inlineStr">
        <is>
          <t>n</t>
        </is>
      </c>
      <c r="H38" s="159" t="inlineStr">
        <is>
          <t>Pollution control</t>
        </is>
      </c>
      <c r="I38" s="159" t="inlineStr">
        <is>
          <t>unclear</t>
        </is>
      </c>
      <c r="J38" s="159" t="inlineStr">
        <is>
          <t>By the end of 2015, the nitrogen oxide emission reduction capacities will be increased by more than 2.6 million tons respectively.</t>
        </is>
      </c>
      <c r="K38" s="161" t="inlineStr">
        <is>
          <t>AP1404.htm</t>
        </is>
      </c>
      <c r="L38" s="161" t="inlineStr">
        <is>
          <t>Pollution</t>
        </is>
      </c>
    </row>
    <row r="39" ht="18" customHeight="1" s="235">
      <c r="A39" s="159" t="n">
        <v>2013</v>
      </c>
      <c r="B39" s="159" t="inlineStr">
        <is>
          <t>nitrogen oxides (NOₓ) emission reduction through energy-saving internal combustion engines</t>
        </is>
      </c>
      <c r="C39" s="159" t="inlineStr">
        <is>
          <t>reduce by</t>
        </is>
      </c>
      <c r="D39" s="159" t="inlineStr">
        <is>
          <t>10%</t>
        </is>
      </c>
      <c r="E39" s="159" t="n">
        <v>2010</v>
      </c>
      <c r="F39" s="159" t="inlineStr">
        <is>
          <t>2015</t>
        </is>
      </c>
      <c r="G39" s="159" t="inlineStr">
        <is>
          <t>n</t>
        </is>
      </c>
      <c r="H39" s="159" t="inlineStr">
        <is>
          <t>Pollution control</t>
        </is>
      </c>
      <c r="I39" s="159" t="inlineStr">
        <is>
          <t>unclear</t>
        </is>
      </c>
      <c r="J39" s="159" t="inlineStr">
        <is>
          <t>By 2015, nitrogen oxide emissions will be reduced by 10% through energy-saving internal combustion engines.</t>
        </is>
      </c>
      <c r="K39" s="161" t="inlineStr">
        <is>
          <t>O1301.htm</t>
        </is>
      </c>
      <c r="L39" s="161" t="inlineStr">
        <is>
          <t>Pollution</t>
        </is>
      </c>
    </row>
    <row r="40" ht="18" customHeight="1" s="235">
      <c r="A40" s="159" t="n">
        <v>2022</v>
      </c>
      <c r="B40" s="159" t="inlineStr">
        <is>
          <t>nitrogen oxides (NOₓ) emissions and sulfur dioxide (SO₂) emissions generated by the coking industry</t>
        </is>
      </c>
      <c r="C40" s="159" t="inlineStr">
        <is>
          <t>reduce by</t>
        </is>
      </c>
      <c r="D40" s="159" t="inlineStr">
        <is>
          <t>20%</t>
        </is>
      </c>
      <c r="E40" s="159" t="n">
        <v>2020</v>
      </c>
      <c r="F40" s="159" t="inlineStr">
        <is>
          <t>2025</t>
        </is>
      </c>
      <c r="G40" s="159" t="inlineStr">
        <is>
          <t>n</t>
        </is>
      </c>
      <c r="H40" s="159" t="inlineStr">
        <is>
          <t>Pollution control</t>
        </is>
      </c>
      <c r="I40" s="159" t="inlineStr">
        <is>
          <t>sectors</t>
        </is>
      </c>
      <c r="J40" s="159" t="inlineStr">
        <is>
          <t>The "14th Five-Year Plan" for the Coking Industry proposes that by 2025 the amount of nitrogen oxides and sulfur dioxide generated will be reduced by 20%.</t>
        </is>
      </c>
      <c r="K40" s="161" t="inlineStr">
        <is>
          <t>AP2206.pdf</t>
        </is>
      </c>
      <c r="L40" s="161" t="inlineStr">
        <is>
          <t>Pollution</t>
        </is>
      </c>
    </row>
    <row r="41" ht="18" customHeight="1" s="235">
      <c r="A41" s="163" t="n">
        <v>2024</v>
      </c>
      <c r="B41" s="159" t="inlineStr">
        <is>
          <t>nitrogen oxides (NOₓ) emissions from operating vessels</t>
        </is>
      </c>
      <c r="C41" s="163" t="inlineStr">
        <is>
          <t>reduce by</t>
        </is>
      </c>
      <c r="D41" s="163" t="inlineStr">
        <is>
          <t>7%</t>
        </is>
      </c>
      <c r="E41" s="163" t="n">
        <v>2020</v>
      </c>
      <c r="F41" s="163" t="inlineStr">
        <is>
          <t>2025</t>
        </is>
      </c>
      <c r="G41" s="163" t="inlineStr">
        <is>
          <t>n</t>
        </is>
      </c>
      <c r="H41" s="159" t="inlineStr">
        <is>
          <t>Pollution control</t>
        </is>
      </c>
      <c r="I41" s="163" t="inlineStr">
        <is>
          <t>unclear</t>
        </is>
      </c>
      <c r="J41" s="163" t="inlineStr">
        <is>
          <t>By 2025, NOx emissions from operating vessels will decrease by 7% compared to 2020</t>
        </is>
      </c>
      <c r="K41" s="164" t="inlineStr">
        <is>
          <t>HL2401.pdf</t>
        </is>
      </c>
      <c r="L41" s="161" t="inlineStr">
        <is>
          <t>Pollution</t>
        </is>
      </c>
    </row>
    <row r="42" ht="18" customHeight="1" s="235">
      <c r="A42" s="159" t="n">
        <v>2014</v>
      </c>
      <c r="B42" s="159" t="inlineStr">
        <is>
          <t>nitrogen oxides (NOₓ) emissions in key areas such as Beijing-Tianjin-Hebei region and its surrounding areas, Yangtze River Delta, and Pearl River Delta</t>
        </is>
      </c>
      <c r="C42" s="159" t="inlineStr">
        <is>
          <t>reduce by</t>
        </is>
      </c>
      <c r="D42" s="159" t="inlineStr">
        <is>
          <t>12%</t>
        </is>
      </c>
      <c r="E42" s="159" t="n">
        <v>2014</v>
      </c>
      <c r="F42" s="159" t="inlineStr">
        <is>
          <t>2015</t>
        </is>
      </c>
      <c r="G42" s="159" t="inlineStr">
        <is>
          <t>n</t>
        </is>
      </c>
      <c r="H42" s="159" t="inlineStr">
        <is>
          <t>Pollution control</t>
        </is>
      </c>
      <c r="I42" s="159" t="inlineStr">
        <is>
          <t>areas</t>
        </is>
      </c>
      <c r="J42" s="159" t="inlineStr">
        <is>
          <t>Strive to achieve a 12% reduction in nitrogen oxides from 2014 to 2015 in key areas such as the Beijing-Tianjin-Hebei region and its surrounding areas, the Yangtze River Delta, and the Pearl River Delta</t>
        </is>
      </c>
      <c r="K42" s="161" t="inlineStr">
        <is>
          <t>AP1404.htm</t>
        </is>
      </c>
      <c r="L42" s="161" t="inlineStr">
        <is>
          <t>Pollution</t>
        </is>
      </c>
    </row>
    <row r="43" ht="18" customHeight="1" s="235">
      <c r="A43" s="159" t="n">
        <v>2008</v>
      </c>
      <c r="B43" s="159" t="inlineStr">
        <is>
          <t>nitrogen oxides (NOₓ) industrial emissions</t>
        </is>
      </c>
      <c r="C43" s="159" t="inlineStr">
        <is>
          <t>remain stable</t>
        </is>
      </c>
      <c r="D43" s="159" t="inlineStr">
        <is>
          <t>maintained at the 2005 level</t>
        </is>
      </c>
      <c r="E43" s="159" t="n">
        <v>2005</v>
      </c>
      <c r="F43" s="159" t="inlineStr">
        <is>
          <t>2010</t>
        </is>
      </c>
      <c r="G43" s="159" t="inlineStr">
        <is>
          <t>r</t>
        </is>
      </c>
      <c r="H43" s="159" t="inlineStr">
        <is>
          <t>Pollution control</t>
        </is>
      </c>
      <c r="I43" s="159" t="inlineStr">
        <is>
          <t>whole economy</t>
        </is>
      </c>
      <c r="J43" s="159" t="inlineStr">
        <is>
          <t>By 2010, the emissions of NO2 from industrial process will remain stable as that in 2005.</t>
        </is>
      </c>
      <c r="K43" s="161" t="inlineStr">
        <is>
          <t>HL0801.pdf</t>
        </is>
      </c>
      <c r="L43" s="161" t="inlineStr">
        <is>
          <t>Pollution</t>
        </is>
      </c>
    </row>
    <row r="44" ht="18" customHeight="1" s="235">
      <c r="A44" s="159" t="n">
        <v>2013</v>
      </c>
      <c r="B44" s="159" t="inlineStr">
        <is>
          <t>nitrogen oxides (NOₓ) emissions per kWh from coal power</t>
        </is>
      </c>
      <c r="C44" s="159" t="inlineStr">
        <is>
          <t>reduce to</t>
        </is>
      </c>
      <c r="D44" s="159" t="inlineStr">
        <is>
          <t>1.5 grams</t>
        </is>
      </c>
      <c r="E44" s="159" t="n"/>
      <c r="F44" s="159" t="inlineStr">
        <is>
          <t>2015</t>
        </is>
      </c>
      <c r="G44" s="163" t="inlineStr">
        <is>
          <t>n</t>
        </is>
      </c>
      <c r="H44" s="159" t="inlineStr">
        <is>
          <t>Pollution control</t>
        </is>
      </c>
      <c r="I44" s="163" t="inlineStr">
        <is>
          <t>sectors</t>
        </is>
      </c>
      <c r="J44" s="159" t="inlineStr">
        <is>
          <t>Nitrogen oxide emissions per kWh from coal power will also decrease to 1.5 grams by 2015.</t>
        </is>
      </c>
      <c r="K44" s="161" t="inlineStr">
        <is>
          <t>FYP1302.htm</t>
        </is>
      </c>
      <c r="L44" s="161" t="inlineStr">
        <is>
          <t>Pollution</t>
        </is>
      </c>
    </row>
    <row r="45" hidden="1" ht="18" customHeight="1" s="235">
      <c r="A45" s="159" t="n">
        <v>2019</v>
      </c>
      <c r="B45" s="159" t="inlineStr">
        <is>
          <t>nitrous oxide (N₂O) farmland emissions peaking</t>
        </is>
      </c>
      <c r="C45" s="159" t="inlineStr">
        <is>
          <t>achieve</t>
        </is>
      </c>
      <c r="D45" s="159" t="inlineStr">
        <is>
          <t>2020</t>
        </is>
      </c>
      <c r="E45" s="159" t="n"/>
      <c r="F45" s="159" t="inlineStr">
        <is>
          <t>2020</t>
        </is>
      </c>
      <c r="G45" s="159" t="inlineStr">
        <is>
          <t>n</t>
        </is>
      </c>
      <c r="H45" s="159" t="inlineStr">
        <is>
          <t>Pollution control</t>
        </is>
      </c>
      <c r="I45" s="163" t="inlineStr">
        <is>
          <t>sectors</t>
        </is>
      </c>
      <c r="J45" s="159" t="inlineStr">
        <is>
          <t>In agriculture, China will strive to hit the peak of farmland NO2 emissions by 2020</t>
        </is>
      </c>
      <c r="K45" s="161" t="inlineStr">
        <is>
          <t>HL1902.pdf</t>
        </is>
      </c>
      <c r="L45" s="161" t="inlineStr">
        <is>
          <t>Pollution</t>
        </is>
      </c>
    </row>
    <row r="46" ht="18" customHeight="1" s="235">
      <c r="A46" s="159" t="n">
        <v>2019</v>
      </c>
      <c r="B46" s="159" t="inlineStr">
        <is>
          <t>nitrogen oxides (NOₓ) industrial emissions</t>
        </is>
      </c>
      <c r="C46" s="159" t="inlineStr">
        <is>
          <t>remain stable</t>
        </is>
      </c>
      <c r="D46" s="159" t="n"/>
      <c r="E46" s="159" t="n">
        <v>2005</v>
      </c>
      <c r="F46" s="160" t="n">
        <v>2010</v>
      </c>
      <c r="G46" s="159" t="inlineStr">
        <is>
          <t>n</t>
        </is>
      </c>
      <c r="H46" s="159" t="inlineStr">
        <is>
          <t>Pollution control</t>
        </is>
      </c>
      <c r="I46" s="159" t="inlineStr">
        <is>
          <t>whole economy</t>
        </is>
      </c>
      <c r="J46" s="159" t="inlineStr">
        <is>
          <t>In its China’s National Climate Change Program published in 2007, Chinese government stated that, by 2010, the emissions of NO2 from industrial processes would remain stable as that in 2005, and a number of measures would be taken to control the growth rate of CH4 emissions from the agriculture.</t>
        </is>
      </c>
      <c r="K46" s="161" t="inlineStr">
        <is>
          <t>HL1902.pdf</t>
        </is>
      </c>
      <c r="L46" s="161" t="inlineStr">
        <is>
          <t>Pollution</t>
        </is>
      </c>
    </row>
    <row r="47" ht="18" customHeight="1" s="235">
      <c r="A47" s="159" t="n">
        <v>2012</v>
      </c>
      <c r="B47" s="159" t="inlineStr">
        <is>
          <t>nitrogen oxides (NOₓ) total annual national emissions</t>
        </is>
      </c>
      <c r="C47" s="159" t="inlineStr">
        <is>
          <t>control at</t>
        </is>
      </c>
      <c r="D47" s="159" t="inlineStr">
        <is>
          <t>20.462 million tons</t>
        </is>
      </c>
      <c r="E47" s="159" t="n"/>
      <c r="F47" s="159" t="inlineStr">
        <is>
          <t>2015</t>
        </is>
      </c>
      <c r="G47" s="159" t="inlineStr">
        <is>
          <t>n</t>
        </is>
      </c>
      <c r="H47" s="159" t="inlineStr">
        <is>
          <t>Pollution control</t>
        </is>
      </c>
      <c r="I47" s="159" t="inlineStr">
        <is>
          <t>whole economy</t>
        </is>
      </c>
      <c r="J47" s="159" t="inlineStr">
        <is>
          <t>In 2015, the national total nitrogen oxide emissions will be controlled at 20.462 million tons.</t>
        </is>
      </c>
      <c r="K47" s="161" t="inlineStr">
        <is>
          <t>FYP1201.htm</t>
        </is>
      </c>
      <c r="L47" s="161" t="inlineStr">
        <is>
          <t>Pollution</t>
        </is>
      </c>
    </row>
    <row r="48" ht="18" customHeight="1" s="235">
      <c r="A48" s="159" t="n">
        <v>2016</v>
      </c>
      <c r="B48" s="159" t="inlineStr">
        <is>
          <t>nitrogen oxides (NOₓ) total annual national emissions</t>
        </is>
      </c>
      <c r="C48" s="159" t="inlineStr">
        <is>
          <t>control within</t>
        </is>
      </c>
      <c r="D48" s="159" t="inlineStr">
        <is>
          <t>15.74 million tons</t>
        </is>
      </c>
      <c r="E48" s="159" t="n"/>
      <c r="F48" s="159" t="inlineStr">
        <is>
          <t>2020</t>
        </is>
      </c>
      <c r="G48" s="159" t="inlineStr">
        <is>
          <t>n</t>
        </is>
      </c>
      <c r="H48" s="159" t="inlineStr">
        <is>
          <t>Pollution control</t>
        </is>
      </c>
      <c r="I48" s="159" t="inlineStr">
        <is>
          <t>whole economy</t>
        </is>
      </c>
      <c r="J48" s="159" t="inlineStr">
        <is>
          <t>The total national emissions of nitrogen oxides will be controlled within 15.74 million tons by 2020.</t>
        </is>
      </c>
      <c r="K48" s="161" t="inlineStr">
        <is>
          <t>FYP1601.htm</t>
        </is>
      </c>
      <c r="L48" s="161" t="inlineStr">
        <is>
          <t>Pollution</t>
        </is>
      </c>
    </row>
    <row r="49" ht="18" customHeight="1" s="235">
      <c r="A49" s="163" t="n">
        <v>2014</v>
      </c>
      <c r="B49" s="159" t="inlineStr">
        <is>
          <t>nitrogen oxides (NOₓ) total national emissions</t>
        </is>
      </c>
      <c r="C49" s="163" t="inlineStr">
        <is>
          <t>reduce by</t>
        </is>
      </c>
      <c r="D49" s="163" t="inlineStr">
        <is>
          <t>more than 5%</t>
        </is>
      </c>
      <c r="E49" s="163" t="n">
        <v>2014</v>
      </c>
      <c r="F49" s="165" t="n">
        <v>2015</v>
      </c>
      <c r="G49" s="163" t="inlineStr">
        <is>
          <t>n</t>
        </is>
      </c>
      <c r="H49" s="159" t="inlineStr">
        <is>
          <t>Pollution control</t>
        </is>
      </c>
      <c r="I49" s="163" t="inlineStr">
        <is>
          <t>whole economy</t>
        </is>
      </c>
      <c r="J49" s="163" t="inlineStr">
        <is>
          <t>From 2014 to 2015, nitrogen oxide emissions will decrease by more than 5%.</t>
        </is>
      </c>
      <c r="K49" s="164" t="inlineStr">
        <is>
          <t>AP1404.htm</t>
        </is>
      </c>
      <c r="L49" s="161" t="inlineStr">
        <is>
          <t>Pollution</t>
        </is>
      </c>
    </row>
    <row r="50" ht="18" customHeight="1" s="235">
      <c r="A50" s="159" t="n">
        <v>2021</v>
      </c>
      <c r="B50" s="159" t="inlineStr">
        <is>
          <t>nitrogen oxides (NOₓ) total national emissions</t>
        </is>
      </c>
      <c r="C50" s="159" t="inlineStr">
        <is>
          <t>reduce by</t>
        </is>
      </c>
      <c r="D50" s="159" t="inlineStr">
        <is>
          <t>10%</t>
        </is>
      </c>
      <c r="E50" s="159" t="n">
        <v>2020</v>
      </c>
      <c r="F50" s="159" t="inlineStr">
        <is>
          <t>2025</t>
        </is>
      </c>
      <c r="G50" s="159" t="inlineStr">
        <is>
          <t>n</t>
        </is>
      </c>
      <c r="H50" s="159" t="inlineStr">
        <is>
          <t>Pollution control</t>
        </is>
      </c>
      <c r="I50" s="163" t="inlineStr">
        <is>
          <t>whole economy</t>
        </is>
      </c>
      <c r="J50" s="163" t="inlineStr">
        <is>
          <t>By 2025, the total national emissions of nitrogen oxides will be reduced by more than 10% compared with 2020 levels.</t>
        </is>
      </c>
      <c r="K50" s="161" t="inlineStr">
        <is>
          <t>FYP2107.htm</t>
        </is>
      </c>
      <c r="L50" s="161" t="inlineStr">
        <is>
          <t>Pollution</t>
        </is>
      </c>
    </row>
    <row r="51" ht="18" customHeight="1" s="235">
      <c r="A51" s="159" t="n">
        <v>2022</v>
      </c>
      <c r="B51" s="159" t="inlineStr">
        <is>
          <t>nitrogen oxides (NOₓ) total national emissions</t>
        </is>
      </c>
      <c r="C51" s="159" t="inlineStr">
        <is>
          <t>reduce by</t>
        </is>
      </c>
      <c r="D51" s="159" t="inlineStr">
        <is>
          <t>10%</t>
        </is>
      </c>
      <c r="E51" s="159" t="n">
        <v>2020</v>
      </c>
      <c r="F51" s="159" t="inlineStr">
        <is>
          <t>2025</t>
        </is>
      </c>
      <c r="G51" s="159" t="inlineStr">
        <is>
          <t>r</t>
        </is>
      </c>
      <c r="H51" s="159" t="inlineStr">
        <is>
          <t>Pollution control</t>
        </is>
      </c>
      <c r="I51" s="163" t="inlineStr">
        <is>
          <t>whole economy</t>
        </is>
      </c>
      <c r="J51" s="163" t="inlineStr">
        <is>
          <t>By 2025, the total emissions of nitrogen oxides will be reduced by more than 10% compared with 2020.</t>
        </is>
      </c>
      <c r="K51" s="161" t="inlineStr">
        <is>
          <t>AP2206.pdf</t>
        </is>
      </c>
      <c r="L51" s="161" t="inlineStr">
        <is>
          <t>Pollution</t>
        </is>
      </c>
    </row>
    <row r="52" ht="18" customHeight="1" s="235">
      <c r="A52" s="159" t="n">
        <v>2018</v>
      </c>
      <c r="B52" s="159" t="inlineStr">
        <is>
          <t>number of days with severe pollution in cities at the prefecture level and above</t>
        </is>
      </c>
      <c r="C52" s="159" t="inlineStr">
        <is>
          <t>reduce by</t>
        </is>
      </c>
      <c r="D52" s="159" t="inlineStr">
        <is>
          <t>25%</t>
        </is>
      </c>
      <c r="E52" s="159" t="n">
        <v>2015</v>
      </c>
      <c r="F52" s="159" t="inlineStr">
        <is>
          <t>2020</t>
        </is>
      </c>
      <c r="G52" s="159" t="inlineStr">
        <is>
          <t>n</t>
        </is>
      </c>
      <c r="H52" s="159" t="inlineStr">
        <is>
          <t>Pollution control</t>
        </is>
      </c>
      <c r="I52" s="163" t="inlineStr">
        <is>
          <t>cities</t>
        </is>
      </c>
      <c r="J52" s="163" t="inlineStr">
        <is>
          <t>By 2020, the number of days with heavy pollution in cities at the prefecture level and above will be reduced by 25% compared with 2015.</t>
        </is>
      </c>
      <c r="K52" s="161" t="inlineStr">
        <is>
          <t>O1802.htm</t>
        </is>
      </c>
      <c r="L52" s="161" t="inlineStr">
        <is>
          <t>Pollution</t>
        </is>
      </c>
    </row>
    <row r="53" hidden="1" ht="18" customHeight="1" s="235">
      <c r="A53" s="166" t="n">
        <v>2010</v>
      </c>
      <c r="B53" s="166" t="inlineStr">
        <is>
          <t>particulate matter emissions from the cement sector</t>
        </is>
      </c>
      <c r="C53" s="166" t="inlineStr">
        <is>
          <t>reduce by</t>
        </is>
      </c>
      <c r="D53" s="166" t="inlineStr">
        <is>
          <t>50%</t>
        </is>
      </c>
      <c r="E53" s="166" t="n">
        <v>2009</v>
      </c>
      <c r="F53" s="166" t="n">
        <v>2015</v>
      </c>
      <c r="G53" s="166" t="inlineStr">
        <is>
          <t>n</t>
        </is>
      </c>
      <c r="H53" s="166" t="inlineStr">
        <is>
          <t>Pollution control</t>
        </is>
      </c>
      <c r="I53" s="167" t="inlineStr">
        <is>
          <t>sectors</t>
        </is>
      </c>
      <c r="J53" s="167" t="inlineStr">
        <is>
          <t>Particulate matter emissions from the cement sector are targeted to decrease by 50% relative to 2009 levels, nitrogen oxide (NOₓ) emissions by 25% relative to 2009 levels, while carbon dioxide emissions intensity is expected to decline further.</t>
        </is>
      </c>
      <c r="K53" s="168" t="inlineStr">
        <is>
          <t>GO1001.pdf</t>
        </is>
      </c>
      <c r="L53" s="161" t="inlineStr">
        <is>
          <t>Pollution</t>
        </is>
      </c>
    </row>
    <row r="54" ht="18" customHeight="1" s="235">
      <c r="A54" s="159" t="n">
        <v>2018</v>
      </c>
      <c r="B54" s="159" t="inlineStr">
        <is>
          <t>PM2.5 concentration in cities at or above the prefecture level that do not meet the standards</t>
        </is>
      </c>
      <c r="C54" s="159" t="inlineStr">
        <is>
          <t>reduce by</t>
        </is>
      </c>
      <c r="D54" s="159" t="inlineStr">
        <is>
          <t>18%</t>
        </is>
      </c>
      <c r="E54" s="159" t="n">
        <v>2015</v>
      </c>
      <c r="F54" s="159" t="inlineStr">
        <is>
          <t>2020</t>
        </is>
      </c>
      <c r="G54" s="159" t="inlineStr">
        <is>
          <t>n</t>
        </is>
      </c>
      <c r="H54" s="159" t="inlineStr">
        <is>
          <t>Pollution control</t>
        </is>
      </c>
      <c r="I54" s="159" t="inlineStr">
        <is>
          <t>cities</t>
        </is>
      </c>
      <c r="J54" s="159" t="inlineStr">
        <is>
          <t>By 2020, the concentration of PM2.5 in cities at or above the prefecture level that do not meet the standards will be reduced by more than 18% compared with 2015.</t>
        </is>
      </c>
      <c r="K54" s="161" t="inlineStr">
        <is>
          <t>AP1802.htm</t>
        </is>
      </c>
      <c r="L54" s="161" t="inlineStr">
        <is>
          <t>Pollution</t>
        </is>
      </c>
    </row>
    <row r="55" ht="18" customHeight="1" s="235">
      <c r="A55" s="159" t="n">
        <v>2023</v>
      </c>
      <c r="B55" s="159" t="inlineStr">
        <is>
          <t>PM2.5 concentration in cities at the prefecture level and above</t>
        </is>
      </c>
      <c r="C55" s="159" t="inlineStr">
        <is>
          <t>reduce by</t>
        </is>
      </c>
      <c r="D55" s="159" t="inlineStr">
        <is>
          <t>10%</t>
        </is>
      </c>
      <c r="E55" s="159" t="n">
        <v>2020</v>
      </c>
      <c r="F55" s="159" t="inlineStr">
        <is>
          <t>2025</t>
        </is>
      </c>
      <c r="G55" s="159" t="inlineStr">
        <is>
          <t>n</t>
        </is>
      </c>
      <c r="H55" s="159" t="inlineStr">
        <is>
          <t>Pollution control</t>
        </is>
      </c>
      <c r="I55" s="159" t="inlineStr">
        <is>
          <t>cities</t>
        </is>
      </c>
      <c r="J55" s="159" t="inlineStr">
        <is>
          <t>By 2025, the PM2.5 concentration in cities at the prefecture level and above across the country will be 10% lower than in 2020.</t>
        </is>
      </c>
      <c r="K55" s="161" t="inlineStr">
        <is>
          <t>AP2304.htm</t>
        </is>
      </c>
      <c r="L55" s="161" t="inlineStr">
        <is>
          <t>Pollution</t>
        </is>
      </c>
    </row>
    <row r="56" ht="18" customHeight="1" s="235">
      <c r="A56" s="159" t="n">
        <v>2013</v>
      </c>
      <c r="B56" s="159" t="inlineStr">
        <is>
          <t>PM2.5 emissions intensity from energy production and use</t>
        </is>
      </c>
      <c r="C56" s="159" t="inlineStr">
        <is>
          <t>reduce by</t>
        </is>
      </c>
      <c r="D56" s="159" t="inlineStr">
        <is>
          <t>over 30%</t>
        </is>
      </c>
      <c r="E56" s="159" t="n">
        <v>2010</v>
      </c>
      <c r="F56" s="159" t="inlineStr">
        <is>
          <t>2015</t>
        </is>
      </c>
      <c r="G56" s="159" t="inlineStr">
        <is>
          <t>n</t>
        </is>
      </c>
      <c r="H56" s="159" t="inlineStr">
        <is>
          <t>Pollution control</t>
        </is>
      </c>
      <c r="I56" s="159" t="inlineStr">
        <is>
          <t>unclear</t>
        </is>
      </c>
      <c r="J56" s="159" t="inlineStr">
        <is>
          <t>PM2.5 emissions intensity from energy production and use will be reduced by over 30% by 2015.</t>
        </is>
      </c>
      <c r="K56" s="161" t="inlineStr">
        <is>
          <t>FYP1302.htm</t>
        </is>
      </c>
      <c r="L56" s="161" t="inlineStr">
        <is>
          <t>Pollution</t>
        </is>
      </c>
    </row>
    <row r="57" ht="18" customHeight="1" s="235">
      <c r="A57" s="159" t="n">
        <v>2016</v>
      </c>
      <c r="B57" s="159" t="inlineStr">
        <is>
          <t>pollutant emissions in electroplating and coating industries</t>
        </is>
      </c>
      <c r="C57" s="159" t="inlineStr">
        <is>
          <t>reduce by</t>
        </is>
      </c>
      <c r="D57" s="159" t="inlineStr">
        <is>
          <t>30%</t>
        </is>
      </c>
      <c r="E57" s="159" t="n"/>
      <c r="F57" s="159" t="inlineStr">
        <is>
          <t>2020</t>
        </is>
      </c>
      <c r="G57" s="159" t="inlineStr">
        <is>
          <t>n</t>
        </is>
      </c>
      <c r="H57" s="159" t="inlineStr">
        <is>
          <t>Pollution control</t>
        </is>
      </c>
      <c r="I57" s="159" t="inlineStr">
        <is>
          <t>sectors</t>
        </is>
      </c>
      <c r="J57" s="159" t="inlineStr">
        <is>
          <t>By 2020, the electroplating and coating industries will reduce pollutant emissions by more than 30%.</t>
        </is>
      </c>
      <c r="K57" s="161" t="inlineStr">
        <is>
          <t>DP1601.htm</t>
        </is>
      </c>
      <c r="L57" s="161" t="inlineStr">
        <is>
          <t>Pollution</t>
        </is>
      </c>
    </row>
    <row r="58" ht="18" customHeight="1" s="235">
      <c r="A58" s="159" t="n">
        <v>2023</v>
      </c>
      <c r="B58" s="159" t="inlineStr">
        <is>
          <t>Proportion of cities meeting the standards</t>
        </is>
      </c>
      <c r="C58" s="159" t="inlineStr">
        <is>
          <t>meet</t>
        </is>
      </c>
      <c r="D58" s="159" t="inlineStr">
        <is>
          <t>100%</t>
        </is>
      </c>
      <c r="E58" s="159" t="n"/>
      <c r="F58" s="159" t="inlineStr">
        <is>
          <t>14th FYP</t>
        </is>
      </c>
      <c r="G58" s="159" t="inlineStr">
        <is>
          <t>n</t>
        </is>
      </c>
      <c r="H58" s="159" t="inlineStr">
        <is>
          <t>Pollution control</t>
        </is>
      </c>
      <c r="I58" s="159" t="inlineStr">
        <is>
          <t>cities</t>
        </is>
      </c>
      <c r="J58" s="159" t="inlineStr">
        <is>
          <t>Cities that did not meet the standards and had PM2.5 concentrations below 40 micrograms per cubic meter in 2020 will meet the standards during the 14th Five-Year Plan period</t>
        </is>
      </c>
      <c r="K58" s="161" t="inlineStr">
        <is>
          <t>AP2304.htm</t>
        </is>
      </c>
      <c r="L58" s="161" t="inlineStr">
        <is>
          <t>Pollution</t>
        </is>
      </c>
    </row>
    <row r="59" ht="18" customHeight="1" s="235">
      <c r="A59" s="0" t="n">
        <v>2026</v>
      </c>
      <c r="B59" s="0" t="inlineStr">
        <is>
          <t>share of groundwater with good quality</t>
        </is>
      </c>
      <c r="C59" s="0" t="inlineStr">
        <is>
          <t>exceed</t>
        </is>
      </c>
      <c r="D59" s="0" t="inlineStr">
        <is>
          <t>78%</t>
        </is>
      </c>
      <c r="E59" s="0" t="inlineStr">
        <is>
          <t>74.3% (2025)</t>
        </is>
      </c>
      <c r="F59" s="0" t="n">
        <v>2030</v>
      </c>
      <c r="G59" s="0" t="inlineStr">
        <is>
          <t>n</t>
        </is>
      </c>
      <c r="H59" s="0" t="inlineStr">
        <is>
          <t>Environmental quality</t>
        </is>
      </c>
      <c r="I59" s="0" t="inlineStr">
        <is>
          <t>whole economy</t>
        </is>
      </c>
      <c r="J59" s="0" t="inlineStr">
        <is>
          <t>Column 1: Indicators of the 15th FYP: share of groundwater with good quality (%), baseline 74.3 in 2025, target more than 78 in 2030.</t>
        </is>
      </c>
      <c r="K59" s="0" t="inlineStr">
        <is>
          <t>FYP2606.pdf</t>
        </is>
      </c>
      <c r="L59" s="0" t="inlineStr">
        <is>
          <t>Pollution</t>
        </is>
      </c>
    </row>
    <row r="60" ht="18" customHeight="1" s="235">
      <c r="A60" s="159" t="n">
        <v>2012</v>
      </c>
      <c r="B60" s="159" t="inlineStr">
        <is>
          <t>sulfur dioxide (SO₂) total annual national emissions</t>
        </is>
      </c>
      <c r="C60" s="159" t="inlineStr">
        <is>
          <t>control within</t>
        </is>
      </c>
      <c r="D60" s="159" t="inlineStr">
        <is>
          <t>20.864 million tons</t>
        </is>
      </c>
      <c r="E60" s="159" t="n"/>
      <c r="F60" s="159" t="inlineStr">
        <is>
          <t>2015</t>
        </is>
      </c>
      <c r="G60" s="159" t="inlineStr">
        <is>
          <t>n</t>
        </is>
      </c>
      <c r="H60" s="159" t="inlineStr">
        <is>
          <t>Pollution control</t>
        </is>
      </c>
      <c r="I60" s="159" t="inlineStr">
        <is>
          <t>whole economy</t>
        </is>
      </c>
      <c r="J60" s="159" t="inlineStr">
        <is>
          <t>In 2015, the national total sulfur dioxide emissions will be controlled at 20.864 million tons.</t>
        </is>
      </c>
      <c r="K60" s="161" t="inlineStr">
        <is>
          <t>FYP1201.htm</t>
        </is>
      </c>
      <c r="L60" s="161" t="inlineStr">
        <is>
          <t>Pollution</t>
        </is>
      </c>
    </row>
    <row r="61" ht="18" customHeight="1" s="235">
      <c r="A61" s="159" t="n">
        <v>2016</v>
      </c>
      <c r="B61" s="159" t="inlineStr">
        <is>
          <t>sulfur dioxide (SO₂) total annual national emissions</t>
        </is>
      </c>
      <c r="C61" s="159" t="inlineStr">
        <is>
          <t>control within</t>
        </is>
      </c>
      <c r="D61" s="159" t="inlineStr">
        <is>
          <t>15.80 million tons</t>
        </is>
      </c>
      <c r="E61" s="159" t="n"/>
      <c r="F61" s="159" t="inlineStr">
        <is>
          <t>2020</t>
        </is>
      </c>
      <c r="G61" s="159" t="inlineStr">
        <is>
          <t>n</t>
        </is>
      </c>
      <c r="H61" s="159" t="inlineStr">
        <is>
          <t>Pollution control</t>
        </is>
      </c>
      <c r="I61" s="159" t="inlineStr">
        <is>
          <t>whole economy</t>
        </is>
      </c>
      <c r="J61" s="159" t="inlineStr">
        <is>
          <t>The total national emissions of sulfur dioxide will be controlled within 15.80 million tons by 2020.</t>
        </is>
      </c>
      <c r="K61" s="161" t="inlineStr">
        <is>
          <t>FYP1601.htm</t>
        </is>
      </c>
      <c r="L61" s="161" t="inlineStr">
        <is>
          <t>Pollution</t>
        </is>
      </c>
    </row>
    <row r="62" ht="18" customHeight="1" s="235">
      <c r="A62" s="159" t="n">
        <v>2014</v>
      </c>
      <c r="B62" s="159" t="inlineStr">
        <is>
          <t>sulfur dioxide (SO₂) total national emissions</t>
        </is>
      </c>
      <c r="C62" s="159" t="inlineStr">
        <is>
          <t>reduce by</t>
        </is>
      </c>
      <c r="D62" s="159" t="inlineStr">
        <is>
          <t>2%</t>
        </is>
      </c>
      <c r="E62" s="159" t="n">
        <v>2014</v>
      </c>
      <c r="F62" s="160" t="n">
        <v>2015</v>
      </c>
      <c r="G62" s="159" t="inlineStr">
        <is>
          <t>n</t>
        </is>
      </c>
      <c r="H62" s="159" t="inlineStr">
        <is>
          <t>Pollution control</t>
        </is>
      </c>
      <c r="I62" s="159" t="inlineStr">
        <is>
          <t>whole economy</t>
        </is>
      </c>
      <c r="J62" s="159" t="inlineStr">
        <is>
          <t>From 2014 to 2015, sulfur dioxide emissions will decrease by 2%.</t>
        </is>
      </c>
      <c r="K62" s="161" t="inlineStr">
        <is>
          <t>AP1404.htm</t>
        </is>
      </c>
      <c r="L62" s="161" t="inlineStr">
        <is>
          <t>Pollution</t>
        </is>
      </c>
    </row>
    <row r="63" ht="18" customHeight="1" s="235">
      <c r="A63" s="159" t="n">
        <v>2007</v>
      </c>
      <c r="B63" s="159" t="inlineStr">
        <is>
          <t>sulfur dioxide (SO₂) total national emissions</t>
        </is>
      </c>
      <c r="C63" s="159" t="inlineStr">
        <is>
          <t>reduce to</t>
        </is>
      </c>
      <c r="D63" s="159" t="inlineStr">
        <is>
          <t>22.95 million tons</t>
        </is>
      </c>
      <c r="E63" s="159" t="n"/>
      <c r="F63" s="159" t="inlineStr">
        <is>
          <t>2010</t>
        </is>
      </c>
      <c r="G63" s="159" t="inlineStr">
        <is>
          <t>n</t>
        </is>
      </c>
      <c r="H63" s="159" t="inlineStr">
        <is>
          <t>Pollution control</t>
        </is>
      </c>
      <c r="I63" s="159" t="inlineStr">
        <is>
          <t>whole economy</t>
        </is>
      </c>
      <c r="J63" s="159" t="inlineStr">
        <is>
          <t>By 2010, sulfur dioxide emissions will be reduced from 25.49 million tons in 2005 to 22.95 million tons.</t>
        </is>
      </c>
      <c r="K63" s="161" t="inlineStr">
        <is>
          <t>WOP0701.htm</t>
        </is>
      </c>
      <c r="L63" s="161" t="inlineStr">
        <is>
          <t>Pollution</t>
        </is>
      </c>
    </row>
    <row r="64" ht="18" customHeight="1" s="235">
      <c r="A64" s="159" t="n">
        <v>2007</v>
      </c>
      <c r="B64" s="159" t="inlineStr">
        <is>
          <t>sulfur dioxide (SO₂) total national emissions</t>
        </is>
      </c>
      <c r="C64" s="159" t="inlineStr">
        <is>
          <t>reduce by</t>
        </is>
      </c>
      <c r="D64" s="159" t="inlineStr">
        <is>
          <t>2.4 million tons</t>
        </is>
      </c>
      <c r="E64" s="159" t="n"/>
      <c r="F64" s="159" t="inlineStr">
        <is>
          <t>11th FYP</t>
        </is>
      </c>
      <c r="G64" s="159" t="inlineStr">
        <is>
          <t>n</t>
        </is>
      </c>
      <c r="H64" s="159" t="inlineStr">
        <is>
          <t>Pollution control</t>
        </is>
      </c>
      <c r="I64" s="159" t="inlineStr">
        <is>
          <t>whole economy</t>
        </is>
      </c>
      <c r="J64" s="159" t="inlineStr">
        <is>
          <t>By 2010, sulfur dioxide emissions will be reduced by 2.4 million tons during the 11th Five-Year Plan period.</t>
        </is>
      </c>
      <c r="K64" s="161" t="inlineStr">
        <is>
          <t>WOP0701.htm</t>
        </is>
      </c>
      <c r="L64" s="161" t="inlineStr">
        <is>
          <t>Pollution</t>
        </is>
      </c>
    </row>
    <row r="65" ht="18" customHeight="1" s="235">
      <c r="A65" s="159" t="n">
        <v>2007</v>
      </c>
      <c r="B65" s="159" t="inlineStr">
        <is>
          <t>sulfur dioxide (SO₂) total national emissions</t>
        </is>
      </c>
      <c r="C65" s="159" t="inlineStr">
        <is>
          <t>reduce by</t>
        </is>
      </c>
      <c r="D65" s="159" t="inlineStr">
        <is>
          <t>400000  tons</t>
        </is>
      </c>
      <c r="E65" s="159" t="n"/>
      <c r="F65" s="159" t="inlineStr">
        <is>
          <t>11th FYP</t>
        </is>
      </c>
      <c r="G65" s="159" t="inlineStr">
        <is>
          <t>n</t>
        </is>
      </c>
      <c r="H65" s="159" t="inlineStr">
        <is>
          <t>Pollution control</t>
        </is>
      </c>
      <c r="I65" s="159" t="inlineStr">
        <is>
          <t>whole economy</t>
        </is>
      </c>
      <c r="J65" s="159" t="inlineStr">
        <is>
          <t>In 2010, sulfur dioxide emissions will be reduced by 400,000 tons.</t>
        </is>
      </c>
      <c r="K65" s="161" t="inlineStr">
        <is>
          <t>WOP0701.htm</t>
        </is>
      </c>
      <c r="L65" s="161" t="inlineStr">
        <is>
          <t>Pollution</t>
        </is>
      </c>
    </row>
    <row r="66" ht="18" customHeight="1" s="235">
      <c r="A66" s="159" t="n">
        <v>2018</v>
      </c>
      <c r="B66" s="159" t="inlineStr">
        <is>
          <t>sulfur dioxide (SO₂) and nitrogen oxides (NOₓ) total national emissions</t>
        </is>
      </c>
      <c r="C66" s="159" t="inlineStr">
        <is>
          <t>reduce by</t>
        </is>
      </c>
      <c r="D66" s="159" t="inlineStr">
        <is>
          <t>15%</t>
        </is>
      </c>
      <c r="E66" s="159" t="n">
        <v>2015</v>
      </c>
      <c r="F66" s="159" t="inlineStr">
        <is>
          <t>2020</t>
        </is>
      </c>
      <c r="G66" s="159" t="inlineStr">
        <is>
          <t>n</t>
        </is>
      </c>
      <c r="H66" s="159" t="inlineStr">
        <is>
          <t>Pollution control</t>
        </is>
      </c>
      <c r="I66" s="159" t="inlineStr">
        <is>
          <t>whole economy</t>
        </is>
      </c>
      <c r="J66" s="159" t="inlineStr">
        <is>
          <t>By 2020, the total emissions of sulfur dioxide and nitrogen oxides will be reduced by more than 15% compared with 2015.</t>
        </is>
      </c>
      <c r="K66" s="161" t="inlineStr">
        <is>
          <t>AP1802.htm</t>
        </is>
      </c>
      <c r="L66" s="161" t="inlineStr">
        <is>
          <t>Pollution</t>
        </is>
      </c>
    </row>
    <row r="67" ht="18" customHeight="1" s="235">
      <c r="A67" s="163" t="n">
        <v>2014</v>
      </c>
      <c r="B67" s="159" t="inlineStr">
        <is>
          <t>sulfur dioxide emission reduction capacities</t>
        </is>
      </c>
      <c r="C67" s="163" t="inlineStr">
        <is>
          <t>increase by</t>
        </is>
      </c>
      <c r="D67" s="163" t="inlineStr">
        <is>
          <t>2.3 million tons</t>
        </is>
      </c>
      <c r="E67" s="163" t="n">
        <v>2014</v>
      </c>
      <c r="F67" s="163" t="inlineStr">
        <is>
          <t>2015</t>
        </is>
      </c>
      <c r="G67" s="163" t="inlineStr">
        <is>
          <t>n</t>
        </is>
      </c>
      <c r="H67" s="159" t="inlineStr">
        <is>
          <t>Pollution control</t>
        </is>
      </c>
      <c r="I67" s="163" t="inlineStr">
        <is>
          <t>unclear</t>
        </is>
      </c>
      <c r="J67" s="163" t="inlineStr">
        <is>
          <t>By the end of 2015, the sulfur dioxide emission reduction capacities will be increased by 2.3 million tons.</t>
        </is>
      </c>
      <c r="K67" s="164" t="inlineStr">
        <is>
          <t>AP1404.htm</t>
        </is>
      </c>
      <c r="L67" s="161" t="inlineStr">
        <is>
          <t>Pollution</t>
        </is>
      </c>
    </row>
    <row r="68" ht="18" customHeight="1" s="235">
      <c r="A68" s="163" t="n">
        <v>2014</v>
      </c>
      <c r="B68" s="159" t="inlineStr">
        <is>
          <t>sulfur dioxide emission reduction through upgrading and transformation of dust removal and desulfurization of coal-fired boilers</t>
        </is>
      </c>
      <c r="C68" s="163" t="inlineStr">
        <is>
          <t>achieve</t>
        </is>
      </c>
      <c r="D68" s="163" t="inlineStr">
        <is>
          <t>400000  tons</t>
        </is>
      </c>
      <c r="E68" s="163" t="n"/>
      <c r="F68" s="165" t="n">
        <v>2015</v>
      </c>
      <c r="G68" s="163" t="inlineStr">
        <is>
          <t>n</t>
        </is>
      </c>
      <c r="H68" s="159" t="inlineStr">
        <is>
          <t>Pollution control</t>
        </is>
      </c>
      <c r="I68" s="163" t="inlineStr">
        <is>
          <t>unclear</t>
        </is>
      </c>
      <c r="J68" s="163" t="inlineStr">
        <is>
          <t>through upgrading and transformation of dust removal and desulfurization achieve a sulfur dioxide emission reduction capacity of 400,000 tons</t>
        </is>
      </c>
      <c r="K68" s="164" t="inlineStr">
        <is>
          <t>AP1404.htm</t>
        </is>
      </c>
      <c r="L68" s="161" t="inlineStr">
        <is>
          <t>Pollution</t>
        </is>
      </c>
    </row>
    <row r="69" ht="18" customHeight="1" s="235">
      <c r="A69" s="163" t="n">
        <v>2013</v>
      </c>
      <c r="B69" s="159" t="inlineStr">
        <is>
          <t>sulfur dioxide emissions per kWh from coal power</t>
        </is>
      </c>
      <c r="C69" s="163" t="inlineStr">
        <is>
          <t>reduce to</t>
        </is>
      </c>
      <c r="D69" s="163" t="inlineStr">
        <is>
          <t>1.5 grams</t>
        </is>
      </c>
      <c r="E69" s="163" t="n"/>
      <c r="F69" s="163" t="inlineStr">
        <is>
          <t>2015</t>
        </is>
      </c>
      <c r="G69" s="163" t="inlineStr">
        <is>
          <t>n</t>
        </is>
      </c>
      <c r="H69" s="159" t="inlineStr">
        <is>
          <t>Pollution control</t>
        </is>
      </c>
      <c r="I69" s="163" t="inlineStr">
        <is>
          <t>sectors</t>
        </is>
      </c>
      <c r="J69" s="163" t="inlineStr">
        <is>
          <t>Sulfur dioxide emissions per kWh from coal power will drop to 1.5 grams by 2015.</t>
        </is>
      </c>
      <c r="K69" s="164" t="inlineStr">
        <is>
          <t>FYP1302.htm</t>
        </is>
      </c>
      <c r="L69" s="161" t="inlineStr">
        <is>
          <t>Pollution</t>
        </is>
      </c>
    </row>
    <row r="70" ht="18" customHeight="1" s="235">
      <c r="A70" s="163" t="n">
        <v>2016</v>
      </c>
      <c r="B70" s="159" t="inlineStr">
        <is>
          <t>sulfur dioxide emissions per tonne of steel</t>
        </is>
      </c>
      <c r="C70" s="163" t="inlineStr">
        <is>
          <t>reduce to</t>
        </is>
      </c>
      <c r="D70" s="163" t="inlineStr">
        <is>
          <t>0.68 kg/t or below</t>
        </is>
      </c>
      <c r="E70" s="163" t="n"/>
      <c r="F70" s="165" t="n">
        <v>2020</v>
      </c>
      <c r="G70" s="163" t="inlineStr">
        <is>
          <t>n</t>
        </is>
      </c>
      <c r="H70" s="159" t="inlineStr">
        <is>
          <t>Pollution control</t>
        </is>
      </c>
      <c r="I70" s="163" t="inlineStr">
        <is>
          <t>sectors</t>
        </is>
      </c>
      <c r="J70" s="163" t="inlineStr">
        <is>
          <t>By 2020, sulphur dioxide emissions per tonne of steel will be reduced from 0.85 kg/t in 2015 to 0.68 kg/t or below.</t>
        </is>
      </c>
      <c r="K70" s="164" t="inlineStr">
        <is>
          <t>FYP1626.pdf</t>
        </is>
      </c>
      <c r="L70" s="161" t="inlineStr">
        <is>
          <t>Pollution</t>
        </is>
      </c>
    </row>
    <row r="71" ht="18" customHeight="1" s="235">
      <c r="A71" s="163" t="n">
        <v>2013</v>
      </c>
      <c r="B71" s="159" t="inlineStr">
        <is>
          <t>the pollution intensity of key industries</t>
        </is>
      </c>
      <c r="C71" s="163" t="inlineStr">
        <is>
          <t>reduce by</t>
        </is>
      </c>
      <c r="D71" s="163" t="inlineStr">
        <is>
          <t>30%</t>
        </is>
      </c>
      <c r="E71" s="163" t="n">
        <v>2012</v>
      </c>
      <c r="F71" s="163" t="inlineStr">
        <is>
          <t>2017</t>
        </is>
      </c>
      <c r="G71" s="163" t="inlineStr">
        <is>
          <t>n</t>
        </is>
      </c>
      <c r="H71" s="159" t="inlineStr">
        <is>
          <t>Pollution control</t>
        </is>
      </c>
      <c r="I71" s="163" t="inlineStr">
        <is>
          <t>sectors</t>
        </is>
      </c>
      <c r="J71" s="163" t="inlineStr">
        <is>
          <t>By 2017, the pollution intensity of key industries will be reduced by more than 30% compared with 2012.</t>
        </is>
      </c>
      <c r="K71" s="164" t="inlineStr">
        <is>
          <t>AP1302.htm</t>
        </is>
      </c>
      <c r="L71" s="161" t="inlineStr">
        <is>
          <t>Pollution</t>
        </is>
      </c>
    </row>
    <row r="72" ht="18" customHeight="1" s="235">
      <c r="A72" s="159" t="n">
        <v>2018</v>
      </c>
      <c r="B72" s="159" t="inlineStr">
        <is>
          <t>the ratio of days with good air quality</t>
        </is>
      </c>
      <c r="C72" s="159" t="inlineStr">
        <is>
          <t>reach</t>
        </is>
      </c>
      <c r="D72" s="159" t="inlineStr">
        <is>
          <t>80%</t>
        </is>
      </c>
      <c r="E72" s="159" t="n"/>
      <c r="F72" s="159" t="inlineStr">
        <is>
          <t>2020</t>
        </is>
      </c>
      <c r="G72" s="159" t="inlineStr">
        <is>
          <t>n</t>
        </is>
      </c>
      <c r="H72" s="159" t="inlineStr">
        <is>
          <t>Pollution control</t>
        </is>
      </c>
      <c r="I72" s="159" t="inlineStr">
        <is>
          <t>unclear</t>
        </is>
      </c>
      <c r="J72" s="159" t="inlineStr">
        <is>
          <t>By 2020, the ratio of days with good air quality in cities at or above the prefecture level will reach 80%.</t>
        </is>
      </c>
      <c r="K72" s="161" t="inlineStr">
        <is>
          <t>AP1802.htm</t>
        </is>
      </c>
      <c r="L72" s="161" t="inlineStr">
        <is>
          <t>Pollution</t>
        </is>
      </c>
    </row>
    <row r="73" ht="18" customHeight="1" s="235">
      <c r="A73" s="163" t="n">
        <v>2018</v>
      </c>
      <c r="B73" s="159" t="inlineStr">
        <is>
          <t>the ratio of days with severe pollution</t>
        </is>
      </c>
      <c r="C73" s="163" t="inlineStr">
        <is>
          <t>reduce by</t>
        </is>
      </c>
      <c r="D73" s="163" t="inlineStr">
        <is>
          <t>25%</t>
        </is>
      </c>
      <c r="E73" s="163" t="n">
        <v>2015</v>
      </c>
      <c r="F73" s="163" t="inlineStr">
        <is>
          <t>2020</t>
        </is>
      </c>
      <c r="G73" s="163" t="inlineStr">
        <is>
          <t>n</t>
        </is>
      </c>
      <c r="H73" s="159" t="inlineStr">
        <is>
          <t>Pollution control</t>
        </is>
      </c>
      <c r="I73" s="163" t="inlineStr">
        <is>
          <t>unclear</t>
        </is>
      </c>
      <c r="J73" s="163" t="inlineStr">
        <is>
          <t>By 2020, the ratio of days with severe pollution or above will be reduced by more than 25% compared with 2015.</t>
        </is>
      </c>
      <c r="K73" s="164" t="inlineStr">
        <is>
          <t>AP1802.htm</t>
        </is>
      </c>
      <c r="L73" s="161" t="inlineStr">
        <is>
          <t>Pollution</t>
        </is>
      </c>
    </row>
    <row r="74" ht="18" customHeight="1" s="235">
      <c r="A74" s="163" t="n">
        <v>2023</v>
      </c>
      <c r="B74" s="163" t="inlineStr">
        <is>
          <t>the ratio of days with severe pollution</t>
        </is>
      </c>
      <c r="C74" s="163" t="inlineStr">
        <is>
          <t>control within</t>
        </is>
      </c>
      <c r="D74" s="163" t="inlineStr">
        <is>
          <t>1%</t>
        </is>
      </c>
      <c r="E74" s="163" t="n"/>
      <c r="F74" s="163" t="inlineStr">
        <is>
          <t>2025</t>
        </is>
      </c>
      <c r="G74" s="163" t="inlineStr">
        <is>
          <t>n</t>
        </is>
      </c>
      <c r="H74" s="159" t="inlineStr">
        <is>
          <t>Pollution control</t>
        </is>
      </c>
      <c r="I74" s="163" t="inlineStr">
        <is>
          <t>unclear</t>
        </is>
      </c>
      <c r="J74" s="163" t="inlineStr">
        <is>
          <t>By 2025, the ratio of days with severe pollution or above will be controlled within 1%.</t>
        </is>
      </c>
      <c r="K74" s="164" t="inlineStr">
        <is>
          <t>AP2304.htm</t>
        </is>
      </c>
      <c r="L74" s="161" t="inlineStr">
        <is>
          <t>Pollution</t>
        </is>
      </c>
    </row>
    <row r="75" ht="18" customHeight="1" s="235">
      <c r="A75" s="159" t="n">
        <v>2017</v>
      </c>
      <c r="B75" s="159" t="inlineStr">
        <is>
          <t>total emissions of sulfur oxides, nitrogen oxides and particulate matter from ships in the Beijing-Tianjin-Hebei</t>
        </is>
      </c>
      <c r="C75" s="159" t="inlineStr">
        <is>
          <t>reduce by</t>
        </is>
      </c>
      <c r="D75" s="159" t="inlineStr">
        <is>
          <t>65%</t>
        </is>
      </c>
      <c r="E75" s="159" t="n">
        <v>2015</v>
      </c>
      <c r="F75" s="159" t="inlineStr">
        <is>
          <t>2020</t>
        </is>
      </c>
      <c r="G75" s="159" t="inlineStr">
        <is>
          <t>n</t>
        </is>
      </c>
      <c r="H75" s="159" t="inlineStr">
        <is>
          <t>Pollution control</t>
        </is>
      </c>
      <c r="I75" s="159" t="inlineStr">
        <is>
          <t>areas</t>
        </is>
      </c>
      <c r="J75" s="159" t="inlineStr">
        <is>
          <t>By 2020, the total emissions of sulfur oxides, nitrogen oxides and particulate matter from ships in the Beijing-Tianjin-Hebei, Yangtze River Delta and Pearl River Delta regions will drop by 65%, 20% and 30% respectively compared with 2015 levels.</t>
        </is>
      </c>
      <c r="K75" s="161" t="inlineStr">
        <is>
          <t>IP1701.htm</t>
        </is>
      </c>
      <c r="L75" s="161" t="inlineStr">
        <is>
          <t>Pollution</t>
        </is>
      </c>
    </row>
    <row r="76" ht="18" customHeight="1" s="235">
      <c r="A76" s="163" t="n">
        <v>2017</v>
      </c>
      <c r="B76" s="163" t="inlineStr">
        <is>
          <t>total emissions of sulfur oxides, nitrogen oxides and particulate matter from ships in the Pearl River Delta</t>
        </is>
      </c>
      <c r="C76" s="163" t="inlineStr">
        <is>
          <t>reduce by</t>
        </is>
      </c>
      <c r="D76" s="163" t="inlineStr">
        <is>
          <t>30%</t>
        </is>
      </c>
      <c r="E76" s="163" t="n">
        <v>2015</v>
      </c>
      <c r="F76" s="163" t="inlineStr">
        <is>
          <t>2020</t>
        </is>
      </c>
      <c r="G76" s="163" t="inlineStr">
        <is>
          <t>n</t>
        </is>
      </c>
      <c r="H76" s="159" t="inlineStr">
        <is>
          <t>Pollution control</t>
        </is>
      </c>
      <c r="I76" s="163" t="inlineStr">
        <is>
          <t>areas</t>
        </is>
      </c>
      <c r="J76" s="163" t="inlineStr">
        <is>
          <t>By 2020, the total emissions of sulfur oxides, nitrogen oxides and particulate matter from ships in the Beijing-Tianjin-Hebei, Yangtze River Delta and Pearl River Delta regions will drop by 65%, 20% and 30% respectively compared with 2015 levels.</t>
        </is>
      </c>
      <c r="K76" s="164" t="inlineStr">
        <is>
          <t>IP1701.htm</t>
        </is>
      </c>
      <c r="L76" s="161" t="inlineStr">
        <is>
          <t>Pollution</t>
        </is>
      </c>
    </row>
    <row r="77" ht="18" customHeight="1" s="235">
      <c r="A77" s="163" t="n">
        <v>2017</v>
      </c>
      <c r="B77" s="163" t="inlineStr">
        <is>
          <t>total emissions of sulfur oxides, nitrogen oxides and particulate matter from ships in the Yangtze River Delta</t>
        </is>
      </c>
      <c r="C77" s="163" t="inlineStr">
        <is>
          <t>reduce by</t>
        </is>
      </c>
      <c r="D77" s="163" t="inlineStr">
        <is>
          <t>20%</t>
        </is>
      </c>
      <c r="E77" s="163" t="n">
        <v>2015</v>
      </c>
      <c r="F77" s="163" t="inlineStr">
        <is>
          <t>2020</t>
        </is>
      </c>
      <c r="G77" s="163" t="inlineStr">
        <is>
          <t>n</t>
        </is>
      </c>
      <c r="H77" s="159" t="inlineStr">
        <is>
          <t>Pollution control</t>
        </is>
      </c>
      <c r="I77" s="163" t="inlineStr">
        <is>
          <t>areas</t>
        </is>
      </c>
      <c r="J77" s="163" t="inlineStr">
        <is>
          <t>By 2020, the total emissions of sulfur oxides, nitrogen oxides and particulate matter from ships in the Beijing-Tianjin-Hebei, Yangtze River Delta and Pearl River Delta regions will drop by 65%, 20% and 30% respectively compared with 2015 levels.</t>
        </is>
      </c>
      <c r="K77" s="164" t="inlineStr">
        <is>
          <t>IP1701.htm</t>
        </is>
      </c>
      <c r="L77" s="161" t="inlineStr">
        <is>
          <t>Pollution</t>
        </is>
      </c>
    </row>
    <row r="78" ht="18" customHeight="1" s="235">
      <c r="A78" s="163" t="n">
        <v>2016</v>
      </c>
      <c r="B78" s="163" t="inlineStr">
        <is>
          <t>total pollutant emissions in the steel industry</t>
        </is>
      </c>
      <c r="C78" s="163" t="inlineStr">
        <is>
          <t>reduce by</t>
        </is>
      </c>
      <c r="D78" s="163" t="inlineStr">
        <is>
          <t>more than 15%</t>
        </is>
      </c>
      <c r="E78" s="163" t="n"/>
      <c r="F78" s="163" t="inlineStr">
        <is>
          <t>13th FYP</t>
        </is>
      </c>
      <c r="G78" s="163" t="inlineStr">
        <is>
          <t>n</t>
        </is>
      </c>
      <c r="H78" s="159" t="inlineStr">
        <is>
          <t>Pollution control</t>
        </is>
      </c>
      <c r="I78" s="163" t="inlineStr">
        <is>
          <t>sectors</t>
        </is>
      </c>
      <c r="J78" s="163" t="inlineStr">
        <is>
          <t>During the 13th Five-Year Plan period, total pollutant emissions in the steel industry will decline by more than 15%.</t>
        </is>
      </c>
      <c r="K78" s="164" t="inlineStr">
        <is>
          <t>FYP1626.pdf</t>
        </is>
      </c>
      <c r="L78" s="161" t="inlineStr">
        <is>
          <t>Pollution</t>
        </is>
      </c>
    </row>
    <row r="79" ht="18" customHeight="1" s="235">
      <c r="A79" s="159" t="n">
        <v>2021</v>
      </c>
      <c r="B79" s="159" t="inlineStr">
        <is>
          <t>volatile organic compounds (VOCs) total national emissions</t>
        </is>
      </c>
      <c r="C79" s="159" t="inlineStr">
        <is>
          <t>reduce by</t>
        </is>
      </c>
      <c r="D79" s="159" t="inlineStr">
        <is>
          <t>10%</t>
        </is>
      </c>
      <c r="E79" s="159" t="n">
        <v>2020</v>
      </c>
      <c r="F79" s="159" t="inlineStr">
        <is>
          <t>2025</t>
        </is>
      </c>
      <c r="G79" s="159" t="inlineStr">
        <is>
          <t>n</t>
        </is>
      </c>
      <c r="H79" s="159" t="inlineStr">
        <is>
          <t>Pollution control</t>
        </is>
      </c>
      <c r="I79" s="159" t="inlineStr">
        <is>
          <t>whole economy</t>
        </is>
      </c>
      <c r="J79" s="159" t="inlineStr">
        <is>
          <t>By 2025, the total national emissions of volatile organic compounds will be reduced by more than 10% compared with 2020 levels.</t>
        </is>
      </c>
      <c r="K79" s="159" t="inlineStr">
        <is>
          <t>FYP2107.htm</t>
        </is>
      </c>
      <c r="L79" s="161" t="inlineStr">
        <is>
          <t>Pollution</t>
        </is>
      </c>
    </row>
    <row r="80" ht="18" customHeight="1" s="235">
      <c r="A80" s="159" t="n">
        <v>2018</v>
      </c>
      <c r="B80" s="159" t="inlineStr">
        <is>
          <t>volatile organic compounds (VOCs) total national emissions</t>
        </is>
      </c>
      <c r="C80" s="159" t="inlineStr">
        <is>
          <t>reduce by</t>
        </is>
      </c>
      <c r="D80" s="159" t="inlineStr">
        <is>
          <t>more than 10%</t>
        </is>
      </c>
      <c r="E80" s="159" t="n">
        <v>2015</v>
      </c>
      <c r="F80" s="159" t="inlineStr">
        <is>
          <t>2020</t>
        </is>
      </c>
      <c r="G80" s="159" t="inlineStr">
        <is>
          <t>n</t>
        </is>
      </c>
      <c r="H80" s="159" t="inlineStr">
        <is>
          <t>Pollution control</t>
        </is>
      </c>
      <c r="I80" s="159" t="inlineStr">
        <is>
          <t>whole economy</t>
        </is>
      </c>
      <c r="J80" s="159" t="inlineStr">
        <is>
          <t>By 2020, total volatile organic compound emissions will be reduced by more than 10% compared to 2015.</t>
        </is>
      </c>
      <c r="K80" s="159" t="inlineStr">
        <is>
          <t>O1802.htm</t>
        </is>
      </c>
      <c r="L80" s="161" t="inlineStr">
        <is>
          <t>Pollution</t>
        </is>
      </c>
    </row>
    <row r="81" ht="18" customHeight="1" s="235">
      <c r="A81" s="159" t="n">
        <v>2022</v>
      </c>
      <c r="B81" s="159" t="inlineStr">
        <is>
          <t>volatile organic compounds (VOCs) total national emissions</t>
        </is>
      </c>
      <c r="C81" s="159" t="inlineStr">
        <is>
          <t>reduce by</t>
        </is>
      </c>
      <c r="D81" s="159" t="inlineStr">
        <is>
          <t>10%</t>
        </is>
      </c>
      <c r="E81" s="159" t="n">
        <v>2020</v>
      </c>
      <c r="F81" s="159" t="inlineStr">
        <is>
          <t>2025</t>
        </is>
      </c>
      <c r="G81" s="159" t="inlineStr">
        <is>
          <t>r</t>
        </is>
      </c>
      <c r="H81" s="159" t="inlineStr">
        <is>
          <t>Pollution control</t>
        </is>
      </c>
      <c r="I81" s="159" t="inlineStr">
        <is>
          <t>whole economy</t>
        </is>
      </c>
      <c r="J81" s="159" t="inlineStr">
        <is>
          <t>By 2025, the total emissions of volatile organic compounds will be reduced by more than 10% compared with 2020.</t>
        </is>
      </c>
      <c r="K81" s="159" t="inlineStr">
        <is>
          <t>AP2206.pdf</t>
        </is>
      </c>
      <c r="L81" s="159" t="inlineStr">
        <is>
          <t>Pollution</t>
        </is>
      </c>
    </row>
    <row r="82" ht="17.5" customHeight="1" s="235"/>
    <row r="83" ht="18" customHeight="1" s="235"/>
    <row r="84" ht="18" customHeight="1" s="235"/>
    <row r="85" ht="18" customHeight="1" s="235"/>
    <row r="86" ht="18" customHeight="1" s="235"/>
    <row r="87" ht="18" customHeight="1" s="235"/>
    <row r="88" ht="18" customHeight="1" s="235"/>
    <row r="89" ht="18" customHeight="1" s="235"/>
    <row r="90" ht="18" customHeight="1" s="235"/>
    <row r="91" ht="18" customHeight="1" s="235"/>
    <row r="92" ht="18" customHeight="1" s="235"/>
    <row r="93" ht="18" customHeight="1" s="235"/>
    <row r="94" ht="18" customHeight="1" s="235"/>
    <row r="95" ht="18" customHeight="1" s="235"/>
    <row r="96" ht="18" customHeight="1" s="235"/>
    <row r="97" ht="18" customHeight="1" s="235"/>
    <row r="98" ht="18" customHeight="1" s="235"/>
    <row r="99" ht="18" customHeight="1" s="235"/>
    <row r="100" ht="18" customHeight="1" s="235"/>
    <row r="101" ht="18" customHeight="1" s="235"/>
    <row r="102" ht="18" customHeight="1" s="235"/>
    <row r="103" ht="18" customHeight="1" s="235"/>
    <row r="104" ht="18" customHeight="1" s="235"/>
    <row r="105" ht="18" customHeight="1" s="235"/>
    <row r="106" ht="18" customHeight="1" s="235"/>
    <row r="107" ht="18" customHeight="1" s="235"/>
    <row r="108" ht="18" customHeight="1" s="235"/>
    <row r="109" ht="18" customHeight="1" s="235"/>
    <row r="110" ht="18" customHeight="1" s="235"/>
    <row r="111" ht="18" customHeight="1" s="235"/>
    <row r="112" ht="18" customHeight="1" s="235"/>
    <row r="113" ht="18" customHeight="1" s="235"/>
    <row r="114" ht="18" customHeight="1" s="235"/>
    <row r="115" ht="18" customHeight="1" s="235"/>
    <row r="116" ht="18" customHeight="1" s="235"/>
    <row r="117" ht="18" customHeight="1" s="235"/>
    <row r="118" ht="18" customHeight="1" s="235"/>
    <row r="119" ht="18" customHeight="1" s="235"/>
    <row r="120" ht="18" customHeight="1" s="235"/>
    <row r="121" ht="18" customHeight="1" s="235"/>
    <row r="122" ht="18" customHeight="1" s="235"/>
    <row r="123" ht="18" customHeight="1" s="235"/>
    <row r="124" ht="18" customHeight="1" s="235"/>
    <row r="125" ht="18" customHeight="1" s="235"/>
    <row r="126" ht="18" customHeight="1" s="235"/>
    <row r="127" ht="18" customHeight="1" s="235"/>
    <row r="128" ht="18" customHeight="1" s="235"/>
    <row r="129" ht="18" customHeight="1" s="235"/>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row r="200" ht="18" customHeight="1" s="235"/>
    <row r="201" ht="18" customHeight="1" s="235"/>
    <row r="202" ht="18" customHeight="1" s="235"/>
    <row r="203" ht="18" customHeight="1" s="235"/>
    <row r="204"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0" summaryRight="0"/>
    <pageSetUpPr/>
  </sheetPr>
  <dimension ref="A1:L22"/>
  <sheetViews>
    <sheetView zoomScale="75" workbookViewId="0">
      <selection activeCell="B22" sqref="B22"/>
    </sheetView>
  </sheetViews>
  <sheetFormatPr baseColWidth="8" defaultColWidth="14" defaultRowHeight="13"/>
  <cols>
    <col width="11.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4" customWidth="1" style="235" min="13" max="13"/>
    <col width="17" customWidth="1" style="235" min="14" max="14"/>
    <col width="13" customWidth="1" style="235" min="15" max="20"/>
  </cols>
  <sheetData>
    <row r="1" ht="18" customHeight="1" s="235">
      <c r="A1" s="169" t="inlineStr">
        <is>
          <t>Announcement_Year</t>
        </is>
      </c>
      <c r="B1" s="169" t="inlineStr">
        <is>
          <t>Metric</t>
        </is>
      </c>
      <c r="C1" s="169" t="inlineStr">
        <is>
          <t>Direction</t>
        </is>
      </c>
      <c r="D1" s="169" t="inlineStr">
        <is>
          <t>Target_Magnitude</t>
        </is>
      </c>
      <c r="E1" s="169" t="inlineStr">
        <is>
          <t>Baseline</t>
        </is>
      </c>
      <c r="F1" s="169" t="inlineStr">
        <is>
          <t>Target_Year_or_Period</t>
        </is>
      </c>
      <c r="G1" s="169" t="inlineStr">
        <is>
          <t>Count</t>
        </is>
      </c>
      <c r="H1" s="169" t="inlineStr">
        <is>
          <t>Target_Category</t>
        </is>
      </c>
      <c r="I1" s="169" t="inlineStr">
        <is>
          <t>Accountability</t>
        </is>
      </c>
      <c r="J1" s="169" t="inlineStr">
        <is>
          <t>Sentence</t>
        </is>
      </c>
      <c r="K1" s="169" t="inlineStr">
        <is>
          <t>Document</t>
        </is>
      </c>
      <c r="L1" s="169" t="inlineStr">
        <is>
          <t>Topic_Label</t>
        </is>
      </c>
    </row>
    <row r="2" ht="18" customHeight="1" s="235">
      <c r="A2" s="170" t="n">
        <v>2023</v>
      </c>
      <c r="B2" s="170" t="inlineStr">
        <is>
          <t>cumulative investment needs for China’s adaptation efforts</t>
        </is>
      </c>
      <c r="C2" s="170" t="inlineStr">
        <is>
          <t>reach</t>
        </is>
      </c>
      <c r="D2" s="170" t="inlineStr">
        <is>
          <t>24 trillion yuan (based on the 2015 pricing level)</t>
        </is>
      </c>
      <c r="E2" s="170" t="n"/>
      <c r="F2" s="170" t="inlineStr">
        <is>
          <t>2016-2030</t>
        </is>
      </c>
      <c r="G2" s="170" t="inlineStr">
        <is>
          <t>n</t>
        </is>
      </c>
      <c r="H2" s="170" t="inlineStr">
        <is>
          <t>Climate finance</t>
        </is>
      </c>
      <c r="I2" s="170" t="inlineStr">
        <is>
          <t>whole economy</t>
        </is>
      </c>
      <c r="J2" s="170" t="inlineStr">
        <is>
          <t>According to the policy objectives and actions of nationally determined contributions submitted in 2015, the Third National Communication on Climate Change reported that from 2016 to 2030, China would need to spend a cumulative amount of approximately 24 trillion yuan to meet the adaptation goals in China’s nationally determined contributions, equal to an average annual cost of approximately 1.6 trillion yuan.</t>
        </is>
      </c>
      <c r="K2" s="170" t="inlineStr">
        <is>
          <t>HL2302.pdf</t>
        </is>
      </c>
      <c r="L2" s="170" t="inlineStr">
        <is>
          <t>Finance</t>
        </is>
      </c>
    </row>
    <row r="3" ht="18" customHeight="1" s="235">
      <c r="A3" s="170" t="n">
        <v>2019</v>
      </c>
      <c r="B3" s="170" t="inlineStr">
        <is>
          <t>cumulative investment needs for China’s mitigation and adaptation efforts</t>
        </is>
      </c>
      <c r="C3" s="170" t="inlineStr">
        <is>
          <t>reach</t>
        </is>
      </c>
      <c r="D3" s="170" t="inlineStr">
        <is>
          <t>56 trillion yuan (based on the 2015 pricing level)</t>
        </is>
      </c>
      <c r="E3" s="170" t="n"/>
      <c r="F3" s="170" t="inlineStr">
        <is>
          <t>2016-2030</t>
        </is>
      </c>
      <c r="G3" s="170" t="inlineStr">
        <is>
          <t>n</t>
        </is>
      </c>
      <c r="H3" s="170" t="inlineStr">
        <is>
          <t>Climate finance</t>
        </is>
      </c>
      <c r="I3" s="170" t="inlineStr">
        <is>
          <t>whole economy</t>
        </is>
      </c>
      <c r="J3" s="170" t="inlineStr">
        <is>
          <t>Comprehensively, from 2016 to 2030, within 15 years, China’s total finance needs for fulfilling its goals will reach about 56 trillion yuan, averaged to 3.7 trillion yuan annually, which is equivalent to 6.3% of the national fixed asset investment in 2016.</t>
        </is>
      </c>
      <c r="K3" s="170" t="inlineStr">
        <is>
          <t>HL1902.pdf</t>
        </is>
      </c>
      <c r="L3" s="170" t="inlineStr">
        <is>
          <t>Finance</t>
        </is>
      </c>
    </row>
    <row r="4" ht="18" customHeight="1" s="235">
      <c r="A4" s="170" t="n">
        <v>2023</v>
      </c>
      <c r="B4" s="170" t="inlineStr">
        <is>
          <t>cumulative investment needs for China’s mitigation and adaptation efforts</t>
        </is>
      </c>
      <c r="C4" s="170" t="inlineStr">
        <is>
          <t>reach</t>
        </is>
      </c>
      <c r="D4" s="170" t="inlineStr">
        <is>
          <t>35.8 trillion yuan</t>
        </is>
      </c>
      <c r="E4" s="170" t="n"/>
      <c r="F4" s="170" t="inlineStr">
        <is>
          <t>2021-2030</t>
        </is>
      </c>
      <c r="G4" s="170" t="inlineStr">
        <is>
          <t>n</t>
        </is>
      </c>
      <c r="H4" s="170" t="inlineStr">
        <is>
          <t>Climate finance</t>
        </is>
      </c>
      <c r="I4" s="170" t="inlineStr">
        <is>
          <t>whole economy</t>
        </is>
      </c>
      <c r="J4" s="170" t="inlineStr">
        <is>
          <t>China’s climate change and adaptation campaigns will need to consume a combined amount of approximately 35.8 trillion yuan from 2021 to 2030, equal to an average annual cost of approximately 3.6 trillion yuan</t>
        </is>
      </c>
      <c r="K4" s="170" t="inlineStr">
        <is>
          <t>HL2302.pdf</t>
        </is>
      </c>
      <c r="L4" s="170" t="inlineStr">
        <is>
          <t>Finance</t>
        </is>
      </c>
    </row>
    <row r="5" ht="18" customHeight="1" s="235">
      <c r="A5" s="170" t="n">
        <v>2023</v>
      </c>
      <c r="B5" s="170" t="inlineStr">
        <is>
          <t>cumulative investment needs for China’s mitigation and adaptation efforts</t>
        </is>
      </c>
      <c r="C5" s="170" t="inlineStr">
        <is>
          <t>reach</t>
        </is>
      </c>
      <c r="D5" s="170" t="inlineStr">
        <is>
          <t>324 trillion yuan</t>
        </is>
      </c>
      <c r="E5" s="170" t="n"/>
      <c r="F5" s="170" t="inlineStr">
        <is>
          <t>2021-2060</t>
        </is>
      </c>
      <c r="G5" s="170" t="inlineStr">
        <is>
          <t>n</t>
        </is>
      </c>
      <c r="H5" s="170" t="inlineStr">
        <is>
          <t>Climate finance</t>
        </is>
      </c>
      <c r="I5" s="170" t="inlineStr">
        <is>
          <t>whole economy</t>
        </is>
      </c>
      <c r="J5" s="170" t="inlineStr">
        <is>
          <t>China’s climate change and adaptation campaigns will need to consume a combined amount of approximately 324 trillion yuan from 2021 to 2060, equal to an averageannual cost of approximately 8.1 trillion yuan</t>
        </is>
      </c>
      <c r="K5" s="170" t="inlineStr">
        <is>
          <t>HL2302.pdf</t>
        </is>
      </c>
      <c r="L5" s="170" t="inlineStr">
        <is>
          <t>Finance</t>
        </is>
      </c>
    </row>
    <row r="6" ht="18" customHeight="1" s="235">
      <c r="A6" s="170" t="n">
        <v>2019</v>
      </c>
      <c r="B6" s="170" t="inlineStr">
        <is>
          <t>cumulative investment needs for China’s mitigation efforts</t>
        </is>
      </c>
      <c r="C6" s="170" t="inlineStr">
        <is>
          <t>spend</t>
        </is>
      </c>
      <c r="D6" s="170" t="inlineStr">
        <is>
          <t>32 trillion yuan (based on the 2015 pricing level)</t>
        </is>
      </c>
      <c r="E6" s="170" t="n"/>
      <c r="F6" s="170" t="inlineStr">
        <is>
          <t>2016-2030</t>
        </is>
      </c>
      <c r="G6" s="170" t="inlineStr">
        <is>
          <t>n</t>
        </is>
      </c>
      <c r="H6" s="170" t="inlineStr">
        <is>
          <t>Climate finance</t>
        </is>
      </c>
      <c r="I6" s="170" t="inlineStr">
        <is>
          <t>whole economy</t>
        </is>
      </c>
      <c r="J6" s="170" t="inlineStr">
        <is>
          <t>from 2016 to 2030, China will cumulatively spend about 32 trillion yuan (based on the 2015 price) in completing the mitigating goals of the nationally determined contributions</t>
        </is>
      </c>
      <c r="K6" s="170" t="inlineStr">
        <is>
          <t>HL1902.pdf</t>
        </is>
      </c>
      <c r="L6" s="170" t="inlineStr">
        <is>
          <t>Finance</t>
        </is>
      </c>
    </row>
    <row r="7" ht="18" customHeight="1" s="235">
      <c r="A7" s="170" t="n">
        <v>2023</v>
      </c>
      <c r="B7" s="170" t="inlineStr">
        <is>
          <t>cumulative investment needs for China’s mitigation efforts</t>
        </is>
      </c>
      <c r="C7" s="170" t="inlineStr">
        <is>
          <t>reach</t>
        </is>
      </c>
      <c r="D7" s="170" t="inlineStr">
        <is>
          <t>19.8 trillion yuan</t>
        </is>
      </c>
      <c r="E7" s="170" t="n"/>
      <c r="F7" s="170" t="inlineStr">
        <is>
          <t>2021-2030</t>
        </is>
      </c>
      <c r="G7" s="170" t="inlineStr">
        <is>
          <t>n</t>
        </is>
      </c>
      <c r="H7" s="170" t="inlineStr">
        <is>
          <t>Climate finance</t>
        </is>
      </c>
      <c r="I7" s="170" t="inlineStr">
        <is>
          <t>whole economy</t>
        </is>
      </c>
      <c r="J7" s="170" t="inlineStr">
        <is>
          <t>Based on the new goals and actions, some studies estimated that China’s climate mitigation campaign will need to consume a total amount of approximately 19.8 trillion yuan from 2021 to 2030, equal to an average annual cost of approximately 2.0 trillion yuan; a total amount of approximately 260 trillion yuan from 2021 to 2060, equal to an average annual cost of approximately 6.5 trillion yuan.</t>
        </is>
      </c>
      <c r="K7" s="170" t="inlineStr">
        <is>
          <t>HL2302.pdf</t>
        </is>
      </c>
      <c r="L7" s="170" t="inlineStr">
        <is>
          <t>Finance</t>
        </is>
      </c>
    </row>
    <row r="8" ht="18" customHeight="1" s="235">
      <c r="A8" s="170" t="n">
        <v>2023</v>
      </c>
      <c r="B8" s="170" t="inlineStr">
        <is>
          <t>cumulative investment needs for China’s mitigation efforts</t>
        </is>
      </c>
      <c r="C8" s="170" t="inlineStr">
        <is>
          <t>reach</t>
        </is>
      </c>
      <c r="D8" s="170" t="inlineStr">
        <is>
          <t>260 trillion yuan</t>
        </is>
      </c>
      <c r="E8" s="170" t="n"/>
      <c r="F8" s="170" t="inlineStr">
        <is>
          <t>2021-2060</t>
        </is>
      </c>
      <c r="G8" s="170" t="inlineStr">
        <is>
          <t>n</t>
        </is>
      </c>
      <c r="H8" s="170" t="inlineStr">
        <is>
          <t>Climate finance</t>
        </is>
      </c>
      <c r="I8" s="170" t="inlineStr">
        <is>
          <t>whole economy</t>
        </is>
      </c>
      <c r="J8" s="170" t="inlineStr">
        <is>
          <t>Based on the new goals and actions, some studies estimated that China’s climate mitigation campaign will need to consume a total amount of approximately 19.8 trillion yuan from 2021 to 2030, equal to an average annual cost of approximately 2.0 trillion yuan; a total amount of approximately 260 trillion yuan from 2021 to 2060, equal to an average annual cost of approximately 6.5 trillion yuan.</t>
        </is>
      </c>
      <c r="K8" s="170" t="inlineStr">
        <is>
          <t>HL2302.pdf</t>
        </is>
      </c>
      <c r="L8" s="170" t="inlineStr">
        <is>
          <t>Finance</t>
        </is>
      </c>
    </row>
    <row r="9" hidden="1" ht="18" customHeight="1" s="235">
      <c r="A9" s="170" t="n">
        <v>2023</v>
      </c>
      <c r="B9" s="170" t="inlineStr">
        <is>
          <t>investment needs for China’s mitigation efforts</t>
        </is>
      </c>
      <c r="C9" s="170" t="inlineStr">
        <is>
          <t>need</t>
        </is>
      </c>
      <c r="D9" s="170" t="inlineStr">
        <is>
          <t>32 trillion yuan (based on the 2015 pricing level)</t>
        </is>
      </c>
      <c r="E9" s="170" t="n"/>
      <c r="F9" s="170" t="inlineStr">
        <is>
          <t>2016-2030</t>
        </is>
      </c>
      <c r="G9" s="170" t="inlineStr">
        <is>
          <t>r</t>
        </is>
      </c>
      <c r="H9" s="170" t="inlineStr">
        <is>
          <t>Climate finance</t>
        </is>
      </c>
      <c r="I9" s="170" t="inlineStr">
        <is>
          <t>whole economy</t>
        </is>
      </c>
      <c r="J9" s="170" t="inlineStr">
        <is>
          <t>from 2016 to 2030, China would need to spend a cumulative amount of approximately 32 trillion yuan (based on the 2015 pricing level) to fulfill the mitigation goals and tasks, equal to an average annual cost of approximately 2.1 trillion yuan</t>
        </is>
      </c>
      <c r="K9" s="170" t="inlineStr">
        <is>
          <t>HL2302.pdf</t>
        </is>
      </c>
      <c r="L9" s="170" t="inlineStr">
        <is>
          <t>Other</t>
        </is>
      </c>
    </row>
    <row r="10" ht="18" customHeight="1" s="235">
      <c r="A10" s="170" t="n">
        <v>2019</v>
      </c>
      <c r="B10" s="170" t="inlineStr">
        <is>
          <t>cumulative investment needs for China’s mitigation efforts - national energy-saving investments</t>
        </is>
      </c>
      <c r="C10" s="170" t="inlineStr">
        <is>
          <t>reach</t>
        </is>
      </c>
      <c r="D10" s="170" t="inlineStr">
        <is>
          <t>13 trillion yuan</t>
        </is>
      </c>
      <c r="E10" s="170" t="n"/>
      <c r="F10" s="170" t="inlineStr">
        <is>
          <t>2016-2030</t>
        </is>
      </c>
      <c r="G10" s="170" t="inlineStr">
        <is>
          <t>n</t>
        </is>
      </c>
      <c r="H10" s="170" t="inlineStr">
        <is>
          <t>Climate finance</t>
        </is>
      </c>
      <c r="I10" s="170" t="inlineStr">
        <is>
          <t>whole economy</t>
        </is>
      </c>
      <c r="J10" s="170" t="inlineStr">
        <is>
          <t>According to the measurement of NCSC, from 2016 to 2030, China will cumulatively spend about 13 trillion yuan (based on the 2015 price) for increased energy-saving investments</t>
        </is>
      </c>
      <c r="K10" s="170" t="inlineStr">
        <is>
          <t>HL1902.pdf</t>
        </is>
      </c>
      <c r="L10" s="170" t="inlineStr">
        <is>
          <t>Finance</t>
        </is>
      </c>
    </row>
    <row r="11" hidden="1" ht="18" customHeight="1" s="235">
      <c r="A11" s="170" t="n">
        <v>2023</v>
      </c>
      <c r="B11" s="170" t="inlineStr">
        <is>
          <t>investment needs for China’s mitigation and adaptation efforts</t>
        </is>
      </c>
      <c r="C11" s="170" t="inlineStr">
        <is>
          <t>reach</t>
        </is>
      </c>
      <c r="D11" s="170" t="inlineStr">
        <is>
          <t>56 trillion yuan</t>
        </is>
      </c>
      <c r="E11" s="170" t="n"/>
      <c r="F11" s="170" t="inlineStr">
        <is>
          <t>2016-2030</t>
        </is>
      </c>
      <c r="G11" s="170" t="inlineStr">
        <is>
          <t>r</t>
        </is>
      </c>
      <c r="H11" s="170" t="inlineStr">
        <is>
          <t>Climate finance</t>
        </is>
      </c>
      <c r="I11" s="170" t="inlineStr">
        <is>
          <t>whole economy</t>
        </is>
      </c>
      <c r="J11" s="170" t="inlineStr">
        <is>
          <t>The total financial spending from 2016 to 2030 adds up to close to 56 trillion yuan, averaging approximately 3.7 trillion yuan annually, and equivalent to 6.3% of China’s fixed asset investment in 2016.</t>
        </is>
      </c>
      <c r="K11" s="170" t="inlineStr">
        <is>
          <t>HL2302.pdf</t>
        </is>
      </c>
      <c r="L11" s="170" t="inlineStr">
        <is>
          <t>Other</t>
        </is>
      </c>
    </row>
    <row r="12" ht="18" customHeight="1" s="235">
      <c r="A12" s="170" t="n">
        <v>2019</v>
      </c>
      <c r="B12" s="170" t="inlineStr">
        <is>
          <t>cumulative investment needs for China’s mitigation efforts - national forest carbon sink investments</t>
        </is>
      </c>
      <c r="C12" s="170" t="inlineStr">
        <is>
          <t>reach</t>
        </is>
      </c>
      <c r="D12" s="170" t="inlineStr">
        <is>
          <t>1.3 trillion yuan</t>
        </is>
      </c>
      <c r="E12" s="170" t="n"/>
      <c r="F12" s="170" t="inlineStr">
        <is>
          <t>2016-2030</t>
        </is>
      </c>
      <c r="G12" s="170" t="inlineStr">
        <is>
          <t>n</t>
        </is>
      </c>
      <c r="H12" s="170" t="inlineStr">
        <is>
          <t>Climate finance</t>
        </is>
      </c>
      <c r="I12" s="170" t="inlineStr">
        <is>
          <t>whole economy</t>
        </is>
      </c>
      <c r="J12" s="170" t="inlineStr">
        <is>
          <t>According to the measurement of NCSC, from 2016 to 2030, China will cumulatively spend about 1.3 trillion yuan for forest carbon sink investments</t>
        </is>
      </c>
      <c r="K12" s="170" t="inlineStr">
        <is>
          <t>HL1902.pdf</t>
        </is>
      </c>
      <c r="L12" s="170" t="inlineStr">
        <is>
          <t>Finance</t>
        </is>
      </c>
    </row>
    <row r="13" ht="18" customHeight="1" s="235">
      <c r="A13" s="170" t="n">
        <v>2019</v>
      </c>
      <c r="B13" s="170" t="inlineStr">
        <is>
          <t>cumulative investment needs for China’s mitigation efforts - national low-carbon energy investments</t>
        </is>
      </c>
      <c r="C13" s="170" t="inlineStr">
        <is>
          <t>reach</t>
        </is>
      </c>
      <c r="D13" s="170" t="inlineStr">
        <is>
          <t>17.6 trillion yuan</t>
        </is>
      </c>
      <c r="E13" s="170" t="n"/>
      <c r="F13" s="170" t="inlineStr">
        <is>
          <t>2016-2030</t>
        </is>
      </c>
      <c r="G13" s="170" t="inlineStr">
        <is>
          <t>n</t>
        </is>
      </c>
      <c r="H13" s="170" t="inlineStr">
        <is>
          <t>Climate finance</t>
        </is>
      </c>
      <c r="I13" s="170" t="inlineStr">
        <is>
          <t>whole economy</t>
        </is>
      </c>
      <c r="J13" s="170" t="inlineStr">
        <is>
          <t>According to the measurement of NCSC, from 2016 to 2030, China will cumulatively spend about 17.6 trillion yuan for low-carbon energy investments</t>
        </is>
      </c>
      <c r="K13" s="170" t="inlineStr">
        <is>
          <t>HL1902.pdf</t>
        </is>
      </c>
      <c r="L13" s="170" t="inlineStr">
        <is>
          <t>Finance</t>
        </is>
      </c>
    </row>
    <row r="14" ht="18" customHeight="1" s="235">
      <c r="A14" s="170" t="n">
        <v>2023</v>
      </c>
      <c r="B14" s="170" t="inlineStr">
        <is>
          <t>cumulative investment needs for China’s mitigation efforts in the construction sector</t>
        </is>
      </c>
      <c r="C14" s="170" t="inlineStr">
        <is>
          <t>reach</t>
        </is>
      </c>
      <c r="D14" s="170" t="inlineStr">
        <is>
          <t>3.9 trillion yuan</t>
        </is>
      </c>
      <c r="E14" s="170" t="n"/>
      <c r="F14" s="170" t="inlineStr">
        <is>
          <t>2021-2030</t>
        </is>
      </c>
      <c r="G14" s="170" t="inlineStr">
        <is>
          <t>n</t>
        </is>
      </c>
      <c r="H14" s="170" t="inlineStr">
        <is>
          <t>Climate finance</t>
        </is>
      </c>
      <c r="I14" s="170" t="inlineStr">
        <is>
          <t>sectors</t>
        </is>
      </c>
      <c r="J14" s="170" t="inlineStr">
        <is>
          <t>To be specific, China’s financial spending for climate mitigation mainly stems from the electric power sector (approximately 9.8 trillion yuan from 2021 to 2030, and approximately 57.6 trillion yuan
from 2030 to 2060), the transport sector (approximately 6.3 trillion yuan from 2021 to 2030, and approximately 31.1 trillion from 2030 to 2060), the construction sector (approximately 3.9 trillion yuan from 2021 to 2030, and approximately 18.4 trillion yuan from 2030 to 2060).</t>
        </is>
      </c>
      <c r="K14" s="170" t="inlineStr">
        <is>
          <t>HL2302.pdf</t>
        </is>
      </c>
      <c r="L14" s="170" t="inlineStr">
        <is>
          <t>Finance</t>
        </is>
      </c>
    </row>
    <row r="15" ht="18" customHeight="1" s="235">
      <c r="A15" s="170" t="n">
        <v>2023</v>
      </c>
      <c r="B15" s="170" t="inlineStr">
        <is>
          <t>cumulative investment needs for China’s mitigation efforts in the construction sector</t>
        </is>
      </c>
      <c r="C15" s="170" t="inlineStr">
        <is>
          <t>reach</t>
        </is>
      </c>
      <c r="D15" s="170" t="inlineStr">
        <is>
          <t>18.4 trillion yuan</t>
        </is>
      </c>
      <c r="E15" s="170" t="n"/>
      <c r="F15" s="170" t="inlineStr">
        <is>
          <t>2021-2060</t>
        </is>
      </c>
      <c r="G15" s="170" t="inlineStr">
        <is>
          <t>n</t>
        </is>
      </c>
      <c r="H15" s="170" t="inlineStr">
        <is>
          <t>Climate finance</t>
        </is>
      </c>
      <c r="I15" s="170" t="inlineStr">
        <is>
          <t>sectors</t>
        </is>
      </c>
      <c r="J15" s="170" t="inlineStr">
        <is>
          <t>To be specific, China’s financial spending for climate mitigation mainly stems from the electric power sector (approximately 9.8 trillion yuan from 2021 to 2030, and approximately 57.6 trillion yuan
from 2030 to 2060), the transport sector (approximately 6.3 trillion yuan from 2021 to 2030, and approximately 31.1 trillion from 2030 to 2060), the construction sector (approximately 3.9 trillion yuan from 2021 to 2030, and approximately 18.4 trillion yuan from 2030 to 2060).</t>
        </is>
      </c>
      <c r="K15" s="170" t="inlineStr">
        <is>
          <t>HL2302.pdf</t>
        </is>
      </c>
      <c r="L15" s="170" t="inlineStr">
        <is>
          <t>Finance</t>
        </is>
      </c>
    </row>
    <row r="16" ht="18" customHeight="1" s="235">
      <c r="A16" s="170" t="n">
        <v>2023</v>
      </c>
      <c r="B16" s="170" t="inlineStr">
        <is>
          <t>cumulative investment needs for China’s mitigation efforts in the electric power sector</t>
        </is>
      </c>
      <c r="C16" s="170" t="inlineStr">
        <is>
          <t>reach</t>
        </is>
      </c>
      <c r="D16" s="170" t="inlineStr">
        <is>
          <t>9.8 trillion yuan</t>
        </is>
      </c>
      <c r="E16" s="170" t="n"/>
      <c r="F16" s="170" t="inlineStr">
        <is>
          <t>2021-2030</t>
        </is>
      </c>
      <c r="G16" s="170" t="inlineStr">
        <is>
          <t>n</t>
        </is>
      </c>
      <c r="H16" s="170" t="inlineStr">
        <is>
          <t>Climate finance</t>
        </is>
      </c>
      <c r="I16" s="170" t="inlineStr">
        <is>
          <t>sectors</t>
        </is>
      </c>
      <c r="J16" s="170" t="inlineStr">
        <is>
          <t>To be specific, China’s financial spending for climate mitigation mainly stems from the electric power sector (approximately 9.8 trillion yuan from 2021 to 2030, and approximately 57.6 trillion yuan
from 2030 to 2060), the transport sector (approximately 6.3 trillion yuan from 2021 to 2030, and approximately 31.1 trillion from 2030 to 2060), the construction sector (approximately 3.9 trillion yuan from 2021 to 2030, and approximately 18.4 trillion yuan from 2030 to 2060).</t>
        </is>
      </c>
      <c r="K16" s="170" t="inlineStr">
        <is>
          <t>HL2302.pdf</t>
        </is>
      </c>
      <c r="L16" s="170" t="inlineStr">
        <is>
          <t>Finance</t>
        </is>
      </c>
    </row>
    <row r="17" ht="18" customHeight="1" s="235">
      <c r="A17" s="170" t="n">
        <v>2023</v>
      </c>
      <c r="B17" s="170" t="inlineStr">
        <is>
          <t>cumulative investment needs for China’s mitigation efforts in the electric power sector</t>
        </is>
      </c>
      <c r="C17" s="170" t="inlineStr">
        <is>
          <t>reach</t>
        </is>
      </c>
      <c r="D17" s="170" t="inlineStr">
        <is>
          <t>57.6 trillion yuan</t>
        </is>
      </c>
      <c r="E17" s="170" t="n"/>
      <c r="F17" s="170" t="inlineStr">
        <is>
          <t>2021-2060</t>
        </is>
      </c>
      <c r="G17" s="170" t="inlineStr">
        <is>
          <t>n</t>
        </is>
      </c>
      <c r="H17" s="170" t="inlineStr">
        <is>
          <t>Climate finance</t>
        </is>
      </c>
      <c r="I17" s="170" t="inlineStr">
        <is>
          <t>sectors</t>
        </is>
      </c>
      <c r="J17" s="170" t="inlineStr">
        <is>
          <t>To be specific, China’s financial spending for climate mitigation mainly stems from the electric power sector (approximately 9.8 trillion yuan from 2021 to 2030, and approximately 57.6 trillion yuan
from 2030 to 2060), the transport sector (approximately 6.3 trillion yuan from 2021 to 2030, and approximately 31.1 trillion from 2030 to 2060), the construction sector (approximately 3.9 trillion yuan from 2021 to 2030, and approximately 18.4 trillion yuan from 2030 to 2060).</t>
        </is>
      </c>
      <c r="K17" s="170" t="inlineStr">
        <is>
          <t>HL2302.pdf</t>
        </is>
      </c>
      <c r="L17" s="170" t="inlineStr">
        <is>
          <t>Finance</t>
        </is>
      </c>
    </row>
    <row r="18" ht="18" customHeight="1" s="235">
      <c r="A18" s="170" t="n">
        <v>2023</v>
      </c>
      <c r="B18" s="170" t="inlineStr">
        <is>
          <t>cumulative investment needs for China’s mitigation efforts in the transport sector</t>
        </is>
      </c>
      <c r="C18" s="170" t="inlineStr">
        <is>
          <t>reach</t>
        </is>
      </c>
      <c r="D18" s="170" t="inlineStr">
        <is>
          <t>6.3 trillion yuan</t>
        </is>
      </c>
      <c r="E18" s="170" t="n"/>
      <c r="F18" s="170" t="inlineStr">
        <is>
          <t>2021-2030</t>
        </is>
      </c>
      <c r="G18" s="170" t="inlineStr">
        <is>
          <t>n</t>
        </is>
      </c>
      <c r="H18" s="170" t="inlineStr">
        <is>
          <t>Climate finance</t>
        </is>
      </c>
      <c r="I18" s="170" t="inlineStr">
        <is>
          <t>sectors</t>
        </is>
      </c>
      <c r="J18" s="170" t="inlineStr">
        <is>
          <t>To be specific, China’s financial spending for climate mitigation mainly stems from the electric power sector (approximately 9.8 trillion yuan from 2021 to 2030, and approximately 57.6 trillion yuan
from 2030 to 2060), the transport sector (approximately 6.3 trillion yuan from 2021 to 2030, and approximately 31.1 trillion from 2030 to 2060), the construction sector (approximately 3.9 trillion yuan from 2021 to 2030, and approximately 18.4 trillion yuan from 2030 to 2060).</t>
        </is>
      </c>
      <c r="K18" s="170" t="inlineStr">
        <is>
          <t>HL2302.pdf</t>
        </is>
      </c>
      <c r="L18" s="170" t="inlineStr">
        <is>
          <t>Finance</t>
        </is>
      </c>
    </row>
    <row r="19" ht="18" customHeight="1" s="235">
      <c r="A19" s="170" t="n">
        <v>2023</v>
      </c>
      <c r="B19" s="170" t="inlineStr">
        <is>
          <t>cumulative investment needs for China’s mitigation efforts in the transport sector</t>
        </is>
      </c>
      <c r="C19" s="170" t="inlineStr">
        <is>
          <t>reach</t>
        </is>
      </c>
      <c r="D19" s="170" t="inlineStr">
        <is>
          <t>31.1 trillion yuan</t>
        </is>
      </c>
      <c r="E19" s="170" t="n"/>
      <c r="F19" s="170" t="inlineStr">
        <is>
          <t>2021-2060</t>
        </is>
      </c>
      <c r="G19" s="170" t="inlineStr">
        <is>
          <t>n</t>
        </is>
      </c>
      <c r="H19" s="170" t="inlineStr">
        <is>
          <t>Climate finance</t>
        </is>
      </c>
      <c r="I19" s="170" t="inlineStr">
        <is>
          <t>sectors</t>
        </is>
      </c>
      <c r="J19" s="170" t="inlineStr">
        <is>
          <t>To be specific, China’s financial spending for climate mitigation mainly stems from the electric power sector (approximately 9.8 trillion yuan from 2021 to 2030, and approximately 57.6 trillion yuan
from 2030 to 2060), the transport sector (approximately 6.3 trillion yuan from 2021 to 2030, and approximately 31.1 trillion from 2030 to 2060), the construction sector (approximately 3.9 trillion yuan from 2021 to 2030, and approximately 18.4 trillion yuan from 2030 to 2060).</t>
        </is>
      </c>
      <c r="K19" s="170" t="inlineStr">
        <is>
          <t>HL2302.pdf</t>
        </is>
      </c>
      <c r="L19" s="170" t="inlineStr">
        <is>
          <t>Finance</t>
        </is>
      </c>
    </row>
    <row r="20" ht="18" customHeight="1" s="235">
      <c r="A20" s="170" t="n">
        <v>2025</v>
      </c>
      <c r="B20" s="170" t="inlineStr">
        <is>
          <t>direct project investment induced by new energy projects</t>
        </is>
      </c>
      <c r="C20" s="170" t="inlineStr">
        <is>
          <t>reach</t>
        </is>
      </c>
      <c r="D20" s="170" t="inlineStr">
        <is>
          <t>about 250 billion yuan</t>
        </is>
      </c>
      <c r="E20" s="170" t="n"/>
      <c r="F20" s="170" t="inlineStr">
        <is>
          <t>2025-2027</t>
        </is>
      </c>
      <c r="G20" s="170" t="inlineStr">
        <is>
          <t>n</t>
        </is>
      </c>
      <c r="H20" s="170" t="inlineStr">
        <is>
          <t>Climate finance</t>
        </is>
      </c>
      <c r="I20" s="170" t="inlineStr">
        <is>
          <t>unclear</t>
        </is>
      </c>
      <c r="J20" s="170" t="inlineStr">
        <is>
          <t>By 2027, China’s total installed capacity of new-type energy storage will exceed 180 gigawatts, driving about 250 billion yuan of direct project investment.</t>
        </is>
      </c>
      <c r="K20" s="170" t="inlineStr">
        <is>
          <t>AP2503.pdf</t>
        </is>
      </c>
      <c r="L20" s="170" t="inlineStr">
        <is>
          <t>Finance</t>
        </is>
      </c>
    </row>
    <row r="21" ht="18" customHeight="1" s="235">
      <c r="A21" s="170" t="n">
        <v>2021</v>
      </c>
      <c r="B21" s="170" t="inlineStr">
        <is>
          <t>energy research and development funding</t>
        </is>
      </c>
      <c r="C21" s="170" t="inlineStr">
        <is>
          <t>grow annually by</t>
        </is>
      </c>
      <c r="D21" s="170" t="inlineStr">
        <is>
          <t>more than 7%</t>
        </is>
      </c>
      <c r="E21" s="170" t="n"/>
      <c r="F21" s="170" t="inlineStr">
        <is>
          <t>14th FYP</t>
        </is>
      </c>
      <c r="G21" s="170" t="inlineStr">
        <is>
          <t>n</t>
        </is>
      </c>
      <c r="H21" s="170" t="inlineStr">
        <is>
          <t>Climate finance</t>
        </is>
      </c>
      <c r="I21" s="170" t="inlineStr">
        <is>
          <t>unclear</t>
        </is>
      </c>
      <c r="J21" s="170" t="inlineStr">
        <is>
          <t>During the 14th Five-Year Plan period, energy research and development funding will grow by more than 7% annually.</t>
        </is>
      </c>
      <c r="K21" s="170" t="inlineStr">
        <is>
          <t>FYP2105.pdf</t>
        </is>
      </c>
      <c r="L21" s="170" t="inlineStr">
        <is>
          <t>Finance</t>
        </is>
      </c>
    </row>
    <row r="22" ht="18" customHeight="1" s="235">
      <c r="A22" s="170" t="n">
        <v>2019</v>
      </c>
      <c r="B22" s="170" t="inlineStr">
        <is>
          <t>additional annual climate finance need</t>
        </is>
      </c>
      <c r="C22" s="170" t="inlineStr">
        <is>
          <t>reach</t>
        </is>
      </c>
      <c r="D22" s="170" t="inlineStr">
        <is>
          <t>1.3 trillion yuan</t>
        </is>
      </c>
      <c r="E22" s="170" t="n"/>
      <c r="F22" s="170" t="inlineStr">
        <is>
          <t>2016-2030</t>
        </is>
      </c>
      <c r="G22" s="170" t="inlineStr">
        <is>
          <t>n</t>
        </is>
      </c>
      <c r="H22" s="170" t="inlineStr">
        <is>
          <t>Climate finance</t>
        </is>
      </c>
      <c r="I22" s="170" t="inlineStr">
        <is>
          <t>whole economy</t>
        </is>
      </c>
      <c r="J22" s="170" t="inlineStr">
        <is>
          <t>From 2016 to 2030, besides the inputs of domestic public and private sectors, China will additionally need an average of 1.3 trillion yuan annually to address climate change..</t>
        </is>
      </c>
      <c r="K22" s="170" t="inlineStr">
        <is>
          <t>HL1901.pdf</t>
        </is>
      </c>
      <c r="L22" s="170" t="inlineStr">
        <is>
          <t>Finance</t>
        </is>
      </c>
    </row>
    <row r="23" ht="18" customHeight="1" s="235"/>
    <row r="24" ht="18" customHeight="1" s="235"/>
    <row r="25" ht="18" customHeight="1" s="235"/>
    <row r="26" ht="18" customHeight="1" s="235"/>
    <row r="27" ht="18" customHeight="1" s="235"/>
    <row r="28" ht="18" customHeight="1" s="235"/>
    <row r="29" ht="18" customHeight="1" s="235"/>
    <row r="30" ht="18" customHeight="1" s="235"/>
    <row r="31" ht="18" customHeight="1" s="235"/>
    <row r="32" ht="18" customHeight="1" s="235"/>
    <row r="33" ht="18" customHeight="1" s="235"/>
    <row r="34" ht="18" customHeight="1" s="235"/>
    <row r="35" ht="18" customHeight="1" s="235"/>
    <row r="36" ht="18" customHeight="1" s="235"/>
    <row r="37" ht="18" customHeight="1" s="235"/>
    <row r="38" ht="18" customHeight="1" s="235"/>
    <row r="39" ht="18" customHeight="1" s="235"/>
    <row r="40" ht="18" customHeight="1" s="235"/>
    <row r="41" ht="18" customHeight="1" s="235"/>
    <row r="42" ht="18" customHeight="1" s="235"/>
    <row r="43" ht="18" customHeight="1" s="235"/>
    <row r="44" ht="18" customHeight="1" s="235"/>
    <row r="45" ht="18" customHeight="1" s="235"/>
    <row r="46" ht="18" customHeight="1" s="235"/>
    <row r="47" ht="18" customHeight="1" s="235"/>
    <row r="48" ht="18" customHeight="1" s="235"/>
    <row r="49" ht="18" customHeight="1" s="235"/>
    <row r="50" ht="18" customHeight="1" s="235"/>
    <row r="51" ht="18" customHeight="1" s="235"/>
    <row r="52" ht="18" customHeight="1" s="235"/>
    <row r="53" ht="18" customHeight="1" s="235"/>
    <row r="54" ht="18" customHeight="1" s="235"/>
    <row r="55" ht="18" customHeight="1" s="235"/>
    <row r="56" ht="18" customHeight="1" s="235"/>
    <row r="57" ht="18" customHeight="1" s="235"/>
    <row r="58" ht="18" customHeight="1" s="235"/>
    <row r="59" ht="18" customHeight="1" s="235"/>
    <row r="60" ht="18" customHeight="1" s="235"/>
    <row r="61" ht="18" customHeight="1" s="235"/>
    <row r="62" ht="18" customHeight="1" s="235"/>
    <row r="63" ht="18" customHeight="1" s="235"/>
    <row r="64" ht="18" customHeight="1" s="235"/>
    <row r="65" ht="18" customHeight="1" s="235"/>
    <row r="66" ht="18" customHeight="1" s="235"/>
    <row r="67" ht="18" customHeight="1" s="235"/>
    <row r="68" ht="18" customHeight="1" s="235"/>
    <row r="69" ht="18" customHeight="1" s="235"/>
    <row r="70" ht="18" customHeight="1" s="235"/>
    <row r="71" ht="18" customHeight="1" s="235"/>
    <row r="72" ht="18" customHeight="1" s="235"/>
    <row r="73" ht="18" customHeight="1" s="235"/>
    <row r="74" ht="18" customHeight="1" s="235"/>
    <row r="75" ht="18" customHeight="1" s="235"/>
    <row r="76" ht="18" customHeight="1" s="235"/>
    <row r="77" ht="18" customHeight="1" s="235"/>
    <row r="78" ht="18" customHeight="1" s="235"/>
    <row r="79" ht="18" customHeight="1" s="235"/>
    <row r="80" ht="18" customHeight="1" s="235"/>
    <row r="81" ht="18" customHeight="1" s="235"/>
    <row r="82" ht="18" customHeight="1" s="235"/>
    <row r="83" ht="18" customHeight="1" s="235"/>
    <row r="84" ht="18" customHeight="1" s="235"/>
    <row r="85" ht="18" customHeight="1" s="235"/>
    <row r="86" ht="18" customHeight="1" s="235"/>
    <row r="87" ht="18" customHeight="1" s="235"/>
    <row r="88" ht="18" customHeight="1" s="235"/>
    <row r="89" ht="18" customHeight="1" s="235"/>
    <row r="90" ht="18" customHeight="1" s="235"/>
    <row r="91" ht="18" customHeight="1" s="235"/>
    <row r="92" ht="18" customHeight="1" s="235"/>
    <row r="93" ht="18" customHeight="1" s="235"/>
    <row r="94" ht="18" customHeight="1" s="235"/>
    <row r="95" ht="18" customHeight="1" s="235"/>
    <row r="96" ht="18" customHeight="1" s="235"/>
    <row r="97" ht="18" customHeight="1" s="235"/>
    <row r="98" ht="18" customHeight="1" s="235"/>
    <row r="99" ht="18" customHeight="1" s="235"/>
    <row r="100" ht="18" customHeight="1" s="235"/>
    <row r="101" ht="18" customHeight="1" s="235"/>
    <row r="102" ht="18" customHeight="1" s="235"/>
    <row r="103" ht="18" customHeight="1" s="235"/>
    <row r="104" ht="18" customHeight="1" s="235"/>
    <row r="105" ht="18" customHeight="1" s="235"/>
    <row r="106" ht="18" customHeight="1" s="235"/>
    <row r="107" ht="18" customHeight="1" s="235"/>
    <row r="108" ht="18" customHeight="1" s="235"/>
    <row r="109" ht="18" customHeight="1" s="235"/>
    <row r="110" ht="18" customHeight="1" s="235"/>
    <row r="111" ht="18" customHeight="1" s="235"/>
    <row r="112" ht="18" customHeight="1" s="235"/>
    <row r="113" ht="18" customHeight="1" s="235"/>
    <row r="114" ht="18" customHeight="1" s="235"/>
    <row r="115" ht="18" customHeight="1" s="235"/>
    <row r="116" ht="18" customHeight="1" s="235"/>
    <row r="117" ht="18" customHeight="1" s="235"/>
    <row r="118" ht="18" customHeight="1" s="235"/>
    <row r="119" ht="18" customHeight="1" s="235"/>
    <row r="120" ht="18" customHeight="1" s="235"/>
    <row r="121" ht="18" customHeight="1" s="235"/>
    <row r="122" ht="18" customHeight="1" s="235"/>
    <row r="123" ht="18" customHeight="1" s="235"/>
    <row r="124" ht="18" customHeight="1" s="235"/>
    <row r="125" ht="18" customHeight="1" s="235"/>
    <row r="126" ht="18" customHeight="1" s="235"/>
    <row r="127" ht="18" customHeight="1" s="235"/>
    <row r="128" ht="18" customHeight="1" s="235"/>
    <row r="129" ht="18" customHeight="1" s="235"/>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2:O530"/>
  <sheetViews>
    <sheetView topLeftCell="A407" zoomScale="147" workbookViewId="0">
      <selection activeCell="A410" sqref="A410:XFD410"/>
    </sheetView>
  </sheetViews>
  <sheetFormatPr baseColWidth="8" defaultColWidth="10.09765625" defaultRowHeight="14" zeroHeight="1"/>
  <cols>
    <col width="1.69921875" customWidth="1" style="171" min="1" max="1"/>
    <col width="8.19921875" customWidth="1" style="171" min="2" max="2"/>
    <col width="9.296875" customWidth="1" style="172" min="3" max="3"/>
    <col width="50.09765625" customWidth="1" style="171" min="4" max="4"/>
    <col width="82" customWidth="1" style="171" min="5" max="5"/>
    <col width="39.796875" customWidth="1" style="173" min="6" max="6"/>
    <col width="13.3984375" customWidth="1" style="173" min="7" max="7"/>
    <col width="10.3984375" customWidth="1" style="174" min="8" max="8"/>
    <col width="13.3984375" customWidth="1" style="171" min="9" max="9"/>
    <col width="13.3984375" customWidth="1" style="172" min="10" max="10"/>
    <col width="13.3984375" customWidth="1" style="171" min="11" max="11"/>
    <col width="14.5" customWidth="1" style="173" min="12" max="13"/>
    <col width="65.09765625" customWidth="1" style="171" min="14" max="14"/>
    <col hidden="1" width="12.59765625" customWidth="1" style="171" min="15" max="16"/>
    <col width="9.59765625" customWidth="1" style="171" min="17" max="19"/>
    <col width="10.09765625" customWidth="1" style="171" min="20" max="20"/>
    <col width="10.09765625" customWidth="1" style="171" min="21" max="16384"/>
  </cols>
  <sheetData>
    <row r="1" ht="4" customHeight="1" s="235"/>
    <row r="2" ht="23.15" customHeight="1" s="235">
      <c r="B2" s="175" t="inlineStr">
        <is>
          <t>Policy Document Sources for Target Identification</t>
        </is>
      </c>
      <c r="C2" s="176" t="n"/>
      <c r="D2" s="177" t="n"/>
      <c r="E2" s="176" t="n"/>
      <c r="F2" s="176" t="n"/>
      <c r="G2" s="178" t="n"/>
      <c r="H2" s="179" t="n"/>
      <c r="I2" s="177" t="n"/>
      <c r="J2" s="176" t="n"/>
      <c r="K2" s="177" t="n"/>
      <c r="L2" s="178" t="n"/>
      <c r="M2" s="178" t="n"/>
      <c r="N2" s="177" t="n"/>
    </row>
    <row r="3" ht="18.5" customFormat="1" customHeight="1" s="180">
      <c r="B3" s="181" t="inlineStr">
        <is>
          <t>Climate-related planning and strategy documents issued by the Chinese government used to identify quantified climate targets.</t>
        </is>
      </c>
      <c r="C3" s="182" t="n"/>
      <c r="D3" s="183" t="n"/>
      <c r="E3" s="182" t="n"/>
      <c r="F3" s="182" t="n"/>
      <c r="G3" s="184" t="n"/>
      <c r="H3" s="185" t="n"/>
      <c r="I3" s="183" t="n"/>
      <c r="J3" s="182" t="n"/>
      <c r="K3" s="183" t="n"/>
      <c r="L3" s="184" t="n"/>
      <c r="M3" s="184" t="n"/>
      <c r="N3" s="183" t="n"/>
    </row>
    <row r="4" ht="3.65" customHeight="1" s="235">
      <c r="E4" s="172" t="n"/>
    </row>
    <row r="5" ht="17.5" customHeight="1" s="235">
      <c r="B5" s="186">
        <f>"Total number of strategy documents: "&amp;COUNTA(D9:D513)</f>
        <v/>
      </c>
      <c r="C5" s="187" t="n"/>
      <c r="D5" s="188" t="n"/>
      <c r="E5" s="188" t="n"/>
      <c r="F5" s="188" t="n"/>
      <c r="G5" s="188" t="n"/>
      <c r="H5" s="189" t="n"/>
      <c r="I5" s="188" t="n"/>
      <c r="J5" s="189" t="n"/>
      <c r="K5" s="188" t="n"/>
      <c r="L5" s="188" t="n"/>
      <c r="M5" s="188" t="n"/>
      <c r="N5" s="190" t="n"/>
    </row>
    <row r="6" ht="5.25" customHeight="1" s="235">
      <c r="B6" s="191" t="n"/>
      <c r="C6" s="191" t="n"/>
      <c r="D6" s="191" t="n"/>
      <c r="E6" s="191" t="n"/>
      <c r="F6" s="191" t="n"/>
      <c r="G6" s="191" t="n"/>
      <c r="H6" s="192" t="n"/>
      <c r="I6" s="191" t="n"/>
      <c r="J6" s="192" t="n"/>
      <c r="K6" s="191" t="n"/>
      <c r="L6" s="191" t="n"/>
      <c r="M6" s="191" t="n"/>
      <c r="N6" s="191" t="n"/>
    </row>
    <row r="7" customFormat="1" s="191">
      <c r="B7" s="193" t="inlineStr">
        <is>
          <t>code</t>
        </is>
      </c>
      <c r="C7" s="194" t="inlineStr">
        <is>
          <t>year</t>
        </is>
      </c>
      <c r="D7" s="193" t="inlineStr">
        <is>
          <t>doc_name_zh</t>
        </is>
      </c>
      <c r="E7" s="193" t="inlineStr">
        <is>
          <t>doc_name_en</t>
        </is>
      </c>
      <c r="F7" s="193" t="inlineStr">
        <is>
          <t>agency</t>
        </is>
      </c>
      <c r="G7" s="193" t="inlineStr">
        <is>
          <t>doc_type</t>
        </is>
      </c>
      <c r="H7" s="194" t="inlineStr">
        <is>
          <t>climate_linkage</t>
        </is>
      </c>
      <c r="I7" s="193" t="inlineStr">
        <is>
          <t>action_field</t>
        </is>
      </c>
      <c r="J7" s="193" t="inlineStr">
        <is>
          <t>covered_period</t>
        </is>
      </c>
      <c r="K7" s="193" t="inlineStr">
        <is>
          <t>target_dummy</t>
        </is>
      </c>
      <c r="L7" s="193" t="inlineStr">
        <is>
          <t>source_format</t>
        </is>
      </c>
      <c r="M7" s="193" t="inlineStr">
        <is>
          <t>source_lang</t>
        </is>
      </c>
      <c r="N7" s="193" t="inlineStr">
        <is>
          <t>source_url</t>
        </is>
      </c>
    </row>
    <row r="8">
      <c r="B8" s="195" t="inlineStr">
        <is>
          <t>Key high-level climate strategies</t>
        </is>
      </c>
      <c r="C8" s="196" t="n"/>
      <c r="D8" s="196" t="n"/>
      <c r="E8" s="196" t="n"/>
      <c r="F8" s="196" t="n"/>
      <c r="G8" s="196" t="n"/>
      <c r="H8" s="196" t="n"/>
      <c r="I8" s="196" t="n"/>
      <c r="J8" s="196" t="n"/>
      <c r="K8" s="196" t="n"/>
      <c r="L8" s="196" t="n"/>
      <c r="M8" s="196" t="n"/>
      <c r="N8" s="197" t="n"/>
    </row>
    <row r="9">
      <c r="B9" s="198" t="inlineStr">
        <is>
          <t>HL0701</t>
        </is>
      </c>
      <c r="C9" s="199" t="n">
        <v>2007</v>
      </c>
      <c r="D9" s="200" t="inlineStr">
        <is>
          <t>中国应对气候变化国家方案</t>
        </is>
      </c>
      <c r="E9" s="200" t="inlineStr">
        <is>
          <t>China’s National Climate Change Programme</t>
        </is>
      </c>
      <c r="F9" s="200" t="inlineStr">
        <is>
          <t>National Development and Reform Commission</t>
        </is>
      </c>
      <c r="G9" s="200" t="inlineStr">
        <is>
          <t>国家方案</t>
        </is>
      </c>
      <c r="H9" s="201" t="inlineStr">
        <is>
          <t>Explicit mitigation</t>
        </is>
      </c>
      <c r="I9" s="199" t="inlineStr">
        <is>
          <t>A</t>
        </is>
      </c>
      <c r="J9" s="199" t="inlineStr">
        <is>
          <t>-</t>
        </is>
      </c>
      <c r="K9" s="202" t="inlineStr">
        <is>
          <t>TAR</t>
        </is>
      </c>
      <c r="L9" s="200" t="inlineStr">
        <is>
          <t>PDF</t>
        </is>
      </c>
      <c r="M9" s="200" t="inlineStr">
        <is>
          <t>EN</t>
        </is>
      </c>
      <c r="N9" s="203" t="inlineStr">
        <is>
          <t>https://www.adaptation-undp.org/sites/default/files/resources/chinas_national_climate_change_program.pdf</t>
        </is>
      </c>
    </row>
    <row r="10">
      <c r="B10" s="198" t="inlineStr">
        <is>
          <t>HL1401</t>
        </is>
      </c>
      <c r="C10" s="199" t="n">
        <v>2014</v>
      </c>
      <c r="D10" s="200" t="inlineStr">
        <is>
          <t>国家应对气候变化规划（2014-2020年）</t>
        </is>
      </c>
      <c r="E10" s="200" t="inlineStr">
        <is>
          <t>National Plan on Climate Change (2014-2020)</t>
        </is>
      </c>
      <c r="F10" s="200" t="inlineStr">
        <is>
          <t>National Development and Reform Commission</t>
        </is>
      </c>
      <c r="G10" s="200" t="inlineStr">
        <is>
          <t>国家规划</t>
        </is>
      </c>
      <c r="H10" s="201" t="inlineStr">
        <is>
          <t>Explicit mitigation</t>
        </is>
      </c>
      <c r="I10" s="199" t="inlineStr">
        <is>
          <t>A</t>
        </is>
      </c>
      <c r="J10" s="199" t="inlineStr">
        <is>
          <t>2014-2020</t>
        </is>
      </c>
      <c r="K10" s="202" t="inlineStr">
        <is>
          <t>NO-TAR</t>
        </is>
      </c>
      <c r="L10" s="200" t="inlineStr">
        <is>
          <t>PDF</t>
        </is>
      </c>
      <c r="M10" s="200" t="inlineStr">
        <is>
          <t>CN</t>
        </is>
      </c>
      <c r="N10" s="203" t="inlineStr">
        <is>
          <t>https://zfxxgk.ndrc.gov.cn/web/iteminfo.jsp?id=298</t>
        </is>
      </c>
    </row>
    <row r="11">
      <c r="B11" s="198" t="inlineStr">
        <is>
          <t>HL2101</t>
        </is>
      </c>
      <c r="C11" s="199" t="n">
        <v>2021</v>
      </c>
      <c r="D11" s="200" t="inlineStr">
        <is>
          <t>关于完整准确全面贯彻新发展理念做好碳达峰碳中和工作的意见</t>
        </is>
      </c>
      <c r="E11" s="200" t="inlineStr">
        <is>
          <t>Working Guidance For Carbon Dioxide Peaking And Carbon Neutrality In Full And Faithful Implementation Of The New Development Philosophy (Literal translation from Chinese: Opinions on the Complete, Accurate, and Comprehensive Implementation of the New Development Concept to Do a Good Job in Carbon Peak and Carbon Neutrality)</t>
        </is>
      </c>
      <c r="F11" s="200" t="inlineStr">
        <is>
          <t>Communist Party of China Central Committee; State Council</t>
        </is>
      </c>
      <c r="G11" s="200" t="inlineStr">
        <is>
          <t>意见</t>
        </is>
      </c>
      <c r="H11" s="201" t="inlineStr">
        <is>
          <t>Explicit mitigation</t>
        </is>
      </c>
      <c r="I11" s="199" t="inlineStr">
        <is>
          <t>A</t>
        </is>
      </c>
      <c r="J11" s="199" t="inlineStr">
        <is>
          <t>-</t>
        </is>
      </c>
      <c r="K11" s="202" t="inlineStr">
        <is>
          <t>TAR</t>
        </is>
      </c>
      <c r="L11" s="200" t="inlineStr">
        <is>
          <t>PDF</t>
        </is>
      </c>
      <c r="M11" s="200" t="inlineStr">
        <is>
          <t>EN</t>
        </is>
      </c>
      <c r="N11" s="203" t="inlineStr">
        <is>
          <t>https://english.www.gov.cn/policies/latestreleases/202110/25/content_WS61760047c6d0df57f98e3c21.html</t>
        </is>
      </c>
    </row>
    <row r="12">
      <c r="B12" s="198" t="inlineStr">
        <is>
          <t>HL2102</t>
        </is>
      </c>
      <c r="C12" s="199" t="n">
        <v>2021</v>
      </c>
      <c r="D12" s="200" t="inlineStr">
        <is>
          <t>2030年前碳达峰行动方案</t>
        </is>
      </c>
      <c r="E12" s="200" t="inlineStr">
        <is>
          <t>Action Plan for Carbon Dioxide Peaking before 2030</t>
        </is>
      </c>
      <c r="F12" s="200" t="inlineStr">
        <is>
          <t>State Council</t>
        </is>
      </c>
      <c r="G12" s="200" t="inlineStr">
        <is>
          <t>行动方案</t>
        </is>
      </c>
      <c r="H12" s="201" t="inlineStr">
        <is>
          <t>Explicit mitigation</t>
        </is>
      </c>
      <c r="I12" s="199" t="inlineStr">
        <is>
          <t>A</t>
        </is>
      </c>
      <c r="J12" s="199" t="inlineStr">
        <is>
          <t>2021-2030</t>
        </is>
      </c>
      <c r="K12" s="202" t="inlineStr">
        <is>
          <t>TAR</t>
        </is>
      </c>
      <c r="L12" s="200" t="inlineStr">
        <is>
          <t>PDF</t>
        </is>
      </c>
      <c r="M12" s="200" t="inlineStr">
        <is>
          <t>EN</t>
        </is>
      </c>
      <c r="N12" s="203" t="inlineStr">
        <is>
          <t>https://english.www.gov.cn/policies/latestreleases/202110/27/content_WS6178a47ec6d0df57f98e3dfb.html</t>
        </is>
      </c>
    </row>
    <row r="13">
      <c r="B13" s="198" t="inlineStr">
        <is>
          <t>HL2104</t>
        </is>
      </c>
      <c r="C13" s="199" t="n">
        <v>2021</v>
      </c>
      <c r="D13" s="200" t="inlineStr">
        <is>
          <t>中国中长期低温室气体排放发展战略</t>
        </is>
      </c>
      <c r="E13" s="200" t="inlineStr">
        <is>
          <t>China’s Mid-Century Long-Term Low Greenhouse Gas Emission Development Strategy</t>
        </is>
      </c>
      <c r="F13" s="200" t="inlineStr">
        <is>
          <t>Ministry of Ecology and Environment</t>
        </is>
      </c>
      <c r="G13" s="200" t="inlineStr">
        <is>
          <t>发展战略</t>
        </is>
      </c>
      <c r="H13" s="201" t="inlineStr">
        <is>
          <t>Explicit mitigation</t>
        </is>
      </c>
      <c r="I13" s="199" t="inlineStr">
        <is>
          <t>A</t>
        </is>
      </c>
      <c r="J13" s="199" t="inlineStr">
        <is>
          <t>-</t>
        </is>
      </c>
      <c r="K13" s="202" t="inlineStr">
        <is>
          <t>TAR</t>
        </is>
      </c>
      <c r="L13" s="200" t="inlineStr">
        <is>
          <t>PDF</t>
        </is>
      </c>
      <c r="M13" s="200" t="inlineStr">
        <is>
          <t>EN</t>
        </is>
      </c>
      <c r="N13" s="203" t="inlineStr">
        <is>
          <t>https://unfccc.int/sites/default/files/resource/China%E2%80%99s%20Mid-Century%20Long-Term%20Low%20Greenhouse%20Gas%20Emission%20Development%20Strategy.pdf</t>
        </is>
      </c>
    </row>
    <row r="14">
      <c r="B14" s="0" t="inlineStr">
        <is>
          <t>HL2603</t>
        </is>
      </c>
      <c r="C14" s="0" t="n">
        <v>2026</v>
      </c>
      <c r="D14" s="0" t="inlineStr">
        <is>
          <t>国家应对气候变化“十五五”规划</t>
        </is>
      </c>
      <c r="E14" s="0" t="inlineStr">
        <is>
          <t>National 15th Five-Year Plan for Addressing Climate Change</t>
        </is>
      </c>
      <c r="F14" s="0" t="inlineStr">
        <is>
          <t>Ministry of Ecology and Environment and other departments</t>
        </is>
      </c>
      <c r="G14" s="0" t="inlineStr">
        <is>
          <t>国家规划</t>
        </is>
      </c>
      <c r="H14" s="0" t="inlineStr">
        <is>
          <t>A</t>
        </is>
      </c>
      <c r="I14" s="0" t="inlineStr">
        <is>
          <t>Explicit mitigation</t>
        </is>
      </c>
      <c r="J14" s="0" t="inlineStr">
        <is>
          <t>15th FYP</t>
        </is>
      </c>
      <c r="K14" s="0" t="inlineStr">
        <is>
          <t>TAR</t>
        </is>
      </c>
      <c r="L14" s="0" t="inlineStr">
        <is>
          <t>PDF</t>
        </is>
      </c>
      <c r="M14" s="0" t="inlineStr">
        <is>
          <t>CN</t>
        </is>
      </c>
      <c r="N14" s="0" t="inlineStr">
        <is>
          <t>https://www.mee.gov.cn/xxgk2018/xxgk/xxgk03/202607/W020260729367834048261.pdf</t>
        </is>
      </c>
    </row>
    <row r="15">
      <c r="B15" s="0" t="inlineStr">
        <is>
          <t>HL2604</t>
        </is>
      </c>
      <c r="C15" s="0" t="n">
        <v>2026</v>
      </c>
      <c r="D15" s="0" t="inlineStr">
        <is>
          <t>“十五五”碳达峰行动方案</t>
        </is>
      </c>
      <c r="E15" s="0" t="inlineStr">
        <is>
          <t>15th Five-Year Action Plan for Carbon Dioxide Peaking</t>
        </is>
      </c>
      <c r="F15" s="0" t="inlineStr">
        <is>
          <t>State Council</t>
        </is>
      </c>
      <c r="G15" s="0" t="inlineStr">
        <is>
          <t>行动方案</t>
        </is>
      </c>
      <c r="H15" s="0" t="inlineStr">
        <is>
          <t>A</t>
        </is>
      </c>
      <c r="I15" s="0" t="inlineStr">
        <is>
          <t>Explicit mitigation</t>
        </is>
      </c>
      <c r="J15" s="0" t="inlineStr">
        <is>
          <t>15th FYP</t>
        </is>
      </c>
      <c r="K15" s="0" t="inlineStr">
        <is>
          <t>TAR</t>
        </is>
      </c>
      <c r="L15" s="0" t="inlineStr">
        <is>
          <t>HTM</t>
        </is>
      </c>
      <c r="M15" s="0" t="inlineStr">
        <is>
          <t>CN</t>
        </is>
      </c>
      <c r="N15" s="0" t="inlineStr">
        <is>
          <t>https://www.gov.cn/zhengce/content/202607/content_7074826.htm</t>
        </is>
      </c>
    </row>
    <row r="16">
      <c r="B16" s="195" t="inlineStr">
        <is>
          <t>Complementary high-level climate strategies</t>
        </is>
      </c>
      <c r="C16" s="196" t="n"/>
      <c r="D16" s="196" t="n"/>
      <c r="E16" s="196" t="n"/>
      <c r="F16" s="196" t="n"/>
      <c r="G16" s="196" t="n"/>
      <c r="H16" s="196" t="n"/>
      <c r="I16" s="196" t="n"/>
      <c r="J16" s="196" t="n"/>
      <c r="K16" s="196" t="n"/>
      <c r="L16" s="196" t="n"/>
      <c r="M16" s="196" t="n"/>
      <c r="N16" s="197" t="inlineStr">
        <is>
          <t>https://www.gov.cn/xinwen/2015-05/05/content_2857363.htm</t>
        </is>
      </c>
    </row>
    <row r="17">
      <c r="B17" s="198" t="inlineStr">
        <is>
          <t>HL1502</t>
        </is>
      </c>
      <c r="C17" s="199" t="n">
        <v>2015</v>
      </c>
      <c r="D17" s="200" t="inlineStr">
        <is>
          <t>生态文明体制改革总体方案</t>
        </is>
      </c>
      <c r="E17" s="200" t="inlineStr">
        <is>
          <t>Overall Plan of Ecological Civilization System Reform</t>
        </is>
      </c>
      <c r="F17" s="200" t="inlineStr">
        <is>
          <t>Communist Party of China Central Committee; State Council</t>
        </is>
      </c>
      <c r="G17" s="200" t="inlineStr">
        <is>
          <t>总体方案</t>
        </is>
      </c>
      <c r="H17" s="201" t="inlineStr">
        <is>
          <t>Mitigation-enabling</t>
        </is>
      </c>
      <c r="I17" s="199" t="inlineStr">
        <is>
          <t>A</t>
        </is>
      </c>
      <c r="J17" s="199" t="inlineStr">
        <is>
          <t>-</t>
        </is>
      </c>
      <c r="K17" s="202" t="inlineStr">
        <is>
          <t>NO-TAR</t>
        </is>
      </c>
      <c r="L17" s="200" t="inlineStr">
        <is>
          <t>HTM</t>
        </is>
      </c>
      <c r="M17" s="200" t="inlineStr">
        <is>
          <t>CN</t>
        </is>
      </c>
      <c r="N17" s="203" t="inlineStr">
        <is>
          <t>https://www.gov.cn/guowuyuan/2015-09/21/content_2936327.htm</t>
        </is>
      </c>
    </row>
    <row r="18">
      <c r="B18" s="198" t="inlineStr">
        <is>
          <t>HL1503</t>
        </is>
      </c>
      <c r="C18" s="199" t="n">
        <v>2015</v>
      </c>
      <c r="D18" s="200" t="inlineStr">
        <is>
          <t>关于加快推进生态文明建设的意见</t>
        </is>
      </c>
      <c r="E18" s="200" t="inlineStr">
        <is>
          <t>Opinions of the CPC Central Committee and the State Council on Accelerating the Construction of Ecological Civilization</t>
        </is>
      </c>
      <c r="F18" s="200" t="inlineStr">
        <is>
          <t>Communist Party of China Central Committee; State Council</t>
        </is>
      </c>
      <c r="G18" s="200" t="inlineStr">
        <is>
          <t>意见</t>
        </is>
      </c>
      <c r="H18" s="201" t="inlineStr">
        <is>
          <t>Mitigation-enabling</t>
        </is>
      </c>
      <c r="I18" s="199" t="inlineStr">
        <is>
          <t>A</t>
        </is>
      </c>
      <c r="J18" s="199" t="inlineStr">
        <is>
          <t>-</t>
        </is>
      </c>
      <c r="K18" s="202" t="inlineStr">
        <is>
          <t>TAR</t>
        </is>
      </c>
      <c r="L18" s="200" t="inlineStr">
        <is>
          <t>HTM</t>
        </is>
      </c>
      <c r="M18" s="200" t="inlineStr">
        <is>
          <t>CN</t>
        </is>
      </c>
      <c r="N18" s="203" t="inlineStr">
        <is>
          <t>https://www.gov.cn/xinwen/2015-05/05/content_2857363.htm</t>
        </is>
      </c>
    </row>
    <row r="19">
      <c r="B19" s="198" t="inlineStr">
        <is>
          <t>HL2106</t>
        </is>
      </c>
      <c r="C19" s="199" t="n">
        <v>2021</v>
      </c>
      <c r="D19" s="200" t="inlineStr">
        <is>
          <t>国务院关于加快建立健全绿色低碳循环发展经济体系的指导意见</t>
        </is>
      </c>
      <c r="E19" s="200" t="inlineStr">
        <is>
          <t>Guiding Opinions on Accelerating the Establishment of a Sound Green, Low-Carbon, and Circular Development Economic System</t>
        </is>
      </c>
      <c r="F19" s="200" t="inlineStr">
        <is>
          <t>State Council</t>
        </is>
      </c>
      <c r="G19" s="200" t="inlineStr">
        <is>
          <t>指导意见</t>
        </is>
      </c>
      <c r="H19" s="201" t="inlineStr">
        <is>
          <t>Explicit mitigation</t>
        </is>
      </c>
      <c r="I19" s="199" t="inlineStr">
        <is>
          <t>A</t>
        </is>
      </c>
      <c r="J19" s="199" t="inlineStr">
        <is>
          <t>-</t>
        </is>
      </c>
      <c r="K19" s="202" t="inlineStr">
        <is>
          <t>NO-TAR</t>
        </is>
      </c>
      <c r="L19" s="200" t="inlineStr">
        <is>
          <t>HTM</t>
        </is>
      </c>
      <c r="M19" s="200" t="inlineStr">
        <is>
          <t>CN</t>
        </is>
      </c>
      <c r="N19" s="203" t="inlineStr">
        <is>
          <t>https://www.gov.cn/zhengce/content/2021-02/22/content_5588274.htm</t>
        </is>
      </c>
    </row>
    <row r="20">
      <c r="B20" s="198" t="inlineStr">
        <is>
          <t>HL2107</t>
        </is>
      </c>
      <c r="C20" s="199" t="n">
        <v>2021</v>
      </c>
      <c r="D20" s="200" t="inlineStr">
        <is>
          <t>中国应对气候变化的政策与行动</t>
        </is>
      </c>
      <c r="E20" s="200" t="inlineStr">
        <is>
          <t>Responding to Climate Change: China's Policies and Actions (White Paper)</t>
        </is>
      </c>
      <c r="F20" s="200" t="inlineStr">
        <is>
          <t>State Council</t>
        </is>
      </c>
      <c r="G20" s="200" t="inlineStr">
        <is>
          <t>白皮书</t>
        </is>
      </c>
      <c r="H20" s="201" t="inlineStr">
        <is>
          <t>Explicit mitigation</t>
        </is>
      </c>
      <c r="I20" s="199" t="inlineStr">
        <is>
          <t>A</t>
        </is>
      </c>
      <c r="J20" s="199" t="inlineStr">
        <is>
          <t>-</t>
        </is>
      </c>
      <c r="K20" s="202" t="inlineStr">
        <is>
          <t>TAR</t>
        </is>
      </c>
      <c r="L20" s="200" t="inlineStr">
        <is>
          <t>PDF</t>
        </is>
      </c>
      <c r="M20" s="200" t="inlineStr">
        <is>
          <t>EN</t>
        </is>
      </c>
      <c r="N20" s="203" t="inlineStr">
        <is>
          <t>http://english.scio.gov.cn/m/whitepapers/2021-10/27/content_77836502_4.htm</t>
        </is>
      </c>
    </row>
    <row r="21">
      <c r="B21" s="198" t="inlineStr">
        <is>
          <t>HL2402</t>
        </is>
      </c>
      <c r="C21" s="199" t="n">
        <v>2024</v>
      </c>
      <c r="D21" s="200" t="inlineStr">
        <is>
          <t>中共中央 国务院关于加快经济社会发展全面绿色转型的意见</t>
        </is>
      </c>
      <c r="E21" s="200" t="inlineStr">
        <is>
          <t>Opinions of the Central Committee of the Communist Party of China and the State Council on Accelerating Comprehensive Green Transformation of Economic and Social Development</t>
        </is>
      </c>
      <c r="F21" s="200" t="inlineStr">
        <is>
          <t>Communist Party of China Central Committee; State Council</t>
        </is>
      </c>
      <c r="G21" s="200" t="inlineStr">
        <is>
          <t>意见</t>
        </is>
      </c>
      <c r="H21" s="201" t="inlineStr">
        <is>
          <t>Explicit mitigation</t>
        </is>
      </c>
      <c r="I21" s="199" t="inlineStr">
        <is>
          <t>A</t>
        </is>
      </c>
      <c r="J21" s="199" t="inlineStr">
        <is>
          <t>-</t>
        </is>
      </c>
      <c r="K21" s="202" t="inlineStr">
        <is>
          <t>NO-TAR</t>
        </is>
      </c>
      <c r="L21" s="200" t="inlineStr">
        <is>
          <t>HTM</t>
        </is>
      </c>
      <c r="M21" s="200" t="inlineStr">
        <is>
          <t>CN</t>
        </is>
      </c>
      <c r="N21" s="203" t="inlineStr">
        <is>
          <t>https://www.gov.cn/zhengce/202408/content_6967663.htm</t>
        </is>
      </c>
    </row>
    <row r="22">
      <c r="B22" s="198" t="inlineStr">
        <is>
          <t>HL2403</t>
        </is>
      </c>
      <c r="C22" s="199" t="n">
        <v>2024</v>
      </c>
      <c r="D22" s="200" t="inlineStr">
        <is>
          <t>中共中央 国务院关于全面推进美丽中国建设的意见</t>
        </is>
      </c>
      <c r="E22" s="200" t="inlineStr">
        <is>
          <t>Opinions of the Central Committee of the Communist Party of China and the State Council on Comprehensively Promoting the Building of a Beautiful China</t>
        </is>
      </c>
      <c r="F22" s="200" t="inlineStr">
        <is>
          <t>Communist Party of China Central Committee; State Council</t>
        </is>
      </c>
      <c r="G22" s="200" t="inlineStr">
        <is>
          <t>意见</t>
        </is>
      </c>
      <c r="H22" s="201" t="inlineStr">
        <is>
          <t>Mitigation-enabling</t>
        </is>
      </c>
      <c r="I22" s="199" t="inlineStr">
        <is>
          <t>A</t>
        </is>
      </c>
      <c r="J22" s="199" t="inlineStr">
        <is>
          <t>-</t>
        </is>
      </c>
      <c r="K22" s="202" t="inlineStr">
        <is>
          <t>NO-TAR</t>
        </is>
      </c>
      <c r="L22" s="200" t="inlineStr">
        <is>
          <t>HTM</t>
        </is>
      </c>
      <c r="M22" s="200" t="inlineStr">
        <is>
          <t>CN</t>
        </is>
      </c>
      <c r="N22" s="203" t="inlineStr">
        <is>
          <t>https://www.gov.cn/zhengce/202401/content_6925405.htm</t>
        </is>
      </c>
    </row>
    <row r="23">
      <c r="B23" s="198" t="inlineStr">
        <is>
          <t>HL2406</t>
        </is>
      </c>
      <c r="C23" s="199" t="n">
        <v>2024</v>
      </c>
      <c r="D23" s="201" t="inlineStr">
        <is>
          <t>加快构建碳排放双控制度体系工作方案</t>
        </is>
      </c>
      <c r="E23" s="201" t="inlineStr">
        <is>
          <t>Work Plan for Accelerating the Construction of a Dual Control System for Carbon Emissions</t>
        </is>
      </c>
      <c r="F23" s="200" t="inlineStr">
        <is>
          <t>State Council</t>
        </is>
      </c>
      <c r="G23" s="200" t="inlineStr">
        <is>
          <t>工作方案</t>
        </is>
      </c>
      <c r="H23" s="201" t="inlineStr">
        <is>
          <t>Explicit mitigation</t>
        </is>
      </c>
      <c r="I23" s="202" t="inlineStr">
        <is>
          <t>C.3</t>
        </is>
      </c>
      <c r="J23" s="202" t="inlineStr">
        <is>
          <t>-</t>
        </is>
      </c>
      <c r="K23" s="202" t="inlineStr">
        <is>
          <t>NO-TAR</t>
        </is>
      </c>
      <c r="L23" s="200" t="inlineStr">
        <is>
          <t>HTM</t>
        </is>
      </c>
      <c r="M23" s="200" t="inlineStr">
        <is>
          <t>CN</t>
        </is>
      </c>
      <c r="N23" s="203" t="inlineStr">
        <is>
          <t>https://www.gov.cn/zhengce/content/202408/content_6966079.htm</t>
        </is>
      </c>
    </row>
    <row r="24">
      <c r="B24" s="195" t="inlineStr">
        <is>
          <t>Key presidential climate speeches</t>
        </is>
      </c>
      <c r="C24" s="196" t="n"/>
      <c r="D24" s="196" t="n"/>
      <c r="E24" s="196" t="n"/>
      <c r="F24" s="196" t="n"/>
      <c r="G24" s="196" t="n"/>
      <c r="H24" s="196" t="n"/>
      <c r="I24" s="196" t="n"/>
      <c r="J24" s="196" t="n"/>
      <c r="K24" s="196" t="n"/>
      <c r="L24" s="196" t="n"/>
      <c r="M24" s="196" t="n"/>
      <c r="N24" s="197" t="inlineStr">
        <is>
          <t>https://www.chinadaily.com.cn/a/202104/22/WS60819863a31024ad0bab9b58.html?utm_source=chatgpt.com</t>
        </is>
      </c>
    </row>
    <row r="25">
      <c r="B25" s="198" t="inlineStr">
        <is>
          <t>PA2001</t>
        </is>
      </c>
      <c r="C25" s="199" t="n">
        <v>2020</v>
      </c>
      <c r="D25" s="200" t="inlineStr">
        <is>
          <t>中国国家主席在第七十五届联合国大会一般性辩论上的讲话</t>
        </is>
      </c>
      <c r="E25" s="200" t="inlineStr">
        <is>
          <t>Remarks by Chinese President Xi Jinping at Climate Ambition Summit 2020</t>
        </is>
      </c>
      <c r="F25" s="200" t="inlineStr">
        <is>
          <t>-</t>
        </is>
      </c>
      <c r="G25" s="200" t="inlineStr">
        <is>
          <t>演讲</t>
        </is>
      </c>
      <c r="H25" s="200" t="inlineStr">
        <is>
          <t>Explicit mitigation</t>
        </is>
      </c>
      <c r="I25" s="199" t="inlineStr">
        <is>
          <t>A</t>
        </is>
      </c>
      <c r="J25" s="200" t="inlineStr">
        <is>
          <t>-</t>
        </is>
      </c>
      <c r="K25" s="202" t="inlineStr">
        <is>
          <t>TAR</t>
        </is>
      </c>
      <c r="L25" s="200" t="inlineStr">
        <is>
          <t>HTM</t>
        </is>
      </c>
      <c r="M25" s="200" t="inlineStr">
        <is>
          <t>EN</t>
        </is>
      </c>
      <c r="N25" s="203" t="inlineStr">
        <is>
          <t>https://english.mee.gov.cn/News_service/media_news/202012/t20201216_813364.shtml?utm_source=chatgpt.com</t>
        </is>
      </c>
    </row>
    <row r="26">
      <c r="B26" s="198" t="inlineStr">
        <is>
          <t>PA2101</t>
        </is>
      </c>
      <c r="C26" s="199" t="n">
        <v>2021</v>
      </c>
      <c r="D26" s="200" t="inlineStr">
        <is>
          <t>中国国家主席在2021年气候变化领导人峰会上的演讲</t>
        </is>
      </c>
      <c r="E26" s="200" t="inlineStr">
        <is>
          <t>Remarks by Chinese President Xi Jinping at Leaders Summit on Climate 2021</t>
        </is>
      </c>
      <c r="F26" s="200" t="inlineStr">
        <is>
          <t>-</t>
        </is>
      </c>
      <c r="G26" s="200" t="inlineStr">
        <is>
          <t>演讲</t>
        </is>
      </c>
      <c r="H26" s="200" t="inlineStr">
        <is>
          <t>Explicit mitigation</t>
        </is>
      </c>
      <c r="I26" s="199" t="inlineStr">
        <is>
          <t>A</t>
        </is>
      </c>
      <c r="J26" s="200" t="inlineStr">
        <is>
          <t>-</t>
        </is>
      </c>
      <c r="K26" s="202" t="inlineStr">
        <is>
          <t>TAR</t>
        </is>
      </c>
      <c r="L26" s="200" t="inlineStr">
        <is>
          <t>HTM</t>
        </is>
      </c>
      <c r="M26" s="200" t="inlineStr">
        <is>
          <t>CN</t>
        </is>
      </c>
      <c r="N26" s="203" t="inlineStr">
        <is>
          <t>https://www.chinadaily.com.cn/a/202104/22/WS60819863a31024ad0bab9b58.html?utm_source=chatgpt.com</t>
        </is>
      </c>
    </row>
    <row r="27">
      <c r="B27" s="198" t="inlineStr">
        <is>
          <t>PA2501</t>
        </is>
      </c>
      <c r="C27" s="199" t="n">
        <v>2025</v>
      </c>
      <c r="D27" s="200" t="inlineStr">
        <is>
          <t>中国国家主席在2025年联合国气候峰会上的讲话</t>
        </is>
      </c>
      <c r="E27" s="200" t="inlineStr">
        <is>
          <t>Remarks by Chinese President Xi Jinping at United Nations Climate Summit 2025</t>
        </is>
      </c>
      <c r="F27" s="200" t="inlineStr">
        <is>
          <t>-</t>
        </is>
      </c>
      <c r="G27" s="200" t="inlineStr">
        <is>
          <t>演讲</t>
        </is>
      </c>
      <c r="H27" s="200" t="inlineStr">
        <is>
          <t>Explicit mitigation</t>
        </is>
      </c>
      <c r="I27" s="199" t="inlineStr">
        <is>
          <t>A</t>
        </is>
      </c>
      <c r="J27" s="200" t="inlineStr">
        <is>
          <t>-</t>
        </is>
      </c>
      <c r="K27" s="202" t="inlineStr">
        <is>
          <t>TAR</t>
        </is>
      </c>
      <c r="L27" s="200" t="inlineStr">
        <is>
          <t>HTM</t>
        </is>
      </c>
      <c r="M27" s="200" t="inlineStr">
        <is>
          <t>EN</t>
        </is>
      </c>
      <c r="N27" s="203" t="inlineStr">
        <is>
          <t>https://english.www.gov.cn/news/202509/25/content_WS68d47dcac6d00ca5f9a066a5.html</t>
        </is>
      </c>
    </row>
    <row r="28">
      <c r="B28" s="195" t="inlineStr">
        <is>
          <t>UNFCCC submissions</t>
        </is>
      </c>
      <c r="C28" s="196" t="n"/>
      <c r="D28" s="196" t="n"/>
      <c r="E28" s="196" t="n"/>
      <c r="F28" s="196" t="n"/>
      <c r="G28" s="196" t="n"/>
      <c r="H28" s="196" t="n"/>
      <c r="I28" s="196" t="n"/>
      <c r="J28" s="196" t="n"/>
      <c r="K28" s="196" t="n"/>
      <c r="L28" s="196" t="n"/>
      <c r="M28" s="196" t="n"/>
      <c r="N28" s="197" t="inlineStr">
        <is>
          <t>https://unfccc.int/resource/docs/natc/chnnc2e.pdf</t>
        </is>
      </c>
    </row>
    <row r="29">
      <c r="B29" s="198" t="inlineStr">
        <is>
          <t>HL0401</t>
        </is>
      </c>
      <c r="C29" s="199" t="n">
        <v>2004</v>
      </c>
      <c r="D29" s="200" t="inlineStr">
        <is>
          <t>中华人民共和国气候变化第初步次国家信息通报</t>
        </is>
      </c>
      <c r="E29" s="200" t="inlineStr">
        <is>
          <t>China's Initial National Communication on Climate Change</t>
        </is>
      </c>
      <c r="F29" s="200" t="inlineStr">
        <is>
          <t>Ministry of Ecology and Environment</t>
        </is>
      </c>
      <c r="G29" s="200" t="inlineStr">
        <is>
          <t>国家信息通报</t>
        </is>
      </c>
      <c r="H29" s="201" t="inlineStr">
        <is>
          <t>Explicit mitigation</t>
        </is>
      </c>
      <c r="I29" s="199" t="inlineStr">
        <is>
          <t>A</t>
        </is>
      </c>
      <c r="J29" s="199" t="inlineStr">
        <is>
          <t>-</t>
        </is>
      </c>
      <c r="K29" s="202" t="inlineStr">
        <is>
          <t>TAR</t>
        </is>
      </c>
      <c r="L29" s="200" t="inlineStr">
        <is>
          <t>PDF</t>
        </is>
      </c>
      <c r="M29" s="200" t="inlineStr">
        <is>
          <t>EN</t>
        </is>
      </c>
      <c r="N29" s="203" t="inlineStr">
        <is>
          <t>https://unfccc.int/resource/docs/natc/chnnc1c.pdf</t>
        </is>
      </c>
    </row>
    <row r="30">
      <c r="B30" s="198" t="inlineStr">
        <is>
          <t>HL1201</t>
        </is>
      </c>
      <c r="C30" s="199" t="n">
        <v>2012</v>
      </c>
      <c r="D30" s="200" t="inlineStr">
        <is>
          <t>中华人民共和国气候变化第二次国家信息通报</t>
        </is>
      </c>
      <c r="E30" s="200" t="inlineStr">
        <is>
          <t>China's Second National Communication on Climate Change</t>
        </is>
      </c>
      <c r="F30" s="200" t="inlineStr">
        <is>
          <t>Ministry of Ecology and Environment</t>
        </is>
      </c>
      <c r="G30" s="200" t="inlineStr">
        <is>
          <t>国家信息通报</t>
        </is>
      </c>
      <c r="H30" s="201" t="inlineStr">
        <is>
          <t>Explicit mitigation</t>
        </is>
      </c>
      <c r="I30" s="199" t="inlineStr">
        <is>
          <t>A</t>
        </is>
      </c>
      <c r="J30" s="199" t="inlineStr">
        <is>
          <t>-</t>
        </is>
      </c>
      <c r="K30" s="202" t="inlineStr">
        <is>
          <t>TAR</t>
        </is>
      </c>
      <c r="L30" s="200" t="inlineStr">
        <is>
          <t>PDF</t>
        </is>
      </c>
      <c r="M30" s="200" t="inlineStr">
        <is>
          <t>EN</t>
        </is>
      </c>
      <c r="N30" s="203" t="inlineStr">
        <is>
          <t>https://unfccc.int/resource/docs/natc/chnnc2e.pdf</t>
        </is>
      </c>
    </row>
    <row r="31">
      <c r="B31" s="198" t="inlineStr">
        <is>
          <t>HL1601</t>
        </is>
      </c>
      <c r="C31" s="199" t="n">
        <v>2016</v>
      </c>
      <c r="D31" s="200" t="inlineStr">
        <is>
          <t>中华人民共和国首次国家自主贡献</t>
        </is>
      </c>
      <c r="E31" s="200" t="inlineStr">
        <is>
          <t>China' First Nationally Determined Contribution / China's First NDC</t>
        </is>
      </c>
      <c r="F31" s="200" t="inlineStr">
        <is>
          <t>Ministry of Ecology and Environment</t>
        </is>
      </c>
      <c r="G31" s="200" t="inlineStr">
        <is>
          <t>国家自主贡献</t>
        </is>
      </c>
      <c r="H31" s="201" t="inlineStr">
        <is>
          <t>Explicit mitigation</t>
        </is>
      </c>
      <c r="I31" s="199" t="inlineStr">
        <is>
          <t>A</t>
        </is>
      </c>
      <c r="J31" s="199" t="inlineStr">
        <is>
          <t>2016-2030</t>
        </is>
      </c>
      <c r="K31" s="202" t="inlineStr">
        <is>
          <t>TAR</t>
        </is>
      </c>
      <c r="L31" s="200" t="inlineStr">
        <is>
          <t>PDF</t>
        </is>
      </c>
      <c r="M31" s="200" t="inlineStr">
        <is>
          <t>CN</t>
        </is>
      </c>
      <c r="N31" s="203" t="inlineStr">
        <is>
          <t>https://www.greenpolicyplatform.org/national-documents/peoples-republic-china-nationally-determined-contribution-ndc-chinese</t>
        </is>
      </c>
    </row>
    <row r="32">
      <c r="B32" s="198" t="inlineStr">
        <is>
          <t>HL1701</t>
        </is>
      </c>
      <c r="C32" s="199" t="n">
        <v>2017</v>
      </c>
      <c r="D32" s="200" t="inlineStr">
        <is>
          <t>中华人民共和国应对气候变化的第一份双年度更新报告</t>
        </is>
      </c>
      <c r="E32" s="200" t="inlineStr">
        <is>
          <t>The First Biennial Update Report on Climate Change of the People's Republic of China</t>
        </is>
      </c>
      <c r="F32" s="200" t="inlineStr">
        <is>
          <t>Ministry of Ecology and Environment</t>
        </is>
      </c>
      <c r="G32" s="200" t="inlineStr">
        <is>
          <t>双年度更新报告</t>
        </is>
      </c>
      <c r="H32" s="201" t="inlineStr">
        <is>
          <t>Explicit mitigation</t>
        </is>
      </c>
      <c r="I32" s="199" t="inlineStr">
        <is>
          <t>A</t>
        </is>
      </c>
      <c r="J32" s="199" t="inlineStr">
        <is>
          <t>-</t>
        </is>
      </c>
      <c r="K32" s="202" t="inlineStr">
        <is>
          <t>TAR</t>
        </is>
      </c>
      <c r="L32" s="200" t="inlineStr">
        <is>
          <t>PDF</t>
        </is>
      </c>
      <c r="M32" s="200" t="inlineStr">
        <is>
          <t>CN</t>
        </is>
      </c>
      <c r="N32" s="203" t="inlineStr">
        <is>
          <t>https://unfccc.int/sites/default/files/resource/The%20People%E2%80%99s%20Republic%20of%20China%20First%20Biennial%20Transparency%20Report%20on%20Climate%20Change.pdf</t>
        </is>
      </c>
    </row>
    <row r="33">
      <c r="B33" s="198" t="inlineStr">
        <is>
          <t>HL1901</t>
        </is>
      </c>
      <c r="C33" s="199" t="n">
        <v>2019</v>
      </c>
      <c r="D33" s="200" t="inlineStr">
        <is>
          <t>中华人民共和国应对气候变化的第二份双年度更新报告</t>
        </is>
      </c>
      <c r="E33" s="200" t="inlineStr">
        <is>
          <t>The Second Biennial Update Report on Climate Change of the People's Republic of China</t>
        </is>
      </c>
      <c r="F33" s="200" t="inlineStr">
        <is>
          <t>Ministry of Ecology and Environment</t>
        </is>
      </c>
      <c r="G33" s="200" t="inlineStr">
        <is>
          <t>双年度更新报告</t>
        </is>
      </c>
      <c r="H33" s="201" t="inlineStr">
        <is>
          <t>Explicit mitigation</t>
        </is>
      </c>
      <c r="I33" s="199" t="inlineStr">
        <is>
          <t>A</t>
        </is>
      </c>
      <c r="J33" s="199" t="inlineStr">
        <is>
          <t>-</t>
        </is>
      </c>
      <c r="K33" s="202" t="inlineStr">
        <is>
          <t>TAR</t>
        </is>
      </c>
      <c r="L33" s="200" t="inlineStr">
        <is>
          <t>PDF</t>
        </is>
      </c>
      <c r="M33" s="200" t="inlineStr">
        <is>
          <t>EN</t>
        </is>
      </c>
      <c r="N33" s="203" t="inlineStr">
        <is>
          <t>https://unfccc.int/sites/default/files/resource/China%202BUR_English.pdf</t>
        </is>
      </c>
    </row>
    <row r="34">
      <c r="B34" s="198" t="inlineStr">
        <is>
          <t>HL1902</t>
        </is>
      </c>
      <c r="C34" s="199" t="n">
        <v>2019</v>
      </c>
      <c r="D34" s="200" t="inlineStr">
        <is>
          <t>中华人民共和国气候变化第三次国家信息通报</t>
        </is>
      </c>
      <c r="E34" s="200" t="inlineStr">
        <is>
          <t>China's Third National Communication on Climate Change</t>
        </is>
      </c>
      <c r="F34" s="200" t="inlineStr">
        <is>
          <t>Ministry of Ecology and Environment</t>
        </is>
      </c>
      <c r="G34" s="200" t="inlineStr">
        <is>
          <t>国家自主贡献</t>
        </is>
      </c>
      <c r="H34" s="201" t="inlineStr">
        <is>
          <t>Explicit mitigation</t>
        </is>
      </c>
      <c r="I34" s="199" t="inlineStr">
        <is>
          <t>A</t>
        </is>
      </c>
      <c r="J34" s="199" t="inlineStr">
        <is>
          <t>-</t>
        </is>
      </c>
      <c r="K34" s="202" t="inlineStr">
        <is>
          <t>TAR</t>
        </is>
      </c>
      <c r="L34" s="200" t="inlineStr">
        <is>
          <t>PDF</t>
        </is>
      </c>
      <c r="M34" s="200" t="inlineStr">
        <is>
          <t>EN</t>
        </is>
      </c>
      <c r="N34" s="203" t="inlineStr">
        <is>
          <t>https://english.mee.gov.cn/Resources/Reports/reports/201907/P020190702566752327206.pdf</t>
        </is>
      </c>
    </row>
    <row r="35">
      <c r="B35" s="198" t="inlineStr">
        <is>
          <t>HL2105</t>
        </is>
      </c>
      <c r="C35" s="199" t="n">
        <v>2021</v>
      </c>
      <c r="D35" s="200" t="inlineStr">
        <is>
          <t>中国落实国家自主贡献成效和新目标新举措</t>
        </is>
      </c>
      <c r="E35" s="200" t="inlineStr">
        <is>
          <t>China’s Achievements, New Goals and New Measures for Nationally Determined Contributions / China's Updated NDC</t>
        </is>
      </c>
      <c r="F35" s="200" t="inlineStr">
        <is>
          <t>Ministry of Ecology and Environment</t>
        </is>
      </c>
      <c r="G35" s="200" t="inlineStr">
        <is>
          <t>国家自主贡献</t>
        </is>
      </c>
      <c r="H35" s="201" t="inlineStr">
        <is>
          <t>Explicit mitigation</t>
        </is>
      </c>
      <c r="I35" s="199" t="inlineStr">
        <is>
          <t>A</t>
        </is>
      </c>
      <c r="J35" s="199" t="inlineStr">
        <is>
          <t>2021-2030</t>
        </is>
      </c>
      <c r="K35" s="202" t="inlineStr">
        <is>
          <t>TAR</t>
        </is>
      </c>
      <c r="L35" s="200" t="inlineStr">
        <is>
          <t>PDF</t>
        </is>
      </c>
      <c r="M35" s="200" t="inlineStr">
        <is>
          <t>EN</t>
        </is>
      </c>
      <c r="N35" s="203" t="inlineStr">
        <is>
          <t>https://unfccc.int/NDCREG</t>
        </is>
      </c>
    </row>
    <row r="36">
      <c r="B36" s="198" t="inlineStr">
        <is>
          <t>HL2201</t>
        </is>
      </c>
      <c r="C36" s="199" t="n">
        <v>2022</v>
      </c>
      <c r="D36" s="200" t="inlineStr">
        <is>
          <t>中国落实国家自主贡献目标进展报告（2022年）</t>
        </is>
      </c>
      <c r="E36" s="200" t="inlineStr">
        <is>
          <t>Progress on the Implementation of China’s Nationally Determined Contributions (2022)</t>
        </is>
      </c>
      <c r="F36" s="200" t="inlineStr">
        <is>
          <t>Ministry of Ecology and Environment</t>
        </is>
      </c>
      <c r="G36" s="200" t="inlineStr">
        <is>
          <t>目标进展报告</t>
        </is>
      </c>
      <c r="H36" s="201" t="inlineStr">
        <is>
          <t>Explicit mitigation</t>
        </is>
      </c>
      <c r="I36" s="199" t="inlineStr">
        <is>
          <t>A</t>
        </is>
      </c>
      <c r="J36" s="199" t="inlineStr">
        <is>
          <t>-</t>
        </is>
      </c>
      <c r="K36" s="202" t="inlineStr">
        <is>
          <t>NO-TAR</t>
        </is>
      </c>
      <c r="L36" s="200" t="inlineStr">
        <is>
          <t>PDF</t>
        </is>
      </c>
      <c r="M36" s="200" t="inlineStr">
        <is>
          <t>EN</t>
        </is>
      </c>
      <c r="N36" s="203" t="inlineStr">
        <is>
          <t>https://unfccc.int/NDCREG</t>
        </is>
      </c>
    </row>
    <row r="37">
      <c r="B37" s="198" t="inlineStr">
        <is>
          <t>HL2301</t>
        </is>
      </c>
      <c r="C37" s="199" t="n">
        <v>2023</v>
      </c>
      <c r="D37" s="200" t="inlineStr">
        <is>
          <t>中华人民共和国应对气候变化的第三份双年度更新报告</t>
        </is>
      </c>
      <c r="E37" s="200" t="inlineStr">
        <is>
          <t>The Third Biennial Update Report on Climate Change of the People's Republic of China</t>
        </is>
      </c>
      <c r="F37" s="200" t="inlineStr">
        <is>
          <t>Ministry of Ecology and Environment</t>
        </is>
      </c>
      <c r="G37" s="200" t="inlineStr">
        <is>
          <t>双年度更新报告</t>
        </is>
      </c>
      <c r="H37" s="201" t="inlineStr">
        <is>
          <t>Explicit mitigation</t>
        </is>
      </c>
      <c r="I37" s="199" t="inlineStr">
        <is>
          <t>A</t>
        </is>
      </c>
      <c r="J37" s="199" t="inlineStr">
        <is>
          <t>-</t>
        </is>
      </c>
      <c r="K37" s="202" t="inlineStr">
        <is>
          <t>NO-TAR</t>
        </is>
      </c>
      <c r="L37" s="200" t="inlineStr">
        <is>
          <t>PDF</t>
        </is>
      </c>
      <c r="M37" s="200" t="inlineStr">
        <is>
          <t>EN</t>
        </is>
      </c>
      <c r="N37" s="203" t="inlineStr">
        <is>
          <t>https://unfccc.int/sites/default/files/resource/China_BUR3_English.pdf</t>
        </is>
      </c>
    </row>
    <row r="38">
      <c r="B38" s="198" t="inlineStr">
        <is>
          <t>HL2302</t>
        </is>
      </c>
      <c r="C38" s="199" t="n">
        <v>2023</v>
      </c>
      <c r="D38" s="200" t="inlineStr">
        <is>
          <t>中华人民共和国气候变化第四次国家信息通报</t>
        </is>
      </c>
      <c r="E38" s="200" t="inlineStr">
        <is>
          <t>China's Fourth National Communication on Climate Change</t>
        </is>
      </c>
      <c r="F38" s="200" t="inlineStr">
        <is>
          <t>Ministry of Ecology and Environment</t>
        </is>
      </c>
      <c r="G38" s="200" t="inlineStr">
        <is>
          <t>国家信息通报</t>
        </is>
      </c>
      <c r="H38" s="201" t="inlineStr">
        <is>
          <t>Explicit mitigation</t>
        </is>
      </c>
      <c r="I38" s="199" t="inlineStr">
        <is>
          <t>A</t>
        </is>
      </c>
      <c r="J38" s="199" t="inlineStr">
        <is>
          <t>-</t>
        </is>
      </c>
      <c r="K38" s="202" t="inlineStr">
        <is>
          <t>TAR</t>
        </is>
      </c>
      <c r="L38" s="200" t="inlineStr">
        <is>
          <t>PDF</t>
        </is>
      </c>
      <c r="M38" s="200" t="inlineStr">
        <is>
          <t>EN</t>
        </is>
      </c>
      <c r="N38" s="203" t="inlineStr">
        <is>
          <t>https://unfccc.int/sites/default/files/resource/China_NC4_English.pdf</t>
        </is>
      </c>
    </row>
    <row r="39" ht="14.5" customHeight="1" s="235">
      <c r="B39" s="198" t="inlineStr">
        <is>
          <t>HL2401</t>
        </is>
      </c>
      <c r="C39" s="199" t="n">
        <v>2024</v>
      </c>
      <c r="D39" s="200" t="inlineStr">
        <is>
          <t>中华人民共和国应对气候变化的第一份双年度透明度报告</t>
        </is>
      </c>
      <c r="E39" s="200" t="inlineStr">
        <is>
          <t>The First Biennial Transparency Report on Climate Change of the People's Republic of China</t>
        </is>
      </c>
      <c r="F39" s="200" t="inlineStr">
        <is>
          <t>Ministry of Ecology and Environment</t>
        </is>
      </c>
      <c r="G39" s="200" t="inlineStr">
        <is>
          <t>双年度透明度报告</t>
        </is>
      </c>
      <c r="H39" s="201" t="inlineStr">
        <is>
          <t>Explicit mitigation</t>
        </is>
      </c>
      <c r="I39" s="199" t="inlineStr">
        <is>
          <t>A</t>
        </is>
      </c>
      <c r="J39" s="199" t="inlineStr">
        <is>
          <t>-</t>
        </is>
      </c>
      <c r="K39" s="202" t="inlineStr">
        <is>
          <t>TAR</t>
        </is>
      </c>
      <c r="L39" s="200" t="inlineStr">
        <is>
          <t>PDF</t>
        </is>
      </c>
      <c r="M39" s="200" t="inlineStr">
        <is>
          <t>EN</t>
        </is>
      </c>
      <c r="N39" s="203" t="inlineStr">
        <is>
          <t>https://www.mee.gov.cn/ywdt/hjywnews/202312/t20231229_1060290.shtml</t>
        </is>
      </c>
    </row>
    <row r="40">
      <c r="B40" s="198" t="inlineStr">
        <is>
          <t>HL2503</t>
        </is>
      </c>
      <c r="C40" s="199" t="n">
        <v>2025</v>
      </c>
      <c r="D40" s="200" t="inlineStr">
        <is>
          <t>2035 年中国国家自主贡献报告</t>
        </is>
      </c>
      <c r="E40" s="200" t="inlineStr">
        <is>
          <t>China's Nationally Determined Contribution for 2035</t>
        </is>
      </c>
      <c r="F40" s="200" t="inlineStr">
        <is>
          <t>Ministry of Ecology and Environment</t>
        </is>
      </c>
      <c r="G40" s="200" t="inlineStr">
        <is>
          <t>国家自主贡献</t>
        </is>
      </c>
      <c r="H40" s="201" t="inlineStr">
        <is>
          <t>Explicit mitigation</t>
        </is>
      </c>
      <c r="I40" s="199" t="inlineStr">
        <is>
          <t>A</t>
        </is>
      </c>
      <c r="J40" s="199" t="inlineStr">
        <is>
          <t>2026-2035</t>
        </is>
      </c>
      <c r="K40" s="202" t="inlineStr">
        <is>
          <t>TAR</t>
        </is>
      </c>
      <c r="L40" s="200" t="inlineStr">
        <is>
          <t>PDF</t>
        </is>
      </c>
      <c r="M40" s="200" t="inlineStr">
        <is>
          <t>CN</t>
        </is>
      </c>
      <c r="N40" s="203" t="inlineStr">
        <is>
          <t>https://unfccc.int/sites/default/files/2025-11/2035%E5%B9%B4%E4%B8%AD%E5%9B%BD%E5%9B%BD%E5%AE%B6%E8%87%AA%E4%B8%BB%E8%B4%A1%E7%8C%AE%E6%8A%A5%E5%91%8A.pdf</t>
        </is>
      </c>
    </row>
    <row r="41">
      <c r="B41" s="195" t="inlineStr">
        <is>
          <t>Annual climate reports</t>
        </is>
      </c>
      <c r="C41" s="196" t="n"/>
      <c r="D41" s="196" t="n"/>
      <c r="E41" s="196" t="n"/>
      <c r="F41" s="196" t="n"/>
      <c r="G41" s="196" t="n"/>
      <c r="H41" s="196" t="n"/>
      <c r="I41" s="196" t="n"/>
      <c r="J41" s="196" t="n"/>
      <c r="K41" s="196" t="n"/>
      <c r="L41" s="196" t="n"/>
      <c r="M41" s="196" t="n"/>
      <c r="N41" s="197" t="inlineStr">
        <is>
          <t>https://www.ccchina.org.cn/WebSite/CCChina/UpFile/File571.pdf</t>
        </is>
      </c>
    </row>
    <row r="42">
      <c r="B42" s="198" t="inlineStr">
        <is>
          <t>HL0801</t>
        </is>
      </c>
      <c r="C42" s="199" t="n">
        <v>2008</v>
      </c>
      <c r="D42" s="200" t="inlineStr">
        <is>
          <t>中国应对气候变化的政策与行动2008年度报告</t>
        </is>
      </c>
      <c r="E42" s="200" t="inlineStr">
        <is>
          <t>China's Policies and Actions on Climate Change 2008 Annual Report</t>
        </is>
      </c>
      <c r="F42" s="200" t="inlineStr">
        <is>
          <t>National Development and Reform Commission</t>
        </is>
      </c>
      <c r="G42" s="200" t="inlineStr">
        <is>
          <t>年度报告</t>
        </is>
      </c>
      <c r="H42" s="201" t="inlineStr">
        <is>
          <t>Explicit mitigation</t>
        </is>
      </c>
      <c r="I42" s="199" t="inlineStr">
        <is>
          <t>A</t>
        </is>
      </c>
      <c r="J42" s="199" t="n">
        <v>2008</v>
      </c>
      <c r="K42" s="202" t="inlineStr">
        <is>
          <t>TAR</t>
        </is>
      </c>
      <c r="L42" s="200" t="inlineStr">
        <is>
          <t>PDF</t>
        </is>
      </c>
      <c r="M42" s="200" t="inlineStr">
        <is>
          <t>EN</t>
        </is>
      </c>
      <c r="N42" s="203" t="inlineStr">
        <is>
          <t>http://bb.china-embassy.gov.cn/eng/sgxw/200811/P020210724224798219558.pdf</t>
        </is>
      </c>
    </row>
    <row r="43">
      <c r="B43" s="198" t="inlineStr">
        <is>
          <t>HL0901</t>
        </is>
      </c>
      <c r="C43" s="199" t="n">
        <v>2009</v>
      </c>
      <c r="D43" s="200" t="inlineStr">
        <is>
          <t>中国应对气候变化的政策与行动2009年度报告</t>
        </is>
      </c>
      <c r="E43" s="200" t="inlineStr">
        <is>
          <t>China's Policies and Actions on Climate Change 2009 Annual Report</t>
        </is>
      </c>
      <c r="F43" s="200" t="inlineStr">
        <is>
          <t>National Development and Reform Commission</t>
        </is>
      </c>
      <c r="G43" s="200" t="inlineStr">
        <is>
          <t>年度报告</t>
        </is>
      </c>
      <c r="H43" s="201" t="inlineStr">
        <is>
          <t>Explicit mitigation</t>
        </is>
      </c>
      <c r="I43" s="199" t="inlineStr">
        <is>
          <t>A</t>
        </is>
      </c>
      <c r="J43" s="199" t="n">
        <v>2009</v>
      </c>
      <c r="K43" s="202" t="inlineStr">
        <is>
          <t>TAR</t>
        </is>
      </c>
      <c r="L43" s="200" t="inlineStr">
        <is>
          <t>PDF</t>
        </is>
      </c>
      <c r="M43" s="200" t="inlineStr">
        <is>
          <t>EN</t>
        </is>
      </c>
      <c r="N43" s="203" t="inlineStr">
        <is>
          <t>https://www.ccchina.org.cn/WebSite/CCChina/UpFile/File571.pdf</t>
        </is>
      </c>
    </row>
    <row r="44">
      <c r="B44" s="198" t="inlineStr">
        <is>
          <t>HL1002</t>
        </is>
      </c>
      <c r="C44" s="199" t="n">
        <v>2010</v>
      </c>
      <c r="D44" s="200" t="inlineStr">
        <is>
          <t>中国应对气候变化的政策与行动2010年度报告</t>
        </is>
      </c>
      <c r="E44" s="200" t="inlineStr">
        <is>
          <t>China's Policies and Actions on Climate Change 2010 Annual Report</t>
        </is>
      </c>
      <c r="F44" s="200" t="inlineStr">
        <is>
          <t>National Development and Reform Commission</t>
        </is>
      </c>
      <c r="G44" s="200" t="inlineStr">
        <is>
          <t>年度报告</t>
        </is>
      </c>
      <c r="H44" s="201" t="inlineStr">
        <is>
          <t>Explicit mitigation</t>
        </is>
      </c>
      <c r="I44" s="199" t="inlineStr">
        <is>
          <t>A</t>
        </is>
      </c>
      <c r="J44" s="199" t="n">
        <v>2010</v>
      </c>
      <c r="K44" s="202" t="inlineStr">
        <is>
          <t>NO-TAR</t>
        </is>
      </c>
      <c r="L44" s="200" t="inlineStr">
        <is>
          <t>PDF</t>
        </is>
      </c>
      <c r="M44" s="200" t="inlineStr">
        <is>
          <t>CN</t>
        </is>
      </c>
      <c r="N44" s="203" t="inlineStr">
        <is>
          <t>http://www.ncsc.org.cn/yjcg/cbw/201307/W020180920484673915021.pdf</t>
        </is>
      </c>
    </row>
    <row r="45">
      <c r="B45" s="198" t="inlineStr">
        <is>
          <t>HL1101</t>
        </is>
      </c>
      <c r="C45" s="199" t="n">
        <v>2011</v>
      </c>
      <c r="D45" s="200" t="inlineStr">
        <is>
          <t>中国应对气候变化的政策与行动（2011）白皮书</t>
        </is>
      </c>
      <c r="E45" s="200" t="inlineStr">
        <is>
          <t>China's Policies and Actions on Climate Change 2011 White Paper</t>
        </is>
      </c>
      <c r="F45" s="200" t="inlineStr">
        <is>
          <t>National Development and Reform Commission</t>
        </is>
      </c>
      <c r="G45" s="200" t="inlineStr">
        <is>
          <t>白皮书</t>
        </is>
      </c>
      <c r="H45" s="201" t="inlineStr">
        <is>
          <t>Explicit mitigation</t>
        </is>
      </c>
      <c r="I45" s="199" t="inlineStr">
        <is>
          <t>A</t>
        </is>
      </c>
      <c r="J45" s="199" t="n">
        <v>2011</v>
      </c>
      <c r="K45" s="202" t="inlineStr">
        <is>
          <t>TAR</t>
        </is>
      </c>
      <c r="L45" s="200" t="inlineStr">
        <is>
          <t>HTM</t>
        </is>
      </c>
      <c r="M45" s="200" t="inlineStr">
        <is>
          <t>CN</t>
        </is>
      </c>
      <c r="N45" s="203" t="inlineStr">
        <is>
          <t>https://www.gov.cn/jrzg/2011-11/22/content_2000047.htm</t>
        </is>
      </c>
    </row>
    <row r="46">
      <c r="B46" s="198" t="inlineStr">
        <is>
          <t>HL1202</t>
        </is>
      </c>
      <c r="C46" s="199" t="n">
        <v>2012</v>
      </c>
      <c r="D46" s="200" t="inlineStr">
        <is>
          <t>中国应对气候变化的政策与行动2012年度报告</t>
        </is>
      </c>
      <c r="E46" s="200" t="inlineStr">
        <is>
          <t>China's Policies and Actions on Climate Change 2012 Annual Report</t>
        </is>
      </c>
      <c r="F46" s="200" t="inlineStr">
        <is>
          <t>National Development and Reform Commission</t>
        </is>
      </c>
      <c r="G46" s="200" t="inlineStr">
        <is>
          <t>年度报告</t>
        </is>
      </c>
      <c r="H46" s="201" t="inlineStr">
        <is>
          <t>Explicit mitigation</t>
        </is>
      </c>
      <c r="I46" s="199" t="inlineStr">
        <is>
          <t>A</t>
        </is>
      </c>
      <c r="J46" s="199" t="n">
        <v>2012</v>
      </c>
      <c r="K46" s="202" t="inlineStr">
        <is>
          <t>TAR</t>
        </is>
      </c>
      <c r="L46" s="200" t="inlineStr">
        <is>
          <t>PDF</t>
        </is>
      </c>
      <c r="M46" s="200" t="inlineStr">
        <is>
          <t>EN</t>
        </is>
      </c>
      <c r="N46" s="203" t="inlineStr">
        <is>
          <t>http://www.ncsc.org.cn/yjcg/cbw/201307/W020180920484675924333.pdf</t>
        </is>
      </c>
    </row>
    <row r="47">
      <c r="B47" s="198" t="inlineStr">
        <is>
          <t>HL1301</t>
        </is>
      </c>
      <c r="C47" s="199" t="n">
        <v>2013</v>
      </c>
      <c r="D47" s="200" t="inlineStr">
        <is>
          <t>中国应对气候变化的政策与行动2013年度报告</t>
        </is>
      </c>
      <c r="E47" s="200" t="inlineStr">
        <is>
          <t>China's Policies and Actions on Climate Change 2013 Annual Report</t>
        </is>
      </c>
      <c r="F47" s="200" t="inlineStr">
        <is>
          <t>National Development and Reform Commission</t>
        </is>
      </c>
      <c r="G47" s="200" t="inlineStr">
        <is>
          <t>年度报告</t>
        </is>
      </c>
      <c r="H47" s="201" t="inlineStr">
        <is>
          <t>Explicit mitigation</t>
        </is>
      </c>
      <c r="I47" s="199" t="inlineStr">
        <is>
          <t>A</t>
        </is>
      </c>
      <c r="J47" s="199" t="n">
        <v>2013</v>
      </c>
      <c r="K47" s="202" t="inlineStr">
        <is>
          <t>NO-TAR</t>
        </is>
      </c>
      <c r="L47" s="200" t="inlineStr">
        <is>
          <t>PDF</t>
        </is>
      </c>
      <c r="M47" s="200" t="inlineStr">
        <is>
          <t>EN</t>
        </is>
      </c>
      <c r="N47" s="203" t="inlineStr">
        <is>
          <t>http://www.ncsc.org.cn/yjcg/cbw/201311/W020180920484676540025.pdf</t>
        </is>
      </c>
    </row>
    <row r="48">
      <c r="B48" s="198" t="inlineStr">
        <is>
          <t>HL1402</t>
        </is>
      </c>
      <c r="C48" s="199" t="n">
        <v>2014</v>
      </c>
      <c r="D48" s="200" t="inlineStr">
        <is>
          <t>中国应对气候变化的政策与行动2014年度报告</t>
        </is>
      </c>
      <c r="E48" s="200" t="inlineStr">
        <is>
          <t>China's Policies and Actions on Climate Change 2014 Annual Report</t>
        </is>
      </c>
      <c r="F48" s="200" t="inlineStr">
        <is>
          <t>National Development and Reform Commission</t>
        </is>
      </c>
      <c r="G48" s="200" t="inlineStr">
        <is>
          <t>年度报告</t>
        </is>
      </c>
      <c r="H48" s="201" t="inlineStr">
        <is>
          <t>Explicit mitigation</t>
        </is>
      </c>
      <c r="I48" s="199" t="inlineStr">
        <is>
          <t>A</t>
        </is>
      </c>
      <c r="J48" s="199" t="n">
        <v>2014</v>
      </c>
      <c r="K48" s="202" t="inlineStr">
        <is>
          <t>TAR</t>
        </is>
      </c>
      <c r="L48" s="200" t="inlineStr">
        <is>
          <t>PDF</t>
        </is>
      </c>
      <c r="M48" s="200" t="inlineStr">
        <is>
          <t>EN</t>
        </is>
      </c>
      <c r="N48" s="203" t="inlineStr">
        <is>
          <t>https://faolex.fao.org/docs/pdf/chn229788.pdf</t>
        </is>
      </c>
    </row>
    <row r="49">
      <c r="B49" s="198" t="inlineStr">
        <is>
          <t>HL1505</t>
        </is>
      </c>
      <c r="C49" s="199" t="n">
        <v>2015</v>
      </c>
      <c r="D49" s="200" t="inlineStr">
        <is>
          <t>中国应对气候变化的政策与行动2015年度报告</t>
        </is>
      </c>
      <c r="E49" s="200" t="inlineStr">
        <is>
          <t>China's Policies and Actions on Climate Change 2015 Annual Report</t>
        </is>
      </c>
      <c r="F49" s="200" t="inlineStr">
        <is>
          <t>National Development and Reform Commission</t>
        </is>
      </c>
      <c r="G49" s="200" t="inlineStr">
        <is>
          <t>年度报告</t>
        </is>
      </c>
      <c r="H49" s="201" t="inlineStr">
        <is>
          <t>Explicit mitigation</t>
        </is>
      </c>
      <c r="I49" s="199" t="inlineStr">
        <is>
          <t>A</t>
        </is>
      </c>
      <c r="J49" s="199" t="n">
        <v>2015</v>
      </c>
      <c r="K49" s="202" t="inlineStr">
        <is>
          <t>NO-TAR</t>
        </is>
      </c>
      <c r="L49" s="200" t="inlineStr">
        <is>
          <t>PDF</t>
        </is>
      </c>
      <c r="M49" s="200" t="inlineStr">
        <is>
          <t>EN</t>
        </is>
      </c>
      <c r="N49" s="203" t="inlineStr">
        <is>
          <t>https://www.cma.gov.cn/en2014/climate/featutes/201511/P020151120633951236905.pdf</t>
        </is>
      </c>
    </row>
    <row r="50">
      <c r="B50" s="198" t="inlineStr">
        <is>
          <t>HL1602</t>
        </is>
      </c>
      <c r="C50" s="199" t="n">
        <v>2016</v>
      </c>
      <c r="D50" s="200" t="inlineStr">
        <is>
          <t>中国应对气候变化的政策与行动2016年度报告</t>
        </is>
      </c>
      <c r="E50" s="200" t="inlineStr">
        <is>
          <t>China's Policies and Actions on Climate Change 2016 Annual Report</t>
        </is>
      </c>
      <c r="F50" s="200" t="inlineStr">
        <is>
          <t>National Development and Reform Commission</t>
        </is>
      </c>
      <c r="G50" s="200" t="inlineStr">
        <is>
          <t>年度报告</t>
        </is>
      </c>
      <c r="H50" s="201" t="inlineStr">
        <is>
          <t>Explicit mitigation</t>
        </is>
      </c>
      <c r="I50" s="199" t="inlineStr">
        <is>
          <t>A</t>
        </is>
      </c>
      <c r="J50" s="199" t="n">
        <v>2016</v>
      </c>
      <c r="K50" s="202" t="inlineStr">
        <is>
          <t>NO-TAR</t>
        </is>
      </c>
      <c r="L50" s="200" t="inlineStr">
        <is>
          <t>PDF</t>
        </is>
      </c>
      <c r="M50" s="200" t="inlineStr">
        <is>
          <t>EN</t>
        </is>
      </c>
      <c r="N50" s="203" t="inlineStr">
        <is>
          <t>http://english.mee.gov.cn/Resources/Reports/reports/201812/P020181203551911199524.pdf</t>
        </is>
      </c>
    </row>
    <row r="51">
      <c r="B51" s="198" t="inlineStr">
        <is>
          <t>HL1702</t>
        </is>
      </c>
      <c r="C51" s="199" t="n">
        <v>2017</v>
      </c>
      <c r="D51" s="200" t="inlineStr">
        <is>
          <t>中国应对气候变化的政策与行动2017年度报告</t>
        </is>
      </c>
      <c r="E51" s="200" t="inlineStr">
        <is>
          <t>China's Policies and Actions on Climate Change 2017 Annual Report</t>
        </is>
      </c>
      <c r="F51" s="200" t="inlineStr">
        <is>
          <t>National Development and Reform Commission</t>
        </is>
      </c>
      <c r="G51" s="200" t="inlineStr">
        <is>
          <t>年度报告</t>
        </is>
      </c>
      <c r="H51" s="201" t="inlineStr">
        <is>
          <t>Explicit mitigation</t>
        </is>
      </c>
      <c r="I51" s="199" t="inlineStr">
        <is>
          <t>A</t>
        </is>
      </c>
      <c r="J51" s="199" t="n">
        <v>2017</v>
      </c>
      <c r="K51" s="202" t="inlineStr">
        <is>
          <t>NO-TAR</t>
        </is>
      </c>
      <c r="L51" s="200" t="inlineStr">
        <is>
          <t>PDF</t>
        </is>
      </c>
      <c r="M51" s="200" t="inlineStr">
        <is>
          <t>EN</t>
        </is>
      </c>
      <c r="N51" s="203" t="inlineStr">
        <is>
          <t>https://en.ndrc.gov.cn/news/pressreleases/202105/P020210527390986419589.pdf</t>
        </is>
      </c>
    </row>
    <row r="52">
      <c r="B52" s="198" t="inlineStr">
        <is>
          <t>HL1801</t>
        </is>
      </c>
      <c r="C52" s="199" t="n">
        <v>2018</v>
      </c>
      <c r="D52" s="200" t="inlineStr">
        <is>
          <t>中国应对气候变化的政策与行动2018年度报告</t>
        </is>
      </c>
      <c r="E52" s="200" t="inlineStr">
        <is>
          <t>China's Policies and Actions on Climate Change 2018 Annual Report</t>
        </is>
      </c>
      <c r="F52" s="200" t="inlineStr">
        <is>
          <t>Ministry of Ecology and Environment</t>
        </is>
      </c>
      <c r="G52" s="200" t="inlineStr">
        <is>
          <t>年度报告</t>
        </is>
      </c>
      <c r="H52" s="201" t="inlineStr">
        <is>
          <t>Explicit mitigation</t>
        </is>
      </c>
      <c r="I52" s="199" t="inlineStr">
        <is>
          <t>A</t>
        </is>
      </c>
      <c r="J52" s="199" t="n">
        <v>2018</v>
      </c>
      <c r="K52" s="202" t="inlineStr">
        <is>
          <t>TAR</t>
        </is>
      </c>
      <c r="L52" s="200" t="inlineStr">
        <is>
          <t>PDF</t>
        </is>
      </c>
      <c r="M52" s="200" t="inlineStr">
        <is>
          <t>EN</t>
        </is>
      </c>
      <c r="N52" s="203" t="inlineStr">
        <is>
          <t>https://english.mee.gov.cn/News_service/news_release/201812/P020181203536441502157.pdf</t>
        </is>
      </c>
    </row>
    <row r="53">
      <c r="B53" s="198" t="inlineStr">
        <is>
          <t>HL1903</t>
        </is>
      </c>
      <c r="C53" s="199" t="n">
        <v>2019</v>
      </c>
      <c r="D53" s="200" t="inlineStr">
        <is>
          <t>中国应对气候变化的政策与行动2019年度报告</t>
        </is>
      </c>
      <c r="E53" s="200" t="inlineStr">
        <is>
          <t>China's Policies and Actions on Climate Change 2019 Annual Report</t>
        </is>
      </c>
      <c r="F53" s="200" t="inlineStr">
        <is>
          <t>Ministry of Ecology and Environment</t>
        </is>
      </c>
      <c r="G53" s="200" t="inlineStr">
        <is>
          <t>年度报告</t>
        </is>
      </c>
      <c r="H53" s="201" t="inlineStr">
        <is>
          <t>Explicit mitigation</t>
        </is>
      </c>
      <c r="I53" s="199" t="inlineStr">
        <is>
          <t>A</t>
        </is>
      </c>
      <c r="J53" s="199" t="n">
        <v>2019</v>
      </c>
      <c r="K53" s="202" t="inlineStr">
        <is>
          <t>TAR</t>
        </is>
      </c>
      <c r="L53" s="200" t="inlineStr">
        <is>
          <t>PDF</t>
        </is>
      </c>
      <c r="M53" s="200" t="inlineStr">
        <is>
          <t>EN</t>
        </is>
      </c>
      <c r="N53" s="203" t="inlineStr">
        <is>
          <t>https://english.mee.gov.cn/Resources/Reports/reports/201912/P020191204495763994956.pdf</t>
        </is>
      </c>
    </row>
    <row r="54">
      <c r="B54" s="198" t="inlineStr">
        <is>
          <t>HL2001</t>
        </is>
      </c>
      <c r="C54" s="199" t="n">
        <v>2020</v>
      </c>
      <c r="D54" s="200" t="inlineStr">
        <is>
          <t>中国应对气候变化的政策与行动2020年度报告</t>
        </is>
      </c>
      <c r="E54" s="200" t="inlineStr">
        <is>
          <t>China's Policies and Actions on Climate Change 2020 Annual Report</t>
        </is>
      </c>
      <c r="F54" s="200" t="inlineStr">
        <is>
          <t>Ministry of Ecology and Environment</t>
        </is>
      </c>
      <c r="G54" s="200" t="inlineStr">
        <is>
          <t>年度报告</t>
        </is>
      </c>
      <c r="H54" s="201" t="inlineStr">
        <is>
          <t>Explicit mitigation</t>
        </is>
      </c>
      <c r="I54" s="199" t="inlineStr">
        <is>
          <t>A</t>
        </is>
      </c>
      <c r="J54" s="199" t="n">
        <v>2020</v>
      </c>
      <c r="K54" s="202" t="inlineStr">
        <is>
          <t>NO-TAR</t>
        </is>
      </c>
      <c r="L54" s="200" t="inlineStr">
        <is>
          <t>PDF</t>
        </is>
      </c>
      <c r="M54" s="200" t="inlineStr">
        <is>
          <t>EN</t>
        </is>
      </c>
      <c r="N54" s="203" t="inlineStr">
        <is>
          <t>http://www.ncsc.org.cn/yjcg/cbw/202111/P020211117418821628432.pdf</t>
        </is>
      </c>
    </row>
    <row r="55">
      <c r="B55" s="198" t="inlineStr">
        <is>
          <t>HL2202</t>
        </is>
      </c>
      <c r="C55" s="199" t="n">
        <v>2022</v>
      </c>
      <c r="D55" s="200" t="inlineStr">
        <is>
          <t>中国应对气候变化的政策与行动2022年度报告</t>
        </is>
      </c>
      <c r="E55" s="200" t="inlineStr">
        <is>
          <t>China's Policies and Actions on Climate Change 2022 Annual Report</t>
        </is>
      </c>
      <c r="F55" s="200" t="inlineStr">
        <is>
          <t>Ministry of Ecology and Environment</t>
        </is>
      </c>
      <c r="G55" s="200" t="inlineStr">
        <is>
          <t>年度报告</t>
        </is>
      </c>
      <c r="H55" s="201" t="inlineStr">
        <is>
          <t>Explicit mitigation</t>
        </is>
      </c>
      <c r="I55" s="199" t="inlineStr">
        <is>
          <t>A</t>
        </is>
      </c>
      <c r="J55" s="199" t="n">
        <v>2022</v>
      </c>
      <c r="K55" s="202" t="inlineStr">
        <is>
          <t>NO-TAR</t>
        </is>
      </c>
      <c r="L55" s="200" t="inlineStr">
        <is>
          <t>PDF</t>
        </is>
      </c>
      <c r="M55" s="200" t="inlineStr">
        <is>
          <t>EN</t>
        </is>
      </c>
      <c r="N55" s="203" t="inlineStr">
        <is>
          <t>https://english.mee.gov.cn/Resources/Reports/reports/202211/P020221110605466439270.pdf</t>
        </is>
      </c>
    </row>
    <row r="56">
      <c r="B56" s="198" t="inlineStr">
        <is>
          <t>HL2303</t>
        </is>
      </c>
      <c r="C56" s="199" t="n">
        <v>2023</v>
      </c>
      <c r="D56" s="200" t="inlineStr">
        <is>
          <t>中国应对气候变化的政策与行动2023年度报告</t>
        </is>
      </c>
      <c r="E56" s="200" t="inlineStr">
        <is>
          <t>China's Policies and Actions on Climate Change 2023 Annual Report</t>
        </is>
      </c>
      <c r="F56" s="200" t="inlineStr">
        <is>
          <t>Ministry of Ecology and Environment</t>
        </is>
      </c>
      <c r="G56" s="200" t="inlineStr">
        <is>
          <t>年度报告</t>
        </is>
      </c>
      <c r="H56" s="201" t="inlineStr">
        <is>
          <t>Explicit mitigation</t>
        </is>
      </c>
      <c r="I56" s="199" t="inlineStr">
        <is>
          <t>A</t>
        </is>
      </c>
      <c r="J56" s="199" t="n">
        <v>2023</v>
      </c>
      <c r="K56" s="202" t="inlineStr">
        <is>
          <t>NO-TAR</t>
        </is>
      </c>
      <c r="L56" s="200" t="inlineStr">
        <is>
          <t>HTM</t>
        </is>
      </c>
      <c r="M56" s="200" t="inlineStr">
        <is>
          <t>CN</t>
        </is>
      </c>
      <c r="N56" s="203" t="inlineStr">
        <is>
          <t>https://www.mee.gov.cn/ywgz/ydqhbh/wsqtkz/202310/W020231027674250657087.pdf</t>
        </is>
      </c>
    </row>
    <row r="57">
      <c r="B57" s="198" t="inlineStr">
        <is>
          <t>HL2404</t>
        </is>
      </c>
      <c r="C57" s="199" t="n">
        <v>2024</v>
      </c>
      <c r="D57" s="200" t="inlineStr">
        <is>
          <t>中国应对气候变化的政策与行动2024年度报告</t>
        </is>
      </c>
      <c r="E57" s="200" t="inlineStr">
        <is>
          <t>China's Policies and Actions on Climate Change 2024 Annual Report</t>
        </is>
      </c>
      <c r="F57" s="200" t="inlineStr">
        <is>
          <t>Ministry of Ecology and Environment</t>
        </is>
      </c>
      <c r="G57" s="200" t="inlineStr">
        <is>
          <t>年度报告</t>
        </is>
      </c>
      <c r="H57" s="201" t="inlineStr">
        <is>
          <t>Explicit mitigation</t>
        </is>
      </c>
      <c r="I57" s="199" t="inlineStr">
        <is>
          <t>A</t>
        </is>
      </c>
      <c r="J57" s="199" t="n">
        <v>2024</v>
      </c>
      <c r="K57" s="202" t="inlineStr">
        <is>
          <t>TAR</t>
        </is>
      </c>
      <c r="L57" s="200" t="inlineStr">
        <is>
          <t>PDF</t>
        </is>
      </c>
      <c r="M57" s="200" t="inlineStr">
        <is>
          <t>EN</t>
        </is>
      </c>
      <c r="N57" s="203" t="inlineStr">
        <is>
          <t>https://english.mee.gov.cn/News_service/news_release/202501/P020250122370358250549.pdf</t>
        </is>
      </c>
    </row>
    <row r="58">
      <c r="B58" s="198" t="inlineStr">
        <is>
          <t>HL2502</t>
        </is>
      </c>
      <c r="C58" s="199" t="n">
        <v>2025</v>
      </c>
      <c r="D58" s="200" t="inlineStr">
        <is>
          <t>中国应对气候变化的政策与行动2025年度报告</t>
        </is>
      </c>
      <c r="E58" s="200" t="inlineStr">
        <is>
          <t>China's Policies and Actions on Climate Change 2025 Annual Report</t>
        </is>
      </c>
      <c r="F58" s="200" t="inlineStr">
        <is>
          <t>Ministry of Ecology and Environment</t>
        </is>
      </c>
      <c r="G58" s="200" t="inlineStr">
        <is>
          <t>年度报告</t>
        </is>
      </c>
      <c r="H58" s="201" t="inlineStr">
        <is>
          <t>Explicit mitigation</t>
        </is>
      </c>
      <c r="I58" s="199" t="inlineStr">
        <is>
          <t>A</t>
        </is>
      </c>
      <c r="J58" s="199" t="n">
        <v>2025</v>
      </c>
      <c r="K58" s="202" t="inlineStr">
        <is>
          <t>TAR</t>
        </is>
      </c>
      <c r="L58" s="200" t="inlineStr">
        <is>
          <t>PDF</t>
        </is>
      </c>
      <c r="M58" s="200" t="inlineStr">
        <is>
          <t>EN</t>
        </is>
      </c>
      <c r="N58" s="203" t="inlineStr">
        <is>
          <t>https://www.gov.cn/lianbo/bumen/202510/content_7046295.htm</t>
        </is>
      </c>
    </row>
    <row r="59">
      <c r="B59" s="195" t="inlineStr">
        <is>
          <t>National Five-Year-Plans</t>
        </is>
      </c>
      <c r="C59" s="196" t="n"/>
      <c r="D59" s="196" t="n"/>
      <c r="E59" s="196" t="n"/>
      <c r="F59" s="196" t="n"/>
      <c r="G59" s="196" t="n"/>
      <c r="H59" s="196" t="n"/>
      <c r="I59" s="196" t="n"/>
      <c r="J59" s="196" t="n"/>
      <c r="K59" s="196" t="n"/>
      <c r="L59" s="196" t="n"/>
      <c r="M59" s="196" t="n"/>
      <c r="N59" s="197" t="inlineStr">
        <is>
          <t>https://policy.asiapacificenergy.org/node/37</t>
        </is>
      </c>
    </row>
    <row r="60">
      <c r="B60" s="198" t="inlineStr">
        <is>
          <t>HL0601</t>
        </is>
      </c>
      <c r="C60" s="199" t="n">
        <v>2006</v>
      </c>
      <c r="D60" s="200" t="inlineStr">
        <is>
          <t>中华人民共和国国民经济和社会发展第十一个五年规划纲要</t>
        </is>
      </c>
      <c r="E60" s="200" t="inlineStr">
        <is>
          <t xml:space="preserve">China’s 11th Five-Year Plan </t>
        </is>
      </c>
      <c r="F60" s="200" t="inlineStr">
        <is>
          <t>National Development and Reform Commission</t>
        </is>
      </c>
      <c r="G60" s="200" t="inlineStr">
        <is>
          <t>五年规划</t>
        </is>
      </c>
      <c r="H60" s="201" t="inlineStr">
        <is>
          <t>Economy planning incl. climate</t>
        </is>
      </c>
      <c r="I60" s="199" t="inlineStr">
        <is>
          <t>A</t>
        </is>
      </c>
      <c r="J60" s="199" t="inlineStr">
        <is>
          <t>11th FYP</t>
        </is>
      </c>
      <c r="K60" s="202" t="inlineStr">
        <is>
          <t>TAR</t>
        </is>
      </c>
      <c r="L60" s="200" t="inlineStr">
        <is>
          <t>PDF</t>
        </is>
      </c>
      <c r="M60" s="200" t="inlineStr">
        <is>
          <t>EN</t>
        </is>
      </c>
      <c r="N60" s="203" t="inlineStr">
        <is>
          <t>https://policy.asiapacificenergy.org/sites/default/files/11th%20Five-Year%20Plan%20%282006-2010%29%20for%20National%20Economic%20and%20Social%20Development%20%28EN%29.pdf?utm_source=chatgpt.com</t>
        </is>
      </c>
    </row>
    <row r="61">
      <c r="B61" s="198" t="inlineStr">
        <is>
          <t>HL1001</t>
        </is>
      </c>
      <c r="C61" s="199" t="n">
        <v>2010</v>
      </c>
      <c r="D61" s="200" t="inlineStr">
        <is>
          <t>中华人民共和国国民经济和社会发展第十二个五年规划纲要</t>
        </is>
      </c>
      <c r="E61" s="200" t="inlineStr">
        <is>
          <t xml:space="preserve">China’s 12th Five-Year Plan </t>
        </is>
      </c>
      <c r="F61" s="200" t="inlineStr">
        <is>
          <t>National Development and Reform Commission</t>
        </is>
      </c>
      <c r="G61" s="200" t="inlineStr">
        <is>
          <t>五年规划</t>
        </is>
      </c>
      <c r="H61" s="201" t="inlineStr">
        <is>
          <t>Economy planning incl. climate</t>
        </is>
      </c>
      <c r="I61" s="199" t="inlineStr">
        <is>
          <t>A</t>
        </is>
      </c>
      <c r="J61" s="199" t="inlineStr">
        <is>
          <t>12th FYP</t>
        </is>
      </c>
      <c r="K61" s="202" t="inlineStr">
        <is>
          <t>TAR</t>
        </is>
      </c>
      <c r="L61" s="200" t="inlineStr">
        <is>
          <t>PDF</t>
        </is>
      </c>
      <c r="M61" s="200" t="inlineStr">
        <is>
          <t>EN</t>
        </is>
      </c>
      <c r="N61" s="203" t="inlineStr">
        <is>
          <t>https://policy.asiapacificenergy.org/node/37</t>
        </is>
      </c>
    </row>
    <row r="62">
      <c r="B62" s="198" t="inlineStr">
        <is>
          <t>HL1501</t>
        </is>
      </c>
      <c r="C62" s="199" t="n">
        <v>2015</v>
      </c>
      <c r="D62" s="200" t="inlineStr">
        <is>
          <t>中华人民共和国国民经济和社会发展第十三个五年规划纲要</t>
        </is>
      </c>
      <c r="E62" s="200" t="inlineStr">
        <is>
          <t xml:space="preserve">China’s 13th Five-Year Plan </t>
        </is>
      </c>
      <c r="F62" s="200" t="inlineStr">
        <is>
          <t>National Development and Reform Commission</t>
        </is>
      </c>
      <c r="G62" s="200" t="inlineStr">
        <is>
          <t>五年规划</t>
        </is>
      </c>
      <c r="H62" s="201" t="inlineStr">
        <is>
          <t>Economy planning incl. climate</t>
        </is>
      </c>
      <c r="I62" s="199" t="inlineStr">
        <is>
          <t>A</t>
        </is>
      </c>
      <c r="J62" s="199" t="inlineStr">
        <is>
          <t>13th FYP</t>
        </is>
      </c>
      <c r="K62" s="202" t="inlineStr">
        <is>
          <t>TAR</t>
        </is>
      </c>
      <c r="L62" s="200" t="inlineStr">
        <is>
          <t>PDF</t>
        </is>
      </c>
      <c r="M62" s="200" t="inlineStr">
        <is>
          <t>EN</t>
        </is>
      </c>
      <c r="N62" s="203" t="inlineStr">
        <is>
          <t>https://en.ndrc.gov.cn/policies/202105/P020210527785800103339.pdf?utm_source=chatgpt.com</t>
        </is>
      </c>
    </row>
    <row r="63">
      <c r="B63" s="198" t="inlineStr">
        <is>
          <t>HL2103</t>
        </is>
      </c>
      <c r="C63" s="199" t="n">
        <v>2021</v>
      </c>
      <c r="D63" s="200" t="inlineStr">
        <is>
          <t xml:space="preserve">中华人民共和国国民经济和社会发展第十四个五年规划和2035年远景目标纲要 </t>
        </is>
      </c>
      <c r="E63" s="200" t="inlineStr">
        <is>
          <t>China’s 14th Five-Year Plan and Outline of the Long-Term Goals for 2035</t>
        </is>
      </c>
      <c r="F63" s="200" t="inlineStr">
        <is>
          <t>National Development and Reform Commission</t>
        </is>
      </c>
      <c r="G63" s="200" t="inlineStr">
        <is>
          <t>五年规划</t>
        </is>
      </c>
      <c r="H63" s="201" t="inlineStr">
        <is>
          <t>Economy planning incl. climate</t>
        </is>
      </c>
      <c r="I63" s="199" t="inlineStr">
        <is>
          <t>A</t>
        </is>
      </c>
      <c r="J63" s="199" t="inlineStr">
        <is>
          <t>14th FYP, up to 2035</t>
        </is>
      </c>
      <c r="K63" s="202" t="inlineStr">
        <is>
          <t>TAR</t>
        </is>
      </c>
      <c r="L63" s="200" t="inlineStr">
        <is>
          <t>HTM</t>
        </is>
      </c>
      <c r="M63" s="200" t="inlineStr">
        <is>
          <t>CN</t>
        </is>
      </c>
      <c r="N63" s="203" t="inlineStr">
        <is>
          <t>https://www.gov.cn/xinwen/2021-03/13/content_5592681.htm</t>
        </is>
      </c>
    </row>
    <row r="64">
      <c r="B64" s="198" t="inlineStr">
        <is>
          <t>HL2601</t>
        </is>
      </c>
      <c r="C64" s="199" t="n">
        <v>2026</v>
      </c>
      <c r="D64" s="200" t="inlineStr">
        <is>
          <t>中华人民共和国国民经济和社会发展第十五个五年规划纲要</t>
        </is>
      </c>
      <c r="E64" s="200" t="inlineStr">
        <is>
          <t xml:space="preserve">China’s 15th Five-Year Plan </t>
        </is>
      </c>
      <c r="F64" s="200" t="inlineStr">
        <is>
          <t>National Development and Reform Commission</t>
        </is>
      </c>
      <c r="G64" s="200" t="inlineStr">
        <is>
          <t>五年规划</t>
        </is>
      </c>
      <c r="H64" s="201" t="inlineStr">
        <is>
          <t>Economy planning incl. climate</t>
        </is>
      </c>
      <c r="I64" s="199" t="inlineStr">
        <is>
          <t>A</t>
        </is>
      </c>
      <c r="J64" s="199" t="inlineStr">
        <is>
          <t>15th FYP</t>
        </is>
      </c>
      <c r="K64" s="202" t="inlineStr">
        <is>
          <t>TAR</t>
        </is>
      </c>
      <c r="L64" s="200" t="inlineStr">
        <is>
          <t>PDF</t>
        </is>
      </c>
      <c r="M64" s="200" t="inlineStr">
        <is>
          <t>CN</t>
        </is>
      </c>
      <c r="N64" s="203" t="inlineStr">
        <is>
          <t>https://www.ndrc.gov.cn/fggz/fzzlgh/gjfzgh/202603/U020260317369114704096.pdf</t>
        </is>
      </c>
    </row>
    <row r="65">
      <c r="B65" s="195" t="inlineStr">
        <is>
          <t>State Council Work Reports</t>
        </is>
      </c>
      <c r="C65" s="196" t="n"/>
      <c r="D65" s="196" t="n"/>
      <c r="E65" s="196" t="n"/>
      <c r="F65" s="196" t="n"/>
      <c r="G65" s="196" t="n"/>
      <c r="H65" s="196" t="n"/>
      <c r="I65" s="196" t="n"/>
      <c r="J65" s="196" t="n"/>
      <c r="K65" s="196" t="n"/>
      <c r="L65" s="196" t="n"/>
      <c r="M65" s="196" t="n"/>
      <c r="N65" s="197" t="inlineStr">
        <is>
          <t>https://www.gov.cn/test/2006-02/16/content_201218.htm</t>
        </is>
      </c>
    </row>
    <row r="66">
      <c r="B66" s="198" t="inlineStr">
        <is>
          <t>HL0402</t>
        </is>
      </c>
      <c r="C66" s="199" t="n">
        <v>2004</v>
      </c>
      <c r="D66" s="200" t="inlineStr">
        <is>
          <t>2004年国务院政府工作报告</t>
        </is>
      </c>
      <c r="E66" s="200" t="inlineStr">
        <is>
          <t>2004 State Council Report on the Work of the Government</t>
        </is>
      </c>
      <c r="F66" s="200" t="inlineStr">
        <is>
          <t>State Council</t>
        </is>
      </c>
      <c r="G66" s="200" t="inlineStr">
        <is>
          <t>工作报告</t>
        </is>
      </c>
      <c r="H66" s="201" t="inlineStr">
        <is>
          <t>Economy planning incl. climate</t>
        </is>
      </c>
      <c r="I66" s="199" t="inlineStr">
        <is>
          <t>A</t>
        </is>
      </c>
      <c r="J66" s="199" t="n">
        <v>2004</v>
      </c>
      <c r="K66" s="202" t="inlineStr">
        <is>
          <t>NO-TAR</t>
        </is>
      </c>
      <c r="L66" s="200" t="inlineStr">
        <is>
          <t>PDF</t>
        </is>
      </c>
      <c r="M66" s="200" t="inlineStr">
        <is>
          <t>CN</t>
        </is>
      </c>
      <c r="N66" s="203" t="inlineStr">
        <is>
          <t>https://www.gov.cn/test/2006-02/16/content_201193.htm</t>
        </is>
      </c>
    </row>
    <row r="67">
      <c r="B67" s="198" t="inlineStr">
        <is>
          <t>HL0501</t>
        </is>
      </c>
      <c r="C67" s="199" t="n">
        <v>2005</v>
      </c>
      <c r="D67" s="200" t="inlineStr">
        <is>
          <t>2005年国务院政府工作报告</t>
        </is>
      </c>
      <c r="E67" s="200" t="inlineStr">
        <is>
          <t>2005 State Council Report on the Work of the Government</t>
        </is>
      </c>
      <c r="F67" s="200" t="inlineStr">
        <is>
          <t>State Council</t>
        </is>
      </c>
      <c r="G67" s="200" t="inlineStr">
        <is>
          <t>工作报告</t>
        </is>
      </c>
      <c r="H67" s="201" t="inlineStr">
        <is>
          <t>Economy planning incl. climate</t>
        </is>
      </c>
      <c r="I67" s="199" t="inlineStr">
        <is>
          <t>A</t>
        </is>
      </c>
      <c r="J67" s="199" t="n">
        <v>2005</v>
      </c>
      <c r="K67" s="202" t="inlineStr">
        <is>
          <t>NO-TAR</t>
        </is>
      </c>
      <c r="L67" s="200" t="inlineStr">
        <is>
          <t>PDF</t>
        </is>
      </c>
      <c r="M67" s="200" t="inlineStr">
        <is>
          <t>CN</t>
        </is>
      </c>
      <c r="N67" s="203" t="inlineStr">
        <is>
          <t>https://www.gov.cn/test/2006-02/16/content_201218.htm</t>
        </is>
      </c>
    </row>
    <row r="68">
      <c r="B68" s="198" t="inlineStr">
        <is>
          <t>HL0602</t>
        </is>
      </c>
      <c r="C68" s="199" t="n">
        <v>2006</v>
      </c>
      <c r="D68" s="200" t="inlineStr">
        <is>
          <t>2006年国务院政府工作报告</t>
        </is>
      </c>
      <c r="E68" s="200" t="inlineStr">
        <is>
          <t>2006 State Council Report on the Work of the Government</t>
        </is>
      </c>
      <c r="F68" s="200" t="inlineStr">
        <is>
          <t>State Council</t>
        </is>
      </c>
      <c r="G68" s="200" t="inlineStr">
        <is>
          <t>工作报告</t>
        </is>
      </c>
      <c r="H68" s="201" t="inlineStr">
        <is>
          <t>Economy planning incl. climate</t>
        </is>
      </c>
      <c r="I68" s="199" t="inlineStr">
        <is>
          <t>A</t>
        </is>
      </c>
      <c r="J68" s="199" t="n">
        <v>2006</v>
      </c>
      <c r="K68" s="202" t="inlineStr">
        <is>
          <t>NO-TAR</t>
        </is>
      </c>
      <c r="L68" s="200" t="inlineStr">
        <is>
          <t>PDF</t>
        </is>
      </c>
      <c r="M68" s="200" t="inlineStr">
        <is>
          <t>CN</t>
        </is>
      </c>
      <c r="N68" s="203" t="inlineStr">
        <is>
          <t>https://www.gov.cn/test/2009-03/16/content_1260216.htm</t>
        </is>
      </c>
    </row>
    <row r="69">
      <c r="B69" s="198" t="inlineStr">
        <is>
          <t>HL0702</t>
        </is>
      </c>
      <c r="C69" s="199" t="n">
        <v>2007</v>
      </c>
      <c r="D69" s="200" t="inlineStr">
        <is>
          <t>2007年国务院政府工作报告</t>
        </is>
      </c>
      <c r="E69" s="200" t="inlineStr">
        <is>
          <t>2007 State Council Report on the Work of the Government</t>
        </is>
      </c>
      <c r="F69" s="200" t="inlineStr">
        <is>
          <t>State Council</t>
        </is>
      </c>
      <c r="G69" s="200" t="inlineStr">
        <is>
          <t>工作报告</t>
        </is>
      </c>
      <c r="H69" s="201" t="inlineStr">
        <is>
          <t>Economy planning incl. climate</t>
        </is>
      </c>
      <c r="I69" s="199" t="inlineStr">
        <is>
          <t>A</t>
        </is>
      </c>
      <c r="J69" s="199" t="n">
        <v>2007</v>
      </c>
      <c r="K69" s="202" t="inlineStr">
        <is>
          <t>NO-TAR</t>
        </is>
      </c>
      <c r="L69" s="200" t="inlineStr">
        <is>
          <t>PDF</t>
        </is>
      </c>
      <c r="M69" s="200" t="inlineStr">
        <is>
          <t>CN</t>
        </is>
      </c>
      <c r="N69" s="203" t="inlineStr">
        <is>
          <t>https://baike.baidu.com/item/2007%E5%B9%B4%E5%9B%BD%E5%8A%A1%E9%99%A2%E6%94%BF%E5%BA%9C%E5%B7%A5%E4%BD%9C%E6%8A%A5%E5%91%8A/23324579?svcp_stk=1_MKwirz1vv4tNwJFmio_uUop4XWwiEISBAqnODFVnKpoAz-EiVMShmrtRb2f9WNliJ8JxnxqnK-jq_R7JOOQWf9FbR2BCRywc3PGi3mRcDxm-2zK5k3tOs_qk_XF9DQa4mTT4ADjyAlbL5n-QPRHE4aLJOJu-np5irKqXAmrEFPnrU1bFztdOEKyUoQqfgvY3oetREA_yfEMg-6LyeV0dj6L7FqkXf2jkOq71kI-cYEI%3D</t>
        </is>
      </c>
    </row>
    <row r="70">
      <c r="B70" s="198" t="inlineStr">
        <is>
          <t>HL0802</t>
        </is>
      </c>
      <c r="C70" s="199" t="n">
        <v>2008</v>
      </c>
      <c r="D70" s="200" t="inlineStr">
        <is>
          <t>2008年国务院政府工作报告</t>
        </is>
      </c>
      <c r="E70" s="200" t="inlineStr">
        <is>
          <t>2008 State Council Report on the Work of the Government</t>
        </is>
      </c>
      <c r="F70" s="200" t="inlineStr">
        <is>
          <t>State Council</t>
        </is>
      </c>
      <c r="G70" s="200" t="inlineStr">
        <is>
          <t>工作报告</t>
        </is>
      </c>
      <c r="H70" s="201" t="inlineStr">
        <is>
          <t>Economy planning incl. climate</t>
        </is>
      </c>
      <c r="I70" s="199" t="inlineStr">
        <is>
          <t>A</t>
        </is>
      </c>
      <c r="J70" s="199" t="n">
        <v>2008</v>
      </c>
      <c r="K70" s="202" t="inlineStr">
        <is>
          <t>NO-TAR</t>
        </is>
      </c>
      <c r="L70" s="200" t="inlineStr">
        <is>
          <t>PDF</t>
        </is>
      </c>
      <c r="M70" s="200" t="inlineStr">
        <is>
          <t>CN</t>
        </is>
      </c>
      <c r="N70" s="203" t="inlineStr">
        <is>
          <t>https://www.gov.cn/test/2009-03/16/content_1260198.htm</t>
        </is>
      </c>
    </row>
    <row r="71">
      <c r="B71" s="198" t="inlineStr">
        <is>
          <t>HL0902</t>
        </is>
      </c>
      <c r="C71" s="199" t="n">
        <v>2009</v>
      </c>
      <c r="D71" s="200" t="inlineStr">
        <is>
          <t>2009年国务院政府工作报告</t>
        </is>
      </c>
      <c r="E71" s="200" t="inlineStr">
        <is>
          <t>2009 State Council Report on the Work of the Government</t>
        </is>
      </c>
      <c r="F71" s="200" t="inlineStr">
        <is>
          <t>State Council</t>
        </is>
      </c>
      <c r="G71" s="200" t="inlineStr">
        <is>
          <t>工作报告</t>
        </is>
      </c>
      <c r="H71" s="201" t="inlineStr">
        <is>
          <t>Economy planning incl. climate</t>
        </is>
      </c>
      <c r="I71" s="199" t="inlineStr">
        <is>
          <t>A</t>
        </is>
      </c>
      <c r="J71" s="199" t="n">
        <v>2009</v>
      </c>
      <c r="K71" s="202" t="inlineStr">
        <is>
          <t>NO-TAR</t>
        </is>
      </c>
      <c r="L71" s="200" t="inlineStr">
        <is>
          <t>PDF</t>
        </is>
      </c>
      <c r="M71" s="200" t="inlineStr">
        <is>
          <t>CN</t>
        </is>
      </c>
      <c r="N71" s="203" t="inlineStr">
        <is>
          <t>https://www.gov.cn/test/2009-03/16/content_1260221.htm</t>
        </is>
      </c>
    </row>
    <row r="72">
      <c r="B72" s="198" t="inlineStr">
        <is>
          <t>HL1003</t>
        </is>
      </c>
      <c r="C72" s="199" t="n">
        <v>2010</v>
      </c>
      <c r="D72" s="200" t="inlineStr">
        <is>
          <t>2010年国务院政府工作报告</t>
        </is>
      </c>
      <c r="E72" s="200" t="inlineStr">
        <is>
          <t>2010 State Council Report on the Work of the Government</t>
        </is>
      </c>
      <c r="F72" s="200" t="inlineStr">
        <is>
          <t>State Council</t>
        </is>
      </c>
      <c r="G72" s="200" t="inlineStr">
        <is>
          <t>工作报告</t>
        </is>
      </c>
      <c r="H72" s="201" t="inlineStr">
        <is>
          <t>Economy planning incl. climate</t>
        </is>
      </c>
      <c r="I72" s="199" t="inlineStr">
        <is>
          <t>A</t>
        </is>
      </c>
      <c r="J72" s="199" t="n">
        <v>2010</v>
      </c>
      <c r="K72" s="202" t="inlineStr">
        <is>
          <t>NO-TAR</t>
        </is>
      </c>
      <c r="L72" s="200" t="inlineStr">
        <is>
          <t>PDF</t>
        </is>
      </c>
      <c r="M72" s="200" t="inlineStr">
        <is>
          <t>CN</t>
        </is>
      </c>
      <c r="N72" s="203" t="inlineStr">
        <is>
          <t>https://www.most.gov.cn/ztzl/lhzt/lhzt2010/zxdtlhzt2010/201003/t20100316_76307.html</t>
        </is>
      </c>
    </row>
    <row r="73">
      <c r="B73" s="198" t="inlineStr">
        <is>
          <t>HL1004</t>
        </is>
      </c>
      <c r="C73" s="199" t="n">
        <v>2010</v>
      </c>
      <c r="D73" s="200" t="inlineStr">
        <is>
          <t>关于今年以来国民经济和社会发展计划执行情况的报告</t>
        </is>
      </c>
      <c r="E73" s="200" t="inlineStr">
        <is>
          <t>Report on the Implementation of the National Economic and Social Development Plan Since the Beginning of The Year</t>
        </is>
      </c>
      <c r="F73" s="200" t="inlineStr">
        <is>
          <t>State Council</t>
        </is>
      </c>
      <c r="G73" s="200" t="inlineStr">
        <is>
          <t>报告</t>
        </is>
      </c>
      <c r="H73" s="201" t="inlineStr">
        <is>
          <t>Economy planning incl. climate</t>
        </is>
      </c>
      <c r="I73" s="199" t="inlineStr">
        <is>
          <t>A</t>
        </is>
      </c>
      <c r="J73" s="199" t="n">
        <v>2010</v>
      </c>
      <c r="K73" s="202" t="inlineStr">
        <is>
          <t>TAR</t>
        </is>
      </c>
      <c r="L73" s="200" t="inlineStr">
        <is>
          <t>HTM</t>
        </is>
      </c>
      <c r="M73" s="200" t="inlineStr">
        <is>
          <t>CN</t>
        </is>
      </c>
      <c r="N73" s="203" t="inlineStr">
        <is>
          <t>https://www.ndrc.gov.cn/xwdt/gdzt/2009gmjj2010gmjj/gy2010jjsh/201009/t20100909_1198236.html</t>
        </is>
      </c>
    </row>
    <row r="74">
      <c r="B74" s="198" t="inlineStr">
        <is>
          <t>HL1102</t>
        </is>
      </c>
      <c r="C74" s="199" t="n">
        <v>2011</v>
      </c>
      <c r="D74" s="200" t="inlineStr">
        <is>
          <t>2011年国务院政府工作报告</t>
        </is>
      </c>
      <c r="E74" s="200" t="inlineStr">
        <is>
          <t>2011 State Council Report on the Work of the Government</t>
        </is>
      </c>
      <c r="F74" s="200" t="inlineStr">
        <is>
          <t>State Council</t>
        </is>
      </c>
      <c r="G74" s="200" t="inlineStr">
        <is>
          <t>工作报告</t>
        </is>
      </c>
      <c r="H74" s="201" t="inlineStr">
        <is>
          <t>Economy planning incl. climate</t>
        </is>
      </c>
      <c r="I74" s="199" t="inlineStr">
        <is>
          <t>A</t>
        </is>
      </c>
      <c r="J74" s="199" t="n">
        <v>2011</v>
      </c>
      <c r="K74" s="202" t="inlineStr">
        <is>
          <t>NO-TAR</t>
        </is>
      </c>
      <c r="L74" s="200" t="inlineStr">
        <is>
          <t>PDF</t>
        </is>
      </c>
      <c r="M74" s="200" t="inlineStr">
        <is>
          <t>CN</t>
        </is>
      </c>
      <c r="N74" s="203" t="inlineStr">
        <is>
          <t>https://www.gov.cn/test/2011-03/15/content_1825270.htm</t>
        </is>
      </c>
    </row>
    <row r="75">
      <c r="B75" s="198" t="inlineStr">
        <is>
          <t>HL1103</t>
        </is>
      </c>
      <c r="C75" s="199" t="n">
        <v>2011</v>
      </c>
      <c r="D75" s="200" t="inlineStr">
        <is>
          <t>关于2010年国民经济和社会发展计划执行情况与2011年国民经济和社会发展计划草案的报告</t>
        </is>
      </c>
      <c r="E75" s="200" t="inlineStr">
        <is>
          <t>Report on the Implementation of the 2010 Plan for National Economic and Social Development and on the 2011 Draft Plan for National Economic and Social Development</t>
        </is>
      </c>
      <c r="F75" s="200" t="inlineStr">
        <is>
          <t>State Council</t>
        </is>
      </c>
      <c r="G75" s="200" t="inlineStr">
        <is>
          <t>报告</t>
        </is>
      </c>
      <c r="H75" s="201" t="inlineStr">
        <is>
          <t>Economy planning incl. climate</t>
        </is>
      </c>
      <c r="I75" s="199" t="inlineStr">
        <is>
          <t>A</t>
        </is>
      </c>
      <c r="J75" s="199" t="inlineStr">
        <is>
          <t>2010-2011</t>
        </is>
      </c>
      <c r="K75" s="202" t="inlineStr">
        <is>
          <t>TAR</t>
        </is>
      </c>
      <c r="L75" s="200" t="inlineStr">
        <is>
          <t>HTM</t>
        </is>
      </c>
      <c r="M75" s="200" t="inlineStr">
        <is>
          <t>CN</t>
        </is>
      </c>
      <c r="N75" s="203" t="inlineStr">
        <is>
          <t>https://www.12371.cn/2013/02/21/ARTI1361412057772396_all.shtml</t>
        </is>
      </c>
    </row>
    <row r="76">
      <c r="B76" s="198" t="inlineStr">
        <is>
          <t>HL1203</t>
        </is>
      </c>
      <c r="C76" s="199" t="n">
        <v>2012</v>
      </c>
      <c r="D76" s="200" t="inlineStr">
        <is>
          <t>2012年国务院政府工作报告</t>
        </is>
      </c>
      <c r="E76" s="200" t="inlineStr">
        <is>
          <t>2012 State Council Report on the Work of the Government</t>
        </is>
      </c>
      <c r="F76" s="200" t="inlineStr">
        <is>
          <t>State Council</t>
        </is>
      </c>
      <c r="G76" s="200" t="inlineStr">
        <is>
          <t>工作报告</t>
        </is>
      </c>
      <c r="H76" s="201" t="inlineStr">
        <is>
          <t>Economy planning incl. climate</t>
        </is>
      </c>
      <c r="I76" s="199" t="inlineStr">
        <is>
          <t>A</t>
        </is>
      </c>
      <c r="J76" s="199" t="n">
        <v>2012</v>
      </c>
      <c r="K76" s="202" t="inlineStr">
        <is>
          <t>NO-TAR</t>
        </is>
      </c>
      <c r="L76" s="200" t="inlineStr">
        <is>
          <t>PDF</t>
        </is>
      </c>
      <c r="M76" s="200" t="inlineStr">
        <is>
          <t>CN</t>
        </is>
      </c>
      <c r="N76" s="203" t="inlineStr">
        <is>
          <t>https://www.gov.cn/test/2012-03/15/content_2067314.htm</t>
        </is>
      </c>
    </row>
    <row r="77">
      <c r="B77" s="198" t="inlineStr">
        <is>
          <t>HL1204</t>
        </is>
      </c>
      <c r="C77" s="199" t="n">
        <v>2012</v>
      </c>
      <c r="D77" s="200" t="inlineStr">
        <is>
          <t>关于2011年国民经济和社会发展计划执行情况与2012年国民经济和社会发展计划草案的报告</t>
        </is>
      </c>
      <c r="E77" s="200" t="inlineStr">
        <is>
          <t>Report on the Implementation of the 2011 Plan for National Economic and Social Development and on the 2012 Draft Plan for National Economic and Social Development</t>
        </is>
      </c>
      <c r="F77" s="200" t="inlineStr">
        <is>
          <t>State Council</t>
        </is>
      </c>
      <c r="G77" s="200" t="inlineStr">
        <is>
          <t>报告</t>
        </is>
      </c>
      <c r="H77" s="201" t="inlineStr">
        <is>
          <t>Economy planning incl. climate</t>
        </is>
      </c>
      <c r="I77" s="199" t="inlineStr">
        <is>
          <t>A</t>
        </is>
      </c>
      <c r="J77" s="199" t="inlineStr">
        <is>
          <t>2011-2012</t>
        </is>
      </c>
      <c r="K77" s="202" t="inlineStr">
        <is>
          <t>TAR</t>
        </is>
      </c>
      <c r="L77" s="200" t="inlineStr">
        <is>
          <t>HTM</t>
        </is>
      </c>
      <c r="M77" s="200" t="inlineStr">
        <is>
          <t>CN</t>
        </is>
      </c>
      <c r="N77" s="203" t="inlineStr">
        <is>
          <t>https://epaper.gmw.cn/gmrb/html/2012-03/17/nw.D110000gmrb_20120317_1-04.htm</t>
        </is>
      </c>
    </row>
    <row r="78">
      <c r="B78" s="198" t="inlineStr">
        <is>
          <t>HL1302</t>
        </is>
      </c>
      <c r="C78" s="199" t="n">
        <v>2013</v>
      </c>
      <c r="D78" s="200" t="inlineStr">
        <is>
          <t>2013年国务院政府工作报告</t>
        </is>
      </c>
      <c r="E78" s="200" t="inlineStr">
        <is>
          <t>2013 State Council Report on the Work of the Government</t>
        </is>
      </c>
      <c r="F78" s="200" t="inlineStr">
        <is>
          <t>State Council</t>
        </is>
      </c>
      <c r="G78" s="200" t="inlineStr">
        <is>
          <t>工作报告</t>
        </is>
      </c>
      <c r="H78" s="201" t="inlineStr">
        <is>
          <t>Economy planning incl. climate</t>
        </is>
      </c>
      <c r="I78" s="199" t="inlineStr">
        <is>
          <t>A</t>
        </is>
      </c>
      <c r="J78" s="199" t="n">
        <v>2013</v>
      </c>
      <c r="K78" s="202" t="inlineStr">
        <is>
          <t>NO-TAR</t>
        </is>
      </c>
      <c r="L78" s="200" t="inlineStr">
        <is>
          <t>PDF</t>
        </is>
      </c>
      <c r="M78" s="200" t="inlineStr">
        <is>
          <t>CN</t>
        </is>
      </c>
      <c r="N78" s="203" t="inlineStr">
        <is>
          <t>https://www.gov.cn/test/2013-03/19/content_2357136.htm</t>
        </is>
      </c>
    </row>
    <row r="79">
      <c r="B79" s="198" t="inlineStr">
        <is>
          <t>HL1403</t>
        </is>
      </c>
      <c r="C79" s="199" t="n">
        <v>2014</v>
      </c>
      <c r="D79" s="200" t="inlineStr">
        <is>
          <t>2014年国务院政府工作报告</t>
        </is>
      </c>
      <c r="E79" s="200" t="inlineStr">
        <is>
          <t>2014 State Council Report on the Work of the Government</t>
        </is>
      </c>
      <c r="F79" s="200" t="inlineStr">
        <is>
          <t>State Council</t>
        </is>
      </c>
      <c r="G79" s="200" t="inlineStr">
        <is>
          <t>工作报告</t>
        </is>
      </c>
      <c r="H79" s="201" t="inlineStr">
        <is>
          <t>Economy planning incl. climate</t>
        </is>
      </c>
      <c r="I79" s="199" t="inlineStr">
        <is>
          <t>A</t>
        </is>
      </c>
      <c r="J79" s="199" t="n">
        <v>2014</v>
      </c>
      <c r="K79" s="202" t="inlineStr">
        <is>
          <t>TAR</t>
        </is>
      </c>
      <c r="L79" s="200" t="inlineStr">
        <is>
          <t>PDF</t>
        </is>
      </c>
      <c r="M79" s="200" t="inlineStr">
        <is>
          <t>CN</t>
        </is>
      </c>
      <c r="N79" s="203" t="inlineStr">
        <is>
          <t>https://www.gov.cn/guowuyuan/2014-03/14/content_2638989.htm</t>
        </is>
      </c>
    </row>
    <row r="80">
      <c r="B80" s="198" t="inlineStr">
        <is>
          <t>HL1506</t>
        </is>
      </c>
      <c r="C80" s="199" t="n">
        <v>2015</v>
      </c>
      <c r="D80" s="200" t="inlineStr">
        <is>
          <t>2015年国务院政府工作报告</t>
        </is>
      </c>
      <c r="E80" s="200" t="inlineStr">
        <is>
          <t>2015 State Council Report on the Work of the Government</t>
        </is>
      </c>
      <c r="F80" s="200" t="inlineStr">
        <is>
          <t>State Council</t>
        </is>
      </c>
      <c r="G80" s="200" t="inlineStr">
        <is>
          <t>工作报告</t>
        </is>
      </c>
      <c r="H80" s="201" t="inlineStr">
        <is>
          <t>Economy planning incl. climate</t>
        </is>
      </c>
      <c r="I80" s="199" t="inlineStr">
        <is>
          <t>A</t>
        </is>
      </c>
      <c r="J80" s="199" t="n">
        <v>2015</v>
      </c>
      <c r="K80" s="202" t="inlineStr">
        <is>
          <t>TAR</t>
        </is>
      </c>
      <c r="L80" s="200" t="inlineStr">
        <is>
          <t>PDF</t>
        </is>
      </c>
      <c r="M80" s="200" t="inlineStr">
        <is>
          <t>CN</t>
        </is>
      </c>
      <c r="N80" s="203" t="inlineStr">
        <is>
          <t>https://www.gov.cn/guowuyuan/2015-03/16/content_2835101.htm</t>
        </is>
      </c>
    </row>
    <row r="81">
      <c r="B81" s="198" t="inlineStr">
        <is>
          <t>HL1603</t>
        </is>
      </c>
      <c r="C81" s="199" t="n">
        <v>2016</v>
      </c>
      <c r="D81" s="200" t="inlineStr">
        <is>
          <t>2016年国务院政府工作报告</t>
        </is>
      </c>
      <c r="E81" s="200" t="inlineStr">
        <is>
          <t>2016 State Council Report on the Work of the Government</t>
        </is>
      </c>
      <c r="F81" s="200" t="inlineStr">
        <is>
          <t>State Council</t>
        </is>
      </c>
      <c r="G81" s="200" t="inlineStr">
        <is>
          <t>工作报告</t>
        </is>
      </c>
      <c r="H81" s="201" t="inlineStr">
        <is>
          <t>Economy planning incl. climate</t>
        </is>
      </c>
      <c r="I81" s="199" t="inlineStr">
        <is>
          <t>A</t>
        </is>
      </c>
      <c r="J81" s="199" t="n">
        <v>2016</v>
      </c>
      <c r="K81" s="202" t="inlineStr">
        <is>
          <t>TAR</t>
        </is>
      </c>
      <c r="L81" s="200" t="inlineStr">
        <is>
          <t>PDF</t>
        </is>
      </c>
      <c r="M81" s="200" t="inlineStr">
        <is>
          <t>CN</t>
        </is>
      </c>
      <c r="N81" s="203" t="inlineStr">
        <is>
          <t>https://www.gov.cn/guowuyuan/2016-03/17/content_5054901.htm</t>
        </is>
      </c>
    </row>
    <row r="82">
      <c r="B82" s="198" t="inlineStr">
        <is>
          <t>HL1604</t>
        </is>
      </c>
      <c r="C82" s="199" t="n">
        <v>2016</v>
      </c>
      <c r="D82" s="200" t="inlineStr">
        <is>
          <t>关于2015年国民经济和社会发展计划执行情况与2016年国民经济和社会发展计划草案的报告</t>
        </is>
      </c>
      <c r="E82" s="200" t="inlineStr">
        <is>
          <t>Report on the Implementation of the 2015 Plan for National Economic and Social Development and on the 2016 Draft Plan for National Economic and Social Development</t>
        </is>
      </c>
      <c r="F82" s="200" t="inlineStr">
        <is>
          <t>State Council</t>
        </is>
      </c>
      <c r="G82" s="200" t="inlineStr">
        <is>
          <t>报告</t>
        </is>
      </c>
      <c r="H82" s="201" t="inlineStr">
        <is>
          <t>Economy planning incl. climate</t>
        </is>
      </c>
      <c r="I82" s="199" t="inlineStr">
        <is>
          <t>A</t>
        </is>
      </c>
      <c r="J82" s="199" t="inlineStr">
        <is>
          <t>2015-2016</t>
        </is>
      </c>
      <c r="K82" s="202" t="inlineStr">
        <is>
          <t>TAR</t>
        </is>
      </c>
      <c r="L82" s="200" t="inlineStr">
        <is>
          <t>HTM</t>
        </is>
      </c>
      <c r="M82" s="200" t="inlineStr">
        <is>
          <t>CN</t>
        </is>
      </c>
      <c r="N82" s="203" t="inlineStr">
        <is>
          <t>https://english.www.gov.cn/news/top_news/2016/03/19/content_281475310332486.htm</t>
        </is>
      </c>
    </row>
    <row r="83">
      <c r="B83" s="198" t="inlineStr">
        <is>
          <t>HL1703</t>
        </is>
      </c>
      <c r="C83" s="199" t="n">
        <v>2017</v>
      </c>
      <c r="D83" s="200" t="inlineStr">
        <is>
          <t>2017年国务院政府工作报告</t>
        </is>
      </c>
      <c r="E83" s="200" t="inlineStr">
        <is>
          <t>2017 State Council Report on the Work of the Government</t>
        </is>
      </c>
      <c r="F83" s="200" t="inlineStr">
        <is>
          <t>State Council</t>
        </is>
      </c>
      <c r="G83" s="200" t="inlineStr">
        <is>
          <t>工作报告</t>
        </is>
      </c>
      <c r="H83" s="201" t="inlineStr">
        <is>
          <t>Economy planning incl. climate</t>
        </is>
      </c>
      <c r="I83" s="199" t="inlineStr">
        <is>
          <t>A</t>
        </is>
      </c>
      <c r="J83" s="199" t="n">
        <v>2017</v>
      </c>
      <c r="K83" s="202" t="inlineStr">
        <is>
          <t>TAR</t>
        </is>
      </c>
      <c r="L83" s="200" t="inlineStr">
        <is>
          <t>PDF</t>
        </is>
      </c>
      <c r="M83" s="200" t="inlineStr">
        <is>
          <t>CN</t>
        </is>
      </c>
      <c r="N83" s="203" t="inlineStr">
        <is>
          <t>http://lianghui.people.com.cn/2017/n1/2017/0316/c410899-29150065.html</t>
        </is>
      </c>
    </row>
    <row r="84">
      <c r="B84" s="198" t="inlineStr">
        <is>
          <t>HL1802</t>
        </is>
      </c>
      <c r="C84" s="199" t="n">
        <v>2018</v>
      </c>
      <c r="D84" s="200" t="inlineStr">
        <is>
          <t>2018年国务院政府工作报告</t>
        </is>
      </c>
      <c r="E84" s="200" t="inlineStr">
        <is>
          <t>2018 State Council Report on the Work of the Government</t>
        </is>
      </c>
      <c r="F84" s="200" t="inlineStr">
        <is>
          <t>State Council</t>
        </is>
      </c>
      <c r="G84" s="200" t="inlineStr">
        <is>
          <t>工作报告</t>
        </is>
      </c>
      <c r="H84" s="201" t="inlineStr">
        <is>
          <t>Economy planning incl. climate</t>
        </is>
      </c>
      <c r="I84" s="199" t="inlineStr">
        <is>
          <t>A</t>
        </is>
      </c>
      <c r="J84" s="199" t="n">
        <v>2018</v>
      </c>
      <c r="K84" s="202" t="inlineStr">
        <is>
          <t>TAR</t>
        </is>
      </c>
      <c r="L84" s="200" t="inlineStr">
        <is>
          <t>PDF</t>
        </is>
      </c>
      <c r="M84" s="200" t="inlineStr">
        <is>
          <t>CN</t>
        </is>
      </c>
      <c r="N84" s="203" t="inlineStr">
        <is>
          <t>https://www.gov.cn/zhuanti/2018lh/2018zfgzbg/zfgzbg.htm</t>
        </is>
      </c>
    </row>
    <row r="85">
      <c r="B85" s="198" t="inlineStr">
        <is>
          <t>HL1803</t>
        </is>
      </c>
      <c r="C85" s="199" t="n">
        <v>2018</v>
      </c>
      <c r="D85" s="200" t="inlineStr">
        <is>
          <t>关于2017年国民经济和社会发展计划执行情况与2018年国民经济和社会发展计划草案的报告</t>
        </is>
      </c>
      <c r="E85" s="200" t="inlineStr">
        <is>
          <t>Report on the Implementation of the 2017 Plan for National Economic and Social Development and on the 2018 Draft Plan for National Economic and Social Development</t>
        </is>
      </c>
      <c r="F85" s="200" t="inlineStr">
        <is>
          <t>State Council</t>
        </is>
      </c>
      <c r="G85" s="200" t="inlineStr">
        <is>
          <t>报告</t>
        </is>
      </c>
      <c r="H85" s="201" t="inlineStr">
        <is>
          <t>Economy planning incl. climate</t>
        </is>
      </c>
      <c r="I85" s="199" t="inlineStr">
        <is>
          <t>A</t>
        </is>
      </c>
      <c r="J85" s="199" t="inlineStr">
        <is>
          <t>2017-2018</t>
        </is>
      </c>
      <c r="K85" s="202" t="inlineStr">
        <is>
          <t>TAR</t>
        </is>
      </c>
      <c r="L85" s="200" t="inlineStr">
        <is>
          <t>HTM</t>
        </is>
      </c>
      <c r="M85" s="200" t="inlineStr">
        <is>
          <t>CN</t>
        </is>
      </c>
      <c r="N85" s="203" t="inlineStr">
        <is>
          <t>https://www.xinhuanet.com/politics/2018lh/2018-03/23/c_1122583261.htm</t>
        </is>
      </c>
    </row>
    <row r="86">
      <c r="B86" s="198" t="inlineStr">
        <is>
          <t>HL1904</t>
        </is>
      </c>
      <c r="C86" s="199" t="n">
        <v>2019</v>
      </c>
      <c r="D86" s="200" t="inlineStr">
        <is>
          <t>2019年国务院政府工作报告</t>
        </is>
      </c>
      <c r="E86" s="200" t="inlineStr">
        <is>
          <t>2019 State Council Report on the Work of the Government</t>
        </is>
      </c>
      <c r="F86" s="200" t="inlineStr">
        <is>
          <t>State Council</t>
        </is>
      </c>
      <c r="G86" s="200" t="inlineStr">
        <is>
          <t>工作报告</t>
        </is>
      </c>
      <c r="H86" s="201" t="inlineStr">
        <is>
          <t>Economy planning incl. climate</t>
        </is>
      </c>
      <c r="I86" s="199" t="inlineStr">
        <is>
          <t>A</t>
        </is>
      </c>
      <c r="J86" s="199" t="n">
        <v>2019</v>
      </c>
      <c r="K86" s="202" t="inlineStr">
        <is>
          <t>TAR</t>
        </is>
      </c>
      <c r="L86" s="200" t="inlineStr">
        <is>
          <t>PDF</t>
        </is>
      </c>
      <c r="M86" s="200" t="inlineStr">
        <is>
          <t>CN</t>
        </is>
      </c>
      <c r="N86" s="203" t="inlineStr">
        <is>
          <t>https://www.gov.cn/zhuanti/2019qglh/2019lhzfgzbg/index.htm</t>
        </is>
      </c>
    </row>
    <row r="87">
      <c r="B87" s="198" t="inlineStr">
        <is>
          <t>HL2002</t>
        </is>
      </c>
      <c r="C87" s="199" t="n">
        <v>2020</v>
      </c>
      <c r="D87" s="200" t="inlineStr">
        <is>
          <t>2020年国务院政府工作报告</t>
        </is>
      </c>
      <c r="E87" s="200" t="inlineStr">
        <is>
          <t>2020 State Council Report on the Work of the Government</t>
        </is>
      </c>
      <c r="F87" s="200" t="inlineStr">
        <is>
          <t>State Council</t>
        </is>
      </c>
      <c r="G87" s="200" t="inlineStr">
        <is>
          <t>工作报告</t>
        </is>
      </c>
      <c r="H87" s="201" t="inlineStr">
        <is>
          <t>Economy planning incl. climate</t>
        </is>
      </c>
      <c r="I87" s="199" t="inlineStr">
        <is>
          <t>A</t>
        </is>
      </c>
      <c r="J87" s="199" t="n">
        <v>2020</v>
      </c>
      <c r="K87" s="202" t="inlineStr">
        <is>
          <t>TAR</t>
        </is>
      </c>
      <c r="L87" s="200" t="inlineStr">
        <is>
          <t>PDF</t>
        </is>
      </c>
      <c r="M87" s="200" t="inlineStr">
        <is>
          <t>CN</t>
        </is>
      </c>
      <c r="N87" s="203" t="inlineStr">
        <is>
          <t>https://www.gov.cn/gongbao/content/2020/content_5517495.htm</t>
        </is>
      </c>
    </row>
    <row r="88">
      <c r="B88" s="198" t="inlineStr">
        <is>
          <t>HL2003</t>
        </is>
      </c>
      <c r="C88" s="199" t="n">
        <v>2020</v>
      </c>
      <c r="D88" s="200" t="inlineStr">
        <is>
          <t>关于2019年国民经济和社会发展计划执行情况与2020年国民经济和社会发展计划草案的报告</t>
        </is>
      </c>
      <c r="E88" s="200" t="inlineStr">
        <is>
          <t>Report on the Implementation of the 2019 Plan for National Economic and Social Development and on the 2020 Draft Plan for National Economic and Social Development</t>
        </is>
      </c>
      <c r="F88" s="200" t="inlineStr">
        <is>
          <t>State Council</t>
        </is>
      </c>
      <c r="G88" s="200" t="inlineStr">
        <is>
          <t>报告</t>
        </is>
      </c>
      <c r="H88" s="201" t="inlineStr">
        <is>
          <t>Economy planning incl. climate</t>
        </is>
      </c>
      <c r="I88" s="199" t="inlineStr">
        <is>
          <t>A</t>
        </is>
      </c>
      <c r="J88" s="199" t="inlineStr">
        <is>
          <t>2019-2020</t>
        </is>
      </c>
      <c r="K88" s="202" t="inlineStr">
        <is>
          <t>TAR</t>
        </is>
      </c>
      <c r="L88" s="200" t="inlineStr">
        <is>
          <t>PDF</t>
        </is>
      </c>
      <c r="M88" s="200" t="inlineStr">
        <is>
          <t>CN</t>
        </is>
      </c>
      <c r="N88" s="203" t="inlineStr">
        <is>
          <t>https://english.www.gov.cn/news/topnews/202005/30/content_WS5ed24e81c6d0b3f0e9499215.html</t>
        </is>
      </c>
    </row>
    <row r="89">
      <c r="B89" s="198" t="inlineStr">
        <is>
          <t>HL2108</t>
        </is>
      </c>
      <c r="C89" s="199" t="n">
        <v>2021</v>
      </c>
      <c r="D89" s="200" t="inlineStr">
        <is>
          <t>2021年国务院政府工作报告</t>
        </is>
      </c>
      <c r="E89" s="200" t="inlineStr">
        <is>
          <t>2021 State Council Report on the Work of the Government</t>
        </is>
      </c>
      <c r="F89" s="200" t="inlineStr">
        <is>
          <t>State Council</t>
        </is>
      </c>
      <c r="G89" s="200" t="inlineStr">
        <is>
          <t>工作报告</t>
        </is>
      </c>
      <c r="H89" s="201" t="inlineStr">
        <is>
          <t>Economy planning incl. climate</t>
        </is>
      </c>
      <c r="I89" s="199" t="inlineStr">
        <is>
          <t>A</t>
        </is>
      </c>
      <c r="J89" s="199" t="n">
        <v>2021</v>
      </c>
      <c r="K89" s="202" t="inlineStr">
        <is>
          <t>TAR</t>
        </is>
      </c>
      <c r="L89" s="200" t="inlineStr">
        <is>
          <t>PDF</t>
        </is>
      </c>
      <c r="M89" s="200" t="inlineStr">
        <is>
          <t>CN</t>
        </is>
      </c>
      <c r="N89" s="203" t="inlineStr">
        <is>
          <t>https://www.gov.cn/gongbao/content/2021/content_5593438.htm</t>
        </is>
      </c>
    </row>
    <row r="90">
      <c r="B90" s="198" t="inlineStr">
        <is>
          <t>HL2203</t>
        </is>
      </c>
      <c r="C90" s="199" t="n">
        <v>2022</v>
      </c>
      <c r="D90" s="200" t="inlineStr">
        <is>
          <t>2022年国务院政府工作报告</t>
        </is>
      </c>
      <c r="E90" s="200" t="inlineStr">
        <is>
          <t>2022 State Council Report on the Work of the Government</t>
        </is>
      </c>
      <c r="F90" s="200" t="inlineStr">
        <is>
          <t>State Council</t>
        </is>
      </c>
      <c r="G90" s="200" t="inlineStr">
        <is>
          <t>工作报告</t>
        </is>
      </c>
      <c r="H90" s="201" t="inlineStr">
        <is>
          <t>Economy planning incl. climate</t>
        </is>
      </c>
      <c r="I90" s="199" t="inlineStr">
        <is>
          <t>A</t>
        </is>
      </c>
      <c r="J90" s="199" t="n">
        <v>2022</v>
      </c>
      <c r="K90" s="202" t="inlineStr">
        <is>
          <t>TAR</t>
        </is>
      </c>
      <c r="L90" s="200" t="inlineStr">
        <is>
          <t>PDF</t>
        </is>
      </c>
      <c r="M90" s="200" t="inlineStr">
        <is>
          <t>CN</t>
        </is>
      </c>
      <c r="N90" s="203" t="inlineStr">
        <is>
          <t>https://www.gov.cn/gongbao/content/2022/content_5679681.htm</t>
        </is>
      </c>
    </row>
    <row r="91">
      <c r="B91" s="198" t="inlineStr">
        <is>
          <t>HL2304</t>
        </is>
      </c>
      <c r="C91" s="199" t="n">
        <v>2023</v>
      </c>
      <c r="D91" s="200" t="inlineStr">
        <is>
          <t>2023年国务院政府工作报告</t>
        </is>
      </c>
      <c r="E91" s="200" t="inlineStr">
        <is>
          <t>2023 State Council Report on the Work of the Government</t>
        </is>
      </c>
      <c r="F91" s="200" t="inlineStr">
        <is>
          <t>State Council</t>
        </is>
      </c>
      <c r="G91" s="200" t="inlineStr">
        <is>
          <t>工作报告</t>
        </is>
      </c>
      <c r="H91" s="201" t="inlineStr">
        <is>
          <t>Economy planning incl. climate</t>
        </is>
      </c>
      <c r="I91" s="199" t="inlineStr">
        <is>
          <t>A</t>
        </is>
      </c>
      <c r="J91" s="199" t="n">
        <v>2023</v>
      </c>
      <c r="K91" s="202" t="inlineStr">
        <is>
          <t>TAR</t>
        </is>
      </c>
      <c r="L91" s="200" t="inlineStr">
        <is>
          <t>PDF</t>
        </is>
      </c>
      <c r="M91" s="200" t="inlineStr">
        <is>
          <t>CN</t>
        </is>
      </c>
      <c r="N91" s="203" t="inlineStr">
        <is>
          <t>https://www.gov.cn/gongbao/content/2023/content_5747260.htm</t>
        </is>
      </c>
    </row>
    <row r="92">
      <c r="B92" s="198" t="inlineStr">
        <is>
          <t>HL2405</t>
        </is>
      </c>
      <c r="C92" s="199" t="n">
        <v>2024</v>
      </c>
      <c r="D92" s="200" t="inlineStr">
        <is>
          <t>2024年国务院政府工作报告</t>
        </is>
      </c>
      <c r="E92" s="200" t="inlineStr">
        <is>
          <t>2024 State Council Report on the Work of the Government</t>
        </is>
      </c>
      <c r="F92" s="200" t="inlineStr">
        <is>
          <t>State Council</t>
        </is>
      </c>
      <c r="G92" s="200" t="inlineStr">
        <is>
          <t>工作报告</t>
        </is>
      </c>
      <c r="H92" s="201" t="inlineStr">
        <is>
          <t>Economy planning incl. climate</t>
        </is>
      </c>
      <c r="I92" s="199" t="inlineStr">
        <is>
          <t>A</t>
        </is>
      </c>
      <c r="J92" s="199" t="n">
        <v>2024</v>
      </c>
      <c r="K92" s="202" t="inlineStr">
        <is>
          <t>TAR</t>
        </is>
      </c>
      <c r="L92" s="200" t="inlineStr">
        <is>
          <t>PDF</t>
        </is>
      </c>
      <c r="M92" s="200" t="inlineStr">
        <is>
          <t>CN</t>
        </is>
      </c>
      <c r="N92" s="203" t="inlineStr">
        <is>
          <t>https://www.gov.cn/gongbao/2024/issue_11246/202403/content_6941846.html</t>
        </is>
      </c>
    </row>
    <row r="93" ht="14.5" customHeight="1" s="235">
      <c r="B93" s="198" t="inlineStr">
        <is>
          <t>HL2501</t>
        </is>
      </c>
      <c r="C93" s="199" t="n">
        <v>2025</v>
      </c>
      <c r="D93" s="200" t="inlineStr">
        <is>
          <t>2025年国务院政府工作报告</t>
        </is>
      </c>
      <c r="E93" s="200" t="inlineStr">
        <is>
          <t>2025 State Council Report on the Work of the Government</t>
        </is>
      </c>
      <c r="F93" s="200" t="inlineStr">
        <is>
          <t>State Council</t>
        </is>
      </c>
      <c r="G93" s="200" t="inlineStr">
        <is>
          <t>工作报告</t>
        </is>
      </c>
      <c r="H93" s="201" t="inlineStr">
        <is>
          <t>Economy planning incl. climate</t>
        </is>
      </c>
      <c r="I93" s="199" t="inlineStr">
        <is>
          <t>A</t>
        </is>
      </c>
      <c r="J93" s="199" t="n">
        <v>2025</v>
      </c>
      <c r="K93" s="202" t="inlineStr">
        <is>
          <t>TAR</t>
        </is>
      </c>
      <c r="L93" s="200" t="inlineStr">
        <is>
          <t>PDF</t>
        </is>
      </c>
      <c r="M93" s="200" t="inlineStr">
        <is>
          <t>CN</t>
        </is>
      </c>
      <c r="N93" s="203" t="inlineStr">
        <is>
          <t>https://www.gov.cn/gongbao/2025/issue_11946/202503/content_7015861.html</t>
        </is>
      </c>
    </row>
    <row r="94">
      <c r="B94" s="198" t="inlineStr">
        <is>
          <t>HL2602</t>
        </is>
      </c>
      <c r="C94" s="204" t="n">
        <v>2026</v>
      </c>
      <c r="D94" s="200" t="inlineStr">
        <is>
          <t>2026年国务院政府工作报告</t>
        </is>
      </c>
      <c r="E94" s="200" t="inlineStr">
        <is>
          <t>2026 State Council Report on the Work of the Government</t>
        </is>
      </c>
      <c r="F94" s="200" t="inlineStr">
        <is>
          <t>State Council</t>
        </is>
      </c>
      <c r="G94" s="200" t="inlineStr">
        <is>
          <t>工作报告</t>
        </is>
      </c>
      <c r="H94" s="201" t="inlineStr">
        <is>
          <t>Economy planning incl. climate</t>
        </is>
      </c>
      <c r="I94" s="199" t="inlineStr">
        <is>
          <t>A</t>
        </is>
      </c>
      <c r="J94" s="199" t="n">
        <v>2026</v>
      </c>
      <c r="K94" s="202" t="inlineStr">
        <is>
          <t>TAR</t>
        </is>
      </c>
      <c r="L94" s="200" t="inlineStr">
        <is>
          <t>HTM</t>
        </is>
      </c>
      <c r="M94" s="200" t="inlineStr">
        <is>
          <t>CN</t>
        </is>
      </c>
      <c r="N94" s="203" t="inlineStr">
        <is>
          <t>https://www.spp.gov.cn/spp/tt/202603/t20260313_723952.shtml</t>
        </is>
      </c>
    </row>
    <row r="95">
      <c r="B95" s="205" t="inlineStr">
        <is>
          <t>Medium- and Long-Term Development Plans</t>
        </is>
      </c>
      <c r="C95" s="206" t="n"/>
      <c r="D95" s="206" t="n"/>
      <c r="E95" s="206" t="n"/>
      <c r="F95" s="206" t="n"/>
      <c r="G95" s="206" t="n"/>
      <c r="H95" s="206" t="n"/>
      <c r="I95" s="206" t="n"/>
      <c r="J95" s="206" t="n"/>
      <c r="K95" s="206" t="n"/>
      <c r="L95" s="206" t="n"/>
      <c r="M95" s="206" t="n"/>
      <c r="N95" s="207" t="inlineStr">
        <is>
          <t>https://policy.asiapacificenergy.org/sites/default/files/China_Energy_Saving_Plan.pdf?utm_source=chatgpt.com</t>
        </is>
      </c>
    </row>
    <row r="96">
      <c r="B96" s="198" t="inlineStr">
        <is>
          <t>MLT0401</t>
        </is>
      </c>
      <c r="C96" s="208" t="n">
        <v>2004</v>
      </c>
      <c r="D96" s="209" t="inlineStr">
        <is>
          <t>能源中长期发展规划纲要（2004-2020年）</t>
        </is>
      </c>
      <c r="E96" s="210" t="inlineStr">
        <is>
          <t>Medium and Long Term Energy Development Plan Outline (2004-2020)</t>
        </is>
      </c>
      <c r="F96" s="209" t="inlineStr">
        <is>
          <t>State Council</t>
        </is>
      </c>
      <c r="G96" s="209" t="inlineStr">
        <is>
          <t>中长期规划</t>
        </is>
      </c>
      <c r="H96" s="210" t="inlineStr">
        <is>
          <t>Economy planning incl. climate</t>
        </is>
      </c>
      <c r="I96" s="211" t="inlineStr">
        <is>
          <t>B.1</t>
        </is>
      </c>
      <c r="J96" s="208" t="inlineStr">
        <is>
          <t>2004-2020</t>
        </is>
      </c>
      <c r="K96" s="211" t="inlineStr">
        <is>
          <t>TAR</t>
        </is>
      </c>
      <c r="L96" s="209" t="inlineStr">
        <is>
          <t>PDF</t>
        </is>
      </c>
      <c r="M96" s="209" t="inlineStr">
        <is>
          <t>CN</t>
        </is>
      </c>
      <c r="N96" s="203" t="inlineStr">
        <is>
          <t>https://www.renrendoc.com/paper/132337830.html</t>
        </is>
      </c>
    </row>
    <row r="97">
      <c r="B97" s="198" t="inlineStr">
        <is>
          <t>MLT0402</t>
        </is>
      </c>
      <c r="C97" s="208" t="n">
        <v>2004</v>
      </c>
      <c r="D97" s="209" t="inlineStr">
        <is>
          <t>国家中长期能源节约规划：十大节能工程</t>
        </is>
      </c>
      <c r="E97" s="210" t="inlineStr">
        <is>
          <t>Medium and Long Term Plan of Energy Conservation: 10 Energy Conservation Programmes</t>
        </is>
      </c>
      <c r="F97" s="209" t="inlineStr">
        <is>
          <t>National Development and Reform Commission</t>
        </is>
      </c>
      <c r="G97" s="209" t="inlineStr">
        <is>
          <t>中长期规划</t>
        </is>
      </c>
      <c r="H97" s="210" t="inlineStr">
        <is>
          <t>Mitigation-enabling</t>
        </is>
      </c>
      <c r="I97" s="211" t="inlineStr">
        <is>
          <t>B.1, B.2, B.3., B.4, C.4</t>
        </is>
      </c>
      <c r="J97" s="208" t="inlineStr">
        <is>
          <t>-</t>
        </is>
      </c>
      <c r="K97" s="211" t="inlineStr">
        <is>
          <t>TAR</t>
        </is>
      </c>
      <c r="L97" s="209" t="inlineStr">
        <is>
          <t>PDF</t>
        </is>
      </c>
      <c r="M97" s="209" t="inlineStr">
        <is>
          <t>EN</t>
        </is>
      </c>
      <c r="N97" s="203" t="inlineStr">
        <is>
          <t>https://policy.asiapacificenergy.org/sites/default/files/China_Energy_Saving_Plan.pdf?utm_source=chatgpt.com</t>
        </is>
      </c>
    </row>
    <row r="98">
      <c r="B98" s="198" t="inlineStr">
        <is>
          <t>MLT0701</t>
        </is>
      </c>
      <c r="C98" s="208" t="n">
        <v>2007</v>
      </c>
      <c r="D98" s="209" t="inlineStr">
        <is>
          <t>可再生能源中长期发展规划</t>
        </is>
      </c>
      <c r="E98" s="210" t="inlineStr">
        <is>
          <t>Medium and Long Term Plan for Renewable Energy Development</t>
        </is>
      </c>
      <c r="F98" s="209" t="inlineStr">
        <is>
          <t>National Development and Reform Commission</t>
        </is>
      </c>
      <c r="G98" s="209" t="inlineStr">
        <is>
          <t>中长期规划</t>
        </is>
      </c>
      <c r="H98" s="210" t="inlineStr">
        <is>
          <t>Mitigation-enabling</t>
        </is>
      </c>
      <c r="I98" s="211" t="inlineStr">
        <is>
          <t>B.1</t>
        </is>
      </c>
      <c r="J98" s="208" t="inlineStr">
        <is>
          <t>-</t>
        </is>
      </c>
      <c r="K98" s="211" t="inlineStr">
        <is>
          <t>TAR</t>
        </is>
      </c>
      <c r="L98" s="209" t="inlineStr">
        <is>
          <t>PDF</t>
        </is>
      </c>
      <c r="M98" s="209" t="inlineStr">
        <is>
          <t>CN</t>
        </is>
      </c>
      <c r="N98" s="203" t="inlineStr">
        <is>
          <t>https://www.nea.gov.cn/131215784_11n.pdf</t>
        </is>
      </c>
    </row>
    <row r="99">
      <c r="B99" s="198" t="inlineStr">
        <is>
          <t>MLT1301</t>
        </is>
      </c>
      <c r="C99" s="208" t="n">
        <v>2013</v>
      </c>
      <c r="D99" s="209" t="inlineStr">
        <is>
          <t>国家重大科技基础设施建设中长期规划（2012-2030年）</t>
        </is>
      </c>
      <c r="E99" s="210" t="inlineStr">
        <is>
          <t>Medium and Long Term Plan for the Construction of National Major Science and Technology Infrastructure (2012–2030)</t>
        </is>
      </c>
      <c r="F99" s="209" t="inlineStr">
        <is>
          <t>State Council</t>
        </is>
      </c>
      <c r="G99" s="209" t="inlineStr">
        <is>
          <t>中长期规划</t>
        </is>
      </c>
      <c r="H99" s="210" t="inlineStr">
        <is>
          <t>Economy planning incl. climate</t>
        </is>
      </c>
      <c r="I99" s="211" t="inlineStr">
        <is>
          <t>C.1</t>
        </is>
      </c>
      <c r="J99" s="208" t="inlineStr">
        <is>
          <t>2012-2030</t>
        </is>
      </c>
      <c r="K99" s="211" t="inlineStr">
        <is>
          <t>NO-TAR</t>
        </is>
      </c>
      <c r="L99" s="209" t="inlineStr">
        <is>
          <t>HTM</t>
        </is>
      </c>
      <c r="M99" s="209" t="inlineStr">
        <is>
          <t>CN</t>
        </is>
      </c>
      <c r="N99" s="203" t="inlineStr">
        <is>
          <t>https://baike.baidu.com/item/%E5%9B%BD%E5%AE%B6%E9%87%8D%E5%A4%A7%E7%A7%91%E6%8A%80%E5%9F%BA%E7%A1%80%E8%AE%BE%E6%96%BD%E5%BB%BA%E8%AE%BE%E4%B8%AD%E9%95%BF%E6%9C%9F%E8%A7%84%E5%88%92%EF%BC%882012%E2%80%942030%E5%B9%B4%EF%BC%89/7276618</t>
        </is>
      </c>
    </row>
    <row r="100">
      <c r="B100" s="198" t="inlineStr">
        <is>
          <t>HL1504</t>
        </is>
      </c>
      <c r="C100" s="208" t="n">
        <v>2016</v>
      </c>
      <c r="D100" s="209" t="inlineStr">
        <is>
          <t>中国制造2025</t>
        </is>
      </c>
      <c r="E100" s="209" t="inlineStr">
        <is>
          <t>Made in China 2025</t>
        </is>
      </c>
      <c r="F100" s="209" t="inlineStr">
        <is>
          <t>State Council</t>
        </is>
      </c>
      <c r="G100" s="209" t="n"/>
      <c r="H100" s="210" t="inlineStr">
        <is>
          <t>Economy planning incl. climate</t>
        </is>
      </c>
      <c r="I100" s="208" t="inlineStr">
        <is>
          <t>A</t>
        </is>
      </c>
      <c r="J100" s="208" t="inlineStr">
        <is>
          <t>2015-2025</t>
        </is>
      </c>
      <c r="K100" s="211" t="inlineStr">
        <is>
          <t>TAR</t>
        </is>
      </c>
      <c r="L100" s="209" t="inlineStr">
        <is>
          <t>HTM</t>
        </is>
      </c>
      <c r="M100" s="209" t="inlineStr">
        <is>
          <t>CN</t>
        </is>
      </c>
      <c r="N100" s="203" t="inlineStr">
        <is>
          <t>https://www.gov.cn/zhengce/zhengceku/2015-05/19/content_9784.htm</t>
        </is>
      </c>
    </row>
    <row r="101">
      <c r="B101" s="198" t="inlineStr">
        <is>
          <t>DP1701</t>
        </is>
      </c>
      <c r="C101" s="208" t="n">
        <v>2017</v>
      </c>
      <c r="D101" s="210" t="inlineStr">
        <is>
          <t>汽车产业中长期发展规划</t>
        </is>
      </c>
      <c r="E101" s="210" t="inlineStr">
        <is>
          <t>Medium and Long Term Development Plan for the Automotive Industry</t>
        </is>
      </c>
      <c r="F101" s="209" t="inlineStr">
        <is>
          <t>Ministry of Industry and Information Technology; National Development and Reform Commission; Ministry of Science and Technology</t>
        </is>
      </c>
      <c r="G101" s="209" t="inlineStr">
        <is>
          <t>发展规划</t>
        </is>
      </c>
      <c r="H101" s="210" t="inlineStr">
        <is>
          <t>Economy planning incl. climate</t>
        </is>
      </c>
      <c r="I101" s="211" t="inlineStr">
        <is>
          <t>B.2, B.4</t>
        </is>
      </c>
      <c r="J101" s="208" t="inlineStr">
        <is>
          <t>-</t>
        </is>
      </c>
      <c r="K101" s="211" t="inlineStr">
        <is>
          <t>TAR</t>
        </is>
      </c>
      <c r="L101" s="209" t="inlineStr">
        <is>
          <t>HTM</t>
        </is>
      </c>
      <c r="M101" s="209" t="inlineStr">
        <is>
          <t>CN</t>
        </is>
      </c>
      <c r="N101" s="203" t="inlineStr">
        <is>
          <t>https://www.gov.cn/gongbao/content/2017/content_5230289.htm</t>
        </is>
      </c>
    </row>
    <row r="102">
      <c r="B102" s="198" t="inlineStr">
        <is>
          <t>MLT2101</t>
        </is>
      </c>
      <c r="C102" s="208" t="n">
        <v>2021</v>
      </c>
      <c r="D102" s="209" t="inlineStr">
        <is>
          <t>抽水蓄能中长期发展规划 (2021-2035 年)</t>
        </is>
      </c>
      <c r="E102" s="210" t="inlineStr">
        <is>
          <t>Medium and Long Term Development Plan for Pumped Storage Energy (2021-2035)</t>
        </is>
      </c>
      <c r="F102" s="209" t="inlineStr">
        <is>
          <t>National Energy Administration</t>
        </is>
      </c>
      <c r="G102" s="209" t="inlineStr">
        <is>
          <t>中长期规划</t>
        </is>
      </c>
      <c r="H102" s="210" t="inlineStr">
        <is>
          <t>Mitigation-enabling</t>
        </is>
      </c>
      <c r="I102" s="211" t="inlineStr">
        <is>
          <t>B.1</t>
        </is>
      </c>
      <c r="J102" s="208" t="inlineStr">
        <is>
          <t>2021-2035</t>
        </is>
      </c>
      <c r="K102" s="211" t="inlineStr">
        <is>
          <t>NO-TAR</t>
        </is>
      </c>
      <c r="L102" s="209" t="inlineStr">
        <is>
          <t>PDF</t>
        </is>
      </c>
      <c r="M102" s="209" t="inlineStr">
        <is>
          <t>CN</t>
        </is>
      </c>
      <c r="N102" s="203" t="inlineStr">
        <is>
          <t>http://zfxxgk.nea.gov.cn/2021-09/17/c_1310193456.htm</t>
        </is>
      </c>
    </row>
    <row r="103" ht="14.5" customHeight="1" s="235">
      <c r="B103" s="198" t="inlineStr">
        <is>
          <t>MLT2201</t>
        </is>
      </c>
      <c r="C103" s="208" t="n">
        <v>2022</v>
      </c>
      <c r="D103" s="209" t="inlineStr">
        <is>
          <t>氢能产业发展中长期规划（2021-2035年）</t>
        </is>
      </c>
      <c r="E103" s="210" t="inlineStr">
        <is>
          <t>Medium and Long Term Plan for the Development of the Hydrogen Energy Industry (2021-2035)</t>
        </is>
      </c>
      <c r="F103" s="209" t="inlineStr">
        <is>
          <t>National Development and Reform Commission; National Energy Administration</t>
        </is>
      </c>
      <c r="G103" s="209" t="inlineStr">
        <is>
          <t>中长期规划</t>
        </is>
      </c>
      <c r="H103" s="210" t="inlineStr">
        <is>
          <t>Mitigation-enabling</t>
        </is>
      </c>
      <c r="I103" s="211" t="inlineStr">
        <is>
          <t>B.1</t>
        </is>
      </c>
      <c r="J103" s="208" t="inlineStr">
        <is>
          <t>2021-2035</t>
        </is>
      </c>
      <c r="K103" s="211" t="inlineStr">
        <is>
          <t>NO-TAR</t>
        </is>
      </c>
      <c r="L103" s="209" t="inlineStr">
        <is>
          <t>PDF</t>
        </is>
      </c>
      <c r="M103" s="209" t="inlineStr">
        <is>
          <t>CN</t>
        </is>
      </c>
      <c r="N103" s="203" t="inlineStr">
        <is>
          <t>https://www.ndrc.gov.cn/xxgk/zcfb/ghwb/202203/P020220323314396580505.pdf</t>
        </is>
      </c>
    </row>
    <row r="104">
      <c r="B104" s="198" t="inlineStr">
        <is>
          <t>MLT2202</t>
        </is>
      </c>
      <c r="C104" s="208" t="n">
        <v>2021</v>
      </c>
      <c r="D104" s="210" t="inlineStr">
        <is>
          <t>交通领域科技创新中长期发展规划纲要（2021—2035年）</t>
        </is>
      </c>
      <c r="E104" s="210" t="inlineStr">
        <is>
          <t>Outline of Medium and Long Term Development Plan for Technological Innovation in the Transportation Sector (2021-2035)</t>
        </is>
      </c>
      <c r="F104" s="209" t="inlineStr">
        <is>
          <t>Ministry of Transport; Ministry of Science and Technology</t>
        </is>
      </c>
      <c r="G104" s="209" t="inlineStr">
        <is>
          <t>中长期规划</t>
        </is>
      </c>
      <c r="H104" s="210" t="inlineStr">
        <is>
          <t>Economy planning incl. climate</t>
        </is>
      </c>
      <c r="I104" s="211" t="inlineStr">
        <is>
          <t>B.2</t>
        </is>
      </c>
      <c r="J104" s="208" t="inlineStr">
        <is>
          <t>2021-2035</t>
        </is>
      </c>
      <c r="K104" s="211" t="inlineStr">
        <is>
          <t>NO-TAR</t>
        </is>
      </c>
      <c r="L104" s="209" t="inlineStr">
        <is>
          <t>HTM</t>
        </is>
      </c>
      <c r="M104" s="209" t="inlineStr">
        <is>
          <t>CN</t>
        </is>
      </c>
      <c r="N104" s="203" t="inlineStr">
        <is>
          <t>https://xxgk.mot.gov.cn/jigou/kjs/202203/t20220325_3647752.html</t>
        </is>
      </c>
    </row>
    <row r="105">
      <c r="B105" s="205" t="inlineStr">
        <is>
          <t>Five-Year Plans</t>
        </is>
      </c>
      <c r="C105" s="206" t="n"/>
      <c r="D105" s="206" t="n"/>
      <c r="E105" s="206" t="n"/>
      <c r="F105" s="206" t="n"/>
      <c r="G105" s="206" t="n"/>
      <c r="H105" s="206" t="n"/>
      <c r="I105" s="206" t="n"/>
      <c r="J105" s="206" t="n"/>
      <c r="K105" s="206" t="n"/>
      <c r="L105" s="206" t="n"/>
      <c r="M105" s="206" t="n"/>
      <c r="N105" s="207" t="inlineStr">
        <is>
          <t>https://zfxxgk.nea.gov.cn/auto79/201109/P020110921527315023013.pdf</t>
        </is>
      </c>
    </row>
    <row r="106">
      <c r="B106" s="198" t="inlineStr">
        <is>
          <t>FYP0701</t>
        </is>
      </c>
      <c r="C106" s="208" t="n">
        <v>2007</v>
      </c>
      <c r="D106" s="209" t="inlineStr">
        <is>
          <t>煤炭工业发展“十一五”规划</t>
        </is>
      </c>
      <c r="E106" s="210" t="inlineStr">
        <is>
          <t>11th Five-Year Plan for the Coal Industry</t>
        </is>
      </c>
      <c r="F106" s="209" t="inlineStr">
        <is>
          <t>National Development and Reform Commission</t>
        </is>
      </c>
      <c r="G106" s="209" t="inlineStr">
        <is>
          <t>五年规划</t>
        </is>
      </c>
      <c r="H106" s="210" t="inlineStr">
        <is>
          <t>Fossil-fuel</t>
        </is>
      </c>
      <c r="I106" s="211" t="inlineStr">
        <is>
          <t>B.1, B.2</t>
        </is>
      </c>
      <c r="J106" s="208" t="inlineStr">
        <is>
          <t>11th FYP</t>
        </is>
      </c>
      <c r="K106" s="211" t="inlineStr">
        <is>
          <t>TAR</t>
        </is>
      </c>
      <c r="L106" s="209" t="inlineStr">
        <is>
          <t>HTM</t>
        </is>
      </c>
      <c r="M106" s="209" t="inlineStr">
        <is>
          <t>CN</t>
        </is>
      </c>
      <c r="N106" s="203" t="inlineStr">
        <is>
          <t>https://baike.baidu.com/item/%E7%85%A4%E7%82%AD%E5%B7%A5%E4%B8%9A%E5%8F%91%E5%B1%95%E2%80%9C%E5%8D%81%E4%B8%80%E4%BA%94%E2%80%9D%E8%A7%84%E5%88%92/4073357</t>
        </is>
      </c>
    </row>
    <row r="107">
      <c r="B107" s="198" t="inlineStr">
        <is>
          <t>FYP0702</t>
        </is>
      </c>
      <c r="C107" s="208" t="n">
        <v>2007</v>
      </c>
      <c r="D107" s="209" t="inlineStr">
        <is>
          <t>能源发展“十一五”规划</t>
        </is>
      </c>
      <c r="E107" s="210" t="inlineStr">
        <is>
          <t>11th Five-Year Plan on Energy Development</t>
        </is>
      </c>
      <c r="F107" s="209" t="inlineStr">
        <is>
          <t>National Development and Reform Commission</t>
        </is>
      </c>
      <c r="G107" s="209" t="inlineStr">
        <is>
          <t>五年规划</t>
        </is>
      </c>
      <c r="H107" s="210" t="inlineStr">
        <is>
          <t>Economy planning incl. climate</t>
        </is>
      </c>
      <c r="I107" s="211" t="inlineStr">
        <is>
          <t>B.1</t>
        </is>
      </c>
      <c r="J107" s="208" t="inlineStr">
        <is>
          <t>11th FYP</t>
        </is>
      </c>
      <c r="K107" s="211" t="inlineStr">
        <is>
          <t>NO-TAR</t>
        </is>
      </c>
      <c r="L107" s="209" t="inlineStr">
        <is>
          <t>PDF</t>
        </is>
      </c>
      <c r="M107" s="209" t="inlineStr">
        <is>
          <t>CN</t>
        </is>
      </c>
      <c r="N107" s="203" t="inlineStr">
        <is>
          <t>https://zfxxgk.nea.gov.cn/auto79/201109/P020110921527315023013.pdf</t>
        </is>
      </c>
    </row>
    <row r="108">
      <c r="B108" s="198" t="inlineStr">
        <is>
          <t>FYP0801</t>
        </is>
      </c>
      <c r="C108" s="208" t="n">
        <v>2008</v>
      </c>
      <c r="D108" s="209" t="inlineStr">
        <is>
          <t>煤层气（煤矿瓦斯）开发利用“十一五”规划</t>
        </is>
      </c>
      <c r="E108" s="210" t="inlineStr">
        <is>
          <t>11th Five-Year Plan for Development and Utilization of Coalbed Methane (Coal Mine Methane)</t>
        </is>
      </c>
      <c r="F108" s="209" t="inlineStr">
        <is>
          <t>National Development and Reform Commission</t>
        </is>
      </c>
      <c r="G108" s="209" t="inlineStr">
        <is>
          <t>五年规划</t>
        </is>
      </c>
      <c r="H108" s="210" t="inlineStr">
        <is>
          <t>Fossil-fuel</t>
        </is>
      </c>
      <c r="I108" s="211" t="inlineStr">
        <is>
          <t>B.1, B.2</t>
        </is>
      </c>
      <c r="J108" s="208" t="inlineStr">
        <is>
          <t>11th FYP</t>
        </is>
      </c>
      <c r="K108" s="211" t="inlineStr">
        <is>
          <t>TAR</t>
        </is>
      </c>
      <c r="L108" s="209" t="inlineStr">
        <is>
          <t>HTM</t>
        </is>
      </c>
      <c r="M108" s="209" t="inlineStr">
        <is>
          <t>CN</t>
        </is>
      </c>
      <c r="N108" s="203" t="inlineStr">
        <is>
          <t>https://www.nea.gov.cn/2006-06/28/c_131215308.htm</t>
        </is>
      </c>
    </row>
    <row r="109">
      <c r="B109" s="198" t="inlineStr">
        <is>
          <t>FYP1101</t>
        </is>
      </c>
      <c r="C109" s="208" t="n">
        <v>2011</v>
      </c>
      <c r="D109" s="209" t="inlineStr">
        <is>
          <t>“十二五”控制温室气体排放工作方案</t>
        </is>
      </c>
      <c r="E109" s="210" t="inlineStr">
        <is>
          <t>12th Five-Year Plan for Greenhouse Gas Emission Control</t>
        </is>
      </c>
      <c r="F109" s="209" t="inlineStr">
        <is>
          <t>State Council</t>
        </is>
      </c>
      <c r="G109" s="209" t="inlineStr">
        <is>
          <t>工作方案</t>
        </is>
      </c>
      <c r="H109" s="210" t="inlineStr">
        <is>
          <t>Explicit mitigation</t>
        </is>
      </c>
      <c r="I109" s="211" t="inlineStr">
        <is>
          <t>A</t>
        </is>
      </c>
      <c r="J109" s="208" t="inlineStr">
        <is>
          <t>12th FYP</t>
        </is>
      </c>
      <c r="K109" s="211" t="inlineStr">
        <is>
          <t>TAR</t>
        </is>
      </c>
      <c r="L109" s="209" t="inlineStr">
        <is>
          <t>HTM</t>
        </is>
      </c>
      <c r="M109" s="209" t="inlineStr">
        <is>
          <t>CN</t>
        </is>
      </c>
      <c r="N109" s="203" t="inlineStr">
        <is>
          <t>https://www.gov.cn/zhengce/zhengceku/2012-01/13/content_1294.htm</t>
        </is>
      </c>
    </row>
    <row r="110">
      <c r="B110" s="198" t="inlineStr">
        <is>
          <t>FYP1102</t>
        </is>
      </c>
      <c r="C110" s="208" t="n">
        <v>2011</v>
      </c>
      <c r="D110" s="209" t="inlineStr">
        <is>
          <t>公路水路交通运输节能减排“十二五”规划</t>
        </is>
      </c>
      <c r="E110" s="210" t="inlineStr">
        <is>
          <t>12th Five-Year Plan for Energy Conservation and Emissions Reduction in Road and Water Transport</t>
        </is>
      </c>
      <c r="F110" s="209" t="inlineStr">
        <is>
          <t>Ministry of Transport</t>
        </is>
      </c>
      <c r="G110" s="209" t="inlineStr">
        <is>
          <t>五年规划</t>
        </is>
      </c>
      <c r="H110" s="210" t="inlineStr">
        <is>
          <t>Explicit mitigation</t>
        </is>
      </c>
      <c r="I110" s="211" t="inlineStr">
        <is>
          <t>B.4</t>
        </is>
      </c>
      <c r="J110" s="208" t="inlineStr">
        <is>
          <t>12th FYP</t>
        </is>
      </c>
      <c r="K110" s="211" t="inlineStr">
        <is>
          <t>TAR</t>
        </is>
      </c>
      <c r="L110" s="209" t="inlineStr">
        <is>
          <t>HTM</t>
        </is>
      </c>
      <c r="M110" s="209" t="inlineStr">
        <is>
          <t>CN</t>
        </is>
      </c>
      <c r="N110" s="203" t="inlineStr">
        <is>
          <t>https://baike.baidu.com/item/%E5%85%AC%E8%B7%AF%E6%B0%B4%E8%B7%AF%E4%BA%A4%E9%80%9A%E8%BF%90%E8%BE%93%E8%8A%82%E8%83%BD%E5%87%8F%E6%8E%92%E2%80%9C%E5%8D%81%E4%BA%8C%E4%BA%94%E2%80%9D%E8%A7%84%E5%88%92/3380241</t>
        </is>
      </c>
    </row>
    <row r="111">
      <c r="B111" s="198" t="inlineStr">
        <is>
          <t>FYP1103</t>
        </is>
      </c>
      <c r="C111" s="208" t="n">
        <v>2011</v>
      </c>
      <c r="D111" s="209" t="inlineStr">
        <is>
          <t>煤层气（煤矿瓦斯）开发利用“十二五”规划</t>
        </is>
      </c>
      <c r="E111" s="210" t="inlineStr">
        <is>
          <t>12th Five-Year Plan for Development and Utilization of Coalbed Methane (Coal Mine Methane)</t>
        </is>
      </c>
      <c r="F111" s="209" t="inlineStr">
        <is>
          <t>National Development and Reform Commission; National Energy Administration</t>
        </is>
      </c>
      <c r="G111" s="209" t="inlineStr">
        <is>
          <t>五年规划</t>
        </is>
      </c>
      <c r="H111" s="210" t="inlineStr">
        <is>
          <t>Fossil-fuel</t>
        </is>
      </c>
      <c r="I111" s="211" t="inlineStr">
        <is>
          <t>B.1, B.2</t>
        </is>
      </c>
      <c r="J111" s="208" t="inlineStr">
        <is>
          <t>12th FYP</t>
        </is>
      </c>
      <c r="K111" s="211" t="inlineStr">
        <is>
          <t>TAR</t>
        </is>
      </c>
      <c r="L111" s="209" t="inlineStr">
        <is>
          <t>HTM</t>
        </is>
      </c>
      <c r="M111" s="209" t="inlineStr">
        <is>
          <t>CN</t>
        </is>
      </c>
      <c r="N111" s="203" t="inlineStr">
        <is>
          <t>https://baike.baidu.com/item/%E7%85%A4%E5%B1%82%E6%B0%94%EF%BC%88%E7%85%A4%E7%9F%BF%E7%93%A6%E6%96%AF%EF%BC%89%E5%BC%80%E5%8F%91%E5%88%A9%E7%94%A8%E2%80%9C%E5%8D%81%E4%BA%8C%E4%BA%94%E2%80%9D%E8%A7%84%E5%88%92/5838983?fromModule=search-result_lemma</t>
        </is>
      </c>
    </row>
    <row r="112">
      <c r="B112" s="198" t="inlineStr">
        <is>
          <t>FYP1201</t>
        </is>
      </c>
      <c r="C112" s="208" t="n">
        <v>2012</v>
      </c>
      <c r="D112" s="209" t="inlineStr">
        <is>
          <t>节能减排“十二五”规划</t>
        </is>
      </c>
      <c r="E112" s="210" t="inlineStr">
        <is>
          <t>12th Five-Year Plan for Energy Efficiency and Emission Reduction</t>
        </is>
      </c>
      <c r="F112" s="209" t="inlineStr">
        <is>
          <t>State Council</t>
        </is>
      </c>
      <c r="G112" s="209" t="inlineStr">
        <is>
          <t>五年规划</t>
        </is>
      </c>
      <c r="H112" s="210" t="inlineStr">
        <is>
          <t>Explicit mitigation</t>
        </is>
      </c>
      <c r="I112" s="211" t="inlineStr">
        <is>
          <t>A</t>
        </is>
      </c>
      <c r="J112" s="208" t="inlineStr">
        <is>
          <t>12th FYP</t>
        </is>
      </c>
      <c r="K112" s="211" t="inlineStr">
        <is>
          <t>TAR</t>
        </is>
      </c>
      <c r="L112" s="209" t="inlineStr">
        <is>
          <t>HTM</t>
        </is>
      </c>
      <c r="M112" s="209" t="inlineStr">
        <is>
          <t>CN</t>
        </is>
      </c>
      <c r="N112" s="203" t="inlineStr">
        <is>
          <t>https://www.gov.cn/zwgk/2012-08/21/content_2207867.htm</t>
        </is>
      </c>
    </row>
    <row r="113">
      <c r="B113" s="198" t="inlineStr">
        <is>
          <t>FYP1202</t>
        </is>
      </c>
      <c r="C113" s="208" t="n">
        <v>2012</v>
      </c>
      <c r="D113" s="209" t="inlineStr">
        <is>
          <t>"十二五"国家应对气候变化科技发展专项规划</t>
        </is>
      </c>
      <c r="E113" s="210" t="inlineStr">
        <is>
          <t>12th Five-Year Plan for National Science and Technology Development to Address Climate Change</t>
        </is>
      </c>
      <c r="F113" s="209" t="inlineStr">
        <is>
          <t>Ministry of Science and Technology; National Development and Reform Commission; Ministry of Finance; Ministry of Ecology and Environment; Ministry of Education; Ministry of Industry and Information Technology; Ministry of Land and Resources; Ministry of Housing and Urban-Rural Development; Ministry of Water Resources; Ministry of Agriculture; State Taxation Administration; General Administration of Quality Supervision, Inspection and Quarantine; National Energy Administration; State Forestry Administration; National Natural Science Foundation of China; Chinese Academy of Sciences; China Meteorological Administration; China Association for Science and Technology</t>
        </is>
      </c>
      <c r="G113" s="209" t="inlineStr">
        <is>
          <t>发展规划</t>
        </is>
      </c>
      <c r="H113" s="210" t="inlineStr">
        <is>
          <t>Explicit mitigation</t>
        </is>
      </c>
      <c r="I113" s="211" t="inlineStr">
        <is>
          <t>C.1</t>
        </is>
      </c>
      <c r="J113" s="208" t="inlineStr">
        <is>
          <t>12th FYP</t>
        </is>
      </c>
      <c r="K113" s="211" t="inlineStr">
        <is>
          <t>NO-TAR</t>
        </is>
      </c>
      <c r="L113" s="209" t="inlineStr">
        <is>
          <t>HTM</t>
        </is>
      </c>
      <c r="M113" s="209" t="inlineStr">
        <is>
          <t>CN</t>
        </is>
      </c>
      <c r="N113" s="203" t="inlineStr">
        <is>
          <t>https://www.most.gov.cn/xxgk/xinxifenlei/fdzdgknr/fgzc/gfxwj/gfxwj2012/201211/t20121101_97552.html</t>
        </is>
      </c>
    </row>
    <row r="114">
      <c r="B114" s="198" t="inlineStr">
        <is>
          <t>FYP1203</t>
        </is>
      </c>
      <c r="C114" s="208" t="n">
        <v>2012</v>
      </c>
      <c r="D114" s="212" t="inlineStr">
        <is>
          <t>“十二五”国家战略性新兴产业发展规划</t>
        </is>
      </c>
      <c r="E114" s="210" t="inlineStr">
        <is>
          <t>12th Five-Year Plan for National Strategic Emerging Industries</t>
        </is>
      </c>
      <c r="F114" s="209" t="inlineStr">
        <is>
          <t>State Council</t>
        </is>
      </c>
      <c r="G114" s="209" t="inlineStr">
        <is>
          <t>发展规划</t>
        </is>
      </c>
      <c r="H114" s="210" t="inlineStr">
        <is>
          <t>Fossil-fuel</t>
        </is>
      </c>
      <c r="I114" s="211" t="inlineStr">
        <is>
          <t>B.2</t>
        </is>
      </c>
      <c r="J114" s="208" t="inlineStr">
        <is>
          <t>12th FYP</t>
        </is>
      </c>
      <c r="K114" s="211" t="inlineStr">
        <is>
          <t>TAR</t>
        </is>
      </c>
      <c r="L114" s="209" t="inlineStr">
        <is>
          <t>HTM</t>
        </is>
      </c>
      <c r="M114" s="209" t="inlineStr">
        <is>
          <t>CN</t>
        </is>
      </c>
      <c r="N114" s="203" t="inlineStr">
        <is>
          <t>https://www.gov.cn/gongbao/content/2012/content_2192397.htm</t>
        </is>
      </c>
    </row>
    <row r="115">
      <c r="B115" s="198" t="inlineStr">
        <is>
          <t>FYP1204</t>
        </is>
      </c>
      <c r="C115" s="208" t="n">
        <v>2012</v>
      </c>
      <c r="D115" s="209" t="inlineStr">
        <is>
          <t>太阳能发电发展“十二五”规划</t>
        </is>
      </c>
      <c r="E115" s="210" t="inlineStr">
        <is>
          <t>12th Five-Year Plan for Solar Power Development</t>
        </is>
      </c>
      <c r="F115" s="209" t="inlineStr">
        <is>
          <t>National Energy Administration</t>
        </is>
      </c>
      <c r="G115" s="209" t="inlineStr">
        <is>
          <t>五年规划</t>
        </is>
      </c>
      <c r="H115" s="210" t="inlineStr">
        <is>
          <t>Mitigation-enabling</t>
        </is>
      </c>
      <c r="I115" s="211" t="inlineStr">
        <is>
          <t>B.1</t>
        </is>
      </c>
      <c r="J115" s="208" t="inlineStr">
        <is>
          <t>12th FYP</t>
        </is>
      </c>
      <c r="K115" s="211" t="inlineStr">
        <is>
          <t>NO-TAR</t>
        </is>
      </c>
      <c r="L115" s="209" t="inlineStr">
        <is>
          <t>PDF</t>
        </is>
      </c>
      <c r="M115" s="209" t="inlineStr">
        <is>
          <t>CN</t>
        </is>
      </c>
      <c r="N115" s="203" t="inlineStr">
        <is>
          <t>https://zfxxgk.nea.gov.cn/auto87/201209/t20120912_1510.htm</t>
        </is>
      </c>
    </row>
    <row r="116">
      <c r="B116" s="198" t="inlineStr">
        <is>
          <t>FYP1205</t>
        </is>
      </c>
      <c r="C116" s="208" t="n">
        <v>2012</v>
      </c>
      <c r="D116" s="209" t="inlineStr">
        <is>
          <t>太阳能发电科技发展“十二五”专项规划</t>
        </is>
      </c>
      <c r="E116" s="210" t="inlineStr">
        <is>
          <t>12th Five-Year Special Plan for Solar Power Technology Development</t>
        </is>
      </c>
      <c r="F116" s="209" t="inlineStr">
        <is>
          <t>Ministry of Science and Technology</t>
        </is>
      </c>
      <c r="G116" s="209" t="inlineStr">
        <is>
          <t>五年规划</t>
        </is>
      </c>
      <c r="H116" s="210" t="inlineStr">
        <is>
          <t>Mitigation-enabling</t>
        </is>
      </c>
      <c r="I116" s="211" t="inlineStr">
        <is>
          <t>B.1, B.2, C.1</t>
        </is>
      </c>
      <c r="J116" s="208" t="inlineStr">
        <is>
          <t>12th FYP</t>
        </is>
      </c>
      <c r="K116" s="211" t="inlineStr">
        <is>
          <t>TAR</t>
        </is>
      </c>
      <c r="L116" s="209" t="inlineStr">
        <is>
          <t>PDF</t>
        </is>
      </c>
      <c r="M116" s="209" t="inlineStr">
        <is>
          <t>CN</t>
        </is>
      </c>
      <c r="N116" s="203" t="inlineStr">
        <is>
          <t>https://www.nea.gov.cn/2012-04/26/c_131551940.htm</t>
        </is>
      </c>
    </row>
    <row r="117">
      <c r="B117" s="198" t="inlineStr">
        <is>
          <t>FYP1206</t>
        </is>
      </c>
      <c r="C117" s="208" t="n">
        <v>2012</v>
      </c>
      <c r="D117" s="209" t="inlineStr">
        <is>
          <t>风力发电科技发展“十二五”专项规划</t>
        </is>
      </c>
      <c r="E117" s="210" t="inlineStr">
        <is>
          <t>12th Five-Year Special Plan for Wind Power Technology Development</t>
        </is>
      </c>
      <c r="F117" s="209" t="inlineStr">
        <is>
          <t>Ministry of Science and Technology</t>
        </is>
      </c>
      <c r="G117" s="209" t="inlineStr">
        <is>
          <t>五年规划</t>
        </is>
      </c>
      <c r="H117" s="210" t="inlineStr">
        <is>
          <t>Mitigation-enabling</t>
        </is>
      </c>
      <c r="I117" s="211" t="inlineStr">
        <is>
          <t>B.1, B.2, C.1</t>
        </is>
      </c>
      <c r="J117" s="208" t="inlineStr">
        <is>
          <t>12th FYP</t>
        </is>
      </c>
      <c r="K117" s="211" t="inlineStr">
        <is>
          <t>TAR</t>
        </is>
      </c>
      <c r="L117" s="209" t="inlineStr">
        <is>
          <t>PDF</t>
        </is>
      </c>
      <c r="M117" s="209" t="inlineStr">
        <is>
          <t>CN</t>
        </is>
      </c>
      <c r="N117" s="203" t="inlineStr">
        <is>
          <t>https://www.iea.org/policies/5471-wind-power-technology-development-12th-five-year-special-planning</t>
        </is>
      </c>
    </row>
    <row r="118">
      <c r="B118" s="198" t="inlineStr">
        <is>
          <t>FYP1207</t>
        </is>
      </c>
      <c r="C118" s="208" t="n">
        <v>2012</v>
      </c>
      <c r="D118" s="209" t="inlineStr">
        <is>
          <t>可再生能源发展“十二五”规划</t>
        </is>
      </c>
      <c r="E118" s="210" t="inlineStr">
        <is>
          <t>12th Five-Year Plan for Renewable Energy Development</t>
        </is>
      </c>
      <c r="F118" s="209" t="inlineStr">
        <is>
          <t>National Development and Reform Commission</t>
        </is>
      </c>
      <c r="G118" s="209" t="inlineStr">
        <is>
          <t>五年规划</t>
        </is>
      </c>
      <c r="H118" s="210" t="inlineStr">
        <is>
          <t>Mitigation-enabling</t>
        </is>
      </c>
      <c r="I118" s="211" t="inlineStr">
        <is>
          <t>B.1</t>
        </is>
      </c>
      <c r="J118" s="208" t="inlineStr">
        <is>
          <t>12th FYP</t>
        </is>
      </c>
      <c r="K118" s="211" t="inlineStr">
        <is>
          <t>NO-TAR</t>
        </is>
      </c>
      <c r="L118" s="209" t="inlineStr">
        <is>
          <t>HTM</t>
        </is>
      </c>
      <c r="M118" s="209" t="inlineStr">
        <is>
          <t>CN</t>
        </is>
      </c>
      <c r="N118" s="203" t="inlineStr">
        <is>
          <t>https://policy.asiapacificenergy.org/sites/default/files/12th%20Five%20Year%20Plan%20of%20Renewable%20Energy%20Development%20%28CH%29.pdf</t>
        </is>
      </c>
    </row>
    <row r="119">
      <c r="B119" s="198" t="inlineStr">
        <is>
          <t>FYP1208</t>
        </is>
      </c>
      <c r="C119" s="208" t="n">
        <v>2012</v>
      </c>
      <c r="D119" s="209" t="inlineStr">
        <is>
          <t>煤炭工业发展“十二五”规划</t>
        </is>
      </c>
      <c r="E119" s="210" t="inlineStr">
        <is>
          <t>12th Five-Year Plan for the Coal Industry</t>
        </is>
      </c>
      <c r="F119" s="209" t="inlineStr">
        <is>
          <t>National Development and Reform Commission</t>
        </is>
      </c>
      <c r="G119" s="209" t="inlineStr">
        <is>
          <t>五年规划</t>
        </is>
      </c>
      <c r="H119" s="210" t="inlineStr">
        <is>
          <t>Fossil-fuel</t>
        </is>
      </c>
      <c r="I119" s="211" t="inlineStr">
        <is>
          <t>B.1, B.2</t>
        </is>
      </c>
      <c r="J119" s="208" t="inlineStr">
        <is>
          <t>12th FYP</t>
        </is>
      </c>
      <c r="K119" s="211" t="inlineStr">
        <is>
          <t>NO-TAR</t>
        </is>
      </c>
      <c r="L119" s="209" t="inlineStr">
        <is>
          <t>HTM</t>
        </is>
      </c>
      <c r="M119" s="209" t="inlineStr">
        <is>
          <t>CN</t>
        </is>
      </c>
      <c r="N119" s="203" t="inlineStr">
        <is>
          <t>https://baike.baidu.com/item/%E7%85%A4%E7%82%AD%E5%B7%A5%E4%B8%9A%E5%8F%91%E5%B1%95%E2%80%9C%E5%8D%81%E4%BA%8C%E4%BA%94%E2%80%9D%E8%A7%84%E5%88%92?fromModule=lemma_search-box</t>
        </is>
      </c>
    </row>
    <row r="120">
      <c r="B120" s="198" t="inlineStr">
        <is>
          <t>FYP1301</t>
        </is>
      </c>
      <c r="C120" s="208" t="n">
        <v>2013</v>
      </c>
      <c r="D120" s="210" t="inlineStr">
        <is>
          <t>“十二五”国家碳捕集利用与封存科技发展专项规划</t>
        </is>
      </c>
      <c r="E120" s="210" t="inlineStr">
        <is>
          <t>12th Five-Year Special Plan for the Development of National Carbon Capture, Utilization, and Storage Technology</t>
        </is>
      </c>
      <c r="F120" s="209" t="inlineStr">
        <is>
          <t>Ministry of Science and Technology</t>
        </is>
      </c>
      <c r="G120" s="209" t="inlineStr">
        <is>
          <t>发展规划</t>
        </is>
      </c>
      <c r="H120" s="210" t="inlineStr">
        <is>
          <t>Explicit mitigation</t>
        </is>
      </c>
      <c r="I120" s="211" t="inlineStr">
        <is>
          <t>B.5</t>
        </is>
      </c>
      <c r="J120" s="208" t="inlineStr">
        <is>
          <t>12th FYP</t>
        </is>
      </c>
      <c r="K120" s="211" t="inlineStr">
        <is>
          <t>NO-TAR</t>
        </is>
      </c>
      <c r="L120" s="209" t="inlineStr">
        <is>
          <t>PDF</t>
        </is>
      </c>
      <c r="M120" s="209" t="inlineStr">
        <is>
          <t>CN</t>
        </is>
      </c>
      <c r="N120" s="203" t="inlineStr">
        <is>
          <t>https://www.most.gov.cn/xxgk/xinxifenlei/fdzdgknr/fgzc/gfxwj/gfxwj2013/201303/t20130315_100225.html</t>
        </is>
      </c>
    </row>
    <row r="121">
      <c r="B121" s="198" t="inlineStr">
        <is>
          <t>FYP1302</t>
        </is>
      </c>
      <c r="C121" s="208" t="n">
        <v>2013</v>
      </c>
      <c r="D121" s="210" t="inlineStr">
        <is>
          <t>能源发展“十二五”规划</t>
        </is>
      </c>
      <c r="E121" s="210" t="inlineStr">
        <is>
          <t>12th Five-Year Plan on Energy Development</t>
        </is>
      </c>
      <c r="F121" s="209" t="inlineStr">
        <is>
          <t>State Council</t>
        </is>
      </c>
      <c r="G121" s="209" t="inlineStr">
        <is>
          <t>五年规划</t>
        </is>
      </c>
      <c r="H121" s="210" t="inlineStr">
        <is>
          <t>Economy planning incl. climate</t>
        </is>
      </c>
      <c r="I121" s="211" t="inlineStr">
        <is>
          <t>B.1</t>
        </is>
      </c>
      <c r="J121" s="208" t="inlineStr">
        <is>
          <t>12th FYP</t>
        </is>
      </c>
      <c r="K121" s="211" t="inlineStr">
        <is>
          <t>TAR</t>
        </is>
      </c>
      <c r="L121" s="209" t="inlineStr">
        <is>
          <t>HTM</t>
        </is>
      </c>
      <c r="M121" s="209" t="inlineStr">
        <is>
          <t>CN</t>
        </is>
      </c>
      <c r="N121" s="203" t="inlineStr">
        <is>
          <t>https://www.gov.cn/zwgk/2013-01/23/content_2318554.htm</t>
        </is>
      </c>
    </row>
    <row r="122">
      <c r="B122" s="198" t="inlineStr">
        <is>
          <t>FYP1601</t>
        </is>
      </c>
      <c r="C122" s="208" t="n">
        <v>2016</v>
      </c>
      <c r="D122" s="209" t="inlineStr">
        <is>
          <t>“十三五”节能减排综合工作方案</t>
        </is>
      </c>
      <c r="E122" s="210" t="inlineStr">
        <is>
          <t>13th Five-Year Plan on Energy Efficiency and Emission Reduction</t>
        </is>
      </c>
      <c r="F122" s="209" t="inlineStr">
        <is>
          <t>State Council</t>
        </is>
      </c>
      <c r="G122" s="209" t="inlineStr">
        <is>
          <t>工作方案</t>
        </is>
      </c>
      <c r="H122" s="210" t="inlineStr">
        <is>
          <t>Explicit mitigation</t>
        </is>
      </c>
      <c r="I122" s="211" t="inlineStr">
        <is>
          <t>A</t>
        </is>
      </c>
      <c r="J122" s="208" t="inlineStr">
        <is>
          <t>13th FYP</t>
        </is>
      </c>
      <c r="K122" s="211" t="inlineStr">
        <is>
          <t>TAR</t>
        </is>
      </c>
      <c r="L122" s="209" t="inlineStr">
        <is>
          <t>HTM</t>
        </is>
      </c>
      <c r="M122" s="209" t="inlineStr">
        <is>
          <t>CN</t>
        </is>
      </c>
      <c r="N122" s="203" t="inlineStr">
        <is>
          <t>https://www.gov.cn/zhengce/zhengceku/2017-01/05/content_5156789.htm</t>
        </is>
      </c>
    </row>
    <row r="123">
      <c r="B123" s="198" t="inlineStr">
        <is>
          <t>FYP1602</t>
        </is>
      </c>
      <c r="C123" s="208" t="n">
        <v>2016</v>
      </c>
      <c r="D123" s="209" t="inlineStr">
        <is>
          <t>能源技术创新“十三五”规划</t>
        </is>
      </c>
      <c r="E123" s="210" t="inlineStr">
        <is>
          <t>13th Five-Year Plan on Energy Technology Innovation</t>
        </is>
      </c>
      <c r="F123" s="209" t="inlineStr">
        <is>
          <t>National Energy Administration</t>
        </is>
      </c>
      <c r="G123" s="209" t="inlineStr">
        <is>
          <t>五年规划</t>
        </is>
      </c>
      <c r="H123" s="210" t="inlineStr">
        <is>
          <t>Economy planning incl. climate</t>
        </is>
      </c>
      <c r="I123" s="211" t="inlineStr">
        <is>
          <t>C.1</t>
        </is>
      </c>
      <c r="J123" s="208" t="inlineStr">
        <is>
          <t>13th FYP</t>
        </is>
      </c>
      <c r="K123" s="211" t="inlineStr">
        <is>
          <t>NO-TAR</t>
        </is>
      </c>
      <c r="L123" s="209" t="inlineStr">
        <is>
          <t>PDF</t>
        </is>
      </c>
      <c r="M123" s="209" t="inlineStr">
        <is>
          <t>CN</t>
        </is>
      </c>
      <c r="N123" s="203" t="inlineStr">
        <is>
          <t>https://www.ndrc.gov.cn/fggz/fzzlgh/gjjzxgh/201708/t20170809_1196881.html?code=&amp;state=123</t>
        </is>
      </c>
    </row>
    <row r="124">
      <c r="B124" s="198" t="inlineStr">
        <is>
          <t>FYP1603</t>
        </is>
      </c>
      <c r="C124" s="208" t="n">
        <v>2016</v>
      </c>
      <c r="D124" s="210" t="inlineStr">
        <is>
          <t>能源发展“十三五”规划</t>
        </is>
      </c>
      <c r="E124" s="210" t="inlineStr">
        <is>
          <t>13th Five-Year Plan on Energy Development</t>
        </is>
      </c>
      <c r="F124" s="209" t="inlineStr">
        <is>
          <t>National Development and Reform Commission; National Energy Administration</t>
        </is>
      </c>
      <c r="G124" s="209" t="inlineStr">
        <is>
          <t>五年规划</t>
        </is>
      </c>
      <c r="H124" s="210" t="inlineStr">
        <is>
          <t>Economy planning incl. climate</t>
        </is>
      </c>
      <c r="I124" s="211" t="inlineStr">
        <is>
          <t>B.1</t>
        </is>
      </c>
      <c r="J124" s="208" t="inlineStr">
        <is>
          <t>13th FYP</t>
        </is>
      </c>
      <c r="K124" s="211" t="inlineStr">
        <is>
          <t>TAR</t>
        </is>
      </c>
      <c r="L124" s="209" t="inlineStr">
        <is>
          <t>PDF</t>
        </is>
      </c>
      <c r="M124" s="209" t="inlineStr">
        <is>
          <t>CN</t>
        </is>
      </c>
      <c r="N124" s="203" t="inlineStr">
        <is>
          <t>https://www.ndrc.gov.cn/xxgk/zcfb/tz/201701/t20170117_962873.html?code=&amp;state=123</t>
        </is>
      </c>
    </row>
    <row r="125">
      <c r="B125" s="198" t="inlineStr">
        <is>
          <t>FYP1604</t>
        </is>
      </c>
      <c r="C125" s="208" t="n">
        <v>2016</v>
      </c>
      <c r="D125" s="209" t="inlineStr">
        <is>
          <t>煤炭工业发展“十三五”规划</t>
        </is>
      </c>
      <c r="E125" s="210" t="inlineStr">
        <is>
          <t>13th Five-Year Plan for the Coal Industry</t>
        </is>
      </c>
      <c r="F125" s="209" t="inlineStr">
        <is>
          <t>National Development and Reform Commission; National Energy Administration</t>
        </is>
      </c>
      <c r="G125" s="209" t="inlineStr">
        <is>
          <t>五年规划</t>
        </is>
      </c>
      <c r="H125" s="210" t="inlineStr">
        <is>
          <t>Fossil-fuel</t>
        </is>
      </c>
      <c r="I125" s="211" t="inlineStr">
        <is>
          <t>B.1, B.2</t>
        </is>
      </c>
      <c r="J125" s="208" t="inlineStr">
        <is>
          <t>13th FYP</t>
        </is>
      </c>
      <c r="K125" s="211" t="inlineStr">
        <is>
          <t>NO-TAR</t>
        </is>
      </c>
      <c r="L125" s="209" t="inlineStr">
        <is>
          <t>PDF</t>
        </is>
      </c>
      <c r="M125" s="209" t="inlineStr">
        <is>
          <t>CN</t>
        </is>
      </c>
      <c r="N125" s="203" t="inlineStr">
        <is>
          <t>https://www.ndrc.gov.cn/xxgk/zcfb/tz/201612/t20161230_962836.html</t>
        </is>
      </c>
    </row>
    <row r="126">
      <c r="B126" s="198" t="inlineStr">
        <is>
          <t>FYP1605</t>
        </is>
      </c>
      <c r="C126" s="208" t="n">
        <v>2016</v>
      </c>
      <c r="D126" s="209" t="inlineStr">
        <is>
          <t>煤层气（煤矿瓦斯）开发利用“十三五”规划</t>
        </is>
      </c>
      <c r="E126" s="210" t="inlineStr">
        <is>
          <t>13th Five-Year Plan for Development and Utilization of Coalbed Methane (Coal Mine Methane)</t>
        </is>
      </c>
      <c r="F126" s="209" t="inlineStr">
        <is>
          <t>National Energy Administration</t>
        </is>
      </c>
      <c r="G126" s="209" t="inlineStr">
        <is>
          <t>五年规划</t>
        </is>
      </c>
      <c r="H126" s="210" t="inlineStr">
        <is>
          <t>Fossil-fuel</t>
        </is>
      </c>
      <c r="I126" s="211" t="inlineStr">
        <is>
          <t>B.1, B.2</t>
        </is>
      </c>
      <c r="J126" s="208" t="inlineStr">
        <is>
          <t>13th FYP</t>
        </is>
      </c>
      <c r="K126" s="211" t="inlineStr">
        <is>
          <t>TAR</t>
        </is>
      </c>
      <c r="L126" s="209" t="inlineStr">
        <is>
          <t>PDF</t>
        </is>
      </c>
      <c r="M126" s="209" t="inlineStr">
        <is>
          <t>CN</t>
        </is>
      </c>
      <c r="N126" s="203" t="inlineStr">
        <is>
          <t>https://fjb.nea.gov.cn/xxgk/zcfg/202311/t20231114_217580.html</t>
        </is>
      </c>
    </row>
    <row r="127">
      <c r="B127" s="198" t="inlineStr">
        <is>
          <t>FYP1606</t>
        </is>
      </c>
      <c r="C127" s="208" t="n">
        <v>2016</v>
      </c>
      <c r="D127" s="209" t="inlineStr">
        <is>
          <t>生物质能发展“十三五”规划</t>
        </is>
      </c>
      <c r="E127" s="210" t="inlineStr">
        <is>
          <t>13th Five-Year Plan for Biomass Energy Development</t>
        </is>
      </c>
      <c r="F127" s="209" t="inlineStr">
        <is>
          <t>National Energy Administration</t>
        </is>
      </c>
      <c r="G127" s="209" t="inlineStr">
        <is>
          <t>五年规划</t>
        </is>
      </c>
      <c r="H127" s="210" t="inlineStr">
        <is>
          <t>Mitigation-enabling</t>
        </is>
      </c>
      <c r="I127" s="211" t="inlineStr">
        <is>
          <t>B.1</t>
        </is>
      </c>
      <c r="J127" s="208" t="inlineStr">
        <is>
          <t>13th FYP</t>
        </is>
      </c>
      <c r="K127" s="211" t="inlineStr">
        <is>
          <t>NO-TAR</t>
        </is>
      </c>
      <c r="L127" s="209" t="inlineStr">
        <is>
          <t>PDF</t>
        </is>
      </c>
      <c r="M127" s="209" t="inlineStr">
        <is>
          <t>CN</t>
        </is>
      </c>
      <c r="N127" s="203" t="inlineStr">
        <is>
          <t>http://www.gov.cn/xinwen/2016-12/06/content_5143612.htm</t>
        </is>
      </c>
    </row>
    <row r="128">
      <c r="B128" s="198" t="inlineStr">
        <is>
          <t>FYP1607</t>
        </is>
      </c>
      <c r="C128" s="208" t="n">
        <v>2016</v>
      </c>
      <c r="D128" s="210" t="inlineStr">
        <is>
          <t>电力发展“十三五”规划</t>
        </is>
      </c>
      <c r="E128" s="210" t="inlineStr">
        <is>
          <t>13th Five-Year Plan for Electric Power Development</t>
        </is>
      </c>
      <c r="F128" s="209" t="inlineStr">
        <is>
          <t>National Development and Reform Commission; National Energy Administration</t>
        </is>
      </c>
      <c r="G128" s="209" t="inlineStr">
        <is>
          <t>五年规划</t>
        </is>
      </c>
      <c r="H128" s="210" t="inlineStr">
        <is>
          <t>Economy planning incl. climate</t>
        </is>
      </c>
      <c r="I128" s="211" t="inlineStr">
        <is>
          <t>B.1</t>
        </is>
      </c>
      <c r="J128" s="208" t="inlineStr">
        <is>
          <t>13th FYP</t>
        </is>
      </c>
      <c r="K128" s="211" t="inlineStr">
        <is>
          <t>TAR</t>
        </is>
      </c>
      <c r="L128" s="209" t="inlineStr">
        <is>
          <t>PDF</t>
        </is>
      </c>
      <c r="M128" s="209" t="inlineStr">
        <is>
          <t>CN</t>
        </is>
      </c>
      <c r="N128" s="203" t="inlineStr">
        <is>
          <t>https://zfxxgk.ndrc.gov.cn/web/iteminfo.jsp?id=398</t>
        </is>
      </c>
    </row>
    <row r="129">
      <c r="B129" s="198" t="inlineStr">
        <is>
          <t>FYP1608</t>
        </is>
      </c>
      <c r="C129" s="208" t="n">
        <v>2016</v>
      </c>
      <c r="D129" s="209" t="inlineStr">
        <is>
          <t>风电发展“十三五”规划</t>
        </is>
      </c>
      <c r="E129" s="210" t="inlineStr">
        <is>
          <t>13th Five-Year Plan for Wind Power Development</t>
        </is>
      </c>
      <c r="F129" s="209" t="inlineStr">
        <is>
          <t>National Energy Administration</t>
        </is>
      </c>
      <c r="G129" s="209" t="inlineStr">
        <is>
          <t>五年规划</t>
        </is>
      </c>
      <c r="H129" s="210" t="inlineStr">
        <is>
          <t>Mitigation-enabling</t>
        </is>
      </c>
      <c r="I129" s="211" t="inlineStr">
        <is>
          <t>B.1</t>
        </is>
      </c>
      <c r="J129" s="208" t="inlineStr">
        <is>
          <t>13th FYP</t>
        </is>
      </c>
      <c r="K129" s="211" t="inlineStr">
        <is>
          <t>TAR</t>
        </is>
      </c>
      <c r="L129" s="209" t="inlineStr">
        <is>
          <t>PDF</t>
        </is>
      </c>
      <c r="M129" s="209" t="inlineStr">
        <is>
          <t>CN</t>
        </is>
      </c>
      <c r="N129" s="203" t="inlineStr">
        <is>
          <t>http://www.nea.gov.cn/2016-11/29/c_135867633.htm</t>
        </is>
      </c>
    </row>
    <row r="130">
      <c r="B130" s="198" t="inlineStr">
        <is>
          <t>FYP1609</t>
        </is>
      </c>
      <c r="C130" s="208" t="n">
        <v>2016</v>
      </c>
      <c r="D130" s="209" t="inlineStr">
        <is>
          <t>太阳能发展“十三五”规划</t>
        </is>
      </c>
      <c r="E130" s="210" t="inlineStr">
        <is>
          <t>13th Five-Year Plan for Solar Power Development</t>
        </is>
      </c>
      <c r="F130" s="209" t="inlineStr">
        <is>
          <t>National Energy Administration</t>
        </is>
      </c>
      <c r="G130" s="209" t="inlineStr">
        <is>
          <t>五年规划</t>
        </is>
      </c>
      <c r="H130" s="210" t="inlineStr">
        <is>
          <t>Mitigation-enabling</t>
        </is>
      </c>
      <c r="I130" s="211" t="inlineStr">
        <is>
          <t>B.1</t>
        </is>
      </c>
      <c r="J130" s="208" t="inlineStr">
        <is>
          <t>13th FYP</t>
        </is>
      </c>
      <c r="K130" s="211" t="inlineStr">
        <is>
          <t>NO-TAR</t>
        </is>
      </c>
      <c r="L130" s="209" t="inlineStr">
        <is>
          <t>PDF</t>
        </is>
      </c>
      <c r="M130" s="209" t="inlineStr">
        <is>
          <t>CN</t>
        </is>
      </c>
      <c r="N130" s="203" t="inlineStr">
        <is>
          <t>http://zfxxgk.nea.gov.cn/auto87/201612/t20161216_2358.htm</t>
        </is>
      </c>
    </row>
    <row r="131">
      <c r="B131" s="198" t="inlineStr">
        <is>
          <t>FYP1611</t>
        </is>
      </c>
      <c r="C131" s="208" t="n">
        <v>2016</v>
      </c>
      <c r="D131" s="209" t="inlineStr">
        <is>
          <t>林业发展“十三五”规划</t>
        </is>
      </c>
      <c r="E131" s="210" t="inlineStr">
        <is>
          <t>13th Five-Year Plan for China’s National Forestry Development</t>
        </is>
      </c>
      <c r="F131" s="209" t="inlineStr">
        <is>
          <t>State Forestry Administration</t>
        </is>
      </c>
      <c r="G131" s="209" t="inlineStr">
        <is>
          <t>五年规划</t>
        </is>
      </c>
      <c r="H131" s="210" t="inlineStr">
        <is>
          <t>Economy planning incl. climate</t>
        </is>
      </c>
      <c r="I131" s="211" t="inlineStr">
        <is>
          <t>B.5</t>
        </is>
      </c>
      <c r="J131" s="208" t="inlineStr">
        <is>
          <t>13th FYP</t>
        </is>
      </c>
      <c r="K131" s="211" t="inlineStr">
        <is>
          <t>TAR</t>
        </is>
      </c>
      <c r="L131" s="209" t="inlineStr">
        <is>
          <t>PDF</t>
        </is>
      </c>
      <c r="M131" s="209" t="inlineStr">
        <is>
          <t>CN</t>
        </is>
      </c>
      <c r="N131" s="203" t="inlineStr">
        <is>
          <t>http://www.gov.cn/xinwen/2016-05/20/content_5074981.htm</t>
        </is>
      </c>
    </row>
    <row r="132">
      <c r="B132" s="198" t="inlineStr">
        <is>
          <t>FYP1612</t>
        </is>
      </c>
      <c r="C132" s="208" t="n">
        <v>2016</v>
      </c>
      <c r="D132" s="209" t="inlineStr">
        <is>
          <t>“十三五”全国城镇污水处理及再生利用设施建设规划</t>
        </is>
      </c>
      <c r="E132" s="210" t="inlineStr">
        <is>
          <t>13th Five-Year Plan for the Construction of Urban Sewage Treatment and Recycling Facilities in China</t>
        </is>
      </c>
      <c r="F132" s="209" t="inlineStr">
        <is>
          <t>National Development and Reform Commission; Ministry of Housing and Urban-Rural Development</t>
        </is>
      </c>
      <c r="G132" s="209" t="inlineStr">
        <is>
          <t>建设规划</t>
        </is>
      </c>
      <c r="H132" s="210" t="inlineStr">
        <is>
          <t>Mitigation-enabling</t>
        </is>
      </c>
      <c r="I132" s="211" t="inlineStr">
        <is>
          <t>D.2</t>
        </is>
      </c>
      <c r="J132" s="208" t="inlineStr">
        <is>
          <t>13th FYP</t>
        </is>
      </c>
      <c r="K132" s="211" t="inlineStr">
        <is>
          <t>TAR</t>
        </is>
      </c>
      <c r="L132" s="209" t="inlineStr">
        <is>
          <t>PDF</t>
        </is>
      </c>
      <c r="M132" s="209" t="inlineStr">
        <is>
          <t>CN</t>
        </is>
      </c>
      <c r="N132" s="203" t="inlineStr">
        <is>
          <t>https://www.ndrc.gov.cn/xxgk/zcfb/ghwb/201701/t20170122_962224.html</t>
        </is>
      </c>
    </row>
    <row r="133">
      <c r="B133" s="198" t="inlineStr">
        <is>
          <t>FYP1613</t>
        </is>
      </c>
      <c r="C133" s="208" t="n">
        <v>2016</v>
      </c>
      <c r="D133" s="210" t="inlineStr">
        <is>
          <t>“十三五”国家战略性新兴产业发展规划</t>
        </is>
      </c>
      <c r="E133" s="210" t="inlineStr">
        <is>
          <t>13th Five-Year Plan for National Strategic Emerging Industries</t>
        </is>
      </c>
      <c r="F133" s="209" t="inlineStr">
        <is>
          <t>State Council</t>
        </is>
      </c>
      <c r="G133" s="209" t="inlineStr">
        <is>
          <t>发展规划</t>
        </is>
      </c>
      <c r="H133" s="210" t="inlineStr">
        <is>
          <t>Economy planning incl. climate</t>
        </is>
      </c>
      <c r="I133" s="211" t="inlineStr">
        <is>
          <t>B.2</t>
        </is>
      </c>
      <c r="J133" s="208" t="inlineStr">
        <is>
          <t>13th FYP</t>
        </is>
      </c>
      <c r="K133" s="211" t="inlineStr">
        <is>
          <t>TAR</t>
        </is>
      </c>
      <c r="L133" s="209" t="inlineStr">
        <is>
          <t>HTM</t>
        </is>
      </c>
      <c r="M133" s="209" t="inlineStr">
        <is>
          <t>CN</t>
        </is>
      </c>
      <c r="N133" s="203" t="inlineStr">
        <is>
          <t>https://www.gov.cn/zhengce/content/2016-12/19/content_5150090.htm</t>
        </is>
      </c>
    </row>
    <row r="134">
      <c r="B134" s="198" t="inlineStr">
        <is>
          <t>FYP1614</t>
        </is>
      </c>
      <c r="C134" s="208" t="n">
        <v>2016</v>
      </c>
      <c r="D134" s="209" t="inlineStr">
        <is>
          <t>页岩气发展规划（2016-2020年）</t>
        </is>
      </c>
      <c r="E134" s="210" t="inlineStr">
        <is>
          <t>13th Five-Year Plan for Shale Gas (2016–2020)</t>
        </is>
      </c>
      <c r="F134" s="209" t="inlineStr">
        <is>
          <t>National Energy Administration</t>
        </is>
      </c>
      <c r="G134" s="209" t="inlineStr">
        <is>
          <t>发展规划</t>
        </is>
      </c>
      <c r="H134" s="210" t="inlineStr">
        <is>
          <t>Fossil-fuel</t>
        </is>
      </c>
      <c r="I134" s="211" t="inlineStr">
        <is>
          <t>B.1, B.2</t>
        </is>
      </c>
      <c r="J134" s="208" t="inlineStr">
        <is>
          <t>13th FYP</t>
        </is>
      </c>
      <c r="K134" s="211" t="inlineStr">
        <is>
          <t>TAR</t>
        </is>
      </c>
      <c r="L134" s="209" t="inlineStr">
        <is>
          <t>HTM</t>
        </is>
      </c>
      <c r="M134" s="209" t="inlineStr">
        <is>
          <t>CN</t>
        </is>
      </c>
      <c r="N134" s="203" t="inlineStr">
        <is>
          <t>http://www.gov.cn/xinwen/2016-09/30/content_5114313.htm</t>
        </is>
      </c>
    </row>
    <row r="135">
      <c r="B135" s="198" t="inlineStr">
        <is>
          <t>FYP1615</t>
        </is>
      </c>
      <c r="C135" s="208" t="n">
        <v>2016</v>
      </c>
      <c r="D135" s="209" t="inlineStr">
        <is>
          <t>“十三五”控制温室气体排放工作方案</t>
        </is>
      </c>
      <c r="E135" s="210" t="inlineStr">
        <is>
          <t>13th Five-Year Plan for Greenhouse Gas Emission Control</t>
        </is>
      </c>
      <c r="F135" s="209" t="inlineStr">
        <is>
          <t>State Council</t>
        </is>
      </c>
      <c r="G135" s="209" t="inlineStr">
        <is>
          <t>工作方案</t>
        </is>
      </c>
      <c r="H135" s="210" t="inlineStr">
        <is>
          <t>Explicit mitigation</t>
        </is>
      </c>
      <c r="I135" s="211" t="inlineStr">
        <is>
          <t>A</t>
        </is>
      </c>
      <c r="J135" s="208" t="inlineStr">
        <is>
          <t>13th FYP</t>
        </is>
      </c>
      <c r="K135" s="211" t="inlineStr">
        <is>
          <t>TAR</t>
        </is>
      </c>
      <c r="L135" s="209" t="inlineStr">
        <is>
          <t>HTM</t>
        </is>
      </c>
      <c r="M135" s="209" t="inlineStr">
        <is>
          <t>CN</t>
        </is>
      </c>
      <c r="N135" s="203" t="inlineStr">
        <is>
          <t>https://www.mee.gov.cn/ywgz/ydqhbh/wsqtkz/201904/t20190419_700360.shtml</t>
        </is>
      </c>
    </row>
    <row r="136">
      <c r="B136" s="198" t="inlineStr">
        <is>
          <t>FYP1616</t>
        </is>
      </c>
      <c r="C136" s="208" t="n">
        <v>2016</v>
      </c>
      <c r="D136" s="209" t="inlineStr">
        <is>
          <t>可再生能源发展“十三五”规划</t>
        </is>
      </c>
      <c r="E136" s="210" t="inlineStr">
        <is>
          <t>13th Five-Year Plan for Renewable Energy Development</t>
        </is>
      </c>
      <c r="F136" s="209" t="inlineStr">
        <is>
          <t>National Development and Reform Commission</t>
        </is>
      </c>
      <c r="G136" s="209" t="inlineStr">
        <is>
          <t>五年规划</t>
        </is>
      </c>
      <c r="H136" s="210" t="inlineStr">
        <is>
          <t>Mitigation-enabling</t>
        </is>
      </c>
      <c r="I136" s="211" t="inlineStr">
        <is>
          <t>B.1</t>
        </is>
      </c>
      <c r="J136" s="208" t="inlineStr">
        <is>
          <t>13th FYP</t>
        </is>
      </c>
      <c r="K136" s="211" t="inlineStr">
        <is>
          <t>TAR</t>
        </is>
      </c>
      <c r="L136" s="209" t="inlineStr">
        <is>
          <t>HTM</t>
        </is>
      </c>
      <c r="M136" s="209" t="inlineStr">
        <is>
          <t>CN</t>
        </is>
      </c>
      <c r="N136" s="203" t="inlineStr">
        <is>
          <t>https://www.ndrc.gov.cn/xxgk/zcfb/ghwb/201612/t20161216_962211.html</t>
        </is>
      </c>
    </row>
    <row r="137" ht="14.5" customHeight="1" s="235">
      <c r="B137" s="198" t="inlineStr">
        <is>
          <t>FYP1617</t>
        </is>
      </c>
      <c r="C137" s="208" t="n">
        <v>2016</v>
      </c>
      <c r="D137" s="209" t="inlineStr">
        <is>
          <t>交通运输节能环保“十三五”发展规划</t>
        </is>
      </c>
      <c r="E137" s="210" t="inlineStr">
        <is>
          <t>13th Five-Year Development Plan for Energy Conservation and Environmental Protection in Transportation</t>
        </is>
      </c>
      <c r="F137" s="209" t="inlineStr">
        <is>
          <t>Ministry of Transport</t>
        </is>
      </c>
      <c r="G137" s="209" t="inlineStr">
        <is>
          <t>发展规划</t>
        </is>
      </c>
      <c r="H137" s="210" t="inlineStr">
        <is>
          <t>Mitigation-enabling</t>
        </is>
      </c>
      <c r="I137" s="211" t="inlineStr">
        <is>
          <t>B.4</t>
        </is>
      </c>
      <c r="J137" s="208" t="inlineStr">
        <is>
          <t>13th FYP</t>
        </is>
      </c>
      <c r="K137" s="211" t="inlineStr">
        <is>
          <t>TAR</t>
        </is>
      </c>
      <c r="L137" s="209" t="inlineStr">
        <is>
          <t>PDF</t>
        </is>
      </c>
      <c r="M137" s="209" t="inlineStr">
        <is>
          <t>CN</t>
        </is>
      </c>
      <c r="N137" s="203" t="inlineStr">
        <is>
          <t>https://zjjcmspublic.oss-cn-hangzhou-zwynet-d01-a.internet.cloud.zj.gov.cn/jcms_files/jcms1/web3234/site/attach/0/562db9fdbf644a6996c8e7dc97c18dfc.pdf</t>
        </is>
      </c>
    </row>
    <row r="138">
      <c r="B138" s="198" t="inlineStr">
        <is>
          <t>FYP1618</t>
        </is>
      </c>
      <c r="C138" s="208" t="n">
        <v>2016</v>
      </c>
      <c r="D138" s="209" t="inlineStr">
        <is>
          <t>公共机构节约能源资源十三五规划</t>
        </is>
      </c>
      <c r="E138" s="210" t="inlineStr">
        <is>
          <t>13th Five-Year Plan for Energy and Resource Conservation by Public Institutions</t>
        </is>
      </c>
      <c r="F138" s="209" t="inlineStr">
        <is>
          <t>National Government Offices Administration; National Development and Reform Commission</t>
        </is>
      </c>
      <c r="G138" s="209" t="inlineStr">
        <is>
          <t>五年规划</t>
        </is>
      </c>
      <c r="H138" s="210" t="inlineStr">
        <is>
          <t>Mitigation-enabling</t>
        </is>
      </c>
      <c r="I138" s="211" t="inlineStr">
        <is>
          <t>B.3</t>
        </is>
      </c>
      <c r="J138" s="208" t="inlineStr">
        <is>
          <t>13th FYP</t>
        </is>
      </c>
      <c r="K138" s="211" t="inlineStr">
        <is>
          <t>TAR</t>
        </is>
      </c>
      <c r="L138" s="209" t="inlineStr">
        <is>
          <t>HTM</t>
        </is>
      </c>
      <c r="M138" s="209" t="inlineStr">
        <is>
          <t>CN</t>
        </is>
      </c>
      <c r="N138" s="203" t="inlineStr">
        <is>
          <t>https://baike.baidu.com/item/%E5%85%AC%E5%85%B1%E6%9C%BA%E6%9E%84%E8%8A%82%E7%BA%A6%E8%83%BD%E6%BA%90%E8%B5%84%E6%BA%90%E5%8D%81%E4%B8%89%E4%BA%94%E8%A7%84%E5%88%92/19879514</t>
        </is>
      </c>
    </row>
    <row r="139">
      <c r="B139" s="198" t="inlineStr">
        <is>
          <t>FYP1619</t>
        </is>
      </c>
      <c r="C139" s="208" t="n">
        <v>2016</v>
      </c>
      <c r="D139" s="209" t="inlineStr">
        <is>
          <t>公路水路交通运输节能减排“十三五”规划</t>
        </is>
      </c>
      <c r="E139" s="210" t="inlineStr">
        <is>
          <t>13th Five-Year Plan for Energy Conservation and Emissions Reduction in Road and Water Transport</t>
        </is>
      </c>
      <c r="F139" s="209" t="inlineStr">
        <is>
          <t>Ministry of Transport</t>
        </is>
      </c>
      <c r="G139" s="209" t="inlineStr">
        <is>
          <t>五年规划</t>
        </is>
      </c>
      <c r="H139" s="210" t="inlineStr">
        <is>
          <t>Explicit mitigation</t>
        </is>
      </c>
      <c r="I139" s="211" t="inlineStr">
        <is>
          <t>B.4</t>
        </is>
      </c>
      <c r="J139" s="208" t="inlineStr">
        <is>
          <t>13th FYP</t>
        </is>
      </c>
      <c r="K139" s="211" t="inlineStr">
        <is>
          <t>NO-TAR</t>
        </is>
      </c>
      <c r="L139" s="209" t="inlineStr">
        <is>
          <t>PDF</t>
        </is>
      </c>
      <c r="M139" s="209" t="inlineStr">
        <is>
          <t>CN</t>
        </is>
      </c>
      <c r="N139" s="203" t="inlineStr">
        <is>
          <t>https://xxgk.mot.gov.cn/jigou/fgs/202006/t20200623_3307639.html</t>
        </is>
      </c>
      <c r="O139" s="213" t="n"/>
    </row>
    <row r="140">
      <c r="B140" s="198" t="inlineStr">
        <is>
          <t>FYP1620</t>
        </is>
      </c>
      <c r="C140" s="208" t="n">
        <v>2016</v>
      </c>
      <c r="D140" s="209" t="inlineStr">
        <is>
          <t>海洋可再生能源发展“十三五”规划</t>
        </is>
      </c>
      <c r="E140" s="210" t="inlineStr">
        <is>
          <t>13th Five-Year Plan for Ocean Energy Development</t>
        </is>
      </c>
      <c r="F140" s="209" t="inlineStr">
        <is>
          <t>State Oceanic Administration</t>
        </is>
      </c>
      <c r="G140" s="209" t="inlineStr">
        <is>
          <t>五年规划</t>
        </is>
      </c>
      <c r="H140" s="210" t="inlineStr">
        <is>
          <t>Mitigation-enabling</t>
        </is>
      </c>
      <c r="I140" s="211" t="inlineStr">
        <is>
          <t>B.1</t>
        </is>
      </c>
      <c r="J140" s="208" t="inlineStr">
        <is>
          <t>13th FYP</t>
        </is>
      </c>
      <c r="K140" s="211" t="inlineStr">
        <is>
          <t>TAR</t>
        </is>
      </c>
      <c r="L140" s="209" t="inlineStr">
        <is>
          <t>HTM</t>
        </is>
      </c>
      <c r="M140" s="209" t="inlineStr">
        <is>
          <t>CN</t>
        </is>
      </c>
      <c r="N140" s="203" t="inlineStr">
        <is>
          <t>https://gc.mnr.gov.cn/201806/t20180614_1796496.html</t>
        </is>
      </c>
    </row>
    <row r="141" ht="14.5" customHeight="1" s="235">
      <c r="B141" s="198" t="inlineStr">
        <is>
          <t>FYP1622</t>
        </is>
      </c>
      <c r="C141" s="208" t="n">
        <v>2016</v>
      </c>
      <c r="D141" s="209" t="inlineStr">
        <is>
          <t>“十三五”节能环保产业发展规划</t>
        </is>
      </c>
      <c r="E141" s="210" t="inlineStr">
        <is>
          <t>13th FYP for Developing Energy Conservation and Environmental Protection Industries</t>
        </is>
      </c>
      <c r="F141" s="209" t="inlineStr">
        <is>
          <t>National Development and Reform Commission; Ministry of Science and Technology; Ministry of Industry and Information Technology; Ministry of Environmental Protection</t>
        </is>
      </c>
      <c r="G141" s="209" t="inlineStr">
        <is>
          <t>五年规划</t>
        </is>
      </c>
      <c r="H141" s="210" t="inlineStr">
        <is>
          <t>Mitigation-enabling</t>
        </is>
      </c>
      <c r="I141" s="211" t="inlineStr">
        <is>
          <t>B.2</t>
        </is>
      </c>
      <c r="J141" s="208" t="inlineStr">
        <is>
          <t>13th FYP</t>
        </is>
      </c>
      <c r="K141" s="211" t="inlineStr">
        <is>
          <t>NO-TAR</t>
        </is>
      </c>
      <c r="L141" s="209" t="inlineStr">
        <is>
          <t>PDF</t>
        </is>
      </c>
      <c r="M141" s="209" t="inlineStr">
        <is>
          <t>CN</t>
        </is>
      </c>
      <c r="N141" s="203" t="inlineStr">
        <is>
          <t>https://en.gem.com.cn/upload/2017-01/06/6guanyuyinfashisanwujienenghuanbaochanyefazhanguihuadetongzhi.pdf</t>
        </is>
      </c>
    </row>
    <row r="142">
      <c r="B142" s="198" t="inlineStr">
        <is>
          <t>FYP1623</t>
        </is>
      </c>
      <c r="C142" s="208" t="n">
        <v>2016</v>
      </c>
      <c r="D142" s="209" t="inlineStr">
        <is>
          <t>“十三五”全民节能行动计划</t>
        </is>
      </c>
      <c r="E142" s="210" t="inlineStr">
        <is>
          <t>13th Five-Year Plan for National Energy Conservation Action</t>
        </is>
      </c>
      <c r="F142" s="209" t="inlineStr">
        <is>
          <t>National Development and Reform Commission; Ministry of Science and Technology; Ministry of Industry and Information Technology; Ministry of Finance; Ministry of Housing and Urban-Rural Development; Ministry of Transport; Ministry of Agriculture; State-owned Assets Supervision and Administration Commission of the State Council; State Taxation Administration; National Bureau of Statistics; National Energy Administration</t>
        </is>
      </c>
      <c r="G142" s="209" t="inlineStr">
        <is>
          <t>行动计划</t>
        </is>
      </c>
      <c r="H142" s="210" t="inlineStr">
        <is>
          <t>Mitigation-enabling</t>
        </is>
      </c>
      <c r="I142" s="211" t="inlineStr">
        <is>
          <t>B.1</t>
        </is>
      </c>
      <c r="J142" s="208" t="inlineStr">
        <is>
          <t>13th FYP</t>
        </is>
      </c>
      <c r="K142" s="211" t="inlineStr">
        <is>
          <t>TAR</t>
        </is>
      </c>
      <c r="L142" s="209" t="inlineStr">
        <is>
          <t>PDF</t>
        </is>
      </c>
      <c r="M142" s="209" t="inlineStr">
        <is>
          <t>CN</t>
        </is>
      </c>
      <c r="N142" s="203" t="inlineStr">
        <is>
          <t>https://www.ndrc.gov.cn/fggz/hjyzy/jnhnx/201701/t20170105_1134128.html?code=&amp;state=123</t>
        </is>
      </c>
    </row>
    <row r="143">
      <c r="B143" s="198" t="inlineStr">
        <is>
          <t>FYP1624</t>
        </is>
      </c>
      <c r="C143" s="208" t="n">
        <v>2016</v>
      </c>
      <c r="D143" s="209" t="inlineStr">
        <is>
          <t>石油天然气发展“十三五”规划</t>
        </is>
      </c>
      <c r="E143" s="210" t="inlineStr">
        <is>
          <t>13th Five-Year Plan for the Development of Oil and Natural Gas</t>
        </is>
      </c>
      <c r="F143" s="209" t="inlineStr">
        <is>
          <t>National Development and Reform Commission</t>
        </is>
      </c>
      <c r="G143" s="209" t="inlineStr">
        <is>
          <t>五年规划</t>
        </is>
      </c>
      <c r="H143" s="210" t="inlineStr">
        <is>
          <t>Fossil-fuel</t>
        </is>
      </c>
      <c r="I143" s="211" t="inlineStr">
        <is>
          <t>B.1</t>
        </is>
      </c>
      <c r="J143" s="208" t="inlineStr">
        <is>
          <t>13th FYP</t>
        </is>
      </c>
      <c r="K143" s="211" t="inlineStr">
        <is>
          <t>TAR</t>
        </is>
      </c>
      <c r="L143" s="209" t="inlineStr">
        <is>
          <t>PDF</t>
        </is>
      </c>
      <c r="M143" s="209" t="inlineStr">
        <is>
          <t>CN</t>
        </is>
      </c>
      <c r="N143" s="214" t="inlineStr">
        <is>
          <t>https://www.ndrc.gov.cn/xxgk/zcfb/tz/201701/t20170119_962876.html?code=&amp;state=123</t>
        </is>
      </c>
    </row>
    <row r="144">
      <c r="B144" s="198" t="inlineStr">
        <is>
          <t>FYP1625</t>
        </is>
      </c>
      <c r="C144" s="208" t="n">
        <v>2016</v>
      </c>
      <c r="D144" s="209" t="inlineStr">
        <is>
          <t>天然气发展“十三五”规划</t>
        </is>
      </c>
      <c r="E144" s="210" t="inlineStr">
        <is>
          <t>13th Five-Year Plan for Natural Gas Development</t>
        </is>
      </c>
      <c r="F144" s="209" t="inlineStr">
        <is>
          <t>National Development and Reform Commission</t>
        </is>
      </c>
      <c r="G144" s="209" t="inlineStr">
        <is>
          <t>五年规划</t>
        </is>
      </c>
      <c r="H144" s="210" t="inlineStr">
        <is>
          <t>Fossil-fuel</t>
        </is>
      </c>
      <c r="I144" s="211" t="inlineStr">
        <is>
          <t>B.1</t>
        </is>
      </c>
      <c r="J144" s="208" t="inlineStr">
        <is>
          <t>13th FYP</t>
        </is>
      </c>
      <c r="K144" s="211" t="inlineStr">
        <is>
          <t>TAR</t>
        </is>
      </c>
      <c r="L144" s="209" t="inlineStr">
        <is>
          <t>PDF</t>
        </is>
      </c>
      <c r="M144" s="209" t="inlineStr">
        <is>
          <t>CN</t>
        </is>
      </c>
      <c r="N144" s="203" t="inlineStr">
        <is>
          <t>https://www.ndrc.gov.cn/xxgk/zcfb/tz/201701/t20170119_962876.html?code=&amp;state=123</t>
        </is>
      </c>
    </row>
    <row r="145">
      <c r="B145" s="198" t="inlineStr">
        <is>
          <t>FYP1626</t>
        </is>
      </c>
      <c r="C145" s="208" t="n">
        <v>2016</v>
      </c>
      <c r="D145" s="209" t="inlineStr">
        <is>
          <t>钢铁工业调整升级规划（2016－2020年）</t>
        </is>
      </c>
      <c r="E145" s="210" t="inlineStr">
        <is>
          <t>13th Five-Year Steel Industry Adjustment and Upgrading Plan (2016–2020)</t>
        </is>
      </c>
      <c r="F145" s="209" t="inlineStr">
        <is>
          <t>Ministry of Industry and Information Technology</t>
        </is>
      </c>
      <c r="G145" s="209" t="inlineStr">
        <is>
          <t>规划</t>
        </is>
      </c>
      <c r="H145" s="210" t="inlineStr">
        <is>
          <t>Economy planning incl. climate</t>
        </is>
      </c>
      <c r="I145" s="211" t="inlineStr">
        <is>
          <t>B.2</t>
        </is>
      </c>
      <c r="J145" s="208" t="inlineStr">
        <is>
          <t>13th FYP</t>
        </is>
      </c>
      <c r="K145" s="211" t="inlineStr">
        <is>
          <t>TAR</t>
        </is>
      </c>
      <c r="L145" s="209" t="inlineStr">
        <is>
          <t>PDF</t>
        </is>
      </c>
      <c r="M145" s="209" t="inlineStr">
        <is>
          <t>CN</t>
        </is>
      </c>
      <c r="N145" s="203" t="inlineStr">
        <is>
          <t>https://www.ndrc.gov.cn/fggz/fzzlgh/gjjzxgh/201706/t20170621_1196816.html</t>
        </is>
      </c>
    </row>
    <row r="146">
      <c r="B146" s="198" t="inlineStr">
        <is>
          <t>FYP1702</t>
        </is>
      </c>
      <c r="C146" s="208" t="n">
        <v>2017</v>
      </c>
      <c r="D146" s="209" t="inlineStr">
        <is>
          <t>民航节能减排“十三五”规划</t>
        </is>
      </c>
      <c r="E146" s="210" t="inlineStr">
        <is>
          <t>13th Five-Year Plan for Energy Conservation and Emission Reduction in Civil Aviation</t>
        </is>
      </c>
      <c r="F146" s="209" t="inlineStr">
        <is>
          <t>Civil Aviation Administration of China</t>
        </is>
      </c>
      <c r="G146" s="209" t="inlineStr">
        <is>
          <t>五年规划</t>
        </is>
      </c>
      <c r="H146" s="210" t="inlineStr">
        <is>
          <t>Explicit mitigation</t>
        </is>
      </c>
      <c r="I146" s="211" t="inlineStr">
        <is>
          <t>B.4</t>
        </is>
      </c>
      <c r="J146" s="208" t="inlineStr">
        <is>
          <t>13th FYP</t>
        </is>
      </c>
      <c r="K146" s="211" t="inlineStr">
        <is>
          <t>TAR</t>
        </is>
      </c>
      <c r="L146" s="209" t="inlineStr">
        <is>
          <t>PDF</t>
        </is>
      </c>
      <c r="M146" s="209" t="inlineStr">
        <is>
          <t>CN</t>
        </is>
      </c>
      <c r="N146" s="203" t="inlineStr">
        <is>
          <t>https://ccnt.igdp.cn/en/action-database/details/39e0200d00a3f18ff35701521411b80549eb9ab764543c50978e38d3fa57e438</t>
        </is>
      </c>
    </row>
    <row r="147">
      <c r="B147" s="198" t="inlineStr">
        <is>
          <t>FYP1703</t>
        </is>
      </c>
      <c r="C147" s="208" t="n">
        <v>2017</v>
      </c>
      <c r="D147" s="209" t="inlineStr">
        <is>
          <t>地热能开发利用“十三五”规划</t>
        </is>
      </c>
      <c r="E147" s="210" t="inlineStr">
        <is>
          <t>13th Five-Year Plan for Geothermal Energy Development and Utilization</t>
        </is>
      </c>
      <c r="F147" s="209" t="inlineStr">
        <is>
          <t>National Development and Reform Commission; National Energy Administration; Ministry of Land and Resources</t>
        </is>
      </c>
      <c r="G147" s="209" t="inlineStr">
        <is>
          <t>五年规划</t>
        </is>
      </c>
      <c r="H147" s="210" t="inlineStr">
        <is>
          <t>Mitigation-enabling</t>
        </is>
      </c>
      <c r="I147" s="211" t="inlineStr">
        <is>
          <t>B.1</t>
        </is>
      </c>
      <c r="J147" s="208" t="inlineStr">
        <is>
          <t>13th FYP</t>
        </is>
      </c>
      <c r="K147" s="211" t="inlineStr">
        <is>
          <t>NO-TAR</t>
        </is>
      </c>
      <c r="L147" s="209" t="inlineStr">
        <is>
          <t>PDF</t>
        </is>
      </c>
      <c r="M147" s="209" t="inlineStr">
        <is>
          <t>CN</t>
        </is>
      </c>
      <c r="N147" s="203" t="inlineStr">
        <is>
          <t>http://www.nea.gov.cn/2017-02/06/c_136035635.htm</t>
        </is>
      </c>
    </row>
    <row r="148">
      <c r="B148" s="198" t="inlineStr">
        <is>
          <t>FYP1704</t>
        </is>
      </c>
      <c r="C148" s="208" t="n">
        <v>2017</v>
      </c>
      <c r="D148" s="209" t="inlineStr">
        <is>
          <t>“十三五”应对气候变化科技创新专项规划</t>
        </is>
      </c>
      <c r="E148" s="210" t="inlineStr">
        <is>
          <t>13th Five-Year Plan on Science and Technology Development in Tackling Climate Change</t>
        </is>
      </c>
      <c r="F148" s="209" t="inlineStr">
        <is>
          <t>Ministry of Science and Technology; Ministry of Environmental Protection; China Meteorological Administration</t>
        </is>
      </c>
      <c r="G148" s="209" t="inlineStr">
        <is>
          <t>五年规划</t>
        </is>
      </c>
      <c r="H148" s="210" t="inlineStr">
        <is>
          <t>Explicit mitigation</t>
        </is>
      </c>
      <c r="I148" s="211" t="inlineStr">
        <is>
          <t>C.1</t>
        </is>
      </c>
      <c r="J148" s="208" t="inlineStr">
        <is>
          <t>13th FYP</t>
        </is>
      </c>
      <c r="K148" s="211" t="inlineStr">
        <is>
          <t>NO-TAR</t>
        </is>
      </c>
      <c r="L148" s="209" t="inlineStr">
        <is>
          <t>HTM</t>
        </is>
      </c>
      <c r="M148" s="209" t="inlineStr">
        <is>
          <t>CN</t>
        </is>
      </c>
      <c r="N148" s="203" t="inlineStr">
        <is>
          <t>https://www.most.gov.cn/xxgk/xinxifenlei/fdzdgknr/fgzc/gfxwj/gfxwj2017/201705/t20170517_132850.html</t>
        </is>
      </c>
    </row>
    <row r="149">
      <c r="B149" s="198" t="inlineStr">
        <is>
          <t>FYP1705</t>
        </is>
      </c>
      <c r="C149" s="208" t="n">
        <v>2017</v>
      </c>
      <c r="D149" s="209" t="inlineStr">
        <is>
          <t>“十三五”现代综合交通运输体系发展规划</t>
        </is>
      </c>
      <c r="E149" s="210" t="inlineStr">
        <is>
          <t>13th Five-Year Plan for the Development of Modern Comprehensive Transportation System</t>
        </is>
      </c>
      <c r="F149" s="209" t="inlineStr">
        <is>
          <t>State Council</t>
        </is>
      </c>
      <c r="G149" s="209" t="inlineStr">
        <is>
          <t>发展规划</t>
        </is>
      </c>
      <c r="H149" s="210" t="inlineStr">
        <is>
          <t>Economy planning incl. climate</t>
        </is>
      </c>
      <c r="I149" s="211" t="inlineStr">
        <is>
          <t>B.4</t>
        </is>
      </c>
      <c r="J149" s="208" t="inlineStr">
        <is>
          <t>13th FYP</t>
        </is>
      </c>
      <c r="K149" s="211" t="inlineStr">
        <is>
          <t>TAR</t>
        </is>
      </c>
      <c r="L149" s="209" t="inlineStr">
        <is>
          <t>HTM</t>
        </is>
      </c>
      <c r="M149" s="209" t="inlineStr">
        <is>
          <t>CN</t>
        </is>
      </c>
      <c r="N149" s="203" t="inlineStr">
        <is>
          <t>https://baike.baidu.com/item/%E2%80%9C%E5%8D%81%E4%B8%89%E4%BA%94%E2%80%9D%E7%8E%B0%E4%BB%A3%E7%BB%BC%E5%90%88%E4%BA%A4%E9%80%9A%E8%BF%90%E8%BE%93%E4%BD%93%E7%B3%BB%E5%8F%91%E5%B1%95%E8%A7%84%E5%88%92/20457990</t>
        </is>
      </c>
    </row>
    <row r="150">
      <c r="B150" s="198" t="inlineStr">
        <is>
          <t>FYP1706</t>
        </is>
      </c>
      <c r="C150" s="208" t="n">
        <v>2017</v>
      </c>
      <c r="D150" s="209" t="inlineStr">
        <is>
          <t>建筑节能与绿色建筑发展“十三五”规划</t>
        </is>
      </c>
      <c r="E150" s="210" t="inlineStr">
        <is>
          <t>13th Five-Year Plan for the Development of Energy Efficient and Green Buildings</t>
        </is>
      </c>
      <c r="F150" s="209" t="inlineStr">
        <is>
          <t>Ministry of Housing and Urban-Rural Development</t>
        </is>
      </c>
      <c r="G150" s="209" t="inlineStr">
        <is>
          <t>五年规划</t>
        </is>
      </c>
      <c r="H150" s="210" t="inlineStr">
        <is>
          <t>Explicit mitigation</t>
        </is>
      </c>
      <c r="I150" s="211" t="inlineStr">
        <is>
          <t>B.3</t>
        </is>
      </c>
      <c r="J150" s="208" t="inlineStr">
        <is>
          <t>13th FYP</t>
        </is>
      </c>
      <c r="K150" s="211" t="inlineStr">
        <is>
          <t>TAR</t>
        </is>
      </c>
      <c r="L150" s="209" t="inlineStr">
        <is>
          <t>PDF</t>
        </is>
      </c>
      <c r="M150" s="209" t="inlineStr">
        <is>
          <t>CN</t>
        </is>
      </c>
      <c r="N150" s="203" t="inlineStr">
        <is>
          <t>https://www.chinanecc.cn/upload/File/1489627753056.pdf</t>
        </is>
      </c>
    </row>
    <row r="151">
      <c r="B151" s="198" t="inlineStr">
        <is>
          <t>FYP2101</t>
        </is>
      </c>
      <c r="C151" s="208" t="n">
        <v>2021</v>
      </c>
      <c r="D151" s="209" t="inlineStr">
        <is>
          <t>“十四五”工业绿色发展规划</t>
        </is>
      </c>
      <c r="E151" s="210" t="inlineStr">
        <is>
          <t>14th Five-Year Plan for Green Industrial Development</t>
        </is>
      </c>
      <c r="F151" s="209" t="inlineStr">
        <is>
          <t>Ministry of Industry and Information Technology; National Development and Reform Commission; Ministry of Ecology and Environment</t>
        </is>
      </c>
      <c r="G151" s="209" t="inlineStr">
        <is>
          <t>发展规划</t>
        </is>
      </c>
      <c r="H151" s="210" t="inlineStr">
        <is>
          <t>Explicit mitigation</t>
        </is>
      </c>
      <c r="I151" s="211" t="inlineStr">
        <is>
          <t>B.2</t>
        </is>
      </c>
      <c r="J151" s="208" t="inlineStr">
        <is>
          <t>14th FYP</t>
        </is>
      </c>
      <c r="K151" s="211" t="inlineStr">
        <is>
          <t>TAR</t>
        </is>
      </c>
      <c r="L151" s="209" t="inlineStr">
        <is>
          <t>PDF</t>
        </is>
      </c>
      <c r="M151" s="209" t="inlineStr">
        <is>
          <t>CN</t>
        </is>
      </c>
      <c r="N151" s="203" t="inlineStr">
        <is>
          <t>http://www.gov.cn/zhengce/zhengceku/2021-12/03/content_5655701.htm</t>
        </is>
      </c>
    </row>
    <row r="152">
      <c r="B152" s="198" t="inlineStr">
        <is>
          <t>FYP2102</t>
        </is>
      </c>
      <c r="C152" s="208" t="n">
        <v>2021</v>
      </c>
      <c r="D152" s="209" t="inlineStr">
        <is>
          <t>“十四五”原材料工业发展规划</t>
        </is>
      </c>
      <c r="E152" s="210" t="inlineStr">
        <is>
          <t>14th Five-Year Plan for the Development of Raw Materials Industry</t>
        </is>
      </c>
      <c r="F152" s="209" t="inlineStr">
        <is>
          <t>Ministry of Industry and Information Technology; Ministry of Science and Technology; Ministry of Natural Resources</t>
        </is>
      </c>
      <c r="G152" s="209" t="inlineStr">
        <is>
          <t>发展规划</t>
        </is>
      </c>
      <c r="H152" s="210" t="inlineStr">
        <is>
          <t>Economy planning incl. climate</t>
        </is>
      </c>
      <c r="I152" s="211" t="inlineStr">
        <is>
          <t>B.2</t>
        </is>
      </c>
      <c r="J152" s="208" t="inlineStr">
        <is>
          <t>14th FYP</t>
        </is>
      </c>
      <c r="K152" s="211" t="inlineStr">
        <is>
          <t>NO-TAR</t>
        </is>
      </c>
      <c r="L152" s="209" t="inlineStr">
        <is>
          <t>PDF</t>
        </is>
      </c>
      <c r="M152" s="209" t="inlineStr">
        <is>
          <t>CN</t>
        </is>
      </c>
      <c r="N152" s="203" t="inlineStr">
        <is>
          <t>https://www.gov.cn/zhengce/zhengceku/2021-12/29/5665166/files/90c1c79a00b44c67b59c29392476c862.pdf</t>
        </is>
      </c>
    </row>
    <row r="153">
      <c r="B153" s="198" t="inlineStr">
        <is>
          <t>FYP2103</t>
        </is>
      </c>
      <c r="C153" s="208" t="n">
        <v>2021</v>
      </c>
      <c r="D153" s="209" t="inlineStr">
        <is>
          <t>“十四五”现代综合交通运输体系发展规划</t>
        </is>
      </c>
      <c r="E153" s="210" t="inlineStr">
        <is>
          <t>14th Five-Year Plan for the Development of Modern Comprehensive Transportation System</t>
        </is>
      </c>
      <c r="F153" s="209" t="inlineStr">
        <is>
          <t>State Council</t>
        </is>
      </c>
      <c r="G153" s="209" t="inlineStr">
        <is>
          <t>发展规划</t>
        </is>
      </c>
      <c r="H153" s="210" t="inlineStr">
        <is>
          <t>Economy planning incl. climate</t>
        </is>
      </c>
      <c r="I153" s="211" t="inlineStr">
        <is>
          <t>B.4</t>
        </is>
      </c>
      <c r="J153" s="208" t="inlineStr">
        <is>
          <t>14th FYP</t>
        </is>
      </c>
      <c r="K153" s="211" t="inlineStr">
        <is>
          <t>NO-TAR</t>
        </is>
      </c>
      <c r="L153" s="209" t="inlineStr">
        <is>
          <t>HTM</t>
        </is>
      </c>
      <c r="M153" s="209" t="inlineStr">
        <is>
          <t>CN</t>
        </is>
      </c>
      <c r="N153" s="203" t="inlineStr">
        <is>
          <t>https://www.gov.cn/zhengce/content/2022-01/18/content_5669049.htm</t>
        </is>
      </c>
    </row>
    <row r="154">
      <c r="B154" s="198" t="inlineStr">
        <is>
          <t>FYP2104</t>
        </is>
      </c>
      <c r="C154" s="208" t="n">
        <v>2021</v>
      </c>
      <c r="D154" s="209" t="inlineStr">
        <is>
          <t>绿色交通“十四五”发展规划</t>
        </is>
      </c>
      <c r="E154" s="210" t="inlineStr">
        <is>
          <t>14th Five-Year Plan for the Development of Green Transportation</t>
        </is>
      </c>
      <c r="F154" s="209" t="inlineStr">
        <is>
          <t>Ministry of Transport</t>
        </is>
      </c>
      <c r="G154" s="209" t="inlineStr">
        <is>
          <t>发展规划</t>
        </is>
      </c>
      <c r="H154" s="210" t="inlineStr">
        <is>
          <t>Explicit mitigation</t>
        </is>
      </c>
      <c r="I154" s="211" t="inlineStr">
        <is>
          <t>B.4</t>
        </is>
      </c>
      <c r="J154" s="208" t="inlineStr">
        <is>
          <t>14th FYP</t>
        </is>
      </c>
      <c r="K154" s="211" t="inlineStr">
        <is>
          <t>NO-TAR</t>
        </is>
      </c>
      <c r="L154" s="209" t="inlineStr">
        <is>
          <t>PDF</t>
        </is>
      </c>
      <c r="M154" s="209" t="inlineStr">
        <is>
          <t>CN</t>
        </is>
      </c>
      <c r="N154" s="203" t="inlineStr">
        <is>
          <t>https://www.gov.cn/zhengce/zhengceku/2022-01/21/content_5669662.htm</t>
        </is>
      </c>
    </row>
    <row r="155">
      <c r="B155" s="198" t="inlineStr">
        <is>
          <t>FYP2106</t>
        </is>
      </c>
      <c r="C155" s="208" t="n">
        <v>2021</v>
      </c>
      <c r="D155" s="209" t="inlineStr">
        <is>
          <t>“十四五”可再生能源发展规划</t>
        </is>
      </c>
      <c r="E155" s="210" t="inlineStr">
        <is>
          <t>14th Five-Year Plan for Renewable Energy Development</t>
        </is>
      </c>
      <c r="F155" s="209" t="inlineStr">
        <is>
          <t>National Development and Reform Commission; National Energy Administration; Ministry of Finance; Ministry of Natural Resources; Ministry of Ecology and Environment; Ministry of Housing and Urban-Rural Development; Ministry of Agriculture and Rural Affairs; China Meteorological Administration; National Forestry and Grassland Administration</t>
        </is>
      </c>
      <c r="G155" s="209" t="inlineStr">
        <is>
          <t>发展规划</t>
        </is>
      </c>
      <c r="H155" s="210" t="inlineStr">
        <is>
          <t>Mitigation-enabling</t>
        </is>
      </c>
      <c r="I155" s="211" t="inlineStr">
        <is>
          <t>B.1</t>
        </is>
      </c>
      <c r="J155" s="208" t="inlineStr">
        <is>
          <t>14th FYP</t>
        </is>
      </c>
      <c r="K155" s="211" t="inlineStr">
        <is>
          <t>TAR</t>
        </is>
      </c>
      <c r="L155" s="209" t="inlineStr">
        <is>
          <t>PDF</t>
        </is>
      </c>
      <c r="M155" s="209" t="inlineStr">
        <is>
          <t>CN</t>
        </is>
      </c>
      <c r="N155" s="203" t="inlineStr">
        <is>
          <t>https://www.ndrc.gov.cn/xxgk/zcfb/ghwb/202206/t20220601_1326719.html</t>
        </is>
      </c>
    </row>
    <row r="156">
      <c r="B156" s="198" t="inlineStr">
        <is>
          <t>FYP2107</t>
        </is>
      </c>
      <c r="C156" s="208" t="n">
        <v>2021</v>
      </c>
      <c r="D156" s="209" t="inlineStr">
        <is>
          <t>“十四五”节能减排综合工作方案</t>
        </is>
      </c>
      <c r="E156" s="210" t="inlineStr">
        <is>
          <t>14th Five-Year Plan on Energy Efficiency and Emission Reduction</t>
        </is>
      </c>
      <c r="F156" s="209" t="inlineStr">
        <is>
          <t>State Council</t>
        </is>
      </c>
      <c r="G156" s="209" t="inlineStr">
        <is>
          <t>工作方案</t>
        </is>
      </c>
      <c r="H156" s="210" t="inlineStr">
        <is>
          <t>Explicit mitigation</t>
        </is>
      </c>
      <c r="I156" s="211" t="inlineStr">
        <is>
          <t>A</t>
        </is>
      </c>
      <c r="J156" s="208" t="inlineStr">
        <is>
          <t>14th FYP</t>
        </is>
      </c>
      <c r="K156" s="211" t="inlineStr">
        <is>
          <t>TAR</t>
        </is>
      </c>
      <c r="L156" s="209" t="inlineStr">
        <is>
          <t>HTM</t>
        </is>
      </c>
      <c r="M156" s="209" t="inlineStr">
        <is>
          <t>CN</t>
        </is>
      </c>
      <c r="N156" s="203" t="inlineStr">
        <is>
          <t>https://www.gov.cn/zhengce/content/2022-01/24/content_5670202.htm</t>
        </is>
      </c>
    </row>
    <row r="157">
      <c r="B157" s="198" t="inlineStr">
        <is>
          <t>FYP2108</t>
        </is>
      </c>
      <c r="C157" s="208" t="n">
        <v>2021</v>
      </c>
      <c r="D157" s="212" t="inlineStr">
        <is>
          <t>推进资源型地区高质量发展“十四五”实施方案</t>
        </is>
      </c>
      <c r="E157" s="210" t="inlineStr">
        <is>
          <t>14th Five-Year Plan for Promoting High-quality Development in Resource-based Areas</t>
        </is>
      </c>
      <c r="F157" s="209" t="inlineStr">
        <is>
          <t>National Development and Reform Commission; Ministry of Finance; Ministry of Natural Resources</t>
        </is>
      </c>
      <c r="G157" s="209" t="inlineStr">
        <is>
          <t>实施方案</t>
        </is>
      </c>
      <c r="H157" s="210" t="inlineStr">
        <is>
          <t>Economy planning incl. climate</t>
        </is>
      </c>
      <c r="I157" s="211" t="inlineStr">
        <is>
          <t>C.6</t>
        </is>
      </c>
      <c r="J157" s="208" t="inlineStr">
        <is>
          <t>14th FYP</t>
        </is>
      </c>
      <c r="K157" s="211" t="inlineStr">
        <is>
          <t>NO-TAR</t>
        </is>
      </c>
      <c r="L157" s="209" t="inlineStr">
        <is>
          <t>PDF</t>
        </is>
      </c>
      <c r="M157" s="209" t="inlineStr">
        <is>
          <t>CN</t>
        </is>
      </c>
      <c r="N157" s="203" t="inlineStr">
        <is>
          <t>https://www.gov.cn/zhengce/zhengceku/2021-11/14/content_5650830.htm</t>
        </is>
      </c>
    </row>
    <row r="158">
      <c r="B158" s="198" t="inlineStr">
        <is>
          <t>FYP2109</t>
        </is>
      </c>
      <c r="C158" s="208" t="n">
        <v>2021</v>
      </c>
      <c r="D158" s="209" t="inlineStr">
        <is>
          <t>“十四五”林业草原保护发展规划纲要</t>
        </is>
      </c>
      <c r="E158" s="210" t="inlineStr">
        <is>
          <t>14th Five-Year Plan for Forestry and Grassland Protection and Development</t>
        </is>
      </c>
      <c r="F158" s="209" t="inlineStr">
        <is>
          <t>Ministry of Agriculture and Rural Affairs; National Development and Reform Commission; Ministry of Science and Technology; Ministry of Natural Resources; Ministry of Ecology and Environment; National Forestry and Grassland Administration</t>
        </is>
      </c>
      <c r="G158" s="209" t="inlineStr">
        <is>
          <t>发展规划</t>
        </is>
      </c>
      <c r="H158" s="210" t="inlineStr">
        <is>
          <t>Mitigation-enabling</t>
        </is>
      </c>
      <c r="I158" s="211" t="inlineStr">
        <is>
          <t>B.5</t>
        </is>
      </c>
      <c r="J158" s="208" t="inlineStr">
        <is>
          <t>14th FYP</t>
        </is>
      </c>
      <c r="K158" s="211" t="inlineStr">
        <is>
          <t>NO-TAR</t>
        </is>
      </c>
      <c r="L158" s="209" t="inlineStr">
        <is>
          <t>HTM</t>
        </is>
      </c>
      <c r="M158" s="209" t="inlineStr">
        <is>
          <t>CN</t>
        </is>
      </c>
      <c r="N158" s="203" t="inlineStr">
        <is>
          <t>http://www.forestry.gov.cn/c/www/lczc/44287.jhtml</t>
        </is>
      </c>
    </row>
    <row r="159">
      <c r="B159" s="198" t="inlineStr">
        <is>
          <t>FYP2110</t>
        </is>
      </c>
      <c r="C159" s="208" t="n">
        <v>2021</v>
      </c>
      <c r="D159" s="209" t="inlineStr">
        <is>
          <t>“十四五”全国农业绿色发展规划</t>
        </is>
      </c>
      <c r="E159" s="210" t="inlineStr">
        <is>
          <t>14th Five-Year Plan for Agricultural Green Development</t>
        </is>
      </c>
      <c r="F159" s="209" t="inlineStr">
        <is>
          <t>Ministry of Agriculture; National Development and Reform Commission; Ministry of Science and Technology</t>
        </is>
      </c>
      <c r="G159" s="209" t="inlineStr">
        <is>
          <t>发展规划</t>
        </is>
      </c>
      <c r="H159" s="210" t="inlineStr">
        <is>
          <t>Explicit mitigation</t>
        </is>
      </c>
      <c r="I159" s="211" t="inlineStr">
        <is>
          <t>B.5</t>
        </is>
      </c>
      <c r="J159" s="208" t="inlineStr">
        <is>
          <t>14th FYP</t>
        </is>
      </c>
      <c r="K159" s="211" t="inlineStr">
        <is>
          <t>NO-TAR</t>
        </is>
      </c>
      <c r="L159" s="209" t="inlineStr">
        <is>
          <t>PDF</t>
        </is>
      </c>
      <c r="M159" s="209" t="inlineStr">
        <is>
          <t>CN</t>
        </is>
      </c>
      <c r="N159" s="203" t="inlineStr">
        <is>
          <t>http://www.moa.gov.cn/govpublic/FZJHS/202109/t20210907_6375844.htm</t>
        </is>
      </c>
    </row>
    <row r="160">
      <c r="B160" s="198" t="inlineStr">
        <is>
          <t>FYP2111</t>
        </is>
      </c>
      <c r="C160" s="208" t="n">
        <v>2021</v>
      </c>
      <c r="D160" s="209" t="inlineStr">
        <is>
          <t>“十四五”能源领域科技创新规划</t>
        </is>
      </c>
      <c r="E160" s="210" t="inlineStr">
        <is>
          <t>14th Five-Year Plan for Scientific Innovations in the Energy Sector</t>
        </is>
      </c>
      <c r="F160" s="209" t="inlineStr">
        <is>
          <t>National Energy Administration; Ministry of Science and Technology</t>
        </is>
      </c>
      <c r="G160" s="209" t="inlineStr">
        <is>
          <t>五年规划</t>
        </is>
      </c>
      <c r="H160" s="210" t="inlineStr">
        <is>
          <t>Economy planning incl. climate</t>
        </is>
      </c>
      <c r="I160" s="211" t="inlineStr">
        <is>
          <t>B.1, C.1</t>
        </is>
      </c>
      <c r="J160" s="208" t="inlineStr">
        <is>
          <t>14th FYP</t>
        </is>
      </c>
      <c r="K160" s="211" t="inlineStr">
        <is>
          <t>NO-TAR</t>
        </is>
      </c>
      <c r="L160" s="209" t="inlineStr">
        <is>
          <t>PDF</t>
        </is>
      </c>
      <c r="M160" s="209" t="inlineStr">
        <is>
          <t>CN</t>
        </is>
      </c>
      <c r="N160" s="203" t="inlineStr">
        <is>
          <t>http://zfxxgk.nea.gov.cn/1310540453_16488637054861n.pdf</t>
        </is>
      </c>
    </row>
    <row r="161">
      <c r="B161" s="198" t="inlineStr">
        <is>
          <t>FYP2113</t>
        </is>
      </c>
      <c r="C161" s="208" t="n">
        <v>2021</v>
      </c>
      <c r="D161" s="209" t="inlineStr">
        <is>
          <t>“十四五”冷链物流发展规划</t>
        </is>
      </c>
      <c r="E161" s="210" t="inlineStr">
        <is>
          <t>14th Five-Year Plan for Cold Chain Logistics Development</t>
        </is>
      </c>
      <c r="F161" s="209" t="inlineStr">
        <is>
          <t>State Council</t>
        </is>
      </c>
      <c r="G161" s="209" t="inlineStr">
        <is>
          <t>发展规划</t>
        </is>
      </c>
      <c r="H161" s="210" t="inlineStr">
        <is>
          <t>Economy planning incl. climate</t>
        </is>
      </c>
      <c r="I161" s="211" t="inlineStr">
        <is>
          <t>B.2, B.4</t>
        </is>
      </c>
      <c r="J161" s="208" t="inlineStr">
        <is>
          <t>14th FYP</t>
        </is>
      </c>
      <c r="K161" s="211" t="inlineStr">
        <is>
          <t>NO-TAR</t>
        </is>
      </c>
      <c r="L161" s="209" t="inlineStr">
        <is>
          <t>HTM</t>
        </is>
      </c>
      <c r="M161" s="209" t="inlineStr">
        <is>
          <t>CN</t>
        </is>
      </c>
      <c r="N161" s="203" t="inlineStr">
        <is>
          <t>https://www.gov.cn/zhengce/content/2021-12/12/content_5660244.htm</t>
        </is>
      </c>
    </row>
    <row r="162">
      <c r="B162" s="198" t="inlineStr">
        <is>
          <t>FYP2114</t>
        </is>
      </c>
      <c r="C162" s="208" t="n">
        <v>2021</v>
      </c>
      <c r="D162" s="209" t="inlineStr">
        <is>
          <t>绿色食品产业“十四五”发展规划纲要（2021-2025年）</t>
        </is>
      </c>
      <c r="E162" s="210" t="inlineStr">
        <is>
          <t>14th Five-Year Plan for the Development of the Green Food Industry (2021–2025)</t>
        </is>
      </c>
      <c r="F162" s="209" t="inlineStr">
        <is>
          <t>China Green Food Development Center</t>
        </is>
      </c>
      <c r="G162" s="209" t="inlineStr">
        <is>
          <t>发展规划</t>
        </is>
      </c>
      <c r="H162" s="210" t="inlineStr">
        <is>
          <t>Explicit mitigation</t>
        </is>
      </c>
      <c r="I162" s="211" t="inlineStr">
        <is>
          <t>B.2, B.5</t>
        </is>
      </c>
      <c r="J162" s="208" t="inlineStr">
        <is>
          <t>14th FYP</t>
        </is>
      </c>
      <c r="K162" s="211" t="inlineStr">
        <is>
          <t>NO-TAR</t>
        </is>
      </c>
      <c r="L162" s="209" t="inlineStr">
        <is>
          <t>PDF</t>
        </is>
      </c>
      <c r="M162" s="209" t="inlineStr">
        <is>
          <t>CN</t>
        </is>
      </c>
      <c r="N162" s="203" t="inlineStr">
        <is>
          <t>http://www.greenfood.agri.cn/tzgg/202306/t20230612_7995081.htm</t>
        </is>
      </c>
    </row>
    <row r="163">
      <c r="B163" s="198" t="inlineStr">
        <is>
          <t>FYP2115</t>
        </is>
      </c>
      <c r="C163" s="208" t="n">
        <v>2021</v>
      </c>
      <c r="D163" s="209" t="inlineStr">
        <is>
          <t>“十四五”循环经济发展规划</t>
        </is>
      </c>
      <c r="E163" s="210" t="inlineStr">
        <is>
          <t>14th Five-Year Plan for Circular Economy Development</t>
        </is>
      </c>
      <c r="F163" s="209" t="inlineStr">
        <is>
          <t>National Development and Reform Commission</t>
        </is>
      </c>
      <c r="G163" s="209" t="inlineStr">
        <is>
          <t>发展规划</t>
        </is>
      </c>
      <c r="H163" s="210" t="inlineStr">
        <is>
          <t>Mitigation-enabling</t>
        </is>
      </c>
      <c r="I163" s="211" t="inlineStr">
        <is>
          <t>D.2</t>
        </is>
      </c>
      <c r="J163" s="208" t="inlineStr">
        <is>
          <t>14th FYP</t>
        </is>
      </c>
      <c r="K163" s="211" t="inlineStr">
        <is>
          <t>TAR</t>
        </is>
      </c>
      <c r="L163" s="209" t="inlineStr">
        <is>
          <t>PDF</t>
        </is>
      </c>
      <c r="M163" s="209" t="inlineStr">
        <is>
          <t>CN</t>
        </is>
      </c>
      <c r="N163" s="203" t="inlineStr">
        <is>
          <t>https://www.ndrc.gov.cn/xxgk/zcfb/ghwb/202107/t20210707_1285527.html?code=&amp;state=123</t>
        </is>
      </c>
    </row>
    <row r="164">
      <c r="B164" s="198" t="inlineStr">
        <is>
          <t>FYP2117</t>
        </is>
      </c>
      <c r="C164" s="208" t="n">
        <v>2021</v>
      </c>
      <c r="D164" s="210" t="inlineStr">
        <is>
          <t>“十四五”全国清洁生产推行方案</t>
        </is>
      </c>
      <c r="E164" s="210" t="inlineStr">
        <is>
          <t>14th Five-Year Plan for National Clean Production Promotion</t>
        </is>
      </c>
      <c r="F164" s="209" t="inlineStr">
        <is>
          <t>National Development and Reform Commission; Ministry of Ecology and Environment; Ministry of Industry and Information Technology; Ministry of Science and Technology; Ministry of Finance; Ministry of Housing and Urban-Rural Development; Ministry of Transport; Ministry of Agriculture and Rural Affairs; Ministry of Commerce; State Administration for Market Regulation</t>
        </is>
      </c>
      <c r="G164" s="209" t="inlineStr">
        <is>
          <t>五年规划</t>
        </is>
      </c>
      <c r="H164" s="210" t="inlineStr">
        <is>
          <t>Explicit mitigation</t>
        </is>
      </c>
      <c r="I164" s="211" t="inlineStr">
        <is>
          <t>B.2, D.3</t>
        </is>
      </c>
      <c r="J164" s="208" t="inlineStr">
        <is>
          <t>14th FYP</t>
        </is>
      </c>
      <c r="K164" s="211" t="inlineStr">
        <is>
          <t>NO-TAR</t>
        </is>
      </c>
      <c r="L164" s="209" t="inlineStr">
        <is>
          <t>PDF</t>
        </is>
      </c>
      <c r="M164" s="209" t="inlineStr">
        <is>
          <t>CN</t>
        </is>
      </c>
      <c r="N164" s="203" t="inlineStr">
        <is>
          <t>https://www.ndrc.gov.cn/xxgk/zcfb/tz/202111/t20211109_1303467.html?code=&amp;state=123</t>
        </is>
      </c>
    </row>
    <row r="165">
      <c r="B165" s="198" t="inlineStr">
        <is>
          <t>FYP2118</t>
        </is>
      </c>
      <c r="C165" s="208" t="n">
        <v>2021</v>
      </c>
      <c r="D165" s="209" t="inlineStr">
        <is>
          <t>“十四五”公共机构节约能源资源工作规划</t>
        </is>
      </c>
      <c r="E165" s="210" t="inlineStr">
        <is>
          <t>14th Five-Year Plan for Energy and Resource Conservation by Public Institutions</t>
        </is>
      </c>
      <c r="F165" s="209" t="inlineStr">
        <is>
          <t>National Government Offices Administration; National Development and Reform Commission</t>
        </is>
      </c>
      <c r="G165" s="209" t="inlineStr">
        <is>
          <t>五年规划</t>
        </is>
      </c>
      <c r="H165" s="210" t="inlineStr">
        <is>
          <t>Mitigation-enabling</t>
        </is>
      </c>
      <c r="I165" s="211" t="inlineStr">
        <is>
          <t>B.3</t>
        </is>
      </c>
      <c r="J165" s="208" t="inlineStr">
        <is>
          <t>14th FYP</t>
        </is>
      </c>
      <c r="K165" s="211" t="inlineStr">
        <is>
          <t>NO-TAR</t>
        </is>
      </c>
      <c r="L165" s="209" t="inlineStr">
        <is>
          <t>HTM</t>
        </is>
      </c>
      <c r="M165" s="209" t="inlineStr">
        <is>
          <t>CN</t>
        </is>
      </c>
      <c r="N165" s="203" t="inlineStr">
        <is>
          <t>https://www.ggj.gov.cn/tzgg/202106/t20210604_32593.htm</t>
        </is>
      </c>
    </row>
    <row r="166">
      <c r="B166" s="198" t="inlineStr">
        <is>
          <t>FYP2119</t>
        </is>
      </c>
      <c r="C166" s="208" t="n">
        <v>2021</v>
      </c>
      <c r="D166" s="209" t="inlineStr">
        <is>
          <t>“十四五”时期“无废城市”建设工作方案</t>
        </is>
      </c>
      <c r="E166" s="210" t="inlineStr">
        <is>
          <t>14th Five-Year Plan for the Construction of "No Waste Cities"</t>
        </is>
      </c>
      <c r="F166" s="209" t="inlineStr">
        <is>
          <t>Ministry of Ecology and Environment; National Development and Reform Commission; Ministry of Industry and Information Technology; Ministry of Finance; Ministry of Natural Resources; Ministry of Housing and Urban-Rural Development; Ministry of Agriculture and Rural Affairs; Ministry of Commerce; Ministry of Culture and Tourism; National Health Commission; People’s Bank of China; State Taxation Administration; State Administration for Market Regulation; National Bureau of Statistics; National Government Offices Administration; China Banking and Insurance Regulatory Commission; State Post Bureau; All-China Federation of Supply and Marketing Cooperatives</t>
        </is>
      </c>
      <c r="G166" s="209" t="inlineStr">
        <is>
          <t>工作方案</t>
        </is>
      </c>
      <c r="H166" s="210" t="inlineStr">
        <is>
          <t>Mitigation-enabling</t>
        </is>
      </c>
      <c r="I166" s="211" t="inlineStr">
        <is>
          <t>C.6, D.2</t>
        </is>
      </c>
      <c r="J166" s="208" t="inlineStr">
        <is>
          <t>14th FYP</t>
        </is>
      </c>
      <c r="K166" s="211" t="inlineStr">
        <is>
          <t>NO-TAR</t>
        </is>
      </c>
      <c r="L166" s="209" t="inlineStr">
        <is>
          <t>PDF</t>
        </is>
      </c>
      <c r="M166" s="209" t="inlineStr">
        <is>
          <t>CN</t>
        </is>
      </c>
      <c r="N166" s="203" t="inlineStr">
        <is>
          <t>https://www.mee.gov.cn/xxgk2018/xxgk/xxgk03/202112/t20211215_964275.html</t>
        </is>
      </c>
    </row>
    <row r="167">
      <c r="B167" s="198" t="inlineStr">
        <is>
          <t>FYP2120</t>
        </is>
      </c>
      <c r="C167" s="208" t="n">
        <v>2021</v>
      </c>
      <c r="D167" s="210" t="inlineStr">
        <is>
          <t>“十四五”推动高质量发展的国家标准体系建设规划</t>
        </is>
      </c>
      <c r="E167" s="210" t="inlineStr">
        <is>
          <t>14th Five-Year National Standard System Construction Plan for Promoting High-quality Development</t>
        </is>
      </c>
      <c r="F167" s="209" t="inlineStr">
        <is>
          <t>Standardization Administration of China; Cyberspace Administration of China; Ministry of Science and Technology; Ministry of Industry and Information Technology; Ministry of Civil Affairs; Ministry of Ecology and Environment; Ministry of Housing and Urban-Rural Development; Ministry of Agriculture and Rural Affairs; Ministry of Commerce; Ministry of Emergency Management</t>
        </is>
      </c>
      <c r="G167" s="209" t="inlineStr">
        <is>
          <t>建设规划</t>
        </is>
      </c>
      <c r="H167" s="210" t="inlineStr">
        <is>
          <t>Economy planning incl. climate</t>
        </is>
      </c>
      <c r="I167" s="211" t="inlineStr">
        <is>
          <t>A</t>
        </is>
      </c>
      <c r="J167" s="208" t="inlineStr">
        <is>
          <t>14th FYP</t>
        </is>
      </c>
      <c r="K167" s="211" t="inlineStr">
        <is>
          <t>NO-TAR</t>
        </is>
      </c>
      <c r="L167" s="209" t="inlineStr">
        <is>
          <t>PDF</t>
        </is>
      </c>
      <c r="M167" s="209" t="inlineStr">
        <is>
          <t>CN</t>
        </is>
      </c>
      <c r="N167" s="203" t="inlineStr">
        <is>
          <t>https://www.sac.gov.cn/xxgk/zcwj/art/2021/art_51ab9411394a44d78985f6f5efdc80a7.html</t>
        </is>
      </c>
    </row>
    <row r="168">
      <c r="B168" s="198" t="inlineStr">
        <is>
          <t>FYP2105</t>
        </is>
      </c>
      <c r="C168" s="208" t="n">
        <v>2022</v>
      </c>
      <c r="D168" s="209" t="inlineStr">
        <is>
          <t>“十四五”现代能源体系规划</t>
        </is>
      </c>
      <c r="E168" s="210" t="inlineStr">
        <is>
          <t>14th Five-Year Plan for a Modern Energy System</t>
        </is>
      </c>
      <c r="F168" s="209" t="inlineStr">
        <is>
          <t>National Development and Reform Commission; National Energy Administration</t>
        </is>
      </c>
      <c r="G168" s="209" t="inlineStr">
        <is>
          <t>五年规划</t>
        </is>
      </c>
      <c r="H168" s="210" t="inlineStr">
        <is>
          <t>Economy planning incl. climate</t>
        </is>
      </c>
      <c r="I168" s="211" t="inlineStr">
        <is>
          <t>B.1</t>
        </is>
      </c>
      <c r="J168" s="208" t="inlineStr">
        <is>
          <t>14th FYP</t>
        </is>
      </c>
      <c r="K168" s="211" t="inlineStr">
        <is>
          <t>TAR</t>
        </is>
      </c>
      <c r="L168" s="209" t="inlineStr">
        <is>
          <t>PDF</t>
        </is>
      </c>
      <c r="M168" s="209" t="inlineStr">
        <is>
          <t>CN</t>
        </is>
      </c>
      <c r="N168" s="203" t="inlineStr">
        <is>
          <t>https://www.ndrc.gov.cn/xxgk/zcfb/ghwb/202203/t20220322_1320016.html?code=&amp;state=123</t>
        </is>
      </c>
    </row>
    <row r="169">
      <c r="B169" s="198" t="inlineStr">
        <is>
          <t>FYP2201</t>
        </is>
      </c>
      <c r="C169" s="208" t="n">
        <v>2022</v>
      </c>
      <c r="D169" s="209" t="inlineStr">
        <is>
          <t>“十四五”建筑业发展规划</t>
        </is>
      </c>
      <c r="E169" s="210" t="inlineStr">
        <is>
          <t>14th Five-Year Plan for the Construction Industry</t>
        </is>
      </c>
      <c r="F169" s="209" t="inlineStr">
        <is>
          <t>Ministry of Housing and Urban-Rural Development</t>
        </is>
      </c>
      <c r="G169" s="209" t="inlineStr">
        <is>
          <t>发展规划</t>
        </is>
      </c>
      <c r="H169" s="210" t="inlineStr">
        <is>
          <t>Economy planning incl. climate</t>
        </is>
      </c>
      <c r="I169" s="211" t="inlineStr">
        <is>
          <t>B.3</t>
        </is>
      </c>
      <c r="J169" s="208" t="inlineStr">
        <is>
          <t>14th FYP</t>
        </is>
      </c>
      <c r="K169" s="211" t="inlineStr">
        <is>
          <t>NO-TAR</t>
        </is>
      </c>
      <c r="L169" s="209" t="inlineStr">
        <is>
          <t>PDF</t>
        </is>
      </c>
      <c r="M169" s="209" t="inlineStr">
        <is>
          <t>CN</t>
        </is>
      </c>
      <c r="N169" s="203" t="inlineStr">
        <is>
          <t>https://www.gov.cn/zhengce/zhengceku/2022-01/27/5670687/files/12d50c613b344165afb21bc596a190fc.pdf</t>
        </is>
      </c>
    </row>
    <row r="170">
      <c r="B170" s="198" t="inlineStr">
        <is>
          <t>FYP2202</t>
        </is>
      </c>
      <c r="C170" s="208" t="n">
        <v>2022</v>
      </c>
      <c r="D170" s="209" t="inlineStr">
        <is>
          <t>“十四五”新型储能发展实施方案</t>
        </is>
      </c>
      <c r="E170" s="210" t="inlineStr">
        <is>
          <t>14th Five-Year Plan for New Energy Storage</t>
        </is>
      </c>
      <c r="F170" s="209" t="inlineStr">
        <is>
          <t>National Development and Reform Commission; National Energy Administration</t>
        </is>
      </c>
      <c r="G170" s="209" t="inlineStr">
        <is>
          <t>实施方案</t>
        </is>
      </c>
      <c r="H170" s="210" t="inlineStr">
        <is>
          <t>Mitigation-enabling</t>
        </is>
      </c>
      <c r="I170" s="211" t="inlineStr">
        <is>
          <t>B.1</t>
        </is>
      </c>
      <c r="J170" s="208" t="inlineStr">
        <is>
          <t>14th FYP</t>
        </is>
      </c>
      <c r="K170" s="211" t="inlineStr">
        <is>
          <t>NO-TAR</t>
        </is>
      </c>
      <c r="L170" s="209" t="inlineStr">
        <is>
          <t>PDF</t>
        </is>
      </c>
      <c r="M170" s="209" t="inlineStr">
        <is>
          <t>CN</t>
        </is>
      </c>
      <c r="N170" s="203" t="inlineStr">
        <is>
          <t>http://zfxxgk.nea.gov.cn/2022-01/29/c_1310523208.htm</t>
        </is>
      </c>
    </row>
    <row r="171">
      <c r="B171" s="198" t="inlineStr">
        <is>
          <t>FYP2203</t>
        </is>
      </c>
      <c r="C171" s="208" t="n">
        <v>2022</v>
      </c>
      <c r="D171" s="209" t="inlineStr">
        <is>
          <t>“十四五”推进农业农村现代化规划</t>
        </is>
      </c>
      <c r="E171" s="210" t="inlineStr">
        <is>
          <t>14th Five-Year Plan to Promote the Modernization of Agriculture and Rural Areas</t>
        </is>
      </c>
      <c r="F171" s="209" t="inlineStr">
        <is>
          <t>State Council</t>
        </is>
      </c>
      <c r="G171" s="209" t="inlineStr">
        <is>
          <t>五年规划</t>
        </is>
      </c>
      <c r="H171" s="210" t="inlineStr">
        <is>
          <t>Economy planning incl. climate</t>
        </is>
      </c>
      <c r="I171" s="211" t="inlineStr">
        <is>
          <t>B.5, C.6</t>
        </is>
      </c>
      <c r="J171" s="208" t="inlineStr">
        <is>
          <t>14th FYP</t>
        </is>
      </c>
      <c r="K171" s="211" t="inlineStr">
        <is>
          <t>TAR</t>
        </is>
      </c>
      <c r="L171" s="209" t="inlineStr">
        <is>
          <t>HTM</t>
        </is>
      </c>
      <c r="M171" s="209" t="inlineStr">
        <is>
          <t>CN</t>
        </is>
      </c>
      <c r="N171" s="203" t="inlineStr">
        <is>
          <t>https://www.gov.cn/zhengce/content/2022-02/11/content_5673082.htm</t>
        </is>
      </c>
    </row>
    <row r="172">
      <c r="B172" s="198" t="inlineStr">
        <is>
          <t>FYP2204</t>
        </is>
      </c>
      <c r="C172" s="208" t="n">
        <v>2022</v>
      </c>
      <c r="D172" s="209" t="inlineStr">
        <is>
          <t>“十四五”生物经济发展规划</t>
        </is>
      </c>
      <c r="E172" s="210" t="inlineStr">
        <is>
          <t>14th Five-Year Plan for the Development of Bio-economy</t>
        </is>
      </c>
      <c r="F172" s="209" t="inlineStr">
        <is>
          <t>National Development and Reform Commission</t>
        </is>
      </c>
      <c r="G172" s="209" t="inlineStr">
        <is>
          <t>发展规划</t>
        </is>
      </c>
      <c r="H172" s="210" t="inlineStr">
        <is>
          <t>Mitigation-enabling</t>
        </is>
      </c>
      <c r="I172" s="211" t="inlineStr">
        <is>
          <t>B.2, D.3</t>
        </is>
      </c>
      <c r="J172" s="208" t="inlineStr">
        <is>
          <t>14th FYP</t>
        </is>
      </c>
      <c r="K172" s="211" t="inlineStr">
        <is>
          <t>NO-TAR</t>
        </is>
      </c>
      <c r="L172" s="209" t="inlineStr">
        <is>
          <t>PDF</t>
        </is>
      </c>
      <c r="M172" s="209" t="inlineStr">
        <is>
          <t>CN</t>
        </is>
      </c>
      <c r="N172" s="203" t="inlineStr">
        <is>
          <t>https://www.ndrc.gov.cn/xwdt/tzgg/202205/P020220510324283427632.pdf</t>
        </is>
      </c>
    </row>
    <row r="173">
      <c r="B173" s="198" t="inlineStr">
        <is>
          <t>FYP2205</t>
        </is>
      </c>
      <c r="C173" s="208" t="n">
        <v>2022</v>
      </c>
      <c r="D173" s="209" t="inlineStr">
        <is>
          <t>“十四五”生态环境领域科技创新专项规划</t>
        </is>
      </c>
      <c r="E173" s="210" t="inlineStr">
        <is>
          <t>14th Five-Year Plan for Scientific and Technological Innovation in the Field of Ecological Environment</t>
        </is>
      </c>
      <c r="F173" s="209" t="inlineStr">
        <is>
          <t>Ministry of Science and Technology; Ministry of Ecology and Environment; Ministry of Housing and Urban-Rural Development; China Meteorological Administration; National Forestry and Grassland Administration</t>
        </is>
      </c>
      <c r="G173" s="209" t="inlineStr">
        <is>
          <t>五年规划</t>
        </is>
      </c>
      <c r="H173" s="210" t="inlineStr">
        <is>
          <t>Mitigation-enabling</t>
        </is>
      </c>
      <c r="I173" s="211" t="inlineStr">
        <is>
          <t>C.1</t>
        </is>
      </c>
      <c r="J173" s="208" t="inlineStr">
        <is>
          <t>14th FYP</t>
        </is>
      </c>
      <c r="K173" s="211" t="inlineStr">
        <is>
          <t>NO-TAR</t>
        </is>
      </c>
      <c r="L173" s="209" t="inlineStr">
        <is>
          <t>HTM</t>
        </is>
      </c>
      <c r="M173" s="209" t="inlineStr">
        <is>
          <t>CN</t>
        </is>
      </c>
      <c r="N173" s="203" t="inlineStr">
        <is>
          <t>https://www.mee.gov.cn/xxgk2018/xxgk/xxgk10/202211/t20221102_999489.html</t>
        </is>
      </c>
    </row>
    <row r="174">
      <c r="B174" s="198" t="inlineStr">
        <is>
          <t>FYP2206</t>
        </is>
      </c>
      <c r="C174" s="208" t="n">
        <v>2022</v>
      </c>
      <c r="D174" s="209" t="inlineStr">
        <is>
          <t>“十四五”建筑节能与绿色建筑发展规划</t>
        </is>
      </c>
      <c r="E174" s="210" t="inlineStr">
        <is>
          <t>14th Five-Year Plan for the Development of Energy Efficient and Green Buildings</t>
        </is>
      </c>
      <c r="F174" s="209" t="inlineStr">
        <is>
          <t>Ministry of Housing and Urban-Rural Development</t>
        </is>
      </c>
      <c r="G174" s="209" t="inlineStr">
        <is>
          <t>发展规划</t>
        </is>
      </c>
      <c r="H174" s="210" t="inlineStr">
        <is>
          <t>Explicit mitigation</t>
        </is>
      </c>
      <c r="I174" s="211" t="inlineStr">
        <is>
          <t>B.3</t>
        </is>
      </c>
      <c r="J174" s="208" t="inlineStr">
        <is>
          <t>14th FYP</t>
        </is>
      </c>
      <c r="K174" s="211" t="inlineStr">
        <is>
          <t>TAR</t>
        </is>
      </c>
      <c r="L174" s="209" t="inlineStr">
        <is>
          <t>PDF</t>
        </is>
      </c>
      <c r="M174" s="209" t="inlineStr">
        <is>
          <t>CN</t>
        </is>
      </c>
      <c r="N174" s="203" t="inlineStr">
        <is>
          <t>https://www.gov.cn/zhengce/zhengceku/2022-03/12/content_5678698.htm</t>
        </is>
      </c>
    </row>
    <row r="175" ht="14.5" customHeight="1" s="235">
      <c r="B175" s="215" t="inlineStr">
        <is>
          <t>FYP2208</t>
        </is>
      </c>
      <c r="C175" s="216" t="n">
        <v>2022</v>
      </c>
      <c r="D175" s="217" t="inlineStr">
        <is>
          <t>“十四五”现代物流发展规划</t>
        </is>
      </c>
      <c r="E175" s="218" t="inlineStr">
        <is>
          <t>14th Five-Year Plan for the Development of Modern Logistics</t>
        </is>
      </c>
      <c r="F175" s="217" t="inlineStr">
        <is>
          <t>State Council</t>
        </is>
      </c>
      <c r="G175" s="217" t="inlineStr">
        <is>
          <t>发展规划</t>
        </is>
      </c>
      <c r="H175" s="218" t="inlineStr">
        <is>
          <t>Economy planning incl. climate</t>
        </is>
      </c>
      <c r="I175" s="219" t="inlineStr">
        <is>
          <t>B.4</t>
        </is>
      </c>
      <c r="J175" s="216" t="inlineStr">
        <is>
          <t>14th FYP</t>
        </is>
      </c>
      <c r="K175" s="219" t="inlineStr">
        <is>
          <t>NO-TAR</t>
        </is>
      </c>
      <c r="L175" s="217" t="inlineStr">
        <is>
          <t>HTM</t>
        </is>
      </c>
      <c r="M175" s="217" t="inlineStr">
        <is>
          <t>CN</t>
        </is>
      </c>
      <c r="N175" s="220" t="inlineStr">
        <is>
          <t>https://www.gov.cn/zhengce/content/2022-12/15/content_5732092.htm</t>
        </is>
      </c>
    </row>
    <row r="176">
      <c r="B176" s="198" t="inlineStr">
        <is>
          <t>FYP2601</t>
        </is>
      </c>
      <c r="C176" s="208" t="n">
        <v>2026</v>
      </c>
      <c r="D176" s="209" t="inlineStr">
        <is>
          <t>城市更新“十五五”规划</t>
        </is>
      </c>
      <c r="E176" s="210" t="inlineStr">
        <is>
          <t>15th Five-Year Plan for Urban Renewal</t>
        </is>
      </c>
      <c r="F176" s="209" t="inlineStr">
        <is>
          <t>State Council</t>
        </is>
      </c>
      <c r="G176" s="209" t="inlineStr">
        <is>
          <t>五年规划</t>
        </is>
      </c>
      <c r="H176" s="210" t="inlineStr">
        <is>
          <t>Mitigation-enabling</t>
        </is>
      </c>
      <c r="I176" s="211" t="inlineStr">
        <is>
          <t>C.6</t>
        </is>
      </c>
      <c r="J176" s="208" t="inlineStr">
        <is>
          <t>15th FYP</t>
        </is>
      </c>
      <c r="K176" s="211" t="inlineStr">
        <is>
          <t>TAR</t>
        </is>
      </c>
      <c r="L176" s="209" t="inlineStr">
        <is>
          <t>HTM</t>
        </is>
      </c>
      <c r="M176" s="209" t="inlineStr">
        <is>
          <t>CN</t>
        </is>
      </c>
      <c r="N176" s="220" t="inlineStr">
        <is>
          <t>https://www.gov.cn/zhengce/content/202605/content_7070539.htm</t>
        </is>
      </c>
    </row>
    <row r="177">
      <c r="B177" s="0" t="inlineStr">
        <is>
          <t>FYP2602</t>
        </is>
      </c>
      <c r="C177" s="0" t="n">
        <v>2026</v>
      </c>
      <c r="D177" s="0" t="inlineStr">
        <is>
          <t>新型能源体系建设“十五五”规划</t>
        </is>
      </c>
      <c r="E177" s="0" t="inlineStr">
        <is>
          <t>15th Five-Year Plan for Building a New Energy System</t>
        </is>
      </c>
      <c r="F177" s="0" t="inlineStr">
        <is>
          <t>National Development and Reform Commission; National Energy Administration</t>
        </is>
      </c>
      <c r="G177" s="0" t="inlineStr">
        <is>
          <t>五年规划</t>
        </is>
      </c>
      <c r="H177" s="0" t="inlineStr">
        <is>
          <t>B.1</t>
        </is>
      </c>
      <c r="I177" s="0" t="inlineStr">
        <is>
          <t>Economy planning incl. climate</t>
        </is>
      </c>
      <c r="J177" s="0" t="inlineStr">
        <is>
          <t>15th FYP</t>
        </is>
      </c>
      <c r="K177" s="0" t="inlineStr">
        <is>
          <t>TAR</t>
        </is>
      </c>
      <c r="L177" s="0" t="inlineStr">
        <is>
          <t>HTM</t>
        </is>
      </c>
      <c r="M177" s="0" t="inlineStr">
        <is>
          <t>CN</t>
        </is>
      </c>
      <c r="N177" s="0" t="inlineStr">
        <is>
          <t>https://www.gov.cn/zhengce/zhengceku/202606/content_7073322.htm</t>
        </is>
      </c>
    </row>
    <row r="178">
      <c r="B178" s="0" t="inlineStr">
        <is>
          <t>FYP2603</t>
        </is>
      </c>
      <c r="C178" s="0" t="n">
        <v>2026</v>
      </c>
      <c r="D178" s="0" t="inlineStr">
        <is>
          <t>加快农业农村现代化“十五五”规划</t>
        </is>
      </c>
      <c r="E178" s="0" t="inlineStr">
        <is>
          <t>15th Five-Year Plan for Accelerating Agricultural and Rural Modernization</t>
        </is>
      </c>
      <c r="F178" s="0" t="inlineStr">
        <is>
          <t>State Council</t>
        </is>
      </c>
      <c r="G178" s="0" t="inlineStr">
        <is>
          <t>五年规划</t>
        </is>
      </c>
      <c r="H178" s="0" t="inlineStr">
        <is>
          <t>B.5, C.6</t>
        </is>
      </c>
      <c r="I178" s="0" t="inlineStr">
        <is>
          <t>Economy planning incl. climate</t>
        </is>
      </c>
      <c r="J178" s="0" t="inlineStr">
        <is>
          <t>15th FYP</t>
        </is>
      </c>
      <c r="K178" s="0" t="inlineStr">
        <is>
          <t>NO-TAR</t>
        </is>
      </c>
      <c r="L178" s="0" t="inlineStr">
        <is>
          <t>HTM</t>
        </is>
      </c>
      <c r="M178" s="0" t="inlineStr">
        <is>
          <t>CN</t>
        </is>
      </c>
      <c r="N178" s="0" t="inlineStr">
        <is>
          <t>https://www.gov.cn/zhengce/content/202606/content_7070901.htm</t>
        </is>
      </c>
    </row>
    <row r="179">
      <c r="B179" s="0" t="inlineStr">
        <is>
          <t>FYP2604</t>
        </is>
      </c>
      <c r="C179" s="0" t="n">
        <v>2026</v>
      </c>
      <c r="D179" s="0" t="inlineStr">
        <is>
          <t>综合运输服务发展“十五五”规划</t>
        </is>
      </c>
      <c r="E179" s="0" t="inlineStr">
        <is>
          <t>15th Five-Year Plan for the Development of Comprehensive Transport Services</t>
        </is>
      </c>
      <c r="F179" s="0" t="inlineStr">
        <is>
          <t>Ministry of Transport and other departments</t>
        </is>
      </c>
      <c r="G179" s="0" t="inlineStr">
        <is>
          <t>五年规划</t>
        </is>
      </c>
      <c r="H179" s="0" t="inlineStr">
        <is>
          <t>B.4</t>
        </is>
      </c>
      <c r="I179" s="0" t="inlineStr">
        <is>
          <t>Economy planning incl. climate</t>
        </is>
      </c>
      <c r="J179" s="0" t="inlineStr">
        <is>
          <t>15th FYP</t>
        </is>
      </c>
      <c r="K179" s="0" t="inlineStr">
        <is>
          <t>TAR</t>
        </is>
      </c>
      <c r="L179" s="0" t="inlineStr">
        <is>
          <t>HTM</t>
        </is>
      </c>
      <c r="M179" s="0" t="inlineStr">
        <is>
          <t>CN</t>
        </is>
      </c>
      <c r="N179" s="0" t="inlineStr">
        <is>
          <t>https://www.gov.cn/zhengce/zhengceku/202607/content_7076565.htm</t>
        </is>
      </c>
    </row>
    <row r="180">
      <c r="B180" s="0" t="inlineStr">
        <is>
          <t>FYP2605</t>
        </is>
      </c>
      <c r="C180" s="0" t="n">
        <v>2026</v>
      </c>
      <c r="D180" s="0" t="inlineStr">
        <is>
          <t>工业绿色低碳发展“十五五”规划</t>
        </is>
      </c>
      <c r="E180" s="0" t="inlineStr">
        <is>
          <t>15th Five-Year Plan for Green and Low-Carbon Development of Industry</t>
        </is>
      </c>
      <c r="F180" s="0" t="inlineStr">
        <is>
          <t>Ministry of Industry and Information Technology</t>
        </is>
      </c>
      <c r="G180" s="0" t="inlineStr">
        <is>
          <t>五年规划</t>
        </is>
      </c>
      <c r="H180" s="0" t="inlineStr">
        <is>
          <t>B.2</t>
        </is>
      </c>
      <c r="I180" s="0" t="inlineStr">
        <is>
          <t>Explicit mitigation</t>
        </is>
      </c>
      <c r="J180" s="0" t="inlineStr">
        <is>
          <t>15th FYP</t>
        </is>
      </c>
      <c r="K180" s="0" t="inlineStr">
        <is>
          <t>TAR</t>
        </is>
      </c>
      <c r="L180" s="0" t="inlineStr">
        <is>
          <t>HTM</t>
        </is>
      </c>
      <c r="M180" s="0" t="inlineStr">
        <is>
          <t>CN</t>
        </is>
      </c>
      <c r="N180" s="0" t="inlineStr">
        <is>
          <t>https://www.miit.gov.cn/jgsj/jns/wjfb/art/2026/art_7af1d02a062e473a8aacaa1abb65bd74.html</t>
        </is>
      </c>
    </row>
    <row r="181">
      <c r="B181" s="0" t="inlineStr">
        <is>
          <t>FYP2606</t>
        </is>
      </c>
      <c r="C181" s="0" t="n">
        <v>2026</v>
      </c>
      <c r="D181" s="0" t="inlineStr">
        <is>
          <t>土壤、地下水和农业农村生态环境保护“十五五”规划</t>
        </is>
      </c>
      <c r="E181" s="0" t="inlineStr">
        <is>
          <t>15th Five-Year Plan for the Protection of Soil, Groundwater and the Agro-Rural Ecological Environment</t>
        </is>
      </c>
      <c r="F181" s="0" t="inlineStr">
        <is>
          <t>Ministry of Ecology and Environment and other departments</t>
        </is>
      </c>
      <c r="G181" s="0" t="inlineStr">
        <is>
          <t>五年规划</t>
        </is>
      </c>
      <c r="H181" s="0" t="inlineStr">
        <is>
          <t>B.5</t>
        </is>
      </c>
      <c r="I181" s="0" t="inlineStr">
        <is>
          <t>Mitigation-enabling</t>
        </is>
      </c>
      <c r="J181" s="0" t="inlineStr">
        <is>
          <t>15th FYP</t>
        </is>
      </c>
      <c r="K181" s="0" t="inlineStr">
        <is>
          <t>TAR</t>
        </is>
      </c>
      <c r="L181" s="0" t="inlineStr">
        <is>
          <t>PDF</t>
        </is>
      </c>
      <c r="M181" s="0" t="inlineStr">
        <is>
          <t>CN</t>
        </is>
      </c>
      <c r="N181" s="0" t="inlineStr">
        <is>
          <t>https://www.gov.cn/zhengce/zhengceku/202607/P020260717824101220629.pdf</t>
        </is>
      </c>
    </row>
    <row r="182">
      <c r="B182" s="0" t="inlineStr">
        <is>
          <t>FYP2607</t>
        </is>
      </c>
      <c r="C182" s="0" t="n">
        <v>2026</v>
      </c>
      <c r="D182" s="0" t="inlineStr">
        <is>
          <t>可再生能源发展“十五五”规划</t>
        </is>
      </c>
      <c r="E182" s="0" t="inlineStr">
        <is>
          <t>15th Five-Year Plan for Renewable Energy Development</t>
        </is>
      </c>
      <c r="F182" s="0" t="inlineStr">
        <is>
          <t>National Development and Reform Commission; National Energy Administration</t>
        </is>
      </c>
      <c r="G182" s="0" t="inlineStr">
        <is>
          <t>五年规划</t>
        </is>
      </c>
      <c r="H182" s="0" t="inlineStr">
        <is>
          <t>B.1</t>
        </is>
      </c>
      <c r="I182" s="0" t="inlineStr">
        <is>
          <t>Mitigation-enabling</t>
        </is>
      </c>
      <c r="J182" s="0" t="inlineStr">
        <is>
          <t>15th FYP</t>
        </is>
      </c>
      <c r="K182" s="0" t="inlineStr">
        <is>
          <t>TAR</t>
        </is>
      </c>
      <c r="L182" s="0" t="inlineStr">
        <is>
          <t>PDF</t>
        </is>
      </c>
      <c r="M182" s="0" t="inlineStr">
        <is>
          <t>CN</t>
        </is>
      </c>
      <c r="N182" s="0" t="inlineStr">
        <is>
          <t>https://www.ndrc.gov.cn/xxgk/zcfb/tz/202607/P020260723324126838297.pdf</t>
        </is>
      </c>
    </row>
    <row r="183" ht="14.5" customHeight="1" s="235">
      <c r="B183" s="0" t="inlineStr">
        <is>
          <t>FYP2608</t>
        </is>
      </c>
      <c r="C183" s="0" t="n">
        <v>2026</v>
      </c>
      <c r="D183" s="0" t="inlineStr">
        <is>
          <t>固体废物污染防治“十五五”规划</t>
        </is>
      </c>
      <c r="E183" s="0" t="inlineStr">
        <is>
          <t>15th Five-Year Plan for the Prevention and Control of Solid Waste Pollution</t>
        </is>
      </c>
      <c r="F183" s="0" t="inlineStr">
        <is>
          <t>Ministry of Ecology and Environment and other departments</t>
        </is>
      </c>
      <c r="G183" s="0" t="inlineStr">
        <is>
          <t>五年规划</t>
        </is>
      </c>
      <c r="H183" s="0" t="inlineStr">
        <is>
          <t>D.2</t>
        </is>
      </c>
      <c r="I183" s="0" t="inlineStr">
        <is>
          <t>Mitigation-enabling</t>
        </is>
      </c>
      <c r="J183" s="0" t="inlineStr">
        <is>
          <t>15th FYP</t>
        </is>
      </c>
      <c r="K183" s="0" t="inlineStr">
        <is>
          <t>TAR</t>
        </is>
      </c>
      <c r="L183" s="0" t="inlineStr">
        <is>
          <t>PDF</t>
        </is>
      </c>
      <c r="M183" s="0" t="inlineStr">
        <is>
          <t>CN</t>
        </is>
      </c>
      <c r="N183" s="0" t="inlineStr">
        <is>
          <t>https://www.gov.cn/zhengce/zhengceku/202607/P020260714732186443280.pdf</t>
        </is>
      </c>
    </row>
    <row r="184">
      <c r="B184" s="0" t="inlineStr">
        <is>
          <t>FYP2609</t>
        </is>
      </c>
      <c r="C184" s="0" t="n">
        <v>2026</v>
      </c>
      <c r="D184" s="0" t="inlineStr">
        <is>
          <t>美丽中国建设“十五五”规划</t>
        </is>
      </c>
      <c r="E184" s="0" t="inlineStr">
        <is>
          <t>15th Five-Year Plan for Building a Beautiful China</t>
        </is>
      </c>
      <c r="F184" s="0" t="inlineStr">
        <is>
          <t>State Council</t>
        </is>
      </c>
      <c r="G184" s="0" t="inlineStr">
        <is>
          <t>五年规划</t>
        </is>
      </c>
      <c r="H184" s="0" t="inlineStr">
        <is>
          <t>A</t>
        </is>
      </c>
      <c r="I184" s="0" t="inlineStr">
        <is>
          <t>Explicit mitigation</t>
        </is>
      </c>
      <c r="J184" s="0" t="inlineStr">
        <is>
          <t>15th FYP</t>
        </is>
      </c>
      <c r="K184" s="0" t="inlineStr">
        <is>
          <t>TAR</t>
        </is>
      </c>
      <c r="L184" s="0" t="inlineStr">
        <is>
          <t>HTM</t>
        </is>
      </c>
      <c r="M184" s="0" t="inlineStr">
        <is>
          <t>CN</t>
        </is>
      </c>
      <c r="N184" s="0" t="inlineStr">
        <is>
          <t>https://www.gov.cn/zhengce/content/202607/content_7074199.htm</t>
        </is>
      </c>
    </row>
    <row r="185">
      <c r="B185" s="0" t="inlineStr">
        <is>
          <t>FYP2610</t>
        </is>
      </c>
      <c r="C185" s="0" t="n">
        <v>2026</v>
      </c>
      <c r="D185" s="0" t="inlineStr">
        <is>
          <t>生态保护“十五五”规划</t>
        </is>
      </c>
      <c r="E185" s="0" t="inlineStr">
        <is>
          <t>15th Five-Year Plan for Ecological Protection</t>
        </is>
      </c>
      <c r="F185" s="0" t="inlineStr">
        <is>
          <t>Ministry of Ecology and Environment and other departments</t>
        </is>
      </c>
      <c r="G185" s="0" t="inlineStr">
        <is>
          <t>五年规划</t>
        </is>
      </c>
      <c r="H185" s="0" t="inlineStr">
        <is>
          <t>D.3</t>
        </is>
      </c>
      <c r="I185" s="0" t="inlineStr">
        <is>
          <t>Mitigation-enabling</t>
        </is>
      </c>
      <c r="J185" s="0" t="inlineStr">
        <is>
          <t>15th FYP</t>
        </is>
      </c>
      <c r="K185" s="0" t="inlineStr">
        <is>
          <t>TAR</t>
        </is>
      </c>
      <c r="L185" s="0" t="inlineStr">
        <is>
          <t>PDF</t>
        </is>
      </c>
      <c r="M185" s="0" t="inlineStr">
        <is>
          <t>CN</t>
        </is>
      </c>
      <c r="N185" s="0" t="inlineStr">
        <is>
          <t>https://www.gov.cn/zhengce/zhengceku/202608/P020260811799477450940.pdf</t>
        </is>
      </c>
    </row>
    <row r="186">
      <c r="B186" s="0" t="inlineStr">
        <is>
          <t>FYP2611</t>
        </is>
      </c>
      <c r="C186" s="0" t="n">
        <v>2026</v>
      </c>
      <c r="D186" s="0" t="inlineStr">
        <is>
          <t>煤炭工业发展“十五五”规划</t>
        </is>
      </c>
      <c r="E186" s="0" t="inlineStr">
        <is>
          <t>15th Five-Year Plan for the Development of the Coal Industry</t>
        </is>
      </c>
      <c r="F186" s="0" t="inlineStr">
        <is>
          <t>National Development and Reform Commission; National Energy Administration</t>
        </is>
      </c>
      <c r="G186" s="0" t="inlineStr">
        <is>
          <t>五年规划</t>
        </is>
      </c>
      <c r="H186" s="0" t="inlineStr">
        <is>
          <t>B.1</t>
        </is>
      </c>
      <c r="I186" s="0" t="inlineStr">
        <is>
          <t>Fossil-fuel</t>
        </is>
      </c>
      <c r="J186" s="0" t="inlineStr">
        <is>
          <t>15th FYP</t>
        </is>
      </c>
      <c r="K186" s="0" t="inlineStr">
        <is>
          <t>TAR</t>
        </is>
      </c>
      <c r="L186" s="0" t="inlineStr">
        <is>
          <t>PDF</t>
        </is>
      </c>
      <c r="M186" s="0" t="inlineStr">
        <is>
          <t>CN</t>
        </is>
      </c>
      <c r="N186" s="0" t="inlineStr">
        <is>
          <t>https://www.ndrc.gov.cn/xxgk/zcfb/tz/202608/P020260810576358158489.pdf</t>
        </is>
      </c>
    </row>
    <row r="187">
      <c r="B187" s="0" t="inlineStr">
        <is>
          <t>FYP2612</t>
        </is>
      </c>
      <c r="C187" s="0" t="n">
        <v>2026</v>
      </c>
      <c r="D187" s="0" t="inlineStr">
        <is>
          <t>新型电力系统建设“十五五”规划</t>
        </is>
      </c>
      <c r="E187" s="0" t="inlineStr">
        <is>
          <t>15th Five-Year Plan for Building a New Power System</t>
        </is>
      </c>
      <c r="F187" s="0" t="inlineStr">
        <is>
          <t>National Development and Reform Commission; National Energy Administration</t>
        </is>
      </c>
      <c r="G187" s="0" t="inlineStr">
        <is>
          <t>五年规划</t>
        </is>
      </c>
      <c r="H187" s="0" t="inlineStr">
        <is>
          <t>B.1</t>
        </is>
      </c>
      <c r="I187" s="0" t="inlineStr">
        <is>
          <t>Economy planning incl. climate</t>
        </is>
      </c>
      <c r="J187" s="0" t="inlineStr">
        <is>
          <t>15th FYP</t>
        </is>
      </c>
      <c r="K187" s="0" t="inlineStr">
        <is>
          <t>TAR</t>
        </is>
      </c>
      <c r="L187" s="0" t="inlineStr">
        <is>
          <t>PDF</t>
        </is>
      </c>
      <c r="M187" s="0" t="inlineStr">
        <is>
          <t>CN</t>
        </is>
      </c>
      <c r="N187" s="0" t="inlineStr">
        <is>
          <t>https://www.nea.gov.cn/20260803/f90e2bdec3744f3c90898ca65e31e597/20260803f90e2bdec3744f3c90898ca65e31e597_4493375545420246b5a2efa9b0e3fe7bda.pdf</t>
        </is>
      </c>
    </row>
    <row r="188">
      <c r="B188" s="221" t="inlineStr">
        <is>
          <t>Development Plans / Strategies</t>
        </is>
      </c>
      <c r="C188" s="222" t="n"/>
      <c r="D188" s="222" t="n"/>
      <c r="E188" s="222" t="n"/>
      <c r="F188" s="222" t="n"/>
      <c r="G188" s="222" t="n"/>
      <c r="H188" s="222" t="n"/>
      <c r="I188" s="222" t="n"/>
      <c r="J188" s="222" t="n"/>
      <c r="K188" s="222" t="n"/>
      <c r="L188" s="222" t="n"/>
      <c r="M188" s="222" t="n"/>
      <c r="N188" s="223" t="inlineStr">
        <is>
          <t>https://wenku.baidu.com/view/d47e12424b2fb4daa58da0116c175f0e7cd119d4.html?fr=aladdin266&amp;ind=1&amp;aigcsid=0&amp;qtype=0&amp;lcid=1&amp;queryKey=加快生产性服务业发展推动产业结构调整升级的指导意见+2014&amp;verifyType=undefined&amp;_wkts_=1745937405223&amp;bdQuery=加快生产性服务业发展推动产业结构调整升级的指导意见+2014</t>
        </is>
      </c>
    </row>
    <row r="189">
      <c r="B189" s="198" t="inlineStr">
        <is>
          <t>DP1201</t>
        </is>
      </c>
      <c r="C189" s="208" t="n">
        <v>2012</v>
      </c>
      <c r="D189" s="210" t="inlineStr">
        <is>
          <t>节能与新能源汽车产业发展规划（2012―2020年）</t>
        </is>
      </c>
      <c r="E189" s="210" t="inlineStr">
        <is>
          <t>New Energy Vehicle Industry Development Plan 2012–2020</t>
        </is>
      </c>
      <c r="F189" s="209" t="inlineStr">
        <is>
          <t>State Council</t>
        </is>
      </c>
      <c r="G189" s="209" t="inlineStr">
        <is>
          <t>发展规划</t>
        </is>
      </c>
      <c r="H189" s="210" t="inlineStr">
        <is>
          <t>Mitigation-enabling</t>
        </is>
      </c>
      <c r="I189" s="211" t="inlineStr">
        <is>
          <t>B.2, B.4</t>
        </is>
      </c>
      <c r="J189" s="208" t="inlineStr">
        <is>
          <t>2012-2020</t>
        </is>
      </c>
      <c r="K189" s="211" t="inlineStr">
        <is>
          <t>TAR</t>
        </is>
      </c>
      <c r="L189" s="209" t="inlineStr">
        <is>
          <t>HTM</t>
        </is>
      </c>
      <c r="M189" s="209" t="inlineStr">
        <is>
          <t>CN</t>
        </is>
      </c>
      <c r="N189" s="203" t="inlineStr">
        <is>
          <t>https://www.gov.cn/gongbao/content/2012/content_2182749.htm</t>
        </is>
      </c>
    </row>
    <row r="190">
      <c r="B190" s="198" t="inlineStr">
        <is>
          <t>DP1301</t>
        </is>
      </c>
      <c r="C190" s="208" t="n">
        <v>2013</v>
      </c>
      <c r="D190" s="210" t="inlineStr">
        <is>
          <t>循环经济发展战略及近期行动计划</t>
        </is>
      </c>
      <c r="E190" s="210" t="inlineStr">
        <is>
          <t>Circular Economy Development Strategy</t>
        </is>
      </c>
      <c r="F190" s="209" t="inlineStr">
        <is>
          <t>State Council</t>
        </is>
      </c>
      <c r="G190" s="209" t="inlineStr">
        <is>
          <t>行动计划</t>
        </is>
      </c>
      <c r="H190" s="210" t="inlineStr">
        <is>
          <t>Mitigation-enabling</t>
        </is>
      </c>
      <c r="I190" s="211" t="inlineStr">
        <is>
          <t>D.2</t>
        </is>
      </c>
      <c r="J190" s="208" t="inlineStr">
        <is>
          <t>-</t>
        </is>
      </c>
      <c r="K190" s="211" t="inlineStr">
        <is>
          <t>TAR</t>
        </is>
      </c>
      <c r="L190" s="209" t="inlineStr">
        <is>
          <t>HTM</t>
        </is>
      </c>
      <c r="M190" s="209" t="inlineStr">
        <is>
          <t>CN</t>
        </is>
      </c>
      <c r="N190" s="203" t="inlineStr">
        <is>
          <t>https://www.gov.cn/gongbao/content/2013/content_2339517.htm</t>
        </is>
      </c>
    </row>
    <row r="191">
      <c r="B191" s="198" t="inlineStr">
        <is>
          <t>DP1401</t>
        </is>
      </c>
      <c r="C191" s="208" t="n">
        <v>2014</v>
      </c>
      <c r="D191" s="210" t="inlineStr">
        <is>
          <t>全国海上风电开发建设方案(2014-2016)</t>
        </is>
      </c>
      <c r="E191" s="210" t="inlineStr">
        <is>
          <t>China Offshore Wind Power Development Plan (2014–2016)</t>
        </is>
      </c>
      <c r="F191" s="209" t="inlineStr">
        <is>
          <t>National Energy Administration</t>
        </is>
      </c>
      <c r="G191" s="209" t="inlineStr">
        <is>
          <t>方案</t>
        </is>
      </c>
      <c r="H191" s="210" t="inlineStr">
        <is>
          <t>Mitigation-enabling</t>
        </is>
      </c>
      <c r="I191" s="211" t="inlineStr">
        <is>
          <t>B.1</t>
        </is>
      </c>
      <c r="J191" s="208" t="inlineStr">
        <is>
          <t>2014-2016</t>
        </is>
      </c>
      <c r="K191" s="211" t="inlineStr">
        <is>
          <t>NO-TAR</t>
        </is>
      </c>
      <c r="L191" s="209" t="inlineStr">
        <is>
          <t>HTM</t>
        </is>
      </c>
      <c r="M191" s="209" t="inlineStr">
        <is>
          <t>CN</t>
        </is>
      </c>
      <c r="N191" s="203" t="inlineStr">
        <is>
          <t>https://fjb.nea.gov.cn/xxgk/zcfg/202311/t20231114_217452.html</t>
        </is>
      </c>
    </row>
    <row r="192">
      <c r="B192" s="198" t="inlineStr">
        <is>
          <t>DP1501</t>
        </is>
      </c>
      <c r="C192" s="208" t="n">
        <v>2015</v>
      </c>
      <c r="D192" s="210" t="inlineStr">
        <is>
          <t>全国农业可持续发展规划（2015-2030年）</t>
        </is>
      </c>
      <c r="E192" s="210" t="inlineStr">
        <is>
          <t>National Sustainable Agricultural Development Plan (2015-2030)</t>
        </is>
      </c>
      <c r="F192" s="209" t="inlineStr">
        <is>
          <t>Ministry of Agriculture; National Development and Reform Commission; Ministry of Science and Technology; Ministry of Finance; Ministry of Land and Resources; Ministry of Environmental Protection; Ministry of Water Resources; State Forestry Administration</t>
        </is>
      </c>
      <c r="G192" s="209" t="inlineStr">
        <is>
          <t>发展规划</t>
        </is>
      </c>
      <c r="H192" s="210" t="inlineStr">
        <is>
          <t>Mitigation-enabling</t>
        </is>
      </c>
      <c r="I192" s="211" t="inlineStr">
        <is>
          <t>B.5</t>
        </is>
      </c>
      <c r="J192" s="208" t="inlineStr">
        <is>
          <t>2015-2030</t>
        </is>
      </c>
      <c r="K192" s="211" t="inlineStr">
        <is>
          <t>NO-TAR</t>
        </is>
      </c>
      <c r="L192" s="209" t="inlineStr">
        <is>
          <t>PDF</t>
        </is>
      </c>
      <c r="M192" s="209" t="inlineStr">
        <is>
          <t>CN</t>
        </is>
      </c>
      <c r="N192" s="203" t="inlineStr">
        <is>
          <t>https://www.gov.cn/xinwen/2015-05/28/content_2869902.htm</t>
        </is>
      </c>
    </row>
    <row r="193">
      <c r="B193" s="198" t="inlineStr">
        <is>
          <t>DP1601</t>
        </is>
      </c>
      <c r="C193" s="208" t="n">
        <v>2016</v>
      </c>
      <c r="D193" s="210" t="inlineStr">
        <is>
          <t>工业和信息化部关于印发工业绿色发展规划</t>
        </is>
      </c>
      <c r="E193" s="210" t="inlineStr">
        <is>
          <t>Industrial Green Development Plan</t>
        </is>
      </c>
      <c r="F193" s="209" t="inlineStr">
        <is>
          <t>Ministry of Industry and Information Technology</t>
        </is>
      </c>
      <c r="G193" s="209" t="inlineStr">
        <is>
          <t>发展规划</t>
        </is>
      </c>
      <c r="H193" s="210" t="inlineStr">
        <is>
          <t>Explicit mitigation</t>
        </is>
      </c>
      <c r="I193" s="211" t="inlineStr">
        <is>
          <t>B.2</t>
        </is>
      </c>
      <c r="J193" s="208" t="inlineStr">
        <is>
          <t>2016-2020</t>
        </is>
      </c>
      <c r="K193" s="211" t="inlineStr">
        <is>
          <t>TAR</t>
        </is>
      </c>
      <c r="L193" s="209" t="inlineStr">
        <is>
          <t>HTM</t>
        </is>
      </c>
      <c r="M193" s="209" t="inlineStr">
        <is>
          <t>CN</t>
        </is>
      </c>
      <c r="N193" s="203" t="inlineStr">
        <is>
          <t>http://www.scio.gov.cn/xwfbh/xwbfbh/wqfbh/33978/34888/xgzc34894/Document/1484864/1484864.htm</t>
        </is>
      </c>
    </row>
    <row r="194">
      <c r="B194" s="198" t="inlineStr">
        <is>
          <t>DP2001</t>
        </is>
      </c>
      <c r="C194" s="208" t="n">
        <v>2020</v>
      </c>
      <c r="D194" s="210" t="inlineStr">
        <is>
          <t>新能源汽车产业发展规划（2021—2035年）</t>
        </is>
      </c>
      <c r="E194" s="210" t="inlineStr">
        <is>
          <t>New Energy Vehicle Industry Development Plan (2021-2035)</t>
        </is>
      </c>
      <c r="F194" s="209" t="inlineStr">
        <is>
          <t>State Council</t>
        </is>
      </c>
      <c r="G194" s="209" t="inlineStr">
        <is>
          <t>发展规划</t>
        </is>
      </c>
      <c r="H194" s="210" t="inlineStr">
        <is>
          <t>Mitigation-enabling</t>
        </is>
      </c>
      <c r="I194" s="211" t="inlineStr">
        <is>
          <t>B.2, B.4</t>
        </is>
      </c>
      <c r="J194" s="208" t="inlineStr">
        <is>
          <t>2021-2035</t>
        </is>
      </c>
      <c r="K194" s="211" t="inlineStr">
        <is>
          <t>NO-TAR</t>
        </is>
      </c>
      <c r="L194" s="209" t="inlineStr">
        <is>
          <t>HTM</t>
        </is>
      </c>
      <c r="M194" s="209" t="inlineStr">
        <is>
          <t>CN</t>
        </is>
      </c>
      <c r="N194" s="203" t="inlineStr">
        <is>
          <t>https://www.gov.cn/gongbao/content/2020/content_5560291.htm</t>
        </is>
      </c>
    </row>
    <row r="195">
      <c r="B195" s="224" t="inlineStr">
        <is>
          <t>DP2101</t>
        </is>
      </c>
      <c r="C195" s="208" t="n">
        <v>2021</v>
      </c>
      <c r="D195" s="210" t="inlineStr">
        <is>
          <t>完善能源消费强度和总量双控制度方案</t>
        </is>
      </c>
      <c r="E195" s="210" t="inlineStr">
        <is>
          <t>Plan for Improving the Dual Control System of Energy Consumption Intensity and Total Consumption</t>
        </is>
      </c>
      <c r="F195" s="209" t="inlineStr">
        <is>
          <t>National Development and Reform Commission</t>
        </is>
      </c>
      <c r="G195" s="209" t="inlineStr">
        <is>
          <t>方案</t>
        </is>
      </c>
      <c r="H195" s="210" t="inlineStr">
        <is>
          <t>Explicit mitigation</t>
        </is>
      </c>
      <c r="I195" s="211" t="inlineStr">
        <is>
          <t>A, C.3</t>
        </is>
      </c>
      <c r="J195" s="208" t="n"/>
      <c r="K195" s="211" t="inlineStr">
        <is>
          <t>NO-TAR</t>
        </is>
      </c>
      <c r="L195" s="209" t="inlineStr">
        <is>
          <t>PDF</t>
        </is>
      </c>
      <c r="M195" s="209" t="inlineStr">
        <is>
          <t>CN</t>
        </is>
      </c>
      <c r="N195" s="203" t="inlineStr">
        <is>
          <t>https://www.ndrc.gov.cn/xxgk/zcfb/tz/202109/t20210916_1296856.html</t>
        </is>
      </c>
    </row>
    <row r="196">
      <c r="B196" s="205" t="inlineStr">
        <is>
          <t>Guiding Opinions</t>
        </is>
      </c>
      <c r="C196" s="206" t="n"/>
      <c r="D196" s="206" t="n"/>
      <c r="E196" s="206" t="n"/>
      <c r="F196" s="206" t="n"/>
      <c r="G196" s="206" t="n"/>
      <c r="H196" s="206" t="n"/>
      <c r="I196" s="206" t="n"/>
      <c r="J196" s="206" t="n"/>
      <c r="K196" s="206" t="n"/>
      <c r="L196" s="206" t="n"/>
      <c r="M196" s="206" t="n"/>
      <c r="N196" s="207" t="inlineStr">
        <is>
          <t>http://www.hrcshp.org/cn/onews.asp?id=1552</t>
        </is>
      </c>
    </row>
    <row r="197">
      <c r="B197" s="198" t="inlineStr">
        <is>
          <t>GO1001</t>
        </is>
      </c>
      <c r="C197" s="208" t="n">
        <v>2010</v>
      </c>
      <c r="D197" s="210" t="inlineStr">
        <is>
          <t>关于水泥工业节能减排的指导意见</t>
        </is>
      </c>
      <c r="E197" s="210" t="inlineStr">
        <is>
          <t>Guiding Opinions on Energy Conservation and Emission Reduction in the Cement Industry</t>
        </is>
      </c>
      <c r="F197" s="209" t="inlineStr">
        <is>
          <t>Ministry of Industry and Information Technology</t>
        </is>
      </c>
      <c r="G197" s="209" t="inlineStr">
        <is>
          <t>指导意见</t>
        </is>
      </c>
      <c r="H197" s="210" t="inlineStr">
        <is>
          <t>Explicit mitigation</t>
        </is>
      </c>
      <c r="I197" s="211" t="inlineStr">
        <is>
          <t>B.2</t>
        </is>
      </c>
      <c r="J197" s="208" t="inlineStr">
        <is>
          <t>-</t>
        </is>
      </c>
      <c r="K197" s="211" t="inlineStr">
        <is>
          <t>NO-TAR</t>
        </is>
      </c>
      <c r="L197" s="209" t="inlineStr">
        <is>
          <t>HTM</t>
        </is>
      </c>
      <c r="M197" s="209" t="inlineStr">
        <is>
          <t>CN</t>
        </is>
      </c>
      <c r="N197" s="203" t="inlineStr">
        <is>
          <t>https://wenku.baidu.com/view/56f0541afc4ffe473368aba4?fr=xueshu&amp;_wkts_=1745936543293&amp;needWelcomeRecommand=1</t>
        </is>
      </c>
    </row>
    <row r="198">
      <c r="B198" s="198" t="inlineStr">
        <is>
          <t>GO1101</t>
        </is>
      </c>
      <c r="C198" s="208" t="n">
        <v>2011</v>
      </c>
      <c r="D198" s="210" t="inlineStr">
        <is>
          <t>建设低碳交通运输体系指导意见</t>
        </is>
      </c>
      <c r="E198" s="210" t="inlineStr">
        <is>
          <t>Guiding Opinions on Building a Low-Carbon Transportation System</t>
        </is>
      </c>
      <c r="F198" s="209" t="inlineStr">
        <is>
          <t>Ministry of Transport</t>
        </is>
      </c>
      <c r="G198" s="209" t="inlineStr">
        <is>
          <t>指导意见</t>
        </is>
      </c>
      <c r="H198" s="210" t="inlineStr">
        <is>
          <t>Explicit mitigation</t>
        </is>
      </c>
      <c r="I198" s="211" t="inlineStr">
        <is>
          <t>B.4</t>
        </is>
      </c>
      <c r="J198" s="208" t="inlineStr">
        <is>
          <t>-</t>
        </is>
      </c>
      <c r="K198" s="211" t="inlineStr">
        <is>
          <t>NO-TAR</t>
        </is>
      </c>
      <c r="L198" s="209" t="inlineStr">
        <is>
          <t>HTM</t>
        </is>
      </c>
      <c r="M198" s="209" t="inlineStr">
        <is>
          <t>CN</t>
        </is>
      </c>
      <c r="N198" s="203" t="inlineStr">
        <is>
          <t>https://wenku.baidu.com/view/a9808ddee309581b6bd97f19227916888486b9ad.html?fr=aladdin266&amp;ind=1&amp;aigcsid=0&amp;qtype=0&amp;lcid=1&amp;queryKey=建设低碳交通系统指导意见+2011&amp;verifyType=undefined&amp;_wkts_=1745936736044&amp;bdQuery=建设低碳交通系统指导意见+2011</t>
        </is>
      </c>
    </row>
    <row r="199">
      <c r="B199" s="198" t="inlineStr">
        <is>
          <t>GO1301</t>
        </is>
      </c>
      <c r="C199" s="208" t="n">
        <v>2013</v>
      </c>
      <c r="D199" s="210" t="inlineStr">
        <is>
          <t>加快绿色循环低碳交通发展指导意见</t>
        </is>
      </c>
      <c r="E199" s="210" t="inlineStr">
        <is>
          <t>Guiding Opinions on Accelerating the Development of Green, Circular and Low-Carbon Transportation</t>
        </is>
      </c>
      <c r="F199" s="209" t="inlineStr">
        <is>
          <t>Ministry of Transport</t>
        </is>
      </c>
      <c r="G199" s="209" t="inlineStr">
        <is>
          <t>指导意见</t>
        </is>
      </c>
      <c r="H199" s="210" t="inlineStr">
        <is>
          <t>Explicit mitigation</t>
        </is>
      </c>
      <c r="I199" s="211" t="inlineStr">
        <is>
          <t>B.4</t>
        </is>
      </c>
      <c r="J199" s="208" t="inlineStr">
        <is>
          <t>-</t>
        </is>
      </c>
      <c r="K199" s="211" t="inlineStr">
        <is>
          <t>NO-TAR</t>
        </is>
      </c>
      <c r="L199" s="209" t="inlineStr">
        <is>
          <t>HTM</t>
        </is>
      </c>
      <c r="M199" s="209" t="inlineStr">
        <is>
          <t>CN</t>
        </is>
      </c>
      <c r="N199" s="203" t="inlineStr">
        <is>
          <t>https://www.gov.cn/gongbao/content/2013/content_2466586.htm</t>
        </is>
      </c>
    </row>
    <row r="200">
      <c r="B200" s="198" t="inlineStr">
        <is>
          <t>GO1302</t>
        </is>
      </c>
      <c r="C200" s="208" t="n">
        <v>2013</v>
      </c>
      <c r="D200" s="210" t="inlineStr">
        <is>
          <t>关于化解产能严重过剩矛盾的指导意见</t>
        </is>
      </c>
      <c r="E200" s="210" t="inlineStr">
        <is>
          <t>Guiding Opinions on Resolving the Contradiction of Serious Overcapacity</t>
        </is>
      </c>
      <c r="F200" s="209" t="inlineStr">
        <is>
          <t>State Council</t>
        </is>
      </c>
      <c r="G200" s="209" t="inlineStr">
        <is>
          <t>指导意见</t>
        </is>
      </c>
      <c r="H200" s="210" t="inlineStr">
        <is>
          <t>Mitigation-enabling</t>
        </is>
      </c>
      <c r="I200" s="211" t="inlineStr">
        <is>
          <t>B.2</t>
        </is>
      </c>
      <c r="J200" s="208" t="inlineStr">
        <is>
          <t>-</t>
        </is>
      </c>
      <c r="K200" s="211" t="inlineStr">
        <is>
          <t>TAR</t>
        </is>
      </c>
      <c r="L200" s="209" t="inlineStr">
        <is>
          <t>HTM</t>
        </is>
      </c>
      <c r="M200" s="209" t="inlineStr">
        <is>
          <t>CN</t>
        </is>
      </c>
      <c r="N200" s="203" t="inlineStr">
        <is>
          <t>https://www.gov.cn/zhengce/content/2013-10/18/content_4854.htm</t>
        </is>
      </c>
    </row>
    <row r="201">
      <c r="B201" s="198" t="inlineStr">
        <is>
          <t>GO1401</t>
        </is>
      </c>
      <c r="C201" s="208" t="n">
        <v>2014</v>
      </c>
      <c r="D201" s="210" t="inlineStr">
        <is>
          <t>关于加快发展生产性服务业促进产业结构调整升级的指导意见</t>
        </is>
      </c>
      <c r="E201" s="210" t="inlineStr">
        <is>
          <t>Guiding Opinions on Speeding Up the Development of the Producer Service Industry and Promotion of the Adjustment and Upgrading of the Industrial Structure</t>
        </is>
      </c>
      <c r="F201" s="209" t="inlineStr">
        <is>
          <t>State Council</t>
        </is>
      </c>
      <c r="G201" s="209" t="inlineStr">
        <is>
          <t>指导意见</t>
        </is>
      </c>
      <c r="H201" s="210" t="inlineStr">
        <is>
          <t>Economy planning incl. climate</t>
        </is>
      </c>
      <c r="I201" s="211" t="inlineStr">
        <is>
          <t>B.2</t>
        </is>
      </c>
      <c r="J201" s="208" t="inlineStr">
        <is>
          <t>-</t>
        </is>
      </c>
      <c r="K201" s="211" t="inlineStr">
        <is>
          <t>NO-TAR</t>
        </is>
      </c>
      <c r="L201" s="209" t="inlineStr">
        <is>
          <t>PDF</t>
        </is>
      </c>
      <c r="M201" s="209" t="inlineStr">
        <is>
          <t>CN</t>
        </is>
      </c>
      <c r="N201" s="203" t="inlineStr">
        <is>
          <t>https://wenku.baidu.com/view/d47e12424b2fb4daa58da0116c175f0e7cd119d4.html?fr=aladdin266&amp;ind=1&amp;aigcsid=0&amp;qtype=0&amp;lcid=1&amp;queryKey=加快生产性服务业发展推动产业结构调整升级的指导意见+2014&amp;verifyType=undefined&amp;_wkts_=1745937405223&amp;bdQuery=加快生产性服务业发展推动产业结构调整升级的指导意见+2014</t>
        </is>
      </c>
    </row>
    <row r="202">
      <c r="B202" s="198" t="inlineStr">
        <is>
          <t>GO1402</t>
        </is>
      </c>
      <c r="C202" s="208" t="n">
        <v>2014</v>
      </c>
      <c r="D202" s="210" t="inlineStr">
        <is>
          <t>关于加快新能源汽车推广应用的指导意见</t>
        </is>
      </c>
      <c r="E202" s="210" t="inlineStr">
        <is>
          <t>Guiding Opinions to Accelerate the Promotion and Deployment of New Energy Vehicles (NEVs)</t>
        </is>
      </c>
      <c r="F202" s="209" t="inlineStr">
        <is>
          <t>State Council</t>
        </is>
      </c>
      <c r="G202" s="209" t="inlineStr">
        <is>
          <t>指导意见</t>
        </is>
      </c>
      <c r="H202" s="210" t="inlineStr">
        <is>
          <t>Mitigation-enabling</t>
        </is>
      </c>
      <c r="I202" s="211" t="inlineStr">
        <is>
          <t>B.2, B.4</t>
        </is>
      </c>
      <c r="J202" s="208" t="inlineStr">
        <is>
          <t>-</t>
        </is>
      </c>
      <c r="K202" s="211" t="inlineStr">
        <is>
          <t>TAR</t>
        </is>
      </c>
      <c r="L202" s="209" t="inlineStr">
        <is>
          <t>HTM</t>
        </is>
      </c>
      <c r="M202" s="209" t="inlineStr">
        <is>
          <t>CN</t>
        </is>
      </c>
      <c r="N202" s="203" t="inlineStr">
        <is>
          <t>https://www.gov.cn/gongbao/content/2014/content_2723629.htm</t>
        </is>
      </c>
    </row>
    <row r="203">
      <c r="B203" s="198" t="inlineStr">
        <is>
          <t>GO1403</t>
        </is>
      </c>
      <c r="C203" s="208" t="n">
        <v>2014</v>
      </c>
      <c r="D203" s="225" t="inlineStr">
        <is>
          <t>关于推进 林业碳汇交易工作的指导意见</t>
        </is>
      </c>
      <c r="E203" s="210" t="inlineStr">
        <is>
          <t>Guiding Opinions on Promoting Forestry Carbon Sink Trading</t>
        </is>
      </c>
      <c r="F203" s="209" t="inlineStr">
        <is>
          <t>State Forestry Administration</t>
        </is>
      </c>
      <c r="G203" s="209" t="inlineStr">
        <is>
          <t>指导意见</t>
        </is>
      </c>
      <c r="H203" s="210" t="inlineStr">
        <is>
          <t>Explicit mitigation</t>
        </is>
      </c>
      <c r="I203" s="211" t="inlineStr">
        <is>
          <t>B.5</t>
        </is>
      </c>
      <c r="J203" s="208" t="inlineStr">
        <is>
          <t>-</t>
        </is>
      </c>
      <c r="K203" s="211" t="inlineStr">
        <is>
          <t>NO-TAR</t>
        </is>
      </c>
      <c r="L203" s="209" t="inlineStr">
        <is>
          <t>PDF</t>
        </is>
      </c>
      <c r="M203" s="209" t="inlineStr">
        <is>
          <t>CN</t>
        </is>
      </c>
      <c r="N203" s="203" t="inlineStr">
        <is>
          <t>https://www.forestry.gov.cn/uploadfile/gfxwj/201419/4880f0ef-74d4-4458-a4a6-2c57c5536b73.pdf</t>
        </is>
      </c>
    </row>
    <row r="204">
      <c r="B204" s="198" t="inlineStr">
        <is>
          <t>GO1404</t>
        </is>
      </c>
      <c r="C204" s="208" t="n">
        <v>2014</v>
      </c>
      <c r="D204" s="225" t="inlineStr">
        <is>
          <t>2014年能源工作指导意见</t>
        </is>
      </c>
      <c r="E204" s="210" t="inlineStr">
        <is>
          <t>Guiding Opinions on Energy Work in 2014</t>
        </is>
      </c>
      <c r="F204" s="209" t="inlineStr">
        <is>
          <t>National Energy Administration</t>
        </is>
      </c>
      <c r="G204" s="209" t="inlineStr">
        <is>
          <t>指导意见</t>
        </is>
      </c>
      <c r="H204" s="210" t="inlineStr">
        <is>
          <t>Economy planning incl. climate</t>
        </is>
      </c>
      <c r="I204" s="211" t="inlineStr">
        <is>
          <t>B.1</t>
        </is>
      </c>
      <c r="J204" s="208" t="n">
        <v>2014</v>
      </c>
      <c r="K204" s="211" t="inlineStr">
        <is>
          <t>NO-TAR</t>
        </is>
      </c>
      <c r="L204" s="209" t="inlineStr">
        <is>
          <t>HTM</t>
        </is>
      </c>
      <c r="M204" s="209" t="inlineStr">
        <is>
          <t>CN</t>
        </is>
      </c>
      <c r="N204" s="203" t="inlineStr">
        <is>
          <t>https://zfxxgk.nea.gov.cn/auto82/201401/t20140124_1756.htm</t>
        </is>
      </c>
    </row>
    <row r="205">
      <c r="B205" s="198" t="inlineStr">
        <is>
          <t>GO1501</t>
        </is>
      </c>
      <c r="C205" s="208" t="n">
        <v>2015</v>
      </c>
      <c r="D205" s="210" t="inlineStr">
        <is>
          <t>关于促进煤炭工业科学发展的指导意见</t>
        </is>
      </c>
      <c r="E205" s="210" t="inlineStr">
        <is>
          <t>Guiding Opinions on Steadily Promoting the Construction of Coal-to-oil Demonstration Projects</t>
        </is>
      </c>
      <c r="F205" s="209" t="inlineStr">
        <is>
          <t>National Energy Administration</t>
        </is>
      </c>
      <c r="G205" s="209" t="inlineStr">
        <is>
          <t>指导意见</t>
        </is>
      </c>
      <c r="H205" s="210" t="inlineStr">
        <is>
          <t>Fossil-fuel</t>
        </is>
      </c>
      <c r="I205" s="211" t="inlineStr">
        <is>
          <t>B.1</t>
        </is>
      </c>
      <c r="J205" s="208" t="inlineStr">
        <is>
          <t>-</t>
        </is>
      </c>
      <c r="K205" s="211" t="inlineStr">
        <is>
          <t>NO-TAR</t>
        </is>
      </c>
      <c r="L205" s="209" t="inlineStr">
        <is>
          <t>HTM</t>
        </is>
      </c>
      <c r="M205" s="209" t="inlineStr">
        <is>
          <t>CN</t>
        </is>
      </c>
      <c r="N205" s="203" t="inlineStr">
        <is>
          <t>https://zfxxgk.nea.gov.cn/auto85/201503/t20150325_1894.htm</t>
        </is>
      </c>
    </row>
    <row r="206">
      <c r="B206" s="198" t="inlineStr">
        <is>
          <t>GO1602</t>
        </is>
      </c>
      <c r="C206" s="208" t="n">
        <v>2016</v>
      </c>
      <c r="D206" s="210" t="inlineStr">
        <is>
          <t>关于构建绿色金融体系的指导意见</t>
        </is>
      </c>
      <c r="E206" s="210" t="inlineStr">
        <is>
          <t>Guiding Opinions on Building a Green Financial System</t>
        </is>
      </c>
      <c r="F206" s="209" t="inlineStr">
        <is>
          <t>People’s Bank of China; Ministry of Finance; National Development and Reform Commission; Ministry of Environmental Protection; China Banking Regulatory Commission; China Securities Regulatory Commission; China Insurance Regulatory Commission</t>
        </is>
      </c>
      <c r="G206" s="209" t="inlineStr">
        <is>
          <t>指导意见</t>
        </is>
      </c>
      <c r="H206" s="210" t="inlineStr">
        <is>
          <t>Mitigation-enabling</t>
        </is>
      </c>
      <c r="I206" s="211" t="inlineStr">
        <is>
          <t>C.2</t>
        </is>
      </c>
      <c r="J206" s="208" t="inlineStr">
        <is>
          <t>-</t>
        </is>
      </c>
      <c r="K206" s="211" t="inlineStr">
        <is>
          <t>NO-TAR</t>
        </is>
      </c>
      <c r="L206" s="209" t="inlineStr">
        <is>
          <t>HTM</t>
        </is>
      </c>
      <c r="M206" s="209" t="inlineStr">
        <is>
          <t>CN</t>
        </is>
      </c>
      <c r="N206" s="203" t="inlineStr">
        <is>
          <t>https://www.mee.gov.cn/gkml/hbb/gwy/201611/t20161124_368163.htm</t>
        </is>
      </c>
    </row>
    <row r="207">
      <c r="B207" s="198" t="inlineStr">
        <is>
          <t>GO1603</t>
        </is>
      </c>
      <c r="C207" s="208" t="n">
        <v>2016</v>
      </c>
      <c r="D207" s="210" t="inlineStr">
        <is>
          <t>关于推进电能替代的指导意见</t>
        </is>
      </c>
      <c r="E207" s="210" t="inlineStr">
        <is>
          <t>Guiding Opinions on Promoting Electric Energy Substitution</t>
        </is>
      </c>
      <c r="F207" s="209" t="inlineStr">
        <is>
          <t>National Development and Reform Commission</t>
        </is>
      </c>
      <c r="G207" s="209" t="inlineStr">
        <is>
          <t>指导意见</t>
        </is>
      </c>
      <c r="H207" s="210" t="inlineStr">
        <is>
          <t>Mitigation-enabling</t>
        </is>
      </c>
      <c r="I207" s="211" t="inlineStr">
        <is>
          <t>B.1</t>
        </is>
      </c>
      <c r="J207" s="208" t="inlineStr">
        <is>
          <t>-</t>
        </is>
      </c>
      <c r="K207" s="211" t="inlineStr">
        <is>
          <t>TAR</t>
        </is>
      </c>
      <c r="L207" s="209" t="inlineStr">
        <is>
          <t>HTM</t>
        </is>
      </c>
      <c r="M207" s="209" t="inlineStr">
        <is>
          <t>CN</t>
        </is>
      </c>
      <c r="N207" s="203" t="inlineStr">
        <is>
          <t>https://www.ndrc.gov.cn/xxgk/zcfb/tz/201605/t20160524_963071.html?code=&amp;state=123</t>
        </is>
      </c>
    </row>
    <row r="208">
      <c r="B208" s="198" t="inlineStr">
        <is>
          <t>GO1604</t>
        </is>
      </c>
      <c r="C208" s="208" t="n">
        <v>2016</v>
      </c>
      <c r="D208" s="210" t="inlineStr">
        <is>
          <t>关于建立可再生能源开发利用目标引导制度的指导意见</t>
        </is>
      </c>
      <c r="E208" s="210" t="inlineStr">
        <is>
          <t>Guiding Opinions on Establishing a Target Guidance System for the Development and Utilization of Renewable Energy</t>
        </is>
      </c>
      <c r="F208" s="209" t="inlineStr">
        <is>
          <t>National Energy Administration</t>
        </is>
      </c>
      <c r="G208" s="209" t="inlineStr">
        <is>
          <t>指导意见</t>
        </is>
      </c>
      <c r="H208" s="210" t="inlineStr">
        <is>
          <t>Mitigation-enabling</t>
        </is>
      </c>
      <c r="I208" s="211" t="inlineStr">
        <is>
          <t>B.1</t>
        </is>
      </c>
      <c r="J208" s="208" t="inlineStr">
        <is>
          <t>-</t>
        </is>
      </c>
      <c r="K208" s="211" t="inlineStr">
        <is>
          <t>NO-TAR</t>
        </is>
      </c>
      <c r="L208" s="209" t="inlineStr">
        <is>
          <t>HTM</t>
        </is>
      </c>
      <c r="M208" s="209" t="inlineStr">
        <is>
          <t>CN</t>
        </is>
      </c>
      <c r="N208" s="203" t="inlineStr">
        <is>
          <t>http://zfxxgk.nea.gov.cn/auto87/201603/t20160303_2205.htm</t>
        </is>
      </c>
    </row>
    <row r="209">
      <c r="B209" s="198" t="inlineStr">
        <is>
          <t>GO1605</t>
        </is>
      </c>
      <c r="C209" s="208" t="n">
        <v>2016</v>
      </c>
      <c r="D209" s="210" t="inlineStr">
        <is>
          <t>推进绿色小水电发展的指导意见</t>
        </is>
      </c>
      <c r="E209" s="210" t="inlineStr">
        <is>
          <t>Guiding Opinions on Promoting the Development of Green Small Hydropower</t>
        </is>
      </c>
      <c r="F209" s="209" t="inlineStr">
        <is>
          <t>Ministry of Water Resources</t>
        </is>
      </c>
      <c r="G209" s="209" t="inlineStr">
        <is>
          <t>指导意见</t>
        </is>
      </c>
      <c r="H209" s="210" t="inlineStr">
        <is>
          <t>Mitigation-enabling</t>
        </is>
      </c>
      <c r="I209" s="211" t="inlineStr">
        <is>
          <t>B.1</t>
        </is>
      </c>
      <c r="J209" s="208" t="inlineStr">
        <is>
          <t>-</t>
        </is>
      </c>
      <c r="K209" s="211" t="inlineStr">
        <is>
          <t>NO-TAR</t>
        </is>
      </c>
      <c r="L209" s="209" t="inlineStr">
        <is>
          <t>HTM</t>
        </is>
      </c>
      <c r="M209" s="209" t="inlineStr">
        <is>
          <t>CN</t>
        </is>
      </c>
      <c r="N209" s="203" t="inlineStr">
        <is>
          <t>http://www.hrcshp.org/cn/onews.asp?id=1552</t>
        </is>
      </c>
    </row>
    <row r="210">
      <c r="B210" s="198" t="inlineStr">
        <is>
          <t>GO1701</t>
        </is>
      </c>
      <c r="C210" s="208" t="n">
        <v>2017</v>
      </c>
      <c r="D210" s="210" t="inlineStr">
        <is>
          <t>“十三五”规划实施的指导意见</t>
        </is>
      </c>
      <c r="E210" s="210" t="inlineStr">
        <is>
          <t>Guiding Opinions on the Implementation of the 13th Five-Year Plan for Renewable Energy Development</t>
        </is>
      </c>
      <c r="F210" s="209" t="inlineStr">
        <is>
          <t>National Energy Administration</t>
        </is>
      </c>
      <c r="G210" s="209" t="inlineStr">
        <is>
          <t>指导意见</t>
        </is>
      </c>
      <c r="H210" s="210" t="inlineStr">
        <is>
          <t>Mitigation-enabling</t>
        </is>
      </c>
      <c r="I210" s="211" t="inlineStr">
        <is>
          <t>B.1</t>
        </is>
      </c>
      <c r="J210" s="208" t="inlineStr">
        <is>
          <t>13th FYP</t>
        </is>
      </c>
      <c r="K210" s="211" t="inlineStr">
        <is>
          <t>NO-TAR</t>
        </is>
      </c>
      <c r="L210" s="209" t="inlineStr">
        <is>
          <t>HTM</t>
        </is>
      </c>
      <c r="M210" s="209" t="inlineStr">
        <is>
          <t>CN</t>
        </is>
      </c>
      <c r="N210" s="203" t="inlineStr">
        <is>
          <t>http://zfxxgk.nea.gov.cn/auto87/201707/t20170728_2835.htm</t>
        </is>
      </c>
    </row>
    <row r="211">
      <c r="B211" s="198" t="inlineStr">
        <is>
          <t>GO1702</t>
        </is>
      </c>
      <c r="C211" s="208" t="n">
        <v>2017</v>
      </c>
      <c r="D211" s="210" t="inlineStr">
        <is>
          <t>四部门下发指导意见 推进北方采暖地区城镇清洁供暖</t>
        </is>
      </c>
      <c r="E211" s="210" t="inlineStr">
        <is>
          <t>Guiding Opinions on Promoting Clean Heating in Cities and Towns in Northern Heating Areas</t>
        </is>
      </c>
      <c r="F211" s="209" t="inlineStr">
        <is>
          <t>National Development and Reform Commission; National Energy Administration; Ministry of Finance; Ministry of Housing and Urban-Rural Development</t>
        </is>
      </c>
      <c r="G211" s="209" t="inlineStr">
        <is>
          <t>指导意见</t>
        </is>
      </c>
      <c r="H211" s="210" t="inlineStr">
        <is>
          <t>Explicit mitigation</t>
        </is>
      </c>
      <c r="I211" s="211" t="inlineStr">
        <is>
          <t>B.1, B.3</t>
        </is>
      </c>
      <c r="J211" s="208" t="inlineStr">
        <is>
          <t>-</t>
        </is>
      </c>
      <c r="K211" s="211" t="inlineStr">
        <is>
          <t>NO-TAR</t>
        </is>
      </c>
      <c r="L211" s="209" t="inlineStr">
        <is>
          <t>HTM</t>
        </is>
      </c>
      <c r="M211" s="209" t="inlineStr">
        <is>
          <t>CN</t>
        </is>
      </c>
      <c r="N211" s="203" t="inlineStr">
        <is>
          <t>https://www.gov.cn/xinwen/2017-09/20/content_5226347.htm</t>
        </is>
      </c>
    </row>
    <row r="212">
      <c r="B212" s="198" t="inlineStr">
        <is>
          <t>GO1703</t>
        </is>
      </c>
      <c r="C212" s="208" t="n">
        <v>2017</v>
      </c>
      <c r="D212" s="210" t="inlineStr">
        <is>
          <t>2017年能源工作指导意见</t>
        </is>
      </c>
      <c r="E212" s="210" t="inlineStr">
        <is>
          <t>Guiding Opinions on Energy-related Work in 2017</t>
        </is>
      </c>
      <c r="F212" s="209" t="inlineStr">
        <is>
          <t>National Energy Administration</t>
        </is>
      </c>
      <c r="G212" s="209" t="inlineStr">
        <is>
          <t>指导意见</t>
        </is>
      </c>
      <c r="H212" s="210" t="inlineStr">
        <is>
          <t>Economy planning incl. climate</t>
        </is>
      </c>
      <c r="I212" s="211" t="inlineStr">
        <is>
          <t>B.1</t>
        </is>
      </c>
      <c r="J212" s="208" t="inlineStr">
        <is>
          <t>-</t>
        </is>
      </c>
      <c r="K212" s="211" t="inlineStr">
        <is>
          <t>TAR</t>
        </is>
      </c>
      <c r="L212" s="209" t="inlineStr">
        <is>
          <t>PDF</t>
        </is>
      </c>
      <c r="M212" s="209" t="inlineStr">
        <is>
          <t>CN</t>
        </is>
      </c>
      <c r="N212" s="203" t="inlineStr">
        <is>
          <t>https://wenku.baidu.com/view/60ffac31ae02de80d4d8d15abe23482fb5da0247.html?fr=aladdin266&amp;ind=1&amp;aigcsid=0&amp;qtype=0&amp;lcid=1&amp;queryKey=2017年能源工作指导意见&amp;verifyType=undefined&amp;_wkts_=1745938725420&amp;bdQuery=2017年能源工作指导意见</t>
        </is>
      </c>
    </row>
    <row r="213">
      <c r="B213" s="198" t="inlineStr">
        <is>
          <t>GO1704</t>
        </is>
      </c>
      <c r="C213" s="208" t="n">
        <v>2017</v>
      </c>
      <c r="D213" s="210" t="inlineStr">
        <is>
          <t xml:space="preserve">可再生能源发展“十三五”规划实施的指导意见 </t>
        </is>
      </c>
      <c r="E213" s="210" t="inlineStr">
        <is>
          <t>Guiding Opinions on the Implementation of the 13th Five-Year Plan for the Development of Renewable Energy</t>
        </is>
      </c>
      <c r="F213" s="209" t="inlineStr">
        <is>
          <t>National Energy Administration</t>
        </is>
      </c>
      <c r="G213" s="209" t="inlineStr">
        <is>
          <t>指导意见</t>
        </is>
      </c>
      <c r="H213" s="210" t="inlineStr">
        <is>
          <t>Mitigation-enabling</t>
        </is>
      </c>
      <c r="I213" s="211" t="inlineStr">
        <is>
          <t>B.1</t>
        </is>
      </c>
      <c r="J213" s="208" t="inlineStr">
        <is>
          <t>13th FYP</t>
        </is>
      </c>
      <c r="K213" s="211" t="inlineStr">
        <is>
          <t>NO-TAR</t>
        </is>
      </c>
      <c r="L213" s="209" t="inlineStr">
        <is>
          <t>HTM</t>
        </is>
      </c>
      <c r="M213" s="209" t="inlineStr">
        <is>
          <t>CN</t>
        </is>
      </c>
      <c r="N213" s="203" t="inlineStr">
        <is>
          <t>http://zfxxgk.nea.gov.cn/auto87/201707/t20170728_2835.htm</t>
        </is>
      </c>
    </row>
    <row r="214">
      <c r="B214" s="198" t="inlineStr">
        <is>
          <t>GO1705</t>
        </is>
      </c>
      <c r="C214" s="208" t="n">
        <v>2017</v>
      </c>
      <c r="D214" s="210" t="inlineStr">
        <is>
          <t>关于促进储能技术与产业发展的指导意见</t>
        </is>
      </c>
      <c r="E214" s="210" t="inlineStr">
        <is>
          <t>Guiding Opinions on Promoting Energy Storage Technology and Industrial Development</t>
        </is>
      </c>
      <c r="F214" s="209" t="inlineStr">
        <is>
          <t>National Development and Reform Commission; National Energy Administration</t>
        </is>
      </c>
      <c r="G214" s="209" t="inlineStr">
        <is>
          <t>指导意见</t>
        </is>
      </c>
      <c r="H214" s="210" t="inlineStr">
        <is>
          <t>Mitigation-enabling</t>
        </is>
      </c>
      <c r="I214" s="211" t="inlineStr">
        <is>
          <t>B.1</t>
        </is>
      </c>
      <c r="J214" s="208" t="inlineStr">
        <is>
          <t>-</t>
        </is>
      </c>
      <c r="K214" s="211" t="inlineStr">
        <is>
          <t>NO-TAR</t>
        </is>
      </c>
      <c r="L214" s="209" t="inlineStr">
        <is>
          <t>HTM</t>
        </is>
      </c>
      <c r="M214" s="209" t="inlineStr">
        <is>
          <t>CN</t>
        </is>
      </c>
      <c r="N214" s="203" t="inlineStr">
        <is>
          <t>https://www.nea.gov.cn/2017-10/11/c_136672015.htm</t>
        </is>
      </c>
    </row>
    <row r="215">
      <c r="B215" s="198" t="inlineStr">
        <is>
          <t>GO1706</t>
        </is>
      </c>
      <c r="C215" s="208" t="n">
        <v>2017</v>
      </c>
      <c r="D215" s="210" t="inlineStr">
        <is>
          <t>关于印发促进生物质能供热发展指导意见</t>
        </is>
      </c>
      <c r="E215" s="210" t="inlineStr">
        <is>
          <t>Guiding Opinions on Promoting the Development of Biomass Energy Heating</t>
        </is>
      </c>
      <c r="F215" s="209" t="inlineStr">
        <is>
          <t>National Development and Reform Commission; National Energy Administration</t>
        </is>
      </c>
      <c r="G215" s="209" t="inlineStr">
        <is>
          <t>指导意见</t>
        </is>
      </c>
      <c r="H215" s="210" t="inlineStr">
        <is>
          <t>Mitigation-enabling</t>
        </is>
      </c>
      <c r="I215" s="211" t="inlineStr">
        <is>
          <t>B.1</t>
        </is>
      </c>
      <c r="J215" s="208" t="inlineStr">
        <is>
          <t>-</t>
        </is>
      </c>
      <c r="K215" s="211" t="inlineStr">
        <is>
          <t>NO-TAR</t>
        </is>
      </c>
      <c r="L215" s="209" t="inlineStr">
        <is>
          <t>PDF</t>
        </is>
      </c>
      <c r="M215" s="209" t="inlineStr">
        <is>
          <t>CN</t>
        </is>
      </c>
      <c r="N215" s="203" t="inlineStr">
        <is>
          <t>http://zfxxgk.nea.gov.cn/auto87/201712/t20171228_3085.htm</t>
        </is>
      </c>
    </row>
    <row r="216">
      <c r="B216" s="198" t="inlineStr">
        <is>
          <t>GO1801</t>
        </is>
      </c>
      <c r="C216" s="208" t="n">
        <v>2018</v>
      </c>
      <c r="D216" s="210" t="inlineStr">
        <is>
          <t>关于提升电力系统调节能力的指导意见</t>
        </is>
      </c>
      <c r="E216" s="210" t="inlineStr">
        <is>
          <t>Guiding Opinions on Enhancing the Regulation Capacity of Power Systems</t>
        </is>
      </c>
      <c r="F216" s="209" t="inlineStr">
        <is>
          <t>National Development and Reform Commission; National Energy Administration</t>
        </is>
      </c>
      <c r="G216" s="209" t="inlineStr">
        <is>
          <t>指导意见</t>
        </is>
      </c>
      <c r="H216" s="210" t="inlineStr">
        <is>
          <t>Mitigation-enabling</t>
        </is>
      </c>
      <c r="I216" s="211" t="inlineStr">
        <is>
          <t>B.1</t>
        </is>
      </c>
      <c r="J216" s="208" t="inlineStr">
        <is>
          <t>-</t>
        </is>
      </c>
      <c r="K216" s="211" t="inlineStr">
        <is>
          <t>TAR</t>
        </is>
      </c>
      <c r="L216" s="209" t="inlineStr">
        <is>
          <t>HTM</t>
        </is>
      </c>
      <c r="M216" s="209" t="inlineStr">
        <is>
          <t>CN</t>
        </is>
      </c>
      <c r="N216" s="203" t="inlineStr">
        <is>
          <t>https://www.ndrc.gov.cn/xxgk/zcfb/tz/201803/t20180323_962694.html?code=&amp;state=123</t>
        </is>
      </c>
    </row>
    <row r="217">
      <c r="B217" s="198" t="inlineStr">
        <is>
          <t>GO1901</t>
        </is>
      </c>
      <c r="C217" s="208" t="n">
        <v>2019</v>
      </c>
      <c r="D217" s="210" t="inlineStr">
        <is>
          <t>国家发展改革委 科技部关于构建市场导向的绿色技术创新体系的指导意见</t>
        </is>
      </c>
      <c r="E217" s="210" t="inlineStr">
        <is>
          <t>Guiding Opinions on Building a Market-Oriented Green Technology Innovation System</t>
        </is>
      </c>
      <c r="F217" s="209" t="inlineStr">
        <is>
          <t>National Development and Reform Commission; Ministry of Science and Technology</t>
        </is>
      </c>
      <c r="G217" s="209" t="inlineStr">
        <is>
          <t>指导意见</t>
        </is>
      </c>
      <c r="H217" s="210" t="inlineStr">
        <is>
          <t>Explicit mitigation</t>
        </is>
      </c>
      <c r="I217" s="211" t="inlineStr">
        <is>
          <t>C.1</t>
        </is>
      </c>
      <c r="J217" s="208" t="inlineStr">
        <is>
          <t>-</t>
        </is>
      </c>
      <c r="K217" s="211" t="inlineStr">
        <is>
          <t>NO-TAR</t>
        </is>
      </c>
      <c r="L217" s="209" t="inlineStr">
        <is>
          <t>HTM</t>
        </is>
      </c>
      <c r="M217" s="209" t="inlineStr">
        <is>
          <t>CN</t>
        </is>
      </c>
      <c r="N217" s="203" t="inlineStr">
        <is>
          <t>https://www.most.gov.cn/xxgk/xinxifenlei/fdzdgknr/fgzc/gfxwj/gfxwj2019/201905/t20190514_146515.html</t>
        </is>
      </c>
    </row>
    <row r="218">
      <c r="B218" s="198" t="inlineStr">
        <is>
          <t>GO1902</t>
        </is>
      </c>
      <c r="C218" s="208" t="n">
        <v>2019</v>
      </c>
      <c r="D218" s="210" t="inlineStr">
        <is>
          <t>关于建立以国家公园为主体的自然保护地体系的指导意见</t>
        </is>
      </c>
      <c r="E218" s="210" t="inlineStr">
        <is>
          <t>Guiding Opinions on Establishing a System of Nature Reserves With National Parks as the Main Body</t>
        </is>
      </c>
      <c r="F218" s="209" t="inlineStr">
        <is>
          <t>Communist Party of China Central Committee; State Council</t>
        </is>
      </c>
      <c r="G218" s="209" t="inlineStr">
        <is>
          <t>指导意见</t>
        </is>
      </c>
      <c r="H218" s="210" t="inlineStr">
        <is>
          <t>Mitigation-enabling</t>
        </is>
      </c>
      <c r="I218" s="211" t="inlineStr">
        <is>
          <t>B.5</t>
        </is>
      </c>
      <c r="J218" s="208" t="inlineStr">
        <is>
          <t>-</t>
        </is>
      </c>
      <c r="K218" s="211" t="inlineStr">
        <is>
          <t>NO-TAR</t>
        </is>
      </c>
      <c r="L218" s="209" t="inlineStr">
        <is>
          <t>HTM</t>
        </is>
      </c>
      <c r="M218" s="209" t="inlineStr">
        <is>
          <t>CN</t>
        </is>
      </c>
      <c r="N218" s="203" t="inlineStr">
        <is>
          <t>https://www.gov.cn/zhengce/2019-06/26/content_5403497.htm</t>
        </is>
      </c>
    </row>
    <row r="219">
      <c r="B219" s="198" t="inlineStr">
        <is>
          <t>GO1904</t>
        </is>
      </c>
      <c r="C219" s="208" t="n">
        <v>2019</v>
      </c>
      <c r="D219" s="225" t="inlineStr">
        <is>
          <t>关于做好水电开发利益共享工作的指导意见</t>
        </is>
      </c>
      <c r="E219" s="210" t="inlineStr">
        <is>
          <t>Guiding Opinions on Doing a Good Job in Sharing Benefits of Hydropower Development</t>
        </is>
      </c>
      <c r="F219" s="209" t="inlineStr">
        <is>
          <t>National Development and Reform Commission; National Energy Administration; Ministry of Finance; Ministry of Human Resources and Social Security; Ministry of Natural Resources; National Religious Affairs Administration</t>
        </is>
      </c>
      <c r="G219" s="209" t="inlineStr">
        <is>
          <t>指导意见</t>
        </is>
      </c>
      <c r="H219" s="210" t="inlineStr">
        <is>
          <t>Mitigation-enabling</t>
        </is>
      </c>
      <c r="I219" s="211" t="inlineStr">
        <is>
          <t>B.1</t>
        </is>
      </c>
      <c r="J219" s="208" t="inlineStr">
        <is>
          <t>-</t>
        </is>
      </c>
      <c r="K219" s="211" t="inlineStr">
        <is>
          <t>NO-TAR</t>
        </is>
      </c>
      <c r="L219" s="209" t="inlineStr">
        <is>
          <t>HTM</t>
        </is>
      </c>
      <c r="M219" s="209" t="inlineStr">
        <is>
          <t>CN</t>
        </is>
      </c>
      <c r="N219" s="203" t="inlineStr">
        <is>
          <t>https://www.gov.cn/gongbao/content/2019/content_5407670.htm</t>
        </is>
      </c>
    </row>
    <row r="220">
      <c r="B220" s="198" t="inlineStr">
        <is>
          <t>GO1905</t>
        </is>
      </c>
      <c r="C220" s="208" t="n">
        <v>2019</v>
      </c>
      <c r="D220" s="225" t="inlineStr">
        <is>
          <t xml:space="preserve">加强绿色数据中心建设的指导意见 </t>
        </is>
      </c>
      <c r="E220" s="210" t="inlineStr">
        <is>
          <t>Guiding Opinions on Strengthening the Construction of Green Data Centers</t>
        </is>
      </c>
      <c r="F220" s="209" t="inlineStr">
        <is>
          <t>Ministry of Industry and Information Technology; National Government Offices Administration; National Energy Administration</t>
        </is>
      </c>
      <c r="G220" s="209" t="inlineStr">
        <is>
          <t>指导意见</t>
        </is>
      </c>
      <c r="H220" s="210" t="inlineStr">
        <is>
          <t>Explicit mitigation</t>
        </is>
      </c>
      <c r="I220" s="211" t="inlineStr">
        <is>
          <t>B.3</t>
        </is>
      </c>
      <c r="J220" s="208" t="inlineStr">
        <is>
          <t>-</t>
        </is>
      </c>
      <c r="K220" s="211" t="inlineStr">
        <is>
          <t>NO-TAR</t>
        </is>
      </c>
      <c r="L220" s="209" t="inlineStr">
        <is>
          <t>HTM</t>
        </is>
      </c>
      <c r="M220" s="209" t="inlineStr">
        <is>
          <t>CN</t>
        </is>
      </c>
      <c r="N220" s="203" t="inlineStr">
        <is>
          <t>https://www.gov.cn/xinwen/2019-02/14/content_5365516.htm</t>
        </is>
      </c>
    </row>
    <row r="221">
      <c r="B221" s="198" t="inlineStr">
        <is>
          <t>GO2001</t>
        </is>
      </c>
      <c r="C221" s="208" t="n">
        <v>2020</v>
      </c>
      <c r="D221" s="210" t="inlineStr">
        <is>
          <t>关于促进应对气候变化投融资的指导意见</t>
        </is>
      </c>
      <c r="E221" s="210" t="inlineStr">
        <is>
          <t>Guiding Opinions on Promoting Investment and Financing in Response to Climate Change</t>
        </is>
      </c>
      <c r="F221" s="209" t="inlineStr">
        <is>
          <t>Ministry of Ecology and Environment; National Development and Reform Commission; People’s Bank of China; China Banking and Insurance Regulatory Commission; China Securities Regulatory Commission</t>
        </is>
      </c>
      <c r="G221" s="209" t="inlineStr">
        <is>
          <t>指导意见</t>
        </is>
      </c>
      <c r="H221" s="210" t="inlineStr">
        <is>
          <t>Explicit mitigation</t>
        </is>
      </c>
      <c r="I221" s="211" t="inlineStr">
        <is>
          <t>C.2</t>
        </is>
      </c>
      <c r="J221" s="208" t="inlineStr">
        <is>
          <t>-</t>
        </is>
      </c>
      <c r="K221" s="211" t="inlineStr">
        <is>
          <t>NO-TAR</t>
        </is>
      </c>
      <c r="L221" s="209" t="inlineStr">
        <is>
          <t>HTM</t>
        </is>
      </c>
      <c r="M221" s="209" t="inlineStr">
        <is>
          <t>CN</t>
        </is>
      </c>
      <c r="N221" s="203" t="inlineStr">
        <is>
          <t>https://www.mee.gov.cn/xxgk2018/xxgk/xxgk03/202010/t20201026_804792.html</t>
        </is>
      </c>
    </row>
    <row r="222">
      <c r="B222" s="198" t="inlineStr">
        <is>
          <t>GO2002</t>
        </is>
      </c>
      <c r="C222" s="208" t="n">
        <v>2020</v>
      </c>
      <c r="D222" s="210" t="inlineStr">
        <is>
          <t>关于加快能源领域新型标准体系建设的指导意见</t>
        </is>
      </c>
      <c r="E222" s="210" t="inlineStr">
        <is>
          <t>Guiding Opinions on Accelerating the Construction of a New Standard System in the Energy Field</t>
        </is>
      </c>
      <c r="F222" s="209" t="inlineStr">
        <is>
          <t>National Energy Administration</t>
        </is>
      </c>
      <c r="G222" s="209" t="inlineStr">
        <is>
          <t>指导意见</t>
        </is>
      </c>
      <c r="H222" s="210" t="inlineStr">
        <is>
          <t>Mitigation-enabling</t>
        </is>
      </c>
      <c r="I222" s="211" t="inlineStr">
        <is>
          <t>B.1</t>
        </is>
      </c>
      <c r="J222" s="208" t="inlineStr">
        <is>
          <t>-</t>
        </is>
      </c>
      <c r="K222" s="211" t="inlineStr">
        <is>
          <t>NO-TAR</t>
        </is>
      </c>
      <c r="L222" s="209" t="inlineStr">
        <is>
          <t>HTM</t>
        </is>
      </c>
      <c r="M222" s="209" t="inlineStr">
        <is>
          <t>CN</t>
        </is>
      </c>
      <c r="N222" s="203" t="inlineStr">
        <is>
          <t>http://zfxxgk.nea.gov.cn/2020-09/29/c_139629966.htm</t>
        </is>
      </c>
    </row>
    <row r="223">
      <c r="B223" s="198" t="inlineStr">
        <is>
          <t>GO2003</t>
        </is>
      </c>
      <c r="C223" s="208" t="n">
        <v>2020</v>
      </c>
      <c r="D223" s="210" t="inlineStr">
        <is>
          <t>2020年能源工作指导意见</t>
        </is>
      </c>
      <c r="E223" s="210" t="inlineStr">
        <is>
          <t>Guiding Opinions on Energy Work in 2020</t>
        </is>
      </c>
      <c r="F223" s="209" t="inlineStr">
        <is>
          <t>National Energy Administration</t>
        </is>
      </c>
      <c r="G223" s="209" t="inlineStr">
        <is>
          <t>指导意见</t>
        </is>
      </c>
      <c r="H223" s="210" t="inlineStr">
        <is>
          <t>Economy planning incl. climate</t>
        </is>
      </c>
      <c r="I223" s="211" t="inlineStr">
        <is>
          <t>B.1</t>
        </is>
      </c>
      <c r="J223" s="208" t="n">
        <v>2020</v>
      </c>
      <c r="K223" s="211" t="inlineStr">
        <is>
          <t>NO-TAR</t>
        </is>
      </c>
      <c r="L223" s="209" t="inlineStr">
        <is>
          <t>PDF</t>
        </is>
      </c>
      <c r="M223" s="209" t="inlineStr">
        <is>
          <t>CN</t>
        </is>
      </c>
      <c r="N223" s="203" t="inlineStr">
        <is>
          <t>http://www.nea.gov.cn/2020-06/22/c_139158412.htm</t>
        </is>
      </c>
    </row>
    <row r="224">
      <c r="B224" s="198" t="inlineStr">
        <is>
          <t>GO2101</t>
        </is>
      </c>
      <c r="C224" s="208" t="n">
        <v>2021</v>
      </c>
      <c r="D224" s="210" t="inlineStr">
        <is>
          <t>关于加快推动新型储能发展的指导意见</t>
        </is>
      </c>
      <c r="E224" s="210" t="inlineStr">
        <is>
          <t>Guiding Opinions on Accelerating the Development of New Energy Storage</t>
        </is>
      </c>
      <c r="F224" s="209" t="inlineStr">
        <is>
          <t>National Development and Reform Commission; National Energy Administration</t>
        </is>
      </c>
      <c r="G224" s="209" t="inlineStr">
        <is>
          <t>指导意见</t>
        </is>
      </c>
      <c r="H224" s="210" t="inlineStr">
        <is>
          <t>Mitigation-enabling</t>
        </is>
      </c>
      <c r="I224" s="211" t="inlineStr">
        <is>
          <t>B.1</t>
        </is>
      </c>
      <c r="J224" s="208" t="inlineStr">
        <is>
          <t>-</t>
        </is>
      </c>
      <c r="K224" s="211" t="inlineStr">
        <is>
          <t>NO-TAR</t>
        </is>
      </c>
      <c r="L224" s="209" t="inlineStr">
        <is>
          <t>HTM</t>
        </is>
      </c>
      <c r="M224" s="209" t="inlineStr">
        <is>
          <t>CN</t>
        </is>
      </c>
      <c r="N224" s="203" t="inlineStr">
        <is>
          <t>https://www.ndrc.gov.cn/xxgk/zcfb/ghxwj/202107/t20210723_1291321.html?code=&amp;state=123</t>
        </is>
      </c>
    </row>
    <row r="225">
      <c r="B225" s="198" t="inlineStr">
        <is>
          <t>GO2102</t>
        </is>
      </c>
      <c r="C225" s="208" t="n">
        <v>2021</v>
      </c>
      <c r="D225" s="210" t="inlineStr">
        <is>
          <t>关于统筹和加强应对气候变化与生态环境保护相关工作的指导意见</t>
        </is>
      </c>
      <c r="E225" s="210" t="inlineStr">
        <is>
          <t>Guiding Opinions on Coordinating and Strengthening the Work Related to Climate Change and Ecological Environment Protection</t>
        </is>
      </c>
      <c r="F225" s="209" t="inlineStr">
        <is>
          <t>Ministry of Ecology and Environment</t>
        </is>
      </c>
      <c r="G225" s="209" t="inlineStr">
        <is>
          <t>指导意见</t>
        </is>
      </c>
      <c r="H225" s="210" t="inlineStr">
        <is>
          <t>Explicit mitigation</t>
        </is>
      </c>
      <c r="I225" s="211" t="inlineStr">
        <is>
          <t>D.3</t>
        </is>
      </c>
      <c r="J225" s="208" t="inlineStr">
        <is>
          <t>-</t>
        </is>
      </c>
      <c r="K225" s="211" t="inlineStr">
        <is>
          <t>TAR</t>
        </is>
      </c>
      <c r="L225" s="209" t="inlineStr">
        <is>
          <t>HTM</t>
        </is>
      </c>
      <c r="M225" s="209" t="inlineStr">
        <is>
          <t>CN</t>
        </is>
      </c>
      <c r="N225" s="203" t="inlineStr">
        <is>
          <t>https://www.mee.gov.cn/xxgk2018/xxgk/xxgk03/202101/t20210113_817221.html</t>
        </is>
      </c>
    </row>
    <row r="226">
      <c r="B226" s="198" t="inlineStr">
        <is>
          <t>GO2103</t>
        </is>
      </c>
      <c r="C226" s="208" t="n">
        <v>2021</v>
      </c>
      <c r="D226" s="210" t="inlineStr">
        <is>
          <t>国务院关于加快建立健全
绿色低碳循环发展经济体系的指导意见</t>
        </is>
      </c>
      <c r="E226" s="210" t="inlineStr">
        <is>
          <t>Guiding Opinions on Accelerating the Establishment of a Sound Green, Low-Carbon, and Circular Development Economic System</t>
        </is>
      </c>
      <c r="F226" s="209" t="inlineStr">
        <is>
          <t>State Council</t>
        </is>
      </c>
      <c r="G226" s="209" t="inlineStr">
        <is>
          <t>指导意见</t>
        </is>
      </c>
      <c r="H226" s="210" t="inlineStr">
        <is>
          <t>Explicit mitigation</t>
        </is>
      </c>
      <c r="I226" s="211" t="inlineStr">
        <is>
          <t>D.2</t>
        </is>
      </c>
      <c r="J226" s="208" t="inlineStr">
        <is>
          <t>-</t>
        </is>
      </c>
      <c r="K226" s="211" t="inlineStr">
        <is>
          <t>NO-TAR</t>
        </is>
      </c>
      <c r="L226" s="209" t="inlineStr">
        <is>
          <t>HTM</t>
        </is>
      </c>
      <c r="M226" s="209" t="inlineStr">
        <is>
          <t>CN</t>
        </is>
      </c>
      <c r="N226" s="203" t="inlineStr">
        <is>
          <t>https://www.gov.cn/zhengce/content/2021-02/22/content_5588274.htm</t>
        </is>
      </c>
    </row>
    <row r="227">
      <c r="B227" s="198" t="inlineStr">
        <is>
          <t>GO2104</t>
        </is>
      </c>
      <c r="C227" s="208" t="n">
        <v>2021</v>
      </c>
      <c r="D227" s="210" t="inlineStr">
        <is>
          <t>国务院办公厅关于科学绿化的指导意见</t>
        </is>
      </c>
      <c r="E227" s="210" t="inlineStr">
        <is>
          <t>Guiding Opinions on Scientific Greening</t>
        </is>
      </c>
      <c r="F227" s="209" t="inlineStr">
        <is>
          <t>State Council</t>
        </is>
      </c>
      <c r="G227" s="209" t="inlineStr">
        <is>
          <t>指导意见</t>
        </is>
      </c>
      <c r="H227" s="210" t="inlineStr">
        <is>
          <t>Explicit mitigation</t>
        </is>
      </c>
      <c r="I227" s="211" t="inlineStr">
        <is>
          <t>C.1, C.5</t>
        </is>
      </c>
      <c r="J227" s="208" t="inlineStr">
        <is>
          <t>-</t>
        </is>
      </c>
      <c r="K227" s="211" t="inlineStr">
        <is>
          <t>NO-TAR</t>
        </is>
      </c>
      <c r="L227" s="209" t="inlineStr">
        <is>
          <t>HTM</t>
        </is>
      </c>
      <c r="M227" s="209" t="inlineStr">
        <is>
          <t>CN</t>
        </is>
      </c>
      <c r="N227" s="203" t="inlineStr">
        <is>
          <t>http://www.gov.cn/zhengce/content/2021-06/02/content_5614922.htm</t>
        </is>
      </c>
    </row>
    <row r="228">
      <c r="B228" s="198" t="inlineStr">
        <is>
          <t>GO2105</t>
        </is>
      </c>
      <c r="C228" s="208" t="n">
        <v>2021</v>
      </c>
      <c r="D228" s="210" t="inlineStr">
        <is>
          <t>国家发展改革委 国家能源局关于推进电力源网荷储一体化和多能互补发展的指导意见</t>
        </is>
      </c>
      <c r="E228" s="210" t="inlineStr">
        <is>
          <t xml:space="preserve">Guiding Opinions on Promoting the Integration of Load and Storage and Multi-Energy Complementary </t>
        </is>
      </c>
      <c r="F228" s="209" t="inlineStr">
        <is>
          <t>National Development and Reform Commission; National Energy Administration</t>
        </is>
      </c>
      <c r="G228" s="209" t="inlineStr">
        <is>
          <t>指导意见</t>
        </is>
      </c>
      <c r="H228" s="210" t="inlineStr">
        <is>
          <t>Mitigation-enabling</t>
        </is>
      </c>
      <c r="I228" s="211" t="inlineStr">
        <is>
          <t>B.1</t>
        </is>
      </c>
      <c r="J228" s="208" t="inlineStr">
        <is>
          <t>-</t>
        </is>
      </c>
      <c r="K228" s="211" t="inlineStr">
        <is>
          <t>NO-TAR</t>
        </is>
      </c>
      <c r="L228" s="209" t="inlineStr">
        <is>
          <t>HTM</t>
        </is>
      </c>
      <c r="M228" s="209" t="inlineStr">
        <is>
          <t>CN</t>
        </is>
      </c>
      <c r="N228" s="203" t="inlineStr">
        <is>
          <t>https://www.ndrc.gov.cn/xxgk/zcfb/ghxwj/202103/t20210305_1269046.html?code=&amp;state=123</t>
        </is>
      </c>
    </row>
    <row r="229">
      <c r="B229" s="198" t="inlineStr">
        <is>
          <t>GO2107</t>
        </is>
      </c>
      <c r="C229" s="208" t="n">
        <v>2021</v>
      </c>
      <c r="D229" s="210" t="inlineStr">
        <is>
          <t>工业和信息化部 人民银行 银保监会 证监会
关于加强产融合作推动工业绿色发展的指导意见</t>
        </is>
      </c>
      <c r="E229" s="210" t="inlineStr">
        <is>
          <t>Guiding Opinions on Strengthening Industrial Integration to Promote Industrial Green Development</t>
        </is>
      </c>
      <c r="F229" s="209" t="inlineStr">
        <is>
          <t>Ministry of Industry and Information Technology; People’s Bank of China; China Banking and Insurance Regulatory Commission; China Securities Regulatory Commission</t>
        </is>
      </c>
      <c r="G229" s="209" t="inlineStr">
        <is>
          <t>指导意见</t>
        </is>
      </c>
      <c r="H229" s="210" t="inlineStr">
        <is>
          <t>Explicit mitigation</t>
        </is>
      </c>
      <c r="I229" s="211" t="inlineStr">
        <is>
          <t>B.2</t>
        </is>
      </c>
      <c r="J229" s="208" t="inlineStr">
        <is>
          <t>-</t>
        </is>
      </c>
      <c r="K229" s="211" t="inlineStr">
        <is>
          <t>NO-TAR</t>
        </is>
      </c>
      <c r="L229" s="209" t="inlineStr">
        <is>
          <t>HTM</t>
        </is>
      </c>
      <c r="M229" s="209" t="inlineStr">
        <is>
          <t>CN</t>
        </is>
      </c>
      <c r="N229" s="203" t="inlineStr">
        <is>
          <t>https://www.miit.gov.cn/jgsj/cws/wjfb/art/2021/art_cd604c71686e4f18a15c5c966fe32b13.html</t>
        </is>
      </c>
    </row>
    <row r="230">
      <c r="B230" s="198" t="inlineStr">
        <is>
          <t>GO2108</t>
        </is>
      </c>
      <c r="C230" s="208" t="n">
        <v>2021</v>
      </c>
      <c r="D230" s="225" t="inlineStr">
        <is>
          <t>关于加强高耗能、高排放建设项目生态环境源头防控的指导意见</t>
        </is>
      </c>
      <c r="E230" s="210" t="inlineStr">
        <is>
          <t>Guiding Opinions on Strengthening Source Prevention and Control of Ecological Environment in High-Energy-Consumption and High-Emission Construction Projects</t>
        </is>
      </c>
      <c r="F230" s="209" t="inlineStr">
        <is>
          <t>Ministry of Ecology and Environment</t>
        </is>
      </c>
      <c r="G230" s="209" t="inlineStr">
        <is>
          <t>指导意见</t>
        </is>
      </c>
      <c r="H230" s="210" t="inlineStr">
        <is>
          <t>Explicit mitigation</t>
        </is>
      </c>
      <c r="I230" s="211" t="inlineStr">
        <is>
          <t>B.3, D.3</t>
        </is>
      </c>
      <c r="J230" s="208" t="inlineStr">
        <is>
          <t>-</t>
        </is>
      </c>
      <c r="K230" s="211" t="inlineStr">
        <is>
          <t>NO-TAR</t>
        </is>
      </c>
      <c r="L230" s="209" t="inlineStr">
        <is>
          <t>HTM</t>
        </is>
      </c>
      <c r="M230" s="209" t="inlineStr">
        <is>
          <t>CN</t>
        </is>
      </c>
      <c r="N230" s="203" t="inlineStr">
        <is>
          <t>https://www.gov.cn/zhengce/zhengceku/2021-06/01/content_5614531.htm</t>
        </is>
      </c>
    </row>
    <row r="231">
      <c r="B231" s="198" t="inlineStr">
        <is>
          <t>GO2109</t>
        </is>
      </c>
      <c r="C231" s="208" t="n">
        <v>2021</v>
      </c>
      <c r="D231" s="210" t="inlineStr">
        <is>
          <t>关于“十四五”大宗固体废弃物综合利用的指导意见</t>
        </is>
      </c>
      <c r="E231" s="210" t="inlineStr">
        <is>
          <t>Guiding Opinions on Comprehensive Utilization of Bulk Solid Waste during the 14th Five-Year Plan</t>
        </is>
      </c>
      <c r="F231" s="209" t="inlineStr">
        <is>
          <t>National Development and Reform Commission; Ministry of Science and Technology; Ministry of Industry and Information Technology; Ministry of Finance; Ministry of Natural Resources; Ministry of Ecology and Environment; Ministry of Housing and Urban-Rural Development; Ministry of Agriculture and Rural Affairs; State Administration for Market Regulation; National Government Offices Administration</t>
        </is>
      </c>
      <c r="G231" s="209" t="inlineStr">
        <is>
          <t>指导意见</t>
        </is>
      </c>
      <c r="H231" s="210" t="inlineStr">
        <is>
          <t>Mitigation-enabling</t>
        </is>
      </c>
      <c r="I231" s="211" t="inlineStr">
        <is>
          <t>D.2</t>
        </is>
      </c>
      <c r="J231" s="208" t="inlineStr">
        <is>
          <t>14th FYP</t>
        </is>
      </c>
      <c r="K231" s="211" t="inlineStr">
        <is>
          <t>NO-TAR</t>
        </is>
      </c>
      <c r="L231" s="209" t="inlineStr">
        <is>
          <t>HTM</t>
        </is>
      </c>
      <c r="M231" s="209" t="inlineStr">
        <is>
          <t>CN</t>
        </is>
      </c>
      <c r="N231" s="203" t="inlineStr">
        <is>
          <t>https://www.gov.cn/zhengce/zhengceku/2021-03/25/content_5595566.htm</t>
        </is>
      </c>
    </row>
    <row r="232">
      <c r="B232" s="198" t="inlineStr">
        <is>
          <t>GO2110</t>
        </is>
      </c>
      <c r="C232" s="208" t="n">
        <v>2021</v>
      </c>
      <c r="D232" s="210" t="inlineStr">
        <is>
          <t>关于促进制造业有序转移的指导意见</t>
        </is>
      </c>
      <c r="E232" s="210" t="inlineStr">
        <is>
          <t>Guiding Opinions on Promoting the Orderly Transfer of Manufacturing Industry</t>
        </is>
      </c>
      <c r="F232" s="209" t="inlineStr">
        <is>
          <t>Ministry of Industry and Information Technology; National Development and Reform Commission; Ministry of Science and Technology; Ministry of Human Resources and Social Security; Ministry of Ecology and Environment; Ministry of Transport; Ministry of Commerce; People’s Bank of China; General Administration of Customs; State Administration for Market Regulation</t>
        </is>
      </c>
      <c r="G232" s="209" t="inlineStr">
        <is>
          <t>指导意见</t>
        </is>
      </c>
      <c r="H232" s="210" t="inlineStr">
        <is>
          <t>Economy planning incl. climate</t>
        </is>
      </c>
      <c r="I232" s="211" t="inlineStr">
        <is>
          <t>B.2</t>
        </is>
      </c>
      <c r="J232" s="208" t="inlineStr">
        <is>
          <t>-</t>
        </is>
      </c>
      <c r="K232" s="211" t="inlineStr">
        <is>
          <t>NO-TAR</t>
        </is>
      </c>
      <c r="L232" s="209" t="inlineStr">
        <is>
          <t>PDF</t>
        </is>
      </c>
      <c r="M232" s="209" t="inlineStr">
        <is>
          <t>CN</t>
        </is>
      </c>
      <c r="N232" s="203" t="inlineStr">
        <is>
          <t>https://www.gov.cn/zhengce/zhengceku/2022-01/15/content_5668321.htm</t>
        </is>
      </c>
    </row>
    <row r="233">
      <c r="B233" s="198" t="inlineStr">
        <is>
          <t>GO2111</t>
        </is>
      </c>
      <c r="C233" s="208" t="n">
        <v>2021</v>
      </c>
      <c r="D233" s="210" t="inlineStr">
        <is>
          <t>关于推进中央企业高质量发展做好碳达峰碳中和工作的指导意见</t>
        </is>
      </c>
      <c r="E233" s="210" t="inlineStr">
        <is>
          <t>Guiding Opinions on the High-Quality Development of Central Enterprises towards Carbon Peak and Carbon Neutrality</t>
        </is>
      </c>
      <c r="F233" s="209" t="inlineStr">
        <is>
          <t>State-owned Assets Supervision and Administration Commission of the State Council</t>
        </is>
      </c>
      <c r="G233" s="209" t="inlineStr">
        <is>
          <t>指导意见</t>
        </is>
      </c>
      <c r="H233" s="210" t="inlineStr">
        <is>
          <t>Explicit mitigation</t>
        </is>
      </c>
      <c r="I233" s="211" t="inlineStr">
        <is>
          <t>B.2</t>
        </is>
      </c>
      <c r="J233" s="208" t="inlineStr">
        <is>
          <t>-</t>
        </is>
      </c>
      <c r="K233" s="211" t="inlineStr">
        <is>
          <t>NO-TAR</t>
        </is>
      </c>
      <c r="L233" s="209" t="inlineStr">
        <is>
          <t>HTM</t>
        </is>
      </c>
      <c r="M233" s="209" t="inlineStr">
        <is>
          <t>CN</t>
        </is>
      </c>
      <c r="N233" s="203" t="inlineStr">
        <is>
          <t>http://www.sasac.gov.cn/n2588035/c22499825/content.html</t>
        </is>
      </c>
    </row>
    <row r="234">
      <c r="B234" s="198" t="inlineStr">
        <is>
          <t>GO2112</t>
        </is>
      </c>
      <c r="C234" s="208" t="n">
        <v>2021</v>
      </c>
      <c r="D234" s="210" t="inlineStr">
        <is>
          <t>关于加强自由贸易试验区生态环境保护推动高质量发展的指导意见</t>
        </is>
      </c>
      <c r="E234" s="210" t="inlineStr">
        <is>
          <t>Guiding Opinions on Strengthening Ecological Environment Protection and Promoting High-Quality Development in Pilot Free Trade Zones</t>
        </is>
      </c>
      <c r="F234" s="209" t="inlineStr">
        <is>
          <t>Ministry of Ecology and Environment; Ministry of Commerce; National Development and Reform Commission; Ministry of Housing and Urban-Rural Development; People’s Bank of China; General Administration of Customs; National Energy Administration; National Forestry and Grassland Administration</t>
        </is>
      </c>
      <c r="G234" s="209" t="inlineStr">
        <is>
          <t>指导意见</t>
        </is>
      </c>
      <c r="H234" s="210" t="inlineStr">
        <is>
          <t>Mitigation-enabling</t>
        </is>
      </c>
      <c r="I234" s="211" t="inlineStr">
        <is>
          <t>B.3</t>
        </is>
      </c>
      <c r="J234" s="208" t="inlineStr">
        <is>
          <t>-</t>
        </is>
      </c>
      <c r="K234" s="211" t="inlineStr">
        <is>
          <t>NO-TAR</t>
        </is>
      </c>
      <c r="L234" s="209" t="inlineStr">
        <is>
          <t>HTM</t>
        </is>
      </c>
      <c r="M234" s="209" t="inlineStr">
        <is>
          <t>CN</t>
        </is>
      </c>
      <c r="N234" s="203" t="inlineStr">
        <is>
          <t>https://www.mee.gov.cn/xxgk2018/xxgk/xxgk03/202105/t20210531_835481.html</t>
        </is>
      </c>
    </row>
    <row r="235">
      <c r="B235" s="198" t="inlineStr">
        <is>
          <t>GO2113</t>
        </is>
      </c>
      <c r="C235" s="208" t="n">
        <v>2021</v>
      </c>
      <c r="D235" s="225" t="inlineStr">
        <is>
          <t>加强产融合作推动工业绿色发展的指导意见</t>
        </is>
      </c>
      <c r="E235" s="210" t="inlineStr">
        <is>
          <t>Guiding Opinions on Strengthening Industry Finance Cooperation to Promote Green Industrial Development</t>
        </is>
      </c>
      <c r="F235" s="209" t="inlineStr">
        <is>
          <t>Ministry of Industry and Information Technology; People’s Bank of China; China Banking and Insurance Regulatory Commission; China Securities Regulatory Commission</t>
        </is>
      </c>
      <c r="G235" s="209" t="inlineStr">
        <is>
          <t>指导意见</t>
        </is>
      </c>
      <c r="H235" s="210" t="inlineStr">
        <is>
          <t>Explicit mitigation</t>
        </is>
      </c>
      <c r="I235" s="211" t="inlineStr">
        <is>
          <t>B.2, B.5</t>
        </is>
      </c>
      <c r="J235" s="208" t="inlineStr">
        <is>
          <t>-</t>
        </is>
      </c>
      <c r="K235" s="211" t="inlineStr">
        <is>
          <t>NO-TAR</t>
        </is>
      </c>
      <c r="L235" s="209" t="inlineStr">
        <is>
          <t>HTM</t>
        </is>
      </c>
      <c r="M235" s="209" t="inlineStr">
        <is>
          <t>CN</t>
        </is>
      </c>
      <c r="N235" s="203" t="inlineStr">
        <is>
          <t>https://wap.miit.gov.cn/zwgk/zcwj/wjfb/yj/art/2021/art_77c69053e7174d63920c1406fa0567c7.html</t>
        </is>
      </c>
    </row>
    <row r="236">
      <c r="B236" s="198" t="inlineStr">
        <is>
          <t>GO2201</t>
        </is>
      </c>
      <c r="C236" s="208" t="n">
        <v>2022</v>
      </c>
      <c r="D236" s="210" t="inlineStr">
        <is>
          <t>关于加快建设全国统一电力市场体系的指导意见</t>
        </is>
      </c>
      <c r="E236" s="210" t="inlineStr">
        <is>
          <t>Guiding Opinions on Accelerating the Construction of a National Unified Electricity Market System</t>
        </is>
      </c>
      <c r="F236" s="209" t="inlineStr">
        <is>
          <t>National Development and Reform Commission; National Energy Administration</t>
        </is>
      </c>
      <c r="G236" s="209" t="inlineStr">
        <is>
          <t>指导意见</t>
        </is>
      </c>
      <c r="H236" s="210" t="inlineStr">
        <is>
          <t>Economy planning incl. climate</t>
        </is>
      </c>
      <c r="I236" s="211" t="inlineStr">
        <is>
          <t>B.1</t>
        </is>
      </c>
      <c r="J236" s="208" t="inlineStr">
        <is>
          <t>-</t>
        </is>
      </c>
      <c r="K236" s="211" t="inlineStr">
        <is>
          <t>NO-TAR</t>
        </is>
      </c>
      <c r="L236" s="209" t="inlineStr">
        <is>
          <t>HTM</t>
        </is>
      </c>
      <c r="M236" s="209" t="inlineStr">
        <is>
          <t>CN</t>
        </is>
      </c>
      <c r="N236" s="203" t="inlineStr">
        <is>
          <t>https://www.ndrc.gov.cn/xxgk/zcfb/tz/202201/t20220128_1313653.html?code=&amp;state=123</t>
        </is>
      </c>
    </row>
    <row r="237">
      <c r="B237" s="198" t="inlineStr">
        <is>
          <t>GO2202</t>
        </is>
      </c>
      <c r="C237" s="208" t="n">
        <v>2022</v>
      </c>
      <c r="D237" s="210" t="inlineStr">
        <is>
          <t xml:space="preserve">
关于加快废旧物资循环利用体系建设的指导意见</t>
        </is>
      </c>
      <c r="E237" s="210" t="inlineStr">
        <is>
          <t>Guiding Opinions on Accelerating the Construction of the Waste Materials Recycling System</t>
        </is>
      </c>
      <c r="F237" s="209" t="inlineStr">
        <is>
          <t>National Development and Reform Commission; Ministry of Commerce; Ministry of Industry and Information Technology; Ministry of Finance; Ministry of Natural Resources; Ministry of Ecology and Environment; Ministry of Housing and Urban-Rural Development</t>
        </is>
      </c>
      <c r="G237" s="209" t="inlineStr">
        <is>
          <t>指导意见</t>
        </is>
      </c>
      <c r="H237" s="210" t="inlineStr">
        <is>
          <t>Mitigation-enabling</t>
        </is>
      </c>
      <c r="I237" s="211" t="inlineStr">
        <is>
          <t>D.1</t>
        </is>
      </c>
      <c r="J237" s="208" t="inlineStr">
        <is>
          <t>-</t>
        </is>
      </c>
      <c r="K237" s="211" t="inlineStr">
        <is>
          <t>NO-TAR</t>
        </is>
      </c>
      <c r="L237" s="209" t="inlineStr">
        <is>
          <t>HTM</t>
        </is>
      </c>
      <c r="M237" s="209" t="inlineStr">
        <is>
          <t>CN</t>
        </is>
      </c>
      <c r="N237" s="203" t="inlineStr">
        <is>
          <t>https://www.ndrc.gov.cn/xxgk/zcfb/tz/202201/t20220121_1312656.html?code=&amp;state=123</t>
        </is>
      </c>
    </row>
    <row r="238" ht="14.5" customHeight="1" s="235">
      <c r="B238" s="198" t="inlineStr">
        <is>
          <t>GO2203</t>
        </is>
      </c>
      <c r="C238" s="208" t="n">
        <v>2022</v>
      </c>
      <c r="D238" s="210" t="inlineStr">
        <is>
          <t>2022年能源工作指导意见</t>
        </is>
      </c>
      <c r="E238" s="210" t="inlineStr">
        <is>
          <t>Guiding Opinions on Energy-Related Work in 2022</t>
        </is>
      </c>
      <c r="F238" s="209" t="inlineStr">
        <is>
          <t>National Energy Administration</t>
        </is>
      </c>
      <c r="G238" s="209" t="inlineStr">
        <is>
          <t>指导意见</t>
        </is>
      </c>
      <c r="H238" s="210" t="inlineStr">
        <is>
          <t>Economy planning incl. climate</t>
        </is>
      </c>
      <c r="I238" s="211" t="inlineStr">
        <is>
          <t>B.1</t>
        </is>
      </c>
      <c r="J238" s="208" t="n">
        <v>2022</v>
      </c>
      <c r="K238" s="211" t="inlineStr">
        <is>
          <t>NO-TAR</t>
        </is>
      </c>
      <c r="L238" s="209" t="inlineStr">
        <is>
          <t>PDF</t>
        </is>
      </c>
      <c r="M238" s="209" t="inlineStr">
        <is>
          <t>CN</t>
        </is>
      </c>
      <c r="N238" s="203" t="inlineStr">
        <is>
          <t>http://zfxxgk.nea.gov.cn/2022-03/17/c_1310534134.htm</t>
        </is>
      </c>
    </row>
    <row r="239">
      <c r="B239" s="198" t="inlineStr">
        <is>
          <t>GO2204</t>
        </is>
      </c>
      <c r="C239" s="208" t="n">
        <v>2022</v>
      </c>
      <c r="D239" s="210" t="inlineStr">
        <is>
          <t>关于促进钢铁工业高质量发展的指导意见</t>
        </is>
      </c>
      <c r="E239" s="210" t="inlineStr">
        <is>
          <t>Guiding Opinions on the High-Quality Development of Iron and Steel Industry</t>
        </is>
      </c>
      <c r="F239" s="209" t="inlineStr">
        <is>
          <t>Ministry of Industry and Information Technology; National Development and Reform Commission; Ministry of Ecology and Environment</t>
        </is>
      </c>
      <c r="G239" s="209" t="inlineStr">
        <is>
          <t>指导意见</t>
        </is>
      </c>
      <c r="H239" s="210" t="inlineStr">
        <is>
          <t>Economy planning incl. climate</t>
        </is>
      </c>
      <c r="I239" s="211" t="inlineStr">
        <is>
          <t>B.2</t>
        </is>
      </c>
      <c r="J239" s="208" t="inlineStr">
        <is>
          <t>-</t>
        </is>
      </c>
      <c r="K239" s="211" t="inlineStr">
        <is>
          <t>TAR</t>
        </is>
      </c>
      <c r="L239" s="209" t="inlineStr">
        <is>
          <t>HTM</t>
        </is>
      </c>
      <c r="M239" s="209" t="inlineStr">
        <is>
          <t>CN</t>
        </is>
      </c>
      <c r="N239" s="203" t="inlineStr">
        <is>
          <t>https://www.gov.cn/zhengce/zhengceku/2022-02/08/content_5672513.htm</t>
        </is>
      </c>
    </row>
    <row r="240">
      <c r="B240" s="198" t="inlineStr">
        <is>
          <t>GO2205</t>
        </is>
      </c>
      <c r="C240" s="208" t="n">
        <v>2022</v>
      </c>
      <c r="D240" s="210" t="inlineStr">
        <is>
          <t>关于“十四五”推动石化化工行业高质量发展的指导意见</t>
        </is>
      </c>
      <c r="E240" s="210" t="inlineStr">
        <is>
          <t>Guiding Opinions on the High-Quality Development of Petrochemical Industry during the 14th Five-Year Plan</t>
        </is>
      </c>
      <c r="F240" s="209" t="inlineStr">
        <is>
          <t>Ministry of Industry and Information Technology; National Development and Reform Commission; Ministry of Science and Technology; Ministry of Ecology and Environment; Ministry of Emergency Management; National Energy Administration</t>
        </is>
      </c>
      <c r="G240" s="209" t="inlineStr">
        <is>
          <t>指导意见</t>
        </is>
      </c>
      <c r="H240" s="210" t="inlineStr">
        <is>
          <t>Economy planning incl. climate</t>
        </is>
      </c>
      <c r="I240" s="211" t="inlineStr">
        <is>
          <t>B.2</t>
        </is>
      </c>
      <c r="J240" s="208" t="inlineStr">
        <is>
          <t>-</t>
        </is>
      </c>
      <c r="K240" s="211" t="inlineStr">
        <is>
          <t>NO-TAR</t>
        </is>
      </c>
      <c r="L240" s="209" t="inlineStr">
        <is>
          <t>HTM</t>
        </is>
      </c>
      <c r="M240" s="209" t="inlineStr">
        <is>
          <t>CN</t>
        </is>
      </c>
      <c r="N240" s="203" t="inlineStr">
        <is>
          <t>https://www.gov.cn/gongbao/content/2022/content_5696258.htm</t>
        </is>
      </c>
    </row>
    <row r="241">
      <c r="B241" s="198" t="inlineStr">
        <is>
          <t>GO2206</t>
        </is>
      </c>
      <c r="C241" s="208" t="n">
        <v>2022</v>
      </c>
      <c r="D241" s="210" t="inlineStr">
        <is>
          <t>关于产业用纺织品行业高质量发展的指导意见</t>
        </is>
      </c>
      <c r="E241" s="210" t="inlineStr">
        <is>
          <t>Guiding Opinions on the High-Quality Development of Industrial Textiles Industry</t>
        </is>
      </c>
      <c r="F241" s="209" t="inlineStr">
        <is>
          <t>Ministry of Industry and Information Technology; National Development and Reform Commission</t>
        </is>
      </c>
      <c r="G241" s="209" t="inlineStr">
        <is>
          <t>指导意见</t>
        </is>
      </c>
      <c r="H241" s="210" t="inlineStr">
        <is>
          <t>Economy planning incl. climate</t>
        </is>
      </c>
      <c r="I241" s="211" t="inlineStr">
        <is>
          <t>B.2</t>
        </is>
      </c>
      <c r="J241" s="208" t="inlineStr">
        <is>
          <t>-</t>
        </is>
      </c>
      <c r="K241" s="211" t="inlineStr">
        <is>
          <t>NO-TAR</t>
        </is>
      </c>
      <c r="L241" s="209" t="inlineStr">
        <is>
          <t>HTM</t>
        </is>
      </c>
      <c r="M241" s="209" t="inlineStr">
        <is>
          <t>CN</t>
        </is>
      </c>
      <c r="N241" s="203" t="inlineStr">
        <is>
          <t>http://fzzx.shiyan.gov.cn/index.php?a=show&amp;catid=14&amp;id=791</t>
        </is>
      </c>
    </row>
    <row r="242">
      <c r="B242" s="198" t="inlineStr">
        <is>
          <t>GO2207</t>
        </is>
      </c>
      <c r="C242" s="208" t="n">
        <v>2022</v>
      </c>
      <c r="D242" s="210" t="inlineStr">
        <is>
          <t>工业和信息化部 国家发展和改革委员会关于化纤工业高质量发展的指导意见</t>
        </is>
      </c>
      <c r="E242" s="210" t="inlineStr">
        <is>
          <t>Guiding Opinions on the High-Quality Development of Chemical Fiber Industry</t>
        </is>
      </c>
      <c r="F242" s="209" t="inlineStr">
        <is>
          <t>Ministry of Industry and Information Technology; National Development and Reform Commission</t>
        </is>
      </c>
      <c r="G242" s="209" t="inlineStr">
        <is>
          <t>指导意见</t>
        </is>
      </c>
      <c r="H242" s="210" t="inlineStr">
        <is>
          <t>Economy planning incl. climate</t>
        </is>
      </c>
      <c r="I242" s="211" t="inlineStr">
        <is>
          <t>B.2</t>
        </is>
      </c>
      <c r="J242" s="208" t="inlineStr">
        <is>
          <t>-</t>
        </is>
      </c>
      <c r="K242" s="211" t="inlineStr">
        <is>
          <t>NO-TAR</t>
        </is>
      </c>
      <c r="L242" s="209" t="inlineStr">
        <is>
          <t>HTM</t>
        </is>
      </c>
      <c r="M242" s="209" t="inlineStr">
        <is>
          <t>CN</t>
        </is>
      </c>
      <c r="N242" s="203" t="inlineStr">
        <is>
          <t>https://www.miit.gov.cn/jgsj/xfpgys/wjfb/art/2022/art_e35a9d4e01434af6b10ef17c5e177d37.html</t>
        </is>
      </c>
    </row>
    <row r="243">
      <c r="B243" s="198" t="inlineStr">
        <is>
          <t>GO2208</t>
        </is>
      </c>
      <c r="C243" s="208" t="n">
        <v>2022</v>
      </c>
      <c r="D243" s="226" t="inlineStr">
        <is>
          <t>五部门关于推动轻工业高质量发展的指导意见</t>
        </is>
      </c>
      <c r="E243" s="210" t="inlineStr">
        <is>
          <t>Guiding Opinions on the High-Quality Development of Light Industry</t>
        </is>
      </c>
      <c r="F243" s="209" t="inlineStr">
        <is>
          <t>Ministry of Industry and Information Technology; Ministry of Human Resources and Social Security; Ministry of Ecology and Environment; Ministry of Commerce; State Administration for Market Regulation</t>
        </is>
      </c>
      <c r="G243" s="209" t="inlineStr">
        <is>
          <t>指导意见</t>
        </is>
      </c>
      <c r="H243" s="210" t="inlineStr">
        <is>
          <t>Economy planning incl. climate</t>
        </is>
      </c>
      <c r="I243" s="211" t="inlineStr">
        <is>
          <t>B.2</t>
        </is>
      </c>
      <c r="J243" s="208" t="inlineStr">
        <is>
          <t>-</t>
        </is>
      </c>
      <c r="K243" s="211" t="inlineStr">
        <is>
          <t>NO-TAR</t>
        </is>
      </c>
      <c r="L243" s="209" t="inlineStr">
        <is>
          <t>HTM</t>
        </is>
      </c>
      <c r="M243" s="209" t="inlineStr">
        <is>
          <t>CN</t>
        </is>
      </c>
      <c r="N243" s="203" t="inlineStr">
        <is>
          <t>https://www.gov.cn/zhengce/zhengceku/2022-06/19/content_5696665.htm</t>
        </is>
      </c>
    </row>
    <row r="244">
      <c r="B244" s="198" t="inlineStr">
        <is>
          <t>GO2301</t>
        </is>
      </c>
      <c r="C244" s="208" t="n">
        <v>2023</v>
      </c>
      <c r="D244" s="226" t="inlineStr">
        <is>
          <t>进一步构建高质量充电基础设施体系的指导意见</t>
        </is>
      </c>
      <c r="E244" s="210" t="inlineStr">
        <is>
          <t>Guiding Opinions on Coordinating Energy Conservation, Carbon Reduction, and Recycling to Accelerate the Upgrading and Transformation of Key Area Products and Equipment</t>
        </is>
      </c>
      <c r="F244" s="209" t="inlineStr">
        <is>
          <t>National Development and Reform Commission; Ministry of Industry and Information Technology; Ministry of Finance; Ministry of Housing and Urban-Rural Development; Ministry of Commerce; State-owned Assets Supervision and Administration Commission of the State Council; State Administration for Market Regulation; People’s Bank of China; National Energy Administration</t>
        </is>
      </c>
      <c r="G244" s="209" t="inlineStr">
        <is>
          <t>指导意见</t>
        </is>
      </c>
      <c r="H244" s="210" t="inlineStr">
        <is>
          <t>Explicit mitigation</t>
        </is>
      </c>
      <c r="I244" s="211" t="inlineStr">
        <is>
          <t>B.2</t>
        </is>
      </c>
      <c r="J244" s="208" t="inlineStr">
        <is>
          <t>-</t>
        </is>
      </c>
      <c r="K244" s="211" t="inlineStr">
        <is>
          <t>NO-TAR</t>
        </is>
      </c>
      <c r="L244" s="209" t="inlineStr">
        <is>
          <t>HTM</t>
        </is>
      </c>
      <c r="M244" s="209" t="inlineStr">
        <is>
          <t>CN</t>
        </is>
      </c>
      <c r="N244" s="203" t="inlineStr">
        <is>
          <t>https://www.ndrc.gov.cn/xxgk/zcfb/tz/202302/t20230224_1349405.html</t>
        </is>
      </c>
    </row>
    <row r="245">
      <c r="B245" s="198" t="inlineStr">
        <is>
          <t>GO2302</t>
        </is>
      </c>
      <c r="C245" s="208" t="n">
        <v>2023</v>
      </c>
      <c r="D245" s="210" t="inlineStr">
        <is>
          <t>关于促进退役风电、光伏设备循环利用的指导意见</t>
        </is>
      </c>
      <c r="E245" s="210" t="inlineStr">
        <is>
          <t>Guiding Opinions on Promoting the Recycling of Decommissioned Wind Power and Photovoltaic Equipment</t>
        </is>
      </c>
      <c r="F245" s="209" t="inlineStr">
        <is>
          <t xml:space="preserve">National Development and Reform Commission; National Energy Administration; Ministry of Industry and Information Technology; Ministry of Ecology and Environment; Ministry of Commerce; State-owned Assets Supervision and Administration Commission of the State Council </t>
        </is>
      </c>
      <c r="G245" s="209" t="inlineStr">
        <is>
          <t>指导意见</t>
        </is>
      </c>
      <c r="H245" s="210" t="inlineStr">
        <is>
          <t>Mitigation-enabling</t>
        </is>
      </c>
      <c r="I245" s="211" t="inlineStr">
        <is>
          <t>D.2</t>
        </is>
      </c>
      <c r="J245" s="208" t="inlineStr">
        <is>
          <t>-</t>
        </is>
      </c>
      <c r="K245" s="211" t="inlineStr">
        <is>
          <t>NO-TAR</t>
        </is>
      </c>
      <c r="L245" s="209" t="inlineStr">
        <is>
          <t>HTM</t>
        </is>
      </c>
      <c r="M245" s="209" t="inlineStr">
        <is>
          <t>CN</t>
        </is>
      </c>
      <c r="N245" s="203" t="inlineStr">
        <is>
          <t>https://www.ndrc.gov.cn/xxgk/zcfb/tz/202308/t20230817_1359879.html</t>
        </is>
      </c>
    </row>
    <row r="246">
      <c r="B246" s="198" t="inlineStr">
        <is>
          <t>GO2303</t>
        </is>
      </c>
      <c r="C246" s="208" t="n">
        <v>2023</v>
      </c>
      <c r="D246" s="210" t="inlineStr">
        <is>
          <t>关于推动能源电子产业发展的指导意见</t>
        </is>
      </c>
      <c r="E246" s="210" t="inlineStr">
        <is>
          <t>Guiding Opinions on Promoting the Development of Energy Electronics Industry</t>
        </is>
      </c>
      <c r="F246" s="209" t="inlineStr">
        <is>
          <t>Ministry of Industry and Information Technology; Ministry of Education; Ministry of Science and Technology; People’s Bank of China; China Banking and Insurance Regulatory Commission; National Energy Administration</t>
        </is>
      </c>
      <c r="G246" s="209" t="inlineStr">
        <is>
          <t>指导意见</t>
        </is>
      </c>
      <c r="H246" s="210" t="inlineStr">
        <is>
          <t>Economy planning incl. climate</t>
        </is>
      </c>
      <c r="I246" s="211" t="inlineStr">
        <is>
          <t>B.2</t>
        </is>
      </c>
      <c r="J246" s="208" t="inlineStr">
        <is>
          <t>-</t>
        </is>
      </c>
      <c r="K246" s="211" t="inlineStr">
        <is>
          <t>NO-TAR</t>
        </is>
      </c>
      <c r="L246" s="209" t="inlineStr">
        <is>
          <t>HTM</t>
        </is>
      </c>
      <c r="M246" s="209" t="inlineStr">
        <is>
          <t>CN</t>
        </is>
      </c>
      <c r="N246" s="203" t="inlineStr">
        <is>
          <t>https://www.miit.gov.cn/zwgk/zcwj/wjfb/yj/art/2023/art_5fe76c58f263450ebc92c903427a6d12.html</t>
        </is>
      </c>
    </row>
    <row r="247">
      <c r="B247" s="198" t="inlineStr">
        <is>
          <t>GO2304</t>
        </is>
      </c>
      <c r="C247" s="208" t="n">
        <v>2023</v>
      </c>
      <c r="D247" s="210" t="inlineStr">
        <is>
          <t>关于促进炼油行业绿色创新高质量发展的指导意见</t>
        </is>
      </c>
      <c r="E247" s="210" t="inlineStr">
        <is>
          <t>Guiding Opinions on Promoting Green, Innovative and High-quality Development of the Oil Refining Industry</t>
        </is>
      </c>
      <c r="F247" s="209" t="inlineStr">
        <is>
          <t>National Development and Reform Commission; National Energy Administration; Ministry of Industry and Information Technology; Ministry of Ecology and Environment</t>
        </is>
      </c>
      <c r="G247" s="209" t="inlineStr">
        <is>
          <t>指导意见</t>
        </is>
      </c>
      <c r="H247" s="210" t="inlineStr">
        <is>
          <t>Fossil-fuel</t>
        </is>
      </c>
      <c r="I247" s="211" t="inlineStr">
        <is>
          <t>B.2</t>
        </is>
      </c>
      <c r="J247" s="208" t="inlineStr">
        <is>
          <t>-</t>
        </is>
      </c>
      <c r="K247" s="211" t="inlineStr">
        <is>
          <t>TAR</t>
        </is>
      </c>
      <c r="L247" s="209" t="inlineStr">
        <is>
          <t>HTM</t>
        </is>
      </c>
      <c r="M247" s="209" t="inlineStr">
        <is>
          <t>CN</t>
        </is>
      </c>
      <c r="N247" s="203" t="inlineStr">
        <is>
          <t>https://www.ndrc.gov.cn/xxgk/zcfb/tz/202310/t20231025_1361500_ext.html</t>
        </is>
      </c>
    </row>
    <row r="248">
      <c r="B248" s="198" t="inlineStr">
        <is>
          <t>GO2305</t>
        </is>
      </c>
      <c r="C248" s="208" t="n">
        <v>2023</v>
      </c>
      <c r="D248" s="210" t="inlineStr">
        <is>
          <t>关于加强新形势下电力系统稳定工作的指导意见</t>
        </is>
      </c>
      <c r="E248" s="210" t="inlineStr">
        <is>
          <t>Guiding Opinions on Strengthening the Stabilization of the Electric Power System under the New Circumstances</t>
        </is>
      </c>
      <c r="F248" s="209" t="inlineStr">
        <is>
          <t>National Development and Reform Commission; National Energy Administration</t>
        </is>
      </c>
      <c r="G248" s="209" t="inlineStr">
        <is>
          <t>指导意见</t>
        </is>
      </c>
      <c r="H248" s="210" t="inlineStr">
        <is>
          <t>Mitigation-enabling</t>
        </is>
      </c>
      <c r="I248" s="211" t="inlineStr">
        <is>
          <t>B.1</t>
        </is>
      </c>
      <c r="J248" s="208" t="inlineStr">
        <is>
          <t>-</t>
        </is>
      </c>
      <c r="K248" s="211" t="inlineStr">
        <is>
          <t>NO-TAR</t>
        </is>
      </c>
      <c r="L248" s="209" t="inlineStr">
        <is>
          <t>HTM</t>
        </is>
      </c>
      <c r="M248" s="209" t="inlineStr">
        <is>
          <t>CN</t>
        </is>
      </c>
      <c r="N248" s="203" t="inlineStr">
        <is>
          <t>https://www.ndrc.gov.cn/xxgk/zcfb/tz/202310/t20231025_1361514_ext.html</t>
        </is>
      </c>
    </row>
    <row r="249">
      <c r="B249" s="198" t="inlineStr">
        <is>
          <t>GO2306</t>
        </is>
      </c>
      <c r="C249" s="208" t="n">
        <v>2023</v>
      </c>
      <c r="D249" s="210" t="inlineStr">
        <is>
          <t>关于进一步构建高质量充电基础设施体系的指导意见</t>
        </is>
      </c>
      <c r="E249" s="210" t="inlineStr">
        <is>
          <t>Guiding Opinions on Building a High-quality Charging Infrastructure System</t>
        </is>
      </c>
      <c r="F249" s="209" t="inlineStr">
        <is>
          <t>State Council</t>
        </is>
      </c>
      <c r="G249" s="209" t="inlineStr">
        <is>
          <t>指导意见</t>
        </is>
      </c>
      <c r="H249" s="210" t="inlineStr">
        <is>
          <t>Mitigation-enabling</t>
        </is>
      </c>
      <c r="I249" s="211" t="inlineStr">
        <is>
          <t>B.4, B.3</t>
        </is>
      </c>
      <c r="J249" s="208" t="inlineStr">
        <is>
          <t>-</t>
        </is>
      </c>
      <c r="K249" s="211" t="inlineStr">
        <is>
          <t>NO-TAR</t>
        </is>
      </c>
      <c r="L249" s="209" t="inlineStr">
        <is>
          <t>HTM</t>
        </is>
      </c>
      <c r="M249" s="209" t="inlineStr">
        <is>
          <t>CN</t>
        </is>
      </c>
      <c r="N249" s="203" t="inlineStr">
        <is>
          <t>https://www.gov.cn/zhengce/content/202306/content_6887167.htm</t>
        </is>
      </c>
    </row>
    <row r="250">
      <c r="B250" s="198" t="inlineStr">
        <is>
          <t>GO2307</t>
        </is>
      </c>
      <c r="C250" s="208" t="n">
        <v>2023</v>
      </c>
      <c r="D250" s="210" t="inlineStr">
        <is>
          <t>工业和信息化部等八部门关于加快传统制造业转型升级的指导意见</t>
        </is>
      </c>
      <c r="E250" s="210" t="inlineStr">
        <is>
          <t>Guiding Opinions on Accelerating the Transformation and Upgrading of Traditional Manufacturing Industries</t>
        </is>
      </c>
      <c r="F250" s="209" t="inlineStr">
        <is>
          <t>Ministry of Industry and Information Technology; National Development and Reform Commission; Ministry of Education; Ministry of Finance; People’s Bank of China; State Taxation Administration; National Financial Regulatory Administration; China Securities Regulatory Commission</t>
        </is>
      </c>
      <c r="G250" s="209" t="inlineStr">
        <is>
          <t>指导意见</t>
        </is>
      </c>
      <c r="H250" s="210" t="inlineStr">
        <is>
          <t>Economy planning incl. climate</t>
        </is>
      </c>
      <c r="I250" s="211" t="inlineStr">
        <is>
          <t>B.2</t>
        </is>
      </c>
      <c r="J250" s="208" t="inlineStr">
        <is>
          <t>-</t>
        </is>
      </c>
      <c r="K250" s="211" t="inlineStr">
        <is>
          <t>NO-TAR</t>
        </is>
      </c>
      <c r="L250" s="209" t="inlineStr">
        <is>
          <t>HTM</t>
        </is>
      </c>
      <c r="M250" s="209" t="inlineStr">
        <is>
          <t>CN</t>
        </is>
      </c>
      <c r="N250" s="203" t="inlineStr">
        <is>
          <t>https://www.gov.cn/zhengce/zhengceku/202312/content_6923270.htm</t>
        </is>
      </c>
    </row>
    <row r="251">
      <c r="B251" s="198" t="inlineStr">
        <is>
          <t>GO2308</t>
        </is>
      </c>
      <c r="C251" s="208" t="n">
        <v>2023</v>
      </c>
      <c r="D251" s="210" t="inlineStr">
        <is>
          <t>2023年能源工作指导意见</t>
        </is>
      </c>
      <c r="E251" s="210" t="inlineStr">
        <is>
          <t>Guiding Opinions on Energy-Related Work in 2023</t>
        </is>
      </c>
      <c r="F251" s="209" t="inlineStr">
        <is>
          <t>National Energy Administration</t>
        </is>
      </c>
      <c r="G251" s="209" t="inlineStr">
        <is>
          <t>指导意见</t>
        </is>
      </c>
      <c r="H251" s="210" t="inlineStr">
        <is>
          <t>Economy planning incl. climate</t>
        </is>
      </c>
      <c r="I251" s="211" t="inlineStr">
        <is>
          <t>B.1</t>
        </is>
      </c>
      <c r="J251" s="208" t="inlineStr">
        <is>
          <t>-</t>
        </is>
      </c>
      <c r="K251" s="211" t="inlineStr">
        <is>
          <t>TAR</t>
        </is>
      </c>
      <c r="L251" s="209" t="inlineStr">
        <is>
          <t>HTM</t>
        </is>
      </c>
      <c r="M251" s="209" t="inlineStr">
        <is>
          <t>CN</t>
        </is>
      </c>
      <c r="N251" s="214" t="inlineStr">
        <is>
          <t>https://baike.baidu.com/item/2023%E5%B9%B4%E8%83%BD%E6%BA%90%E5%B7%A5%E4%BD%9C%E6%8C%87%E5%AF%BC%E6%84%8F%E8%A7%81/62882234</t>
        </is>
      </c>
    </row>
    <row r="252">
      <c r="B252" s="198" t="inlineStr">
        <is>
          <t>GO2401</t>
        </is>
      </c>
      <c r="C252" s="208" t="n">
        <v>2024</v>
      </c>
      <c r="D252" s="210" t="inlineStr">
        <is>
          <t>关于加快推动制造业绿色化发展的指导意见</t>
        </is>
      </c>
      <c r="E252" s="210" t="inlineStr">
        <is>
          <t>Guiding Opinions on Accelerating the Green Development of Manufacturing Industry</t>
        </is>
      </c>
      <c r="F252" s="209" t="inlineStr">
        <is>
          <t>Ministry of Industry and Information Technology; National Development and Reform Commission; Ministry of Finance; Ministry of Ecology and Environment; People’s Bank of China; State-owned Assets Supervision and Administration Commission of the State Council; State Administration for Market Regulation</t>
        </is>
      </c>
      <c r="G252" s="209" t="inlineStr">
        <is>
          <t>指导意见</t>
        </is>
      </c>
      <c r="H252" s="210" t="inlineStr">
        <is>
          <t>Explicit mitigation</t>
        </is>
      </c>
      <c r="I252" s="211" t="inlineStr">
        <is>
          <t>B.2</t>
        </is>
      </c>
      <c r="J252" s="208" t="inlineStr">
        <is>
          <t>-</t>
        </is>
      </c>
      <c r="K252" s="211" t="inlineStr">
        <is>
          <t>TAR</t>
        </is>
      </c>
      <c r="L252" s="209" t="inlineStr">
        <is>
          <t>HTM</t>
        </is>
      </c>
      <c r="M252" s="209" t="inlineStr">
        <is>
          <t>CN</t>
        </is>
      </c>
      <c r="N252" s="203" t="inlineStr">
        <is>
          <t>https://www.miit.gov.cn/jgsj/jns/gzdt/art/2024/art_9fe98a60fb3546a8b3d11f0d70e00401.html</t>
        </is>
      </c>
    </row>
    <row r="253">
      <c r="B253" s="198" t="inlineStr">
        <is>
          <t>GO2402</t>
        </is>
      </c>
      <c r="C253" s="208" t="n">
        <v>2024</v>
      </c>
      <c r="D253" s="210" t="inlineStr">
        <is>
          <t>关于新形势下配电网高质量发展的指导意见</t>
        </is>
      </c>
      <c r="E253" s="210" t="inlineStr">
        <is>
          <t>Guiding Opinions on the High-quality Development of Distribution Networks under the New Circumstances</t>
        </is>
      </c>
      <c r="F253" s="209" t="inlineStr">
        <is>
          <t>National Development and Reform Commission; National Energy Administration</t>
        </is>
      </c>
      <c r="G253" s="209" t="inlineStr">
        <is>
          <t>指导意见</t>
        </is>
      </c>
      <c r="H253" s="210" t="inlineStr">
        <is>
          <t>Mitigation-enabling</t>
        </is>
      </c>
      <c r="I253" s="211" t="inlineStr">
        <is>
          <t>B.1</t>
        </is>
      </c>
      <c r="J253" s="208" t="inlineStr">
        <is>
          <t>-</t>
        </is>
      </c>
      <c r="K253" s="211" t="inlineStr">
        <is>
          <t>TAR</t>
        </is>
      </c>
      <c r="L253" s="209" t="inlineStr">
        <is>
          <t>HTM</t>
        </is>
      </c>
      <c r="M253" s="209" t="inlineStr">
        <is>
          <t>CN</t>
        </is>
      </c>
      <c r="N253" s="203" t="inlineStr">
        <is>
          <t>https://www.ndrc.gov.cn/xxgk/zcfb/tz/202403/t20240301_1364313.html</t>
        </is>
      </c>
    </row>
    <row r="254">
      <c r="B254" s="198" t="inlineStr">
        <is>
          <t>GO2403</t>
        </is>
      </c>
      <c r="C254" s="208" t="n">
        <v>2024</v>
      </c>
      <c r="D254" s="210" t="inlineStr">
        <is>
          <t>关于大力实施可再生能源替代行动的指导意见</t>
        </is>
      </c>
      <c r="E254" s="210" t="inlineStr">
        <is>
          <t>Guiding Opinions on Vigorously Promoting the Renewable Energy Substitution Initiative</t>
        </is>
      </c>
      <c r="F254" s="209" t="inlineStr">
        <is>
          <t>National Development and Reform Commission; Ministry of Industry and Information Technology; Ministry of Housing and Urban-Rural Development; Ministry of Transport; National Energy Administration</t>
        </is>
      </c>
      <c r="G254" s="209" t="inlineStr">
        <is>
          <t>指导意见</t>
        </is>
      </c>
      <c r="H254" s="210" t="inlineStr">
        <is>
          <t>Mitigation-enabling</t>
        </is>
      </c>
      <c r="I254" s="211" t="inlineStr">
        <is>
          <t>B.1</t>
        </is>
      </c>
      <c r="J254" s="208" t="inlineStr">
        <is>
          <t>-</t>
        </is>
      </c>
      <c r="K254" s="211" t="inlineStr">
        <is>
          <t>NO-TAR</t>
        </is>
      </c>
      <c r="L254" s="209" t="inlineStr">
        <is>
          <t>HTM</t>
        </is>
      </c>
      <c r="M254" s="209" t="inlineStr">
        <is>
          <t>CN</t>
        </is>
      </c>
      <c r="N254" s="203" t="inlineStr">
        <is>
          <t>https://www.ndrc.gov.cn/xxgk/zcfb/tz/202410/t20241030_1394119.html</t>
        </is>
      </c>
    </row>
    <row r="255">
      <c r="B255" s="198" t="inlineStr">
        <is>
          <t>GO2404</t>
        </is>
      </c>
      <c r="C255" s="208" t="n">
        <v>2024</v>
      </c>
      <c r="D255" s="210" t="inlineStr">
        <is>
          <t>农业农村部关于加快农业发展全面绿色转型促进乡村生态振兴的指导意见</t>
        </is>
      </c>
      <c r="E255" s="210" t="inlineStr">
        <is>
          <t>Guiding Opinions on Promoting Comprehensive Green Transition in Agricultural Development and Promoting Rural Ecological Revitalization</t>
        </is>
      </c>
      <c r="F255" s="209" t="inlineStr">
        <is>
          <t>Ministry of Agriculture and Rural Affairs</t>
        </is>
      </c>
      <c r="G255" s="209" t="inlineStr">
        <is>
          <t>指导意见</t>
        </is>
      </c>
      <c r="H255" s="210" t="inlineStr">
        <is>
          <t>Explicit mitigation</t>
        </is>
      </c>
      <c r="I255" s="211" t="inlineStr">
        <is>
          <t>B.5, C.6</t>
        </is>
      </c>
      <c r="J255" s="208" t="inlineStr">
        <is>
          <t>-</t>
        </is>
      </c>
      <c r="K255" s="211" t="inlineStr">
        <is>
          <t>TAR</t>
        </is>
      </c>
      <c r="L255" s="209" t="inlineStr">
        <is>
          <t>HTM</t>
        </is>
      </c>
      <c r="M255" s="209" t="inlineStr">
        <is>
          <t>CN</t>
        </is>
      </c>
      <c r="N255" s="203" t="inlineStr">
        <is>
          <t>http://www.moa.gov.cn/govpublic/FZJHS/202412/t20241230_6468640.htm</t>
        </is>
      </c>
    </row>
    <row r="256">
      <c r="B256" s="198" t="inlineStr">
        <is>
          <t>GO2405</t>
        </is>
      </c>
      <c r="C256" s="208" t="n">
        <v>2024</v>
      </c>
      <c r="D256" s="210" t="inlineStr">
        <is>
          <t>国家能源局关于支持电力领域新型经营主体创新发展的指导意见</t>
        </is>
      </c>
      <c r="E256" s="210" t="inlineStr">
        <is>
          <t>Guiding Opinions of the National Energy Administration on Supporting Innovative Development of New Business Entities in the Power Sector</t>
        </is>
      </c>
      <c r="F256" s="209" t="inlineStr">
        <is>
          <t>National Energy Administration</t>
        </is>
      </c>
      <c r="G256" s="209" t="inlineStr">
        <is>
          <t>指导意见</t>
        </is>
      </c>
      <c r="H256" s="210" t="inlineStr">
        <is>
          <t>Mitigation-enabling</t>
        </is>
      </c>
      <c r="I256" s="211" t="inlineStr">
        <is>
          <t>B.1</t>
        </is>
      </c>
      <c r="J256" s="208" t="inlineStr">
        <is>
          <t>-</t>
        </is>
      </c>
      <c r="K256" s="211" t="inlineStr">
        <is>
          <t>NO-TAR</t>
        </is>
      </c>
      <c r="L256" s="209" t="inlineStr">
        <is>
          <t>HTM</t>
        </is>
      </c>
      <c r="M256" s="209" t="inlineStr">
        <is>
          <t>CN</t>
        </is>
      </c>
      <c r="N256" s="203" t="inlineStr">
        <is>
          <t>https://zfxxgk.nea.gov.cn/2024-11/28/c_1212408354.htm</t>
        </is>
      </c>
    </row>
    <row r="257" ht="14.5" customHeight="1" s="235">
      <c r="B257" s="198" t="inlineStr">
        <is>
          <t>GO2501</t>
        </is>
      </c>
      <c r="C257" s="208" t="n">
        <v>2025</v>
      </c>
      <c r="D257" s="210" t="inlineStr">
        <is>
          <t>关于加快推进虚拟电厂发展的指导意见</t>
        </is>
      </c>
      <c r="E257" s="210" t="inlineStr">
        <is>
          <t>Guiding Opinions on Accelerating the Development of Virtual Power Plants</t>
        </is>
      </c>
      <c r="F257" s="209" t="inlineStr">
        <is>
          <t>National Development and Reform Commission; National Energy Administration</t>
        </is>
      </c>
      <c r="G257" s="209" t="inlineStr">
        <is>
          <t>指导意见</t>
        </is>
      </c>
      <c r="H257" s="210" t="inlineStr">
        <is>
          <t>Mitigation-enabling</t>
        </is>
      </c>
      <c r="I257" s="211" t="inlineStr">
        <is>
          <t>B.1</t>
        </is>
      </c>
      <c r="J257" s="208" t="inlineStr">
        <is>
          <t>-</t>
        </is>
      </c>
      <c r="K257" s="211" t="inlineStr">
        <is>
          <t>TAR</t>
        </is>
      </c>
      <c r="L257" s="209" t="inlineStr">
        <is>
          <t>HTM</t>
        </is>
      </c>
      <c r="M257" s="209" t="inlineStr">
        <is>
          <t>CN</t>
        </is>
      </c>
      <c r="N257" s="203" t="inlineStr">
        <is>
          <t>https://www.gov.cn/zhengce/zhengceku/202504/content_7018244.htm</t>
        </is>
      </c>
    </row>
    <row r="258">
      <c r="B258" s="198" t="inlineStr">
        <is>
          <t>GO2502</t>
        </is>
      </c>
      <c r="C258" s="208" t="n">
        <v>2025</v>
      </c>
      <c r="D258" s="210" t="inlineStr">
        <is>
          <t>关于推动交通运输与能源融合发展的指导意见</t>
        </is>
      </c>
      <c r="E258" s="210" t="inlineStr">
        <is>
          <t>Guiding Opinions on Promoting the Integrated Development of Transportation and Energy</t>
        </is>
      </c>
      <c r="F258" s="209" t="inlineStr">
        <is>
          <t>Ministry of Transport; National Development and Reform Commission; National Energy Administration</t>
        </is>
      </c>
      <c r="G258" s="209" t="inlineStr">
        <is>
          <t>指导意见</t>
        </is>
      </c>
      <c r="H258" s="210" t="inlineStr">
        <is>
          <t>Mitigation-enabling</t>
        </is>
      </c>
      <c r="I258" s="211" t="inlineStr">
        <is>
          <t>B.1, B.4</t>
        </is>
      </c>
      <c r="J258" s="208" t="inlineStr">
        <is>
          <t>-</t>
        </is>
      </c>
      <c r="K258" s="211" t="inlineStr">
        <is>
          <t>NO-TAR</t>
        </is>
      </c>
      <c r="L258" s="209" t="inlineStr">
        <is>
          <t>HTM</t>
        </is>
      </c>
      <c r="M258" s="209" t="inlineStr">
        <is>
          <t>CN</t>
        </is>
      </c>
      <c r="N258" s="203" t="inlineStr">
        <is>
          <t>https://xxgk.mot.gov.cn/2020/jigou/zhghs/202504/t20250425_4167770.html</t>
        </is>
      </c>
    </row>
    <row r="259">
      <c r="B259" s="198" t="inlineStr">
        <is>
          <t>GO2503</t>
        </is>
      </c>
      <c r="C259" s="208" t="n">
        <v>2025</v>
      </c>
      <c r="D259" s="210" t="inlineStr">
        <is>
          <t>2025年能源工作指导意见</t>
        </is>
      </c>
      <c r="E259" s="210" t="inlineStr">
        <is>
          <t>Guiding Opinions on Energy Work in 2025</t>
        </is>
      </c>
      <c r="F259" s="209" t="inlineStr">
        <is>
          <t>National Energy Administration</t>
        </is>
      </c>
      <c r="G259" s="209" t="inlineStr">
        <is>
          <t>指导意见</t>
        </is>
      </c>
      <c r="H259" s="210" t="inlineStr">
        <is>
          <t>Economy planning incl. climate</t>
        </is>
      </c>
      <c r="I259" s="211" t="inlineStr">
        <is>
          <t>B.1</t>
        </is>
      </c>
      <c r="J259" s="208" t="n">
        <v>2025</v>
      </c>
      <c r="K259" s="211" t="inlineStr">
        <is>
          <t>NO-TAR</t>
        </is>
      </c>
      <c r="L259" s="209" t="inlineStr">
        <is>
          <t>HTM</t>
        </is>
      </c>
      <c r="M259" s="209" t="inlineStr">
        <is>
          <t>CN</t>
        </is>
      </c>
      <c r="N259" s="203" t="inlineStr">
        <is>
          <t>https://www.nea.gov.cn/20250227/105a07a9be2c4727b7fe12c11c7b84cf/c.html</t>
        </is>
      </c>
    </row>
    <row r="260">
      <c r="B260" s="198" t="inlineStr">
        <is>
          <t>GO2504</t>
        </is>
      </c>
      <c r="C260" s="208" t="n">
        <v>2025</v>
      </c>
      <c r="D260" s="210" t="inlineStr">
        <is>
          <t>关于推动海洋能规模化利用的指导意见</t>
        </is>
      </c>
      <c r="E260" s="210" t="inlineStr">
        <is>
          <t>Guiding Opinions on Promoting the Large Scale Utilization of Ocean Energy</t>
        </is>
      </c>
      <c r="F260" s="209" t="inlineStr">
        <is>
          <t>Ministry of Natural Resources; National Development and Reform Commission; Ministry of Industry and Information Technology; Ministry of Finance; Chinese Academy of Sciences; National Energy Administration</t>
        </is>
      </c>
      <c r="G260" s="209" t="inlineStr">
        <is>
          <t>指导意见</t>
        </is>
      </c>
      <c r="H260" s="210" t="inlineStr">
        <is>
          <t>Mitigation-enabling</t>
        </is>
      </c>
      <c r="I260" s="211" t="inlineStr">
        <is>
          <t>B.1</t>
        </is>
      </c>
      <c r="J260" s="208" t="inlineStr">
        <is>
          <t>-</t>
        </is>
      </c>
      <c r="K260" s="211" t="inlineStr">
        <is>
          <t>TAR</t>
        </is>
      </c>
      <c r="L260" s="209" t="inlineStr">
        <is>
          <t>HTM</t>
        </is>
      </c>
      <c r="M260" s="209" t="inlineStr">
        <is>
          <t>CN</t>
        </is>
      </c>
      <c r="N260" s="203" t="inlineStr">
        <is>
          <t>https://www.gov.cn/zhengce/zhengceku/202502/content_7005459.htm</t>
        </is>
      </c>
    </row>
    <row r="261">
      <c r="B261" s="198" t="inlineStr">
        <is>
          <t>GO2505</t>
        </is>
      </c>
      <c r="C261" s="208" t="n">
        <v>2025</v>
      </c>
      <c r="D261" s="210" t="inlineStr">
        <is>
          <t>关于金融支持新型工业化的指导意见</t>
        </is>
      </c>
      <c r="E261" s="210" t="inlineStr">
        <is>
          <t>Guiding Opinions on Financial Support for New Industrialization</t>
        </is>
      </c>
      <c r="F261" s="209" t="inlineStr">
        <is>
          <t>People’s Bank of China; Ministry of Industry and Information Technology; National Development and Reform Commission; Ministry of Finance; National Financial Regulatory Administration; China Securities Regulatory Commission; State Administration of Foreign Exchange</t>
        </is>
      </c>
      <c r="G261" s="209" t="inlineStr">
        <is>
          <t>指导意见</t>
        </is>
      </c>
      <c r="H261" s="210" t="inlineStr">
        <is>
          <t>Economy planning incl. climate</t>
        </is>
      </c>
      <c r="I261" s="211" t="inlineStr">
        <is>
          <t>C.2</t>
        </is>
      </c>
      <c r="J261" s="208" t="inlineStr">
        <is>
          <t>-</t>
        </is>
      </c>
      <c r="K261" s="211" t="inlineStr">
        <is>
          <t>NO-TAR</t>
        </is>
      </c>
      <c r="L261" s="209" t="inlineStr">
        <is>
          <t>HTM</t>
        </is>
      </c>
      <c r="M261" s="209" t="inlineStr">
        <is>
          <t>CN</t>
        </is>
      </c>
      <c r="N261" s="203" t="inlineStr">
        <is>
          <t>https://www.gov.cn/lianbo/bumen/202508/content_7035298.htm</t>
        </is>
      </c>
    </row>
    <row r="262">
      <c r="B262" s="198" t="inlineStr">
        <is>
          <t>GO2507</t>
        </is>
      </c>
      <c r="C262" s="208" t="n">
        <v>2025</v>
      </c>
      <c r="D262" s="210" t="inlineStr">
        <is>
          <t>关于做好金融“五篇大文章”的指导意见</t>
        </is>
      </c>
      <c r="E262" s="210" t="inlineStr">
        <is>
          <t>Guiding Opinions on Advancing the "Five Major Financial Initiatives"</t>
        </is>
      </c>
      <c r="F262" s="209" t="inlineStr">
        <is>
          <t>State Council</t>
        </is>
      </c>
      <c r="G262" s="209" t="inlineStr">
        <is>
          <t>指导意见</t>
        </is>
      </c>
      <c r="H262" s="210" t="inlineStr">
        <is>
          <t>Economy planning incl. climate</t>
        </is>
      </c>
      <c r="I262" s="211" t="inlineStr">
        <is>
          <t>C.2</t>
        </is>
      </c>
      <c r="J262" s="208" t="inlineStr">
        <is>
          <t>-</t>
        </is>
      </c>
      <c r="K262" s="211" t="inlineStr">
        <is>
          <t>NO-TAR</t>
        </is>
      </c>
      <c r="L262" s="209" t="inlineStr">
        <is>
          <t>HTM</t>
        </is>
      </c>
      <c r="M262" s="209" t="inlineStr">
        <is>
          <t>CN</t>
        </is>
      </c>
      <c r="N262" s="203" t="inlineStr">
        <is>
          <t>https://www.gov.cn/zhengce/content/202503/content_7010604.htm</t>
        </is>
      </c>
    </row>
    <row r="263">
      <c r="B263" s="198" t="inlineStr">
        <is>
          <t>GO2508</t>
        </is>
      </c>
      <c r="C263" s="208" t="n">
        <v>2025</v>
      </c>
      <c r="D263" s="210" t="inlineStr">
        <is>
          <t>关于推进能源装备高质量发展的指导意见</t>
        </is>
      </c>
      <c r="E263" s="210" t="inlineStr">
        <is>
          <t>Guiding Opinions for Promoting High-Quality Development of Energy Equipment</t>
        </is>
      </c>
      <c r="F263" s="209" t="inlineStr">
        <is>
          <t>National Energy Administration; Ministry of Industry and Information Technology; State-owned Assets Supervision and Administration Commission of the State Council; State Administration for Market Regulation</t>
        </is>
      </c>
      <c r="G263" s="209" t="inlineStr">
        <is>
          <t>指导意见</t>
        </is>
      </c>
      <c r="H263" s="210" t="inlineStr">
        <is>
          <t>Mitigation-enabling</t>
        </is>
      </c>
      <c r="I263" s="211" t="inlineStr">
        <is>
          <t>B.1</t>
        </is>
      </c>
      <c r="J263" s="208" t="inlineStr">
        <is>
          <t>-</t>
        </is>
      </c>
      <c r="K263" s="211" t="inlineStr">
        <is>
          <t>NO-TAR</t>
        </is>
      </c>
      <c r="L263" s="209" t="inlineStr">
        <is>
          <t>HTM</t>
        </is>
      </c>
      <c r="M263" s="209" t="inlineStr">
        <is>
          <t>CN</t>
        </is>
      </c>
      <c r="N263" s="203" t="inlineStr">
        <is>
          <t>https://www.nea.gov.cn/20250922/32bc258f77744d408b2a7acca9aff818/c.html</t>
        </is>
      </c>
    </row>
    <row r="264">
      <c r="B264" s="198" t="inlineStr">
        <is>
          <t>GO2509</t>
        </is>
      </c>
      <c r="C264" s="208" t="n">
        <v>2025</v>
      </c>
      <c r="D264" s="210" t="inlineStr">
        <is>
          <t>关于促进新能源消纳和调控的指导意见</t>
        </is>
      </c>
      <c r="E264" s="210" t="inlineStr">
        <is>
          <t>Guiding Opinions for the Consumption and Regulation of New Energy</t>
        </is>
      </c>
      <c r="F264" s="209" t="inlineStr">
        <is>
          <t>National Development and Reform Commission; National Energy Administration</t>
        </is>
      </c>
      <c r="G264" s="209" t="inlineStr">
        <is>
          <t>指导意见</t>
        </is>
      </c>
      <c r="H264" s="210" t="inlineStr">
        <is>
          <t>Mitigation-enabling</t>
        </is>
      </c>
      <c r="I264" s="211" t="inlineStr">
        <is>
          <t>B.1</t>
        </is>
      </c>
      <c r="J264" s="208" t="inlineStr">
        <is>
          <t>-</t>
        </is>
      </c>
      <c r="K264" s="211" t="inlineStr">
        <is>
          <t>NO-TAR</t>
        </is>
      </c>
      <c r="L264" s="209" t="inlineStr">
        <is>
          <t>HTM</t>
        </is>
      </c>
      <c r="M264" s="209" t="inlineStr">
        <is>
          <t>CN</t>
        </is>
      </c>
      <c r="N264" s="203" t="inlineStr">
        <is>
          <t>https://zfxxgk.ndrc.gov.cn/web/iteminfo.jsp?id=20561</t>
        </is>
      </c>
    </row>
    <row r="265">
      <c r="B265" s="198" t="inlineStr">
        <is>
          <t>GO2510</t>
        </is>
      </c>
      <c r="C265" s="208" t="n">
        <v>2025</v>
      </c>
      <c r="D265" s="210" t="inlineStr">
        <is>
          <t>关于推进煤炭与新能源融合发展的指导意见</t>
        </is>
      </c>
      <c r="E265" s="210" t="inlineStr">
        <is>
          <t>Guiding Opinions for Promoting Integrated Development of Coal and New Energy</t>
        </is>
      </c>
      <c r="F265" s="209" t="inlineStr">
        <is>
          <t>National Energy Administration</t>
        </is>
      </c>
      <c r="G265" s="209" t="inlineStr">
        <is>
          <t>指导意见</t>
        </is>
      </c>
      <c r="H265" s="210" t="inlineStr">
        <is>
          <t>Fossil-fuel</t>
        </is>
      </c>
      <c r="I265" s="211" t="inlineStr">
        <is>
          <t>B.1</t>
        </is>
      </c>
      <c r="J265" s="208" t="inlineStr">
        <is>
          <t>-</t>
        </is>
      </c>
      <c r="K265" s="211" t="inlineStr">
        <is>
          <t>NO-TAR</t>
        </is>
      </c>
      <c r="L265" s="209" t="inlineStr">
        <is>
          <t>HTM</t>
        </is>
      </c>
      <c r="M265" s="209" t="inlineStr">
        <is>
          <t>CN</t>
        </is>
      </c>
      <c r="N265" s="203" t="inlineStr">
        <is>
          <t>https://www.nea.gov.cn/20251107/8b990f43dc774fc88c643614205e383d/c.html</t>
        </is>
      </c>
    </row>
    <row r="266">
      <c r="B266" s="198" t="inlineStr">
        <is>
          <t>GO2511</t>
        </is>
      </c>
      <c r="C266" s="208" t="n">
        <v>2025</v>
      </c>
      <c r="D266" s="210" t="inlineStr">
        <is>
          <t>关于促进新能源集成融合发展的指导意见</t>
        </is>
      </c>
      <c r="E266" s="210" t="inlineStr">
        <is>
          <t>Guiding Opinions for the Integration and Synergistic Development of New Energy</t>
        </is>
      </c>
      <c r="F266" s="209" t="inlineStr">
        <is>
          <t>National Energy Administration</t>
        </is>
      </c>
      <c r="G266" s="209" t="inlineStr">
        <is>
          <t>指导意见</t>
        </is>
      </c>
      <c r="H266" s="210" t="inlineStr">
        <is>
          <t>Mitigation-enabling</t>
        </is>
      </c>
      <c r="I266" s="211" t="inlineStr">
        <is>
          <t>B.1</t>
        </is>
      </c>
      <c r="J266" s="208" t="inlineStr">
        <is>
          <t>-</t>
        </is>
      </c>
      <c r="K266" s="211" t="inlineStr">
        <is>
          <t>NO-TAR</t>
        </is>
      </c>
      <c r="L266" s="209" t="inlineStr">
        <is>
          <t>HTM</t>
        </is>
      </c>
      <c r="M266" s="209" t="inlineStr">
        <is>
          <t>CN</t>
        </is>
      </c>
      <c r="N266" s="203" t="inlineStr">
        <is>
          <t>https://www.nea.gov.cn/20251112/79210278a3184efea9ccf2d546fdf1b7/c.html</t>
        </is>
      </c>
    </row>
    <row r="267">
      <c r="B267" s="198" t="inlineStr">
        <is>
          <t>GO2601</t>
        </is>
      </c>
      <c r="C267" s="208" t="n">
        <v>2026</v>
      </c>
      <c r="D267" s="210" t="inlineStr">
        <is>
          <t>关于开展零碳工厂建设工作的指导意见</t>
        </is>
      </c>
      <c r="E267" s="210" t="inlineStr">
        <is>
          <t>Guiding Opinions on the Construction of Zero-Carbon Factories</t>
        </is>
      </c>
      <c r="F267" s="209" t="inlineStr">
        <is>
          <t>Ministry of Industry and Information Technology; National Development and Reform Commission; Ministry of Ecology and Environment; State-owned Assets Supervision and Administration Commission of the State Council; National Energy Administration.</t>
        </is>
      </c>
      <c r="G267" s="209" t="inlineStr">
        <is>
          <t>指导意见</t>
        </is>
      </c>
      <c r="H267" s="210" t="inlineStr">
        <is>
          <t>Explicit mitigation</t>
        </is>
      </c>
      <c r="I267" s="211" t="inlineStr">
        <is>
          <t>A.2</t>
        </is>
      </c>
      <c r="J267" s="208" t="inlineStr">
        <is>
          <t>-</t>
        </is>
      </c>
      <c r="K267" s="211" t="inlineStr">
        <is>
          <t>NO-TAR</t>
        </is>
      </c>
      <c r="L267" s="209" t="inlineStr">
        <is>
          <t>PDF</t>
        </is>
      </c>
      <c r="M267" s="209" t="inlineStr">
        <is>
          <t>CN</t>
        </is>
      </c>
      <c r="N267" s="203" t="inlineStr">
        <is>
          <t>https://wap.miit.gov.cn/jgsj/jns/wjfb/art/2026/art_b6741734dc864a7aaa323f7684aca743.html</t>
        </is>
      </c>
    </row>
    <row r="268">
      <c r="B268" s="198" t="inlineStr">
        <is>
          <t>GO2602</t>
        </is>
      </c>
      <c r="C268" s="208" t="n">
        <v>2026</v>
      </c>
      <c r="D268" s="210" t="inlineStr">
        <is>
          <t>关于加快推动小水电绿色转型高质量发展的指导意见</t>
        </is>
      </c>
      <c r="E268" s="210" t="inlineStr">
        <is>
          <t>Guiding Opinions on the Acceleration of the Green Transformation and High-Quality Development of Small Hydropower</t>
        </is>
      </c>
      <c r="F268" s="209" t="inlineStr">
        <is>
          <t>Ministry of Water Resources; National Development and Reform Commission; Ministry of Natural Resources; Ministry of Ecology and Environment; Ministry of Agriculture and Rural Affairs; National Energy Administration; National Forestry and Grassland Administration.</t>
        </is>
      </c>
      <c r="G268" s="209" t="inlineStr">
        <is>
          <t>指导意见</t>
        </is>
      </c>
      <c r="H268" s="210" t="inlineStr">
        <is>
          <t>Mitigation-enabling</t>
        </is>
      </c>
      <c r="I268" s="211" t="inlineStr">
        <is>
          <t>B.1</t>
        </is>
      </c>
      <c r="J268" s="208" t="inlineStr">
        <is>
          <t>-</t>
        </is>
      </c>
      <c r="K268" s="211" t="inlineStr">
        <is>
          <t>NO-TAR</t>
        </is>
      </c>
      <c r="L268" s="209" t="inlineStr">
        <is>
          <t>HTM</t>
        </is>
      </c>
      <c r="M268" s="209" t="inlineStr">
        <is>
          <t>CN</t>
        </is>
      </c>
      <c r="N268" s="203" t="inlineStr">
        <is>
          <t>http://www.mwr.gov.cn/zwgk/gknr/202603/t20260319_2105135.html</t>
        </is>
      </c>
    </row>
    <row r="269">
      <c r="B269" s="198" t="inlineStr">
        <is>
          <t>GO2603</t>
        </is>
      </c>
      <c r="C269" s="208" t="n">
        <v>2026</v>
      </c>
      <c r="D269" s="210" t="inlineStr">
        <is>
          <t>关于促进光伏组件综合利用的指导意见</t>
        </is>
      </c>
      <c r="E269" s="210" t="inlineStr">
        <is>
          <t>Guiding Opinions on Promoting the Comprehensive Utilization of Photovoltaic Modules</t>
        </is>
      </c>
      <c r="F269" s="209" t="inlineStr">
        <is>
          <t>Ministry of Industry and Information Technology; Ministry of Ecology and Environment; Ministry of Commerce; State Administration for Market Regulation; National Financial Regulatory Administration; National Energy Administration.</t>
        </is>
      </c>
      <c r="G269" s="209" t="inlineStr">
        <is>
          <t>指导意见</t>
        </is>
      </c>
      <c r="H269" s="210" t="inlineStr">
        <is>
          <t>Mitigation-enabling</t>
        </is>
      </c>
      <c r="I269" s="211" t="inlineStr">
        <is>
          <t>B.1</t>
        </is>
      </c>
      <c r="J269" s="208" t="inlineStr">
        <is>
          <t>-</t>
        </is>
      </c>
      <c r="K269" s="211" t="inlineStr">
        <is>
          <t>TAR</t>
        </is>
      </c>
      <c r="L269" s="209" t="inlineStr">
        <is>
          <t>HTM</t>
        </is>
      </c>
      <c r="M269" s="209" t="inlineStr">
        <is>
          <t>CN</t>
        </is>
      </c>
      <c r="N269" s="203" t="inlineStr">
        <is>
          <t>https://www.miit.gov.cn/zwgk/zcwj/wjfb/yj/art/2026/art_95cd611e3c664dfc96cd76ace1aa24d7.html</t>
        </is>
      </c>
    </row>
    <row r="270">
      <c r="B270" s="0" t="inlineStr">
        <is>
          <t>GO2604</t>
        </is>
      </c>
      <c r="C270" s="0" t="n">
        <v>2026</v>
      </c>
      <c r="D270" s="0" t="inlineStr">
        <is>
          <t>关于完善现代化都市圈综合交通运输体系的指导意见</t>
        </is>
      </c>
      <c r="E270" s="0" t="inlineStr">
        <is>
          <t>Guiding Opinions on Improving the Comprehensive Transport System of Modern Metropolitan Areas</t>
        </is>
      </c>
      <c r="F270" s="0" t="inlineStr">
        <is>
          <t>Ministry of Transport and other departments</t>
        </is>
      </c>
      <c r="G270" s="0" t="inlineStr">
        <is>
          <t>指导意见</t>
        </is>
      </c>
      <c r="H270" s="0" t="inlineStr">
        <is>
          <t>B.4</t>
        </is>
      </c>
      <c r="I270" s="0" t="inlineStr">
        <is>
          <t>Mitigation-enabling</t>
        </is>
      </c>
      <c r="J270" s="0" t="inlineStr">
        <is>
          <t>-</t>
        </is>
      </c>
      <c r="K270" s="0" t="inlineStr">
        <is>
          <t>NO-TAR</t>
        </is>
      </c>
      <c r="L270" s="0" t="inlineStr">
        <is>
          <t>HTM</t>
        </is>
      </c>
      <c r="M270" s="0" t="inlineStr">
        <is>
          <t>CN</t>
        </is>
      </c>
      <c r="N270" s="0" t="inlineStr">
        <is>
          <t>https://xxgk.mot.gov.cn/jigou/zhghs/202606/t20260630_4208509.html</t>
        </is>
      </c>
    </row>
    <row r="271">
      <c r="B271" s="205" t="inlineStr">
        <is>
          <t>Opinions</t>
        </is>
      </c>
      <c r="C271" s="206" t="n"/>
      <c r="D271" s="206" t="n"/>
      <c r="E271" s="206" t="n"/>
      <c r="F271" s="206" t="n"/>
      <c r="G271" s="206" t="n"/>
      <c r="H271" s="206" t="n"/>
      <c r="I271" s="206" t="n"/>
      <c r="J271" s="206" t="n"/>
      <c r="K271" s="206" t="n"/>
      <c r="L271" s="206" t="n"/>
      <c r="M271" s="206" t="n"/>
      <c r="N271" s="207" t="inlineStr">
        <is>
          <t>https://xxgk.mot.gov.cn/2020/jigou/zcyjs/202006/t20200623_3307286.html</t>
        </is>
      </c>
    </row>
    <row r="272">
      <c r="B272" s="198" t="inlineStr">
        <is>
          <t>O0501</t>
        </is>
      </c>
      <c r="C272" s="208" t="n">
        <v>2005</v>
      </c>
      <c r="D272" s="210" t="inlineStr">
        <is>
          <t>国务院关于加快发展循环经济的若干意见</t>
        </is>
      </c>
      <c r="E272" s="210" t="inlineStr">
        <is>
          <t>Opinions on Accelerating the Development of Circular Economy</t>
        </is>
      </c>
      <c r="F272" s="209" t="inlineStr">
        <is>
          <t>State Council</t>
        </is>
      </c>
      <c r="G272" s="209" t="inlineStr">
        <is>
          <t>意见</t>
        </is>
      </c>
      <c r="H272" s="210" t="inlineStr">
        <is>
          <t>Mitigation-enabling</t>
        </is>
      </c>
      <c r="I272" s="211" t="inlineStr">
        <is>
          <t>D.2</t>
        </is>
      </c>
      <c r="J272" s="208" t="inlineStr">
        <is>
          <t>-</t>
        </is>
      </c>
      <c r="K272" s="211" t="inlineStr">
        <is>
          <t>TAR</t>
        </is>
      </c>
      <c r="L272" s="209" t="inlineStr">
        <is>
          <t>HTM</t>
        </is>
      </c>
      <c r="M272" s="209" t="inlineStr">
        <is>
          <t>CN</t>
        </is>
      </c>
      <c r="N272" s="203" t="inlineStr">
        <is>
          <t>https://www.gov.cn/gongbao/content/2005/content_64318.htm</t>
        </is>
      </c>
    </row>
    <row r="273">
      <c r="B273" s="198" t="inlineStr">
        <is>
          <t>O0601</t>
        </is>
      </c>
      <c r="C273" s="208" t="n">
        <v>2006</v>
      </c>
      <c r="D273" s="225" t="inlineStr">
        <is>
          <t>加快煤层气（煤矿甲烷）勘探开发的意见</t>
        </is>
      </c>
      <c r="E273" s="210" t="inlineStr">
        <is>
          <t>Opinions on Accelerating the Exploration and Development of Coalbed Methane (Coal Mine Methane)</t>
        </is>
      </c>
      <c r="F273" s="209" t="inlineStr">
        <is>
          <t>State Council</t>
        </is>
      </c>
      <c r="G273" s="209" t="inlineStr">
        <is>
          <t>意见</t>
        </is>
      </c>
      <c r="H273" s="210" t="inlineStr">
        <is>
          <t>Fossil-fuel</t>
        </is>
      </c>
      <c r="I273" s="211" t="inlineStr">
        <is>
          <t>D.2</t>
        </is>
      </c>
      <c r="J273" s="208" t="inlineStr">
        <is>
          <t>-</t>
        </is>
      </c>
      <c r="K273" s="211" t="inlineStr">
        <is>
          <t>NO-TAR</t>
        </is>
      </c>
      <c r="L273" s="209" t="inlineStr">
        <is>
          <t>HTM</t>
        </is>
      </c>
      <c r="M273" s="209" t="inlineStr">
        <is>
          <t>CN</t>
        </is>
      </c>
      <c r="N273" s="203" t="inlineStr">
        <is>
          <t>https://baike.baidu.com/item/国务院办公厅关于加快煤层气（煤矿瓦斯）抽采利用的若干意见/5239657?fr=aladdin</t>
        </is>
      </c>
    </row>
    <row r="274">
      <c r="B274" s="198" t="inlineStr">
        <is>
          <t>O0701</t>
        </is>
      </c>
      <c r="C274" s="208" t="n">
        <v>2007</v>
      </c>
      <c r="D274" s="225" t="inlineStr">
        <is>
          <t>海洋局发布海洋领域应对气候变化有关工作的意见</t>
        </is>
      </c>
      <c r="E274" s="210" t="inlineStr">
        <is>
          <t>Opinions on the Work related to Addressing Climate Change in the Marine Sector</t>
        </is>
      </c>
      <c r="F274" s="209" t="inlineStr">
        <is>
          <t>State Oceanic Administration</t>
        </is>
      </c>
      <c r="G274" s="209" t="inlineStr">
        <is>
          <t>意见</t>
        </is>
      </c>
      <c r="H274" s="210" t="inlineStr">
        <is>
          <t>Explicit mitigation</t>
        </is>
      </c>
      <c r="I274" s="211" t="inlineStr">
        <is>
          <t>B.5</t>
        </is>
      </c>
      <c r="J274" s="208" t="inlineStr">
        <is>
          <t>-</t>
        </is>
      </c>
      <c r="K274" s="211" t="inlineStr">
        <is>
          <t>NO-TAR</t>
        </is>
      </c>
      <c r="L274" s="209" t="inlineStr">
        <is>
          <t>HTM</t>
        </is>
      </c>
      <c r="M274" s="209" t="inlineStr">
        <is>
          <t>CN</t>
        </is>
      </c>
      <c r="N274" s="203" t="inlineStr">
        <is>
          <t>https://www.gov.cn/gzdt/2007-10/16/content_777564.htm</t>
        </is>
      </c>
    </row>
    <row r="275">
      <c r="B275" s="198" t="inlineStr">
        <is>
          <t>O1001</t>
        </is>
      </c>
      <c r="C275" s="208" t="n">
        <v>2010</v>
      </c>
      <c r="D275" s="225" t="inlineStr">
        <is>
          <t>中国人民银行 中国银行业监督管理委员会关于进一步做好支持节能减排和淘汰落后产能金融服务工作的意见</t>
        </is>
      </c>
      <c r="E275" s="210" t="inlineStr">
        <is>
          <t>Opinions on Further Improving Financial Services to Support Energy Conservation, Emission Reduction and Elimination of Outdated Production Capacity</t>
        </is>
      </c>
      <c r="F275" s="209" t="inlineStr">
        <is>
          <t>People's Bank of China; China Banking Regulatory Commission</t>
        </is>
      </c>
      <c r="G275" s="209" t="inlineStr">
        <is>
          <t>意见</t>
        </is>
      </c>
      <c r="H275" s="210" t="inlineStr">
        <is>
          <t>Explicit mitigation</t>
        </is>
      </c>
      <c r="I275" s="211" t="inlineStr">
        <is>
          <t>C.2</t>
        </is>
      </c>
      <c r="J275" s="208" t="inlineStr">
        <is>
          <t>-</t>
        </is>
      </c>
      <c r="K275" s="211" t="inlineStr">
        <is>
          <t>NO-TAR</t>
        </is>
      </c>
      <c r="L275" s="209" t="inlineStr">
        <is>
          <t>HTM</t>
        </is>
      </c>
      <c r="M275" s="209" t="inlineStr">
        <is>
          <t>CN</t>
        </is>
      </c>
      <c r="N275" s="203" t="inlineStr">
        <is>
          <t>https://www.ndrc.gov.cn/fggz/hjyzy/jnhnx/201006/t20100601_1134361.html</t>
        </is>
      </c>
    </row>
    <row r="276">
      <c r="B276" s="198" t="inlineStr">
        <is>
          <t>O1301</t>
        </is>
      </c>
      <c r="C276" s="208" t="n">
        <v>2013</v>
      </c>
      <c r="D276" s="225" t="inlineStr">
        <is>
          <t>国务院办公厅关于加强内燃机工业
节 能 减 排 的 意 见</t>
        </is>
      </c>
      <c r="E276" s="210" t="inlineStr">
        <is>
          <t xml:space="preserve">Opinions on Strengthening Energy Conservation and Emission Reduction in the Internal Combustion Engine </t>
        </is>
      </c>
      <c r="F276" s="209" t="inlineStr">
        <is>
          <t>State Council</t>
        </is>
      </c>
      <c r="G276" s="209" t="inlineStr">
        <is>
          <t>意见</t>
        </is>
      </c>
      <c r="H276" s="210" t="inlineStr">
        <is>
          <t>Explicit mitigation</t>
        </is>
      </c>
      <c r="I276" s="211" t="inlineStr">
        <is>
          <t>B.2, C.1</t>
        </is>
      </c>
      <c r="J276" s="208" t="inlineStr">
        <is>
          <t>-</t>
        </is>
      </c>
      <c r="K276" s="211" t="inlineStr">
        <is>
          <t>TAR</t>
        </is>
      </c>
      <c r="L276" s="209" t="inlineStr">
        <is>
          <t>HTM</t>
        </is>
      </c>
      <c r="M276" s="209" t="inlineStr">
        <is>
          <t>CN</t>
        </is>
      </c>
      <c r="N276" s="203" t="inlineStr">
        <is>
          <t>https://www.gov.cn/gongbao/content/2013/content_2339525.htm</t>
        </is>
      </c>
    </row>
    <row r="277">
      <c r="B277" s="198" t="inlineStr">
        <is>
          <t>O1302</t>
        </is>
      </c>
      <c r="C277" s="208" t="n">
        <v>2013</v>
      </c>
      <c r="D277" s="225" t="inlineStr">
        <is>
          <t>国务院关于加快发展节能环保产业的意见</t>
        </is>
      </c>
      <c r="E277" s="210" t="inlineStr">
        <is>
          <t>Opinions on Speeding Up the Development of the Energy Conservation and Environmental Protection Industries</t>
        </is>
      </c>
      <c r="F277" s="209" t="inlineStr">
        <is>
          <t>State Council</t>
        </is>
      </c>
      <c r="G277" s="209" t="inlineStr">
        <is>
          <t>意见</t>
        </is>
      </c>
      <c r="H277" s="210" t="inlineStr">
        <is>
          <t>Mitigation-enabling</t>
        </is>
      </c>
      <c r="I277" s="211" t="inlineStr">
        <is>
          <t>B.2</t>
        </is>
      </c>
      <c r="J277" s="208" t="inlineStr">
        <is>
          <t>-</t>
        </is>
      </c>
      <c r="K277" s="211" t="inlineStr">
        <is>
          <t>TAR</t>
        </is>
      </c>
      <c r="L277" s="209" t="inlineStr">
        <is>
          <t>HTM</t>
        </is>
      </c>
      <c r="M277" s="209" t="inlineStr">
        <is>
          <t>CN</t>
        </is>
      </c>
      <c r="N277" s="203" t="inlineStr">
        <is>
          <t>https://www.gov.cn/zwgk/2013-08/11/content_2464241.htm</t>
        </is>
      </c>
    </row>
    <row r="278">
      <c r="B278" s="198" t="inlineStr">
        <is>
          <t>O1303</t>
        </is>
      </c>
      <c r="C278" s="208" t="n">
        <v>2013</v>
      </c>
      <c r="D278" s="225" t="inlineStr">
        <is>
          <t>国务院关于促进光伏产业健康发展的若干意见</t>
        </is>
      </c>
      <c r="E278" s="210" t="inlineStr">
        <is>
          <t>Opinions of the State Council on Promoting the Healthy Development of the Photovoltaic Industry</t>
        </is>
      </c>
      <c r="F278" s="209" t="inlineStr">
        <is>
          <t>State Council</t>
        </is>
      </c>
      <c r="G278" s="209" t="inlineStr">
        <is>
          <t>意见</t>
        </is>
      </c>
      <c r="H278" s="210" t="inlineStr">
        <is>
          <t>Mitigation-enabling</t>
        </is>
      </c>
      <c r="I278" s="211" t="inlineStr">
        <is>
          <t>B.2, B.1</t>
        </is>
      </c>
      <c r="J278" s="208" t="inlineStr">
        <is>
          <t>-</t>
        </is>
      </c>
      <c r="K278" s="211" t="inlineStr">
        <is>
          <t>TAR</t>
        </is>
      </c>
      <c r="L278" s="209" t="inlineStr">
        <is>
          <t>HTM</t>
        </is>
      </c>
      <c r="M278" s="209" t="inlineStr">
        <is>
          <t>CN</t>
        </is>
      </c>
      <c r="N278" s="203" t="inlineStr">
        <is>
          <t>https://www.gov.cn/gongbao/content/2013/content_2455226.htm</t>
        </is>
      </c>
    </row>
    <row r="279">
      <c r="B279" s="198" t="inlineStr">
        <is>
          <t>O1304</t>
        </is>
      </c>
      <c r="C279" s="208" t="n">
        <v>2013</v>
      </c>
      <c r="D279" s="225" t="inlineStr">
        <is>
          <t>关于加强应对气候变化统计工作的意见</t>
        </is>
      </c>
      <c r="E279" s="210" t="inlineStr">
        <is>
          <t>Opinions on Strengthening Statistical Work on Climate Change</t>
        </is>
      </c>
      <c r="F279" s="209" t="inlineStr">
        <is>
          <t>National Development and Reform Commission; National Bureau of Statistics</t>
        </is>
      </c>
      <c r="G279" s="209" t="inlineStr">
        <is>
          <t>意见</t>
        </is>
      </c>
      <c r="H279" s="210" t="inlineStr">
        <is>
          <t>Explicit mitigation</t>
        </is>
      </c>
      <c r="I279" s="211" t="inlineStr">
        <is>
          <t>C.3</t>
        </is>
      </c>
      <c r="J279" s="208" t="inlineStr">
        <is>
          <t>-</t>
        </is>
      </c>
      <c r="K279" s="211" t="inlineStr">
        <is>
          <t>NO-TAR</t>
        </is>
      </c>
      <c r="L279" s="209" t="inlineStr">
        <is>
          <t>PDF</t>
        </is>
      </c>
      <c r="M279" s="209" t="inlineStr">
        <is>
          <t>CN</t>
        </is>
      </c>
      <c r="N279" s="203" t="inlineStr">
        <is>
          <t>https://www.stats.gov.cn/xw/tjxw/tzgg/202302/t20230202_1893717.html</t>
        </is>
      </c>
    </row>
    <row r="280">
      <c r="B280" s="198" t="inlineStr">
        <is>
          <t>O1305</t>
        </is>
      </c>
      <c r="C280" s="208" t="n">
        <v>2013</v>
      </c>
      <c r="D280" s="225" t="inlineStr">
        <is>
          <t>国务院办公厅关于进一步加快
煤层气（煤矿瓦斯）抽采利用的意见</t>
        </is>
      </c>
      <c r="E280" s="210" t="inlineStr">
        <is>
          <t>Opinions on Further the Extraction and Utilization of Coalbed Methane</t>
        </is>
      </c>
      <c r="F280" s="209" t="inlineStr">
        <is>
          <t>State Council</t>
        </is>
      </c>
      <c r="G280" s="209" t="inlineStr">
        <is>
          <t>意见</t>
        </is>
      </c>
      <c r="H280" s="210" t="inlineStr">
        <is>
          <t>Fossil-fuel</t>
        </is>
      </c>
      <c r="I280" s="211" t="inlineStr">
        <is>
          <t>B.1</t>
        </is>
      </c>
      <c r="J280" s="208" t="inlineStr">
        <is>
          <t>-</t>
        </is>
      </c>
      <c r="K280" s="211" t="inlineStr">
        <is>
          <t>NO-TAR</t>
        </is>
      </c>
      <c r="L280" s="209" t="inlineStr">
        <is>
          <t>HTM</t>
        </is>
      </c>
      <c r="M280" s="209" t="inlineStr">
        <is>
          <t>CN</t>
        </is>
      </c>
      <c r="N280" s="203" t="inlineStr">
        <is>
          <t>https://www.gov.cn/zhengce/content/2013-09/18/content_2540.htm</t>
        </is>
      </c>
    </row>
    <row r="281">
      <c r="B281" s="198" t="inlineStr">
        <is>
          <t>O1401</t>
        </is>
      </c>
      <c r="C281" s="208" t="n">
        <v>2014</v>
      </c>
      <c r="D281" s="225" t="inlineStr">
        <is>
          <t>关于促进煤炭安全绿色开发和清洁高效利用的意见</t>
        </is>
      </c>
      <c r="E281" s="210" t="inlineStr">
        <is>
          <t>Opinions on Promoting Safe, Green Development and Clean and Efficient Utilization of Coal</t>
        </is>
      </c>
      <c r="F281" s="209" t="inlineStr">
        <is>
          <t>National Energy Administration; Ministry of Environmental Protection; Ministry of Industry and Information Technology</t>
        </is>
      </c>
      <c r="G281" s="209" t="inlineStr">
        <is>
          <t>意见</t>
        </is>
      </c>
      <c r="H281" s="210" t="inlineStr">
        <is>
          <t>Fossil-fuel</t>
        </is>
      </c>
      <c r="I281" s="211" t="inlineStr">
        <is>
          <t>B.2, B.1</t>
        </is>
      </c>
      <c r="J281" s="208" t="inlineStr">
        <is>
          <t>-</t>
        </is>
      </c>
      <c r="K281" s="211" t="inlineStr">
        <is>
          <t>TAR</t>
        </is>
      </c>
      <c r="L281" s="209" t="inlineStr">
        <is>
          <t>HTM</t>
        </is>
      </c>
      <c r="M281" s="209" t="inlineStr">
        <is>
          <t>CN</t>
        </is>
      </c>
      <c r="N281" s="203" t="inlineStr">
        <is>
          <t>https://fjb.nea.gov.cn/xxgk/zcfg/202311/t20231114_217455.html</t>
        </is>
      </c>
    </row>
    <row r="282">
      <c r="B282" s="198" t="inlineStr">
        <is>
          <t>O1501</t>
        </is>
      </c>
      <c r="C282" s="208" t="n">
        <v>2015</v>
      </c>
      <c r="D282" s="225" t="inlineStr">
        <is>
          <t>关于进一步深化电力体制改革的若干意见</t>
        </is>
      </c>
      <c r="E282" s="210" t="inlineStr">
        <is>
          <t>Opinions on Further Deepening the Reform of the Power System</t>
        </is>
      </c>
      <c r="F282" s="209" t="inlineStr">
        <is>
          <t>Communist Party of China Central Committee; State Council</t>
        </is>
      </c>
      <c r="G282" s="209" t="inlineStr">
        <is>
          <t>意见</t>
        </is>
      </c>
      <c r="H282" s="210" t="inlineStr">
        <is>
          <t>Mitigation-enabling</t>
        </is>
      </c>
      <c r="I282" s="211" t="inlineStr">
        <is>
          <t>B.1</t>
        </is>
      </c>
      <c r="J282" s="208" t="inlineStr">
        <is>
          <t>-</t>
        </is>
      </c>
      <c r="K282" s="211" t="inlineStr">
        <is>
          <t>NO-TAR</t>
        </is>
      </c>
      <c r="L282" s="209" t="inlineStr">
        <is>
          <t>HTM</t>
        </is>
      </c>
      <c r="M282" s="209" t="inlineStr">
        <is>
          <t>CN</t>
        </is>
      </c>
      <c r="N282" s="203" t="inlineStr">
        <is>
          <t>http://drc.gd.gov.cn/snyj/bmgl/content/mpost_3736970.html</t>
        </is>
      </c>
    </row>
    <row r="283">
      <c r="B283" s="198" t="inlineStr">
        <is>
          <t>O1601</t>
        </is>
      </c>
      <c r="C283" s="208" t="n">
        <v>2016</v>
      </c>
      <c r="D283" s="225" t="inlineStr">
        <is>
          <t>关于煤炭⾏业化解过剩产能实现脱困发展的意见</t>
        </is>
      </c>
      <c r="E283" s="210" t="inlineStr">
        <is>
          <t>Opinions on Resolving Overcapacity in the Coal Industry and Realising Development Out of Difficulties</t>
        </is>
      </c>
      <c r="F283" s="209" t="inlineStr">
        <is>
          <t>State Council</t>
        </is>
      </c>
      <c r="G283" s="209" t="inlineStr">
        <is>
          <t>意见</t>
        </is>
      </c>
      <c r="H283" s="210" t="inlineStr">
        <is>
          <t>Mitigation-enabling</t>
        </is>
      </c>
      <c r="I283" s="211" t="inlineStr">
        <is>
          <t>B.1</t>
        </is>
      </c>
      <c r="J283" s="208" t="inlineStr">
        <is>
          <t>-</t>
        </is>
      </c>
      <c r="K283" s="211" t="inlineStr">
        <is>
          <t>NO-TAR</t>
        </is>
      </c>
      <c r="L283" s="209" t="inlineStr">
        <is>
          <t>HTM</t>
        </is>
      </c>
      <c r="M283" s="209" t="inlineStr">
        <is>
          <t>CN</t>
        </is>
      </c>
      <c r="N283" s="203" t="inlineStr">
        <is>
          <t>https://www.gov.cn/gongbao/content/2016/content_5045944.htm</t>
        </is>
      </c>
    </row>
    <row r="284">
      <c r="B284" s="198" t="inlineStr">
        <is>
          <t>O1602</t>
        </is>
      </c>
      <c r="C284" s="208" t="n">
        <v>2016</v>
      </c>
      <c r="D284" s="225" t="inlineStr">
        <is>
          <t>关于钢铁行业化解过剩产能实现脱困发展的意见</t>
        </is>
      </c>
      <c r="E284" s="210" t="inlineStr">
        <is>
          <t>Opinions on Resolving Excess Capacity and Achieving Deleveraging Development in the Steel Industry</t>
        </is>
      </c>
      <c r="F284" s="209" t="inlineStr">
        <is>
          <t>State Council</t>
        </is>
      </c>
      <c r="G284" s="209" t="inlineStr">
        <is>
          <t>意见</t>
        </is>
      </c>
      <c r="H284" s="210" t="inlineStr">
        <is>
          <t>Mitigation-enabling</t>
        </is>
      </c>
      <c r="I284" s="211" t="inlineStr">
        <is>
          <t>B.1</t>
        </is>
      </c>
      <c r="J284" s="208" t="inlineStr">
        <is>
          <t>-</t>
        </is>
      </c>
      <c r="K284" s="211" t="inlineStr">
        <is>
          <t>TAR</t>
        </is>
      </c>
      <c r="L284" s="209" t="inlineStr">
        <is>
          <t>HTM</t>
        </is>
      </c>
      <c r="M284" s="209" t="inlineStr">
        <is>
          <t>CN</t>
        </is>
      </c>
      <c r="N284" s="203" t="inlineStr">
        <is>
          <t>https://www.gov.cn/gongbao/content/2016/content_5045931.htm</t>
        </is>
      </c>
    </row>
    <row r="285">
      <c r="B285" s="198" t="inlineStr">
        <is>
          <t>O1701</t>
        </is>
      </c>
      <c r="C285" s="208" t="n">
        <v>2017</v>
      </c>
      <c r="D285" s="225" t="inlineStr">
        <is>
          <t>关于全面深入推进绿色交通发展的意见</t>
        </is>
      </c>
      <c r="E285" s="210" t="inlineStr">
        <is>
          <t>Opinions on Comprehensively and Deeply Promoting the Development of Green Transportation</t>
        </is>
      </c>
      <c r="F285" s="209" t="inlineStr">
        <is>
          <t>Ministry of Transport</t>
        </is>
      </c>
      <c r="G285" s="209" t="inlineStr">
        <is>
          <t>意见</t>
        </is>
      </c>
      <c r="H285" s="210" t="inlineStr">
        <is>
          <t>Explicit mitigation</t>
        </is>
      </c>
      <c r="I285" s="211" t="inlineStr">
        <is>
          <t>B.4</t>
        </is>
      </c>
      <c r="J285" s="208" t="inlineStr">
        <is>
          <t>-</t>
        </is>
      </c>
      <c r="K285" s="211" t="inlineStr">
        <is>
          <t>NO-TAR</t>
        </is>
      </c>
      <c r="L285" s="209" t="inlineStr">
        <is>
          <t>HTM</t>
        </is>
      </c>
      <c r="M285" s="209" t="inlineStr">
        <is>
          <t>CN</t>
        </is>
      </c>
      <c r="N285" s="203" t="inlineStr">
        <is>
          <t>https://xxgk.mot.gov.cn/2020/jigou/zcyjs/202006/t20200623_3307286.html</t>
        </is>
      </c>
    </row>
    <row r="286">
      <c r="B286" s="198" t="inlineStr">
        <is>
          <t>O1702</t>
        </is>
      </c>
      <c r="C286" s="208" t="n">
        <v>2017</v>
      </c>
      <c r="D286" s="225" t="inlineStr">
        <is>
          <t>关于创新体制机制推进农业绿色发展的意见</t>
        </is>
      </c>
      <c r="E286" s="210" t="inlineStr">
        <is>
          <t>Opinions on Innovating Systems and Mechanisms to Promote Green Development of Agriculture</t>
        </is>
      </c>
      <c r="F286" s="209" t="inlineStr">
        <is>
          <t>Communist Party of China Central Committee; State Council</t>
        </is>
      </c>
      <c r="G286" s="209" t="inlineStr">
        <is>
          <t>意见</t>
        </is>
      </c>
      <c r="H286" s="210" t="inlineStr">
        <is>
          <t>Explicit mitigation</t>
        </is>
      </c>
      <c r="I286" s="211" t="inlineStr">
        <is>
          <t>B.5</t>
        </is>
      </c>
      <c r="J286" s="208" t="inlineStr">
        <is>
          <t>-</t>
        </is>
      </c>
      <c r="K286" s="211" t="inlineStr">
        <is>
          <t>TAR</t>
        </is>
      </c>
      <c r="L286" s="209" t="inlineStr">
        <is>
          <t>HTM</t>
        </is>
      </c>
      <c r="M286" s="209" t="inlineStr">
        <is>
          <t>CN</t>
        </is>
      </c>
      <c r="N286" s="203" t="inlineStr">
        <is>
          <t>https://www.gov.cn/zhengce/2017-09/30/content_5228960.htm</t>
        </is>
      </c>
    </row>
    <row r="287">
      <c r="B287" s="198" t="inlineStr">
        <is>
          <t>O1703</t>
        </is>
      </c>
      <c r="C287" s="208" t="n">
        <v>2017</v>
      </c>
      <c r="D287" s="225" t="inlineStr">
        <is>
          <t>关于推进供给侧结构性改革 防范化解煤电产能过剩风险的意见</t>
        </is>
      </c>
      <c r="E287" s="210" t="inlineStr">
        <is>
          <t>Opinions on Promoting Supply-Side Structural Reform, Preventing and Resolving the Risk of Overcapacity of Coal and Electricity</t>
        </is>
      </c>
      <c r="F287" s="209" t="inlineStr">
        <is>
          <t>National Development and Reform Commission; Ministry of Industry and Information Technology; Ministry of Finance; Ministry of Human Resources and Social Security; Ministry of Land and Resources; Ministry of Environmental Protection; Ministry of Housing and Urban-Rural Development; Ministry of Transport; Ministry of Water Resources; People’s Bank of China; State-owned Assets Supervision and Administration Commission of the State Council; General Administration of Quality Supervision, Inspection and Quarantine; State Administration of Work Safety; National Bureau of Statistics; China Banking Regulatory Commission; National Energy Administration</t>
        </is>
      </c>
      <c r="G287" s="209" t="inlineStr">
        <is>
          <t>意见</t>
        </is>
      </c>
      <c r="H287" s="210" t="inlineStr">
        <is>
          <t>Mitigation-enabling</t>
        </is>
      </c>
      <c r="I287" s="211" t="inlineStr">
        <is>
          <t>B.1</t>
        </is>
      </c>
      <c r="J287" s="208" t="inlineStr">
        <is>
          <t>-</t>
        </is>
      </c>
      <c r="K287" s="211" t="inlineStr">
        <is>
          <t>TAR</t>
        </is>
      </c>
      <c r="L287" s="209" t="inlineStr">
        <is>
          <t>PDF</t>
        </is>
      </c>
      <c r="M287" s="209" t="inlineStr">
        <is>
          <t>CN</t>
        </is>
      </c>
      <c r="N287" s="203" t="inlineStr">
        <is>
          <t>http://www.nea.gov.cn/2017-08/14/c_136525062.htm</t>
        </is>
      </c>
    </row>
    <row r="288">
      <c r="B288" s="198" t="inlineStr">
        <is>
          <t>O1704</t>
        </is>
      </c>
      <c r="C288" s="208" t="n">
        <v>2017</v>
      </c>
      <c r="D288" s="225" t="inlineStr">
        <is>
          <t>加快推进天然气利用的意见</t>
        </is>
      </c>
      <c r="E288" s="210" t="inlineStr">
        <is>
          <t>Opinions on Accelerating the Utilization of Natural Gas</t>
        </is>
      </c>
      <c r="F288" s="209" t="inlineStr">
        <is>
          <t>National Development and Reform Commission; Ministry of Science and Technology; Ministry of Industry and Information Technology; Ministry of Finance; Ministry of Land and Resources; Ministry of Environmental Protection; Ministry of Housing and Urban-Rural Development; Ministry of Transport; Ministry of Commerce; State-owned Assets Supervision and Administration Commission of the State Council; State Taxation Administration; General Administration of Quality Supervision, Inspection and Quarantine; National Energy Administration</t>
        </is>
      </c>
      <c r="G288" s="209" t="inlineStr">
        <is>
          <t>意见</t>
        </is>
      </c>
      <c r="H288" s="210" t="inlineStr">
        <is>
          <t>Fossil-fuel</t>
        </is>
      </c>
      <c r="I288" s="211" t="inlineStr">
        <is>
          <t>B.1</t>
        </is>
      </c>
      <c r="J288" s="208" t="inlineStr">
        <is>
          <t>-</t>
        </is>
      </c>
      <c r="K288" s="211" t="inlineStr">
        <is>
          <t>NO-TAR</t>
        </is>
      </c>
      <c r="L288" s="209" t="inlineStr">
        <is>
          <t>HTM</t>
        </is>
      </c>
      <c r="M288" s="209" t="inlineStr">
        <is>
          <t>CN</t>
        </is>
      </c>
      <c r="N288" s="203" t="inlineStr">
        <is>
          <t>https://www.gov.cn/xinwen/2017-07/05/content_5207958.htm</t>
        </is>
      </c>
    </row>
    <row r="289">
      <c r="B289" s="198" t="inlineStr">
        <is>
          <t>O1801</t>
        </is>
      </c>
      <c r="C289" s="208" t="n">
        <v>2018</v>
      </c>
      <c r="D289" s="225" t="inlineStr">
        <is>
          <t>关于积极推进大规模国土绿化行动的意见</t>
        </is>
      </c>
      <c r="E289" s="210" t="inlineStr">
        <is>
          <t>Opinions on Actively Promoting Large-Scale Land Greening Actions</t>
        </is>
      </c>
      <c r="F289" s="209" t="inlineStr">
        <is>
          <t>Communist Party of China Central Committee; State Council</t>
        </is>
      </c>
      <c r="G289" s="209" t="inlineStr">
        <is>
          <t>意见</t>
        </is>
      </c>
      <c r="H289" s="210" t="inlineStr">
        <is>
          <t>Mitigation-enabling</t>
        </is>
      </c>
      <c r="I289" s="211" t="inlineStr">
        <is>
          <t>B.5, C.6</t>
        </is>
      </c>
      <c r="J289" s="208" t="inlineStr">
        <is>
          <t>-</t>
        </is>
      </c>
      <c r="K289" s="211" t="inlineStr">
        <is>
          <t>TAR</t>
        </is>
      </c>
      <c r="L289" s="209" t="inlineStr">
        <is>
          <t>HTM</t>
        </is>
      </c>
      <c r="M289" s="209" t="inlineStr">
        <is>
          <t>CN</t>
        </is>
      </c>
      <c r="N289" s="203" t="inlineStr">
        <is>
          <t>https://www.gov.cn/xinwen/2018-11/20/content_5341910.htm</t>
        </is>
      </c>
    </row>
    <row r="290">
      <c r="B290" s="198" t="inlineStr">
        <is>
          <t>O1802</t>
        </is>
      </c>
      <c r="C290" s="208" t="n">
        <v>2018</v>
      </c>
      <c r="D290" s="225" t="inlineStr">
        <is>
          <t>中共中央 国务院关于全面加强生态环境保护
坚决打好污染防治攻坚战的意见</t>
        </is>
      </c>
      <c r="E290" s="210" t="inlineStr">
        <is>
          <t>Opinions on Comprehensively Strengthening Ecological and Environmental Protection and Resolutely Winning the Battle Against Pollution</t>
        </is>
      </c>
      <c r="F290" s="209" t="inlineStr">
        <is>
          <t>Communist Party of China Central Committee; State Council</t>
        </is>
      </c>
      <c r="G290" s="209" t="inlineStr">
        <is>
          <t>意见</t>
        </is>
      </c>
      <c r="H290" s="210" t="inlineStr">
        <is>
          <t>Mitigation-enabling</t>
        </is>
      </c>
      <c r="I290" s="211" t="inlineStr">
        <is>
          <t>D.3</t>
        </is>
      </c>
      <c r="J290" s="208" t="inlineStr">
        <is>
          <t>-</t>
        </is>
      </c>
      <c r="K290" s="211" t="inlineStr">
        <is>
          <t>TAR</t>
        </is>
      </c>
      <c r="L290" s="209" t="inlineStr">
        <is>
          <t>HTM</t>
        </is>
      </c>
      <c r="M290" s="209" t="inlineStr">
        <is>
          <t>CN</t>
        </is>
      </c>
      <c r="N290" s="203" t="inlineStr">
        <is>
          <t>https://www.gov.cn/gongbao/content/2018/content_5303427.htm</t>
        </is>
      </c>
    </row>
    <row r="291">
      <c r="B291" s="198" t="inlineStr">
        <is>
          <t>O2002</t>
        </is>
      </c>
      <c r="C291" s="208" t="n">
        <v>2020</v>
      </c>
      <c r="D291" s="210" t="inlineStr">
        <is>
          <t>关于促进非水可再生能源发电健康发展的若干意见</t>
        </is>
      </c>
      <c r="E291" s="210" t="inlineStr">
        <is>
          <t>Opinions on Promoting the Healthy Development of Non-Water Renewable Energy Power Generation</t>
        </is>
      </c>
      <c r="F291" s="209" t="inlineStr">
        <is>
          <t>Ministry of Finance; National Development and Reform Commission; National Energy Administration</t>
        </is>
      </c>
      <c r="G291" s="209" t="inlineStr">
        <is>
          <t>意见</t>
        </is>
      </c>
      <c r="H291" s="210" t="inlineStr">
        <is>
          <t>Mitigation-enabling</t>
        </is>
      </c>
      <c r="I291" s="211" t="inlineStr">
        <is>
          <t>B.1</t>
        </is>
      </c>
      <c r="J291" s="208" t="inlineStr">
        <is>
          <t>-</t>
        </is>
      </c>
      <c r="K291" s="211" t="inlineStr">
        <is>
          <t>NO-TAR</t>
        </is>
      </c>
      <c r="L291" s="209" t="inlineStr">
        <is>
          <t>HTM</t>
        </is>
      </c>
      <c r="M291" s="209" t="inlineStr">
        <is>
          <t>CN</t>
        </is>
      </c>
      <c r="N291" s="203" t="inlineStr">
        <is>
          <t>https://www.gov.cn/zhengce/zhengceku/2020-02/03/content_5474144.htm</t>
        </is>
      </c>
    </row>
    <row r="292">
      <c r="B292" s="198" t="inlineStr">
        <is>
          <t>O2003</t>
        </is>
      </c>
      <c r="C292" s="208" t="n">
        <v>2020</v>
      </c>
      <c r="D292" s="210" t="inlineStr">
        <is>
          <t>国家发展改革委 司法部印发《关于加快建立绿色生产和消费法规政策体系的意见》的通知</t>
        </is>
      </c>
      <c r="E292" s="210" t="inlineStr">
        <is>
          <t>Opinions on Accelerating the Establishment of Regulatory and Policy System for Green Production and Consumption</t>
        </is>
      </c>
      <c r="F292" s="209" t="inlineStr">
        <is>
          <t>National Development and Reform Commission; Ministry of Justice</t>
        </is>
      </c>
      <c r="G292" s="209" t="inlineStr">
        <is>
          <t>意见</t>
        </is>
      </c>
      <c r="H292" s="210" t="inlineStr">
        <is>
          <t>Explicit mitigation</t>
        </is>
      </c>
      <c r="I292" s="211" t="inlineStr">
        <is>
          <t>B.2, C.4</t>
        </is>
      </c>
      <c r="J292" s="208" t="inlineStr">
        <is>
          <t>-</t>
        </is>
      </c>
      <c r="K292" s="211" t="inlineStr">
        <is>
          <t>NO-TAR</t>
        </is>
      </c>
      <c r="L292" s="209" t="inlineStr">
        <is>
          <t>PDF</t>
        </is>
      </c>
      <c r="M292" s="209" t="inlineStr">
        <is>
          <t>CN</t>
        </is>
      </c>
      <c r="N292" s="203" t="inlineStr">
        <is>
          <t>https://www.gov.cn/zhengce/zhengceku/2020-03/19/content_5493065.htm</t>
        </is>
      </c>
    </row>
    <row r="293">
      <c r="B293" s="198" t="inlineStr">
        <is>
          <t>O2101</t>
        </is>
      </c>
      <c r="C293" s="208" t="n">
        <v>2021</v>
      </c>
      <c r="D293" s="210" t="inlineStr">
        <is>
          <t>关于加快推动制造服务业高质量发展的意见</t>
        </is>
      </c>
      <c r="E293" s="210" t="inlineStr">
        <is>
          <t>Opinions on Accelerating the High-Quality Development of the Manufacturing Service Industry</t>
        </is>
      </c>
      <c r="F293" s="209" t="inlineStr">
        <is>
          <t>National Development and Reform Commission; Ministry of Education; Ministry of Science and Technology; Ministry of Industry and Information Technology; Ministry of Justice; Ministry of Human Resources and Social Security; Ministry of Natural Resources; Ministry of Ecology and Environment; Ministry of Transport; Ministry of Commerce; People’s Bank of China; State Administration for Market Regulation; China Banking and Insurance Regulatory Commission</t>
        </is>
      </c>
      <c r="G293" s="209" t="inlineStr">
        <is>
          <t>意见</t>
        </is>
      </c>
      <c r="H293" s="210" t="inlineStr">
        <is>
          <t>Economy planning incl. climate</t>
        </is>
      </c>
      <c r="I293" s="211" t="inlineStr">
        <is>
          <t>B.2</t>
        </is>
      </c>
      <c r="J293" s="208" t="inlineStr">
        <is>
          <t>-</t>
        </is>
      </c>
      <c r="K293" s="211" t="inlineStr">
        <is>
          <t>NO-TAR</t>
        </is>
      </c>
      <c r="L293" s="209" t="inlineStr">
        <is>
          <t>HTM</t>
        </is>
      </c>
      <c r="M293" s="209" t="inlineStr">
        <is>
          <t>CN</t>
        </is>
      </c>
      <c r="N293" s="203" t="inlineStr">
        <is>
          <t>https://www.ndrc.gov.cn/xxgk/zcfb/tz/202103/t20210323_1270129.html?code=&amp;state=123</t>
        </is>
      </c>
    </row>
    <row r="294">
      <c r="B294" s="198" t="inlineStr">
        <is>
          <t>O2102</t>
        </is>
      </c>
      <c r="C294" s="208" t="n">
        <v>2021</v>
      </c>
      <c r="D294" s="210" t="inlineStr">
        <is>
          <t>国家发展改革委等部门关于严格能效约束推动重点领域节能降碳的若干意见</t>
        </is>
      </c>
      <c r="E294" s="210" t="inlineStr">
        <is>
          <t>Opinions on Tightening Energy Efficiency Constraints and Promoting Energy Conservation and Carbon Reduction in Key Areas</t>
        </is>
      </c>
      <c r="F294" s="209" t="inlineStr">
        <is>
          <t>National Development and Reform Commission; Ministry of Industry and Information Technology; Ministry of Ecology and Environment; State Administration for Market Regulation; National Energy Administration</t>
        </is>
      </c>
      <c r="G294" s="209" t="inlineStr">
        <is>
          <t>意见</t>
        </is>
      </c>
      <c r="H294" s="210" t="inlineStr">
        <is>
          <t>Explicit mitigation</t>
        </is>
      </c>
      <c r="I294" s="211" t="inlineStr">
        <is>
          <t>A</t>
        </is>
      </c>
      <c r="J294" s="208" t="inlineStr">
        <is>
          <t>-</t>
        </is>
      </c>
      <c r="K294" s="211" t="inlineStr">
        <is>
          <t>TAR</t>
        </is>
      </c>
      <c r="L294" s="209" t="inlineStr">
        <is>
          <t>HTM</t>
        </is>
      </c>
      <c r="M294" s="209" t="inlineStr">
        <is>
          <t>CN</t>
        </is>
      </c>
      <c r="N294" s="203" t="inlineStr">
        <is>
          <t>https://www.gov.cn/zhengce/zhengceku/2021-10/22/content_5644224.htm</t>
        </is>
      </c>
    </row>
    <row r="295">
      <c r="B295" s="198" t="inlineStr">
        <is>
          <t>O2103</t>
        </is>
      </c>
      <c r="C295" s="208" t="n">
        <v>2021</v>
      </c>
      <c r="D295" s="210" t="inlineStr">
        <is>
          <t>中共中央 国务院关于新时代推动
中部地区高质量发展的意见</t>
        </is>
      </c>
      <c r="E295" s="210" t="inlineStr">
        <is>
          <t>Opinions on Promoting High-quality Development in the Central Region in the New Era</t>
        </is>
      </c>
      <c r="F295" s="209" t="inlineStr">
        <is>
          <t>Communist Party of China Central Committee; State Council</t>
        </is>
      </c>
      <c r="G295" s="209" t="inlineStr">
        <is>
          <t>意见</t>
        </is>
      </c>
      <c r="H295" s="210" t="inlineStr">
        <is>
          <t>Economy planning incl. climate</t>
        </is>
      </c>
      <c r="I295" s="211" t="inlineStr">
        <is>
          <t>A</t>
        </is>
      </c>
      <c r="J295" s="208" t="inlineStr">
        <is>
          <t>-</t>
        </is>
      </c>
      <c r="K295" s="211" t="inlineStr">
        <is>
          <t>NO-TAR</t>
        </is>
      </c>
      <c r="L295" s="209" t="inlineStr">
        <is>
          <t>HTM</t>
        </is>
      </c>
      <c r="M295" s="209" t="inlineStr">
        <is>
          <t>CN</t>
        </is>
      </c>
      <c r="N295" s="203" t="inlineStr">
        <is>
          <t>https://www.gov.cn/gongbao/content/2021/content_5629600.htm</t>
        </is>
      </c>
    </row>
    <row r="296">
      <c r="B296" s="198" t="inlineStr">
        <is>
          <t>O2104</t>
        </is>
      </c>
      <c r="C296" s="208" t="n">
        <v>2021</v>
      </c>
      <c r="D296" s="210" t="inlineStr">
        <is>
          <t>国务院办公厅关于
加强草原保护修复的若干意见</t>
        </is>
      </c>
      <c r="E296" s="210" t="inlineStr">
        <is>
          <t>Opinions on Strengthening Grassland Protection and Restoration</t>
        </is>
      </c>
      <c r="F296" s="209" t="inlineStr">
        <is>
          <t>State Council</t>
        </is>
      </c>
      <c r="G296" s="209" t="inlineStr">
        <is>
          <t>意见</t>
        </is>
      </c>
      <c r="H296" s="210" t="inlineStr">
        <is>
          <t>Mitigation-enabling</t>
        </is>
      </c>
      <c r="I296" s="211" t="inlineStr">
        <is>
          <t>B.5</t>
        </is>
      </c>
      <c r="J296" s="208" t="inlineStr">
        <is>
          <t>-</t>
        </is>
      </c>
      <c r="K296" s="211" t="inlineStr">
        <is>
          <t>NO-TAR</t>
        </is>
      </c>
      <c r="L296" s="209" t="inlineStr">
        <is>
          <t>HTM</t>
        </is>
      </c>
      <c r="M296" s="209" t="inlineStr">
        <is>
          <t>CN</t>
        </is>
      </c>
      <c r="N296" s="203" t="inlineStr">
        <is>
          <t>https://www.gov.cn/zhengce/content/2021-03/30/content_5596791.htm</t>
        </is>
      </c>
    </row>
    <row r="297">
      <c r="B297" s="198" t="inlineStr">
        <is>
          <t>O2105</t>
        </is>
      </c>
      <c r="C297" s="208" t="n">
        <v>2021</v>
      </c>
      <c r="D297" s="210" t="inlineStr">
        <is>
          <t>中共中央办公厅 国务院办公厅印发《关于推动城乡建设绿色发展的意见》</t>
        </is>
      </c>
      <c r="E297" s="210" t="inlineStr">
        <is>
          <t>Opinions on Promoting Green Development of Urban and Rural Construction</t>
        </is>
      </c>
      <c r="F297" s="209" t="inlineStr">
        <is>
          <t>Communist Party of China Central Committee; State Council</t>
        </is>
      </c>
      <c r="G297" s="209" t="inlineStr">
        <is>
          <t>意见</t>
        </is>
      </c>
      <c r="H297" s="210" t="inlineStr">
        <is>
          <t>Explicit mitigation</t>
        </is>
      </c>
      <c r="I297" s="211" t="inlineStr">
        <is>
          <t>B.3, C.6</t>
        </is>
      </c>
      <c r="J297" s="208" t="inlineStr">
        <is>
          <t>-</t>
        </is>
      </c>
      <c r="K297" s="211" t="inlineStr">
        <is>
          <t>NO-TAR</t>
        </is>
      </c>
      <c r="L297" s="209" t="inlineStr">
        <is>
          <t>HTM</t>
        </is>
      </c>
      <c r="M297" s="209" t="inlineStr">
        <is>
          <t>CN</t>
        </is>
      </c>
      <c r="N297" s="203" t="inlineStr">
        <is>
          <t>https://www.gov.cn/zhengce/2021-10/21/content_5644083.htm</t>
        </is>
      </c>
    </row>
    <row r="298">
      <c r="B298" s="198" t="inlineStr">
        <is>
          <t>O2106</t>
        </is>
      </c>
      <c r="C298" s="208" t="n">
        <v>2021</v>
      </c>
      <c r="D298" s="210" t="inlineStr">
        <is>
          <t>住房和城乡建设部等15部门关于加强县城绿色低碳建设的意见</t>
        </is>
      </c>
      <c r="E298" s="210" t="inlineStr">
        <is>
          <t>Opinions on Strengthening the Green and Low-Carbon Construction of County Towns</t>
        </is>
      </c>
      <c r="F298" s="209" t="inlineStr">
        <is>
          <t>Ministry of Housing and Urban-Rural Development; Ministry of Science and Technology; Ministry of Industry and Information Technology; Ministry of Civil Affairs; Ministry of Ecology and Environment; Ministry of Transport; Ministry of Water Resources; Ministry of Culture and Tourism; Ministry of Emergency Management; State Administration for Market Regulation; General Administration of Sport of China; National Energy Administration; National Forestry and Grassland Administration; National Cultural Heritage Administration; National Rural Revitalization Administration</t>
        </is>
      </c>
      <c r="G298" s="209" t="inlineStr">
        <is>
          <t>意见</t>
        </is>
      </c>
      <c r="H298" s="210" t="inlineStr">
        <is>
          <t>Explicit mitigation</t>
        </is>
      </c>
      <c r="I298" s="211" t="inlineStr">
        <is>
          <t>C.6</t>
        </is>
      </c>
      <c r="J298" s="208" t="inlineStr">
        <is>
          <t>-</t>
        </is>
      </c>
      <c r="K298" s="211" t="inlineStr">
        <is>
          <t>NO-TAR</t>
        </is>
      </c>
      <c r="L298" s="209" t="inlineStr">
        <is>
          <t>HTM</t>
        </is>
      </c>
      <c r="M298" s="209" t="inlineStr">
        <is>
          <t>CN</t>
        </is>
      </c>
      <c r="N298" s="203" t="inlineStr">
        <is>
          <t>https://www.gov.cn/zhengce/zhengceku/2021-06/08/content_5616290.htm?ivk_sa=1023197a</t>
        </is>
      </c>
    </row>
    <row r="299">
      <c r="B299" s="198" t="inlineStr">
        <is>
          <t>O2107</t>
        </is>
      </c>
      <c r="C299" s="208" t="n">
        <v>2021</v>
      </c>
      <c r="D299" s="210" t="inlineStr">
        <is>
          <t>中共中央办公厅 国务院办公厅印发
《关于建立健全生态产品价值实现机制的意见》</t>
        </is>
      </c>
      <c r="E299" s="210" t="inlineStr">
        <is>
          <t>Opinions on Establishing and Improving the Mechanism for Realizing the Value of Ecological Products</t>
        </is>
      </c>
      <c r="F299" s="209" t="inlineStr">
        <is>
          <t>Communist Party of China Central Committee; State Council</t>
        </is>
      </c>
      <c r="G299" s="209" t="inlineStr">
        <is>
          <t>意见</t>
        </is>
      </c>
      <c r="H299" s="210" t="inlineStr">
        <is>
          <t>Mitigation-enabling</t>
        </is>
      </c>
      <c r="I299" s="211" t="inlineStr">
        <is>
          <t>D.3</t>
        </is>
      </c>
      <c r="J299" s="208" t="inlineStr">
        <is>
          <t>-</t>
        </is>
      </c>
      <c r="K299" s="211" t="inlineStr">
        <is>
          <t>NO-TAR</t>
        </is>
      </c>
      <c r="L299" s="209" t="inlineStr">
        <is>
          <t>HTM</t>
        </is>
      </c>
      <c r="M299" s="209" t="inlineStr">
        <is>
          <t>CN</t>
        </is>
      </c>
      <c r="N299" s="203" t="inlineStr">
        <is>
          <t>https://www.gov.cn/gongbao/content/2021/content_5609079.htm</t>
        </is>
      </c>
    </row>
    <row r="300">
      <c r="B300" s="198" t="inlineStr">
        <is>
          <t>O2108</t>
        </is>
      </c>
      <c r="C300" s="208" t="n">
        <v>2021</v>
      </c>
      <c r="D300" s="210" t="inlineStr">
        <is>
          <t>中共中央办公厅 国务院办公厅印发
《关于深化生态保护补偿制度改革的意见》</t>
        </is>
      </c>
      <c r="E300" s="210" t="inlineStr">
        <is>
          <t>Opinions on Deepening the Reform of Ecological Protection Compensation System</t>
        </is>
      </c>
      <c r="F300" s="209" t="inlineStr">
        <is>
          <t>Communist Party of China Central Committee; State Council</t>
        </is>
      </c>
      <c r="G300" s="209" t="inlineStr">
        <is>
          <t>意见</t>
        </is>
      </c>
      <c r="H300" s="210" t="inlineStr">
        <is>
          <t>Mitigation-enabling</t>
        </is>
      </c>
      <c r="I300" s="211" t="inlineStr">
        <is>
          <t>D.3</t>
        </is>
      </c>
      <c r="J300" s="208" t="inlineStr">
        <is>
          <t>-</t>
        </is>
      </c>
      <c r="K300" s="211" t="inlineStr">
        <is>
          <t>NO-TAR</t>
        </is>
      </c>
      <c r="L300" s="209" t="inlineStr">
        <is>
          <t>HTM</t>
        </is>
      </c>
      <c r="M300" s="209" t="inlineStr">
        <is>
          <t>CN</t>
        </is>
      </c>
      <c r="N300" s="203" t="inlineStr">
        <is>
          <t>https://www.gov.cn/gongbao/content/2021/content_5639830.htm</t>
        </is>
      </c>
    </row>
    <row r="301">
      <c r="B301" s="198" t="inlineStr">
        <is>
          <t>O2109</t>
        </is>
      </c>
      <c r="C301" s="208" t="n">
        <v>2021</v>
      </c>
      <c r="D301" s="210" t="inlineStr">
        <is>
          <t>关于鼓励和支持社会资本参与生态保护修复的意见</t>
        </is>
      </c>
      <c r="E301" s="210" t="inlineStr">
        <is>
          <t>Opinions on Encouraging and Supporting Social Capital to Participate in Ecological Protection and Restoration</t>
        </is>
      </c>
      <c r="F301" s="209" t="inlineStr">
        <is>
          <t>National Development and Reform Commission; Ministry of Natural Resources; Ministry of Ecology and Environment; Ministry of Housing and Urban-Rural Development; Ministry of Water Resources; Ministry of Agriculture and Rural Affairs; National Forestry and Grassland Administration</t>
        </is>
      </c>
      <c r="G301" s="209" t="inlineStr">
        <is>
          <t>意见</t>
        </is>
      </c>
      <c r="H301" s="210" t="inlineStr">
        <is>
          <t>Mitigation-enabling</t>
        </is>
      </c>
      <c r="I301" s="211" t="inlineStr">
        <is>
          <t>C.4</t>
        </is>
      </c>
      <c r="J301" s="208" t="inlineStr">
        <is>
          <t>-</t>
        </is>
      </c>
      <c r="K301" s="211" t="inlineStr">
        <is>
          <t>NO-TAR</t>
        </is>
      </c>
      <c r="L301" s="209" t="inlineStr">
        <is>
          <t>HTM</t>
        </is>
      </c>
      <c r="M301" s="209" t="inlineStr">
        <is>
          <t>CN</t>
        </is>
      </c>
      <c r="N301" s="203" t="inlineStr">
        <is>
          <t>https://www.gov.cn/zhengce/zhengceku/2021-11/10/content_5650075.htm</t>
        </is>
      </c>
    </row>
    <row r="302">
      <c r="B302" s="198" t="inlineStr">
        <is>
          <t>O2201</t>
        </is>
      </c>
      <c r="C302" s="208" t="n">
        <v>2022</v>
      </c>
      <c r="D302" s="210" t="inlineStr">
        <is>
          <t>财政支持做好碳达峰碳中和工作的意见</t>
        </is>
      </c>
      <c r="E302" s="210" t="inlineStr">
        <is>
          <t>Opinions on Financial Support for Reaching Carbon Neutrality and Carbon Peaking</t>
        </is>
      </c>
      <c r="F302" s="209" t="inlineStr">
        <is>
          <t>Ministry of Finance</t>
        </is>
      </c>
      <c r="G302" s="209" t="inlineStr">
        <is>
          <t>意见</t>
        </is>
      </c>
      <c r="H302" s="210" t="inlineStr">
        <is>
          <t>Explicit mitigation</t>
        </is>
      </c>
      <c r="I302" s="211" t="inlineStr">
        <is>
          <t>C.2</t>
        </is>
      </c>
      <c r="J302" s="208" t="inlineStr">
        <is>
          <t>-</t>
        </is>
      </c>
      <c r="K302" s="211" t="inlineStr">
        <is>
          <t>NO-TAR</t>
        </is>
      </c>
      <c r="L302" s="209" t="inlineStr">
        <is>
          <t>PDF</t>
        </is>
      </c>
      <c r="M302" s="209" t="inlineStr">
        <is>
          <t>CN</t>
        </is>
      </c>
      <c r="N302" s="203" t="inlineStr">
        <is>
          <t>http://zyhj.mof.gov.cn/zcfb/202205/t20220530_3814434.htm</t>
        </is>
      </c>
    </row>
    <row r="303">
      <c r="B303" s="198" t="inlineStr">
        <is>
          <t>O2202</t>
        </is>
      </c>
      <c r="C303" s="208" t="n">
        <v>2022</v>
      </c>
      <c r="D303" s="210" t="inlineStr">
        <is>
          <t>关于完善能源绿色低碳转型体制机制和政策措施的意见</t>
        </is>
      </c>
      <c r="E303" s="210" t="inlineStr">
        <is>
          <t>Opinions on Improving the Institutional Mechanism and Policy Measures for the Green and Low-Carbon Energy Transition</t>
        </is>
      </c>
      <c r="F303" s="209" t="inlineStr">
        <is>
          <t>National Development and Reform Commission; National Energy Administration</t>
        </is>
      </c>
      <c r="G303" s="209" t="inlineStr">
        <is>
          <t>意见</t>
        </is>
      </c>
      <c r="H303" s="210" t="inlineStr">
        <is>
          <t>Explicit mitigation</t>
        </is>
      </c>
      <c r="I303" s="211" t="inlineStr">
        <is>
          <t>B.1</t>
        </is>
      </c>
      <c r="J303" s="208" t="inlineStr">
        <is>
          <t>-</t>
        </is>
      </c>
      <c r="K303" s="211" t="inlineStr">
        <is>
          <t>NO-TAR</t>
        </is>
      </c>
      <c r="L303" s="209" t="inlineStr">
        <is>
          <t>HTM</t>
        </is>
      </c>
      <c r="M303" s="209" t="inlineStr">
        <is>
          <t>CN</t>
        </is>
      </c>
      <c r="N303" s="203" t="inlineStr">
        <is>
          <t>https://www.ndrc.gov.cn/xxgk/zcfb/tz/202202/t20220210_1314511.html?code=&amp;state=123</t>
        </is>
      </c>
    </row>
    <row r="304" ht="14.5" customHeight="1" s="235">
      <c r="B304" s="198" t="inlineStr">
        <is>
          <t>O2301</t>
        </is>
      </c>
      <c r="C304" s="208" t="n">
        <v>2023</v>
      </c>
      <c r="D304" s="210" t="inlineStr">
        <is>
          <t>交通运输部 国家发展和改革委员会 公安部 财政部 人力资源和社会保障部 自然资源部 国家金融监督管理总局 中国证券监督管理委员会 中华全国总工会关于推进城市公共交通健康可持续发展的若干意见</t>
        </is>
      </c>
      <c r="E304" s="210" t="inlineStr">
        <is>
          <t>Opinions on Promoting the Healthy and Sustainable Development of Urban Public Transportation</t>
        </is>
      </c>
      <c r="F304" s="209" t="inlineStr">
        <is>
          <t>Ministry of Transport; National Development and Reform Commission; Ministry of Public Security; Ministry of Finance; Ministry of Human Resources and Social Security; Ministry of Natural Resources; National Financial Regulatory Administration; China Securities Regulatory Commission; All-China Federation of Trade Unions</t>
        </is>
      </c>
      <c r="G304" s="209" t="inlineStr">
        <is>
          <t>意见</t>
        </is>
      </c>
      <c r="H304" s="210" t="inlineStr">
        <is>
          <t>Mitigation-enabling</t>
        </is>
      </c>
      <c r="I304" s="211" t="inlineStr">
        <is>
          <t>B.4, C.6</t>
        </is>
      </c>
      <c r="J304" s="208" t="inlineStr">
        <is>
          <t>-</t>
        </is>
      </c>
      <c r="K304" s="211" t="inlineStr">
        <is>
          <t>NO-TAR</t>
        </is>
      </c>
      <c r="L304" s="209" t="inlineStr">
        <is>
          <t>HTM</t>
        </is>
      </c>
      <c r="M304" s="209" t="inlineStr">
        <is>
          <t>CN</t>
        </is>
      </c>
      <c r="N304" s="203" t="inlineStr">
        <is>
          <t>https://www.gov.cn/zhengce/zhengceku/202310/content_6907977.htm</t>
        </is>
      </c>
    </row>
    <row r="305">
      <c r="B305" s="198" t="inlineStr">
        <is>
          <t>O2401</t>
        </is>
      </c>
      <c r="C305" s="208" t="n">
        <v>2024</v>
      </c>
      <c r="D305" s="210" t="inlineStr">
        <is>
          <t>关于发挥绿色金融作用 服务美丽中国建设的意见</t>
        </is>
      </c>
      <c r="E305" s="210" t="inlineStr">
        <is>
          <t>Opinions on Leveraging the Role of Green Finance to Serve the Construction of a Beautiful China</t>
        </is>
      </c>
      <c r="F305" s="209" t="inlineStr">
        <is>
          <t>People’s Bank of China; Ministry of Ecology and Environment; National Financial Regulatory Administration; China Securities Regulatory Commission</t>
        </is>
      </c>
      <c r="G305" s="209" t="inlineStr">
        <is>
          <t>意见</t>
        </is>
      </c>
      <c r="H305" s="210" t="inlineStr">
        <is>
          <t>Explicit mitigation</t>
        </is>
      </c>
      <c r="I305" s="211" t="inlineStr">
        <is>
          <t>C.2</t>
        </is>
      </c>
      <c r="J305" s="208" t="inlineStr">
        <is>
          <t>-</t>
        </is>
      </c>
      <c r="K305" s="211" t="inlineStr">
        <is>
          <t>TAR</t>
        </is>
      </c>
      <c r="L305" s="209" t="inlineStr">
        <is>
          <t>HTM</t>
        </is>
      </c>
      <c r="M305" s="209" t="inlineStr">
        <is>
          <t>CN</t>
        </is>
      </c>
      <c r="N305" s="203" t="inlineStr">
        <is>
          <t>https://www.gov.cn/zhengce/zhengceku/202410/content_6979595.htm</t>
        </is>
      </c>
    </row>
    <row r="306">
      <c r="B306" s="198" t="inlineStr">
        <is>
          <t>O2402</t>
        </is>
      </c>
      <c r="C306" s="208" t="n">
        <v>2024</v>
      </c>
      <c r="D306" s="210" t="inlineStr">
        <is>
          <t>关于推动城乡建设绿色发展的意见</t>
        </is>
      </c>
      <c r="E306" s="210" t="inlineStr">
        <is>
          <t>Opinions on Promoting the Green Development of Urban and Rural Construction</t>
        </is>
      </c>
      <c r="F306" s="209" t="inlineStr">
        <is>
          <t>Communist Party of China Central Committee; State Council</t>
        </is>
      </c>
      <c r="G306" s="209" t="inlineStr">
        <is>
          <t>意见</t>
        </is>
      </c>
      <c r="H306" s="210" t="inlineStr">
        <is>
          <t>Explicit mitigation</t>
        </is>
      </c>
      <c r="I306" s="211" t="inlineStr">
        <is>
          <t>C.6</t>
        </is>
      </c>
      <c r="J306" s="208" t="inlineStr">
        <is>
          <t>-</t>
        </is>
      </c>
      <c r="K306" s="211" t="inlineStr">
        <is>
          <t>TAR</t>
        </is>
      </c>
      <c r="L306" s="209" t="inlineStr">
        <is>
          <t>HTM</t>
        </is>
      </c>
      <c r="M306" s="209" t="inlineStr">
        <is>
          <t>CN</t>
        </is>
      </c>
      <c r="N306" s="203" t="inlineStr">
        <is>
          <t>https://www.gov.cn/zhengce/2021-10/21/content_5644083.htm</t>
        </is>
      </c>
    </row>
    <row r="307">
      <c r="B307" s="198" t="inlineStr">
        <is>
          <t>O2403</t>
        </is>
      </c>
      <c r="C307" s="208" t="n">
        <v>2024</v>
      </c>
      <c r="D307" s="226" t="inlineStr">
        <is>
          <t>关于加快建立产品碳足迹管理体系的意见</t>
        </is>
      </c>
      <c r="E307" s="210" t="inlineStr">
        <is>
          <t>Opinions on Accelerating the Establishment of Carbon Footprint Management System for Products</t>
        </is>
      </c>
      <c r="F307" s="209" t="inlineStr">
        <is>
          <t>National Development and Reform Commission; Ministry of Industry and Information Technology; Ministry of Housing and Urban-Rural Development; Ministry of Transport; State Administration for Market Regulation</t>
        </is>
      </c>
      <c r="G307" s="209" t="inlineStr">
        <is>
          <t>意见</t>
        </is>
      </c>
      <c r="H307" s="210" t="inlineStr">
        <is>
          <t>Explicit mitigation</t>
        </is>
      </c>
      <c r="I307" s="211" t="inlineStr">
        <is>
          <t>C.3</t>
        </is>
      </c>
      <c r="J307" s="208" t="inlineStr">
        <is>
          <t>-</t>
        </is>
      </c>
      <c r="K307" s="211" t="inlineStr">
        <is>
          <t>NO-TAR</t>
        </is>
      </c>
      <c r="L307" s="209" t="inlineStr">
        <is>
          <t>HTM</t>
        </is>
      </c>
      <c r="M307" s="209" t="inlineStr">
        <is>
          <t>CN</t>
        </is>
      </c>
      <c r="N307" s="203" t="inlineStr">
        <is>
          <t>https://www.ndrc.gov.cn/xxgk/zcfb/tz/202311/t20231124_1362231.html</t>
        </is>
      </c>
    </row>
    <row r="308">
      <c r="B308" s="198" t="inlineStr">
        <is>
          <t>O2404</t>
        </is>
      </c>
      <c r="C308" s="208" t="n">
        <v>2024</v>
      </c>
      <c r="D308" s="210" t="inlineStr">
        <is>
          <t>关于推进实施焦化行业超低排放的意见</t>
        </is>
      </c>
      <c r="E308" s="210" t="inlineStr">
        <is>
          <t>Opinions on Promoting the Implementation of Ultra-Low Emissions Reform in Coking Industry</t>
        </is>
      </c>
      <c r="F308" s="209" t="inlineStr">
        <is>
          <t>Ministry of Ecology and Environment; National Development and Reform Commission; Ministry of Industry and Information Technology; Ministry of Finance; Ministry of Transport</t>
        </is>
      </c>
      <c r="G308" s="209" t="inlineStr">
        <is>
          <t>意见</t>
        </is>
      </c>
      <c r="H308" s="210" t="inlineStr">
        <is>
          <t>Explicit mitigation</t>
        </is>
      </c>
      <c r="I308" s="211" t="inlineStr">
        <is>
          <t>B.2</t>
        </is>
      </c>
      <c r="J308" s="208" t="inlineStr">
        <is>
          <t>-</t>
        </is>
      </c>
      <c r="K308" s="211" t="inlineStr">
        <is>
          <t>TAR</t>
        </is>
      </c>
      <c r="L308" s="209" t="inlineStr">
        <is>
          <t>PDF</t>
        </is>
      </c>
      <c r="M308" s="209" t="inlineStr">
        <is>
          <t>CN</t>
        </is>
      </c>
      <c r="N308" s="203" t="inlineStr">
        <is>
          <t>https://www.mee.gov.cn/xxgk2018/xxgk/xxgk03/202401/t20240119_1064243.html</t>
        </is>
      </c>
    </row>
    <row r="309">
      <c r="B309" s="198" t="inlineStr">
        <is>
          <t>O2405</t>
        </is>
      </c>
      <c r="C309" s="208" t="n">
        <v>2024</v>
      </c>
      <c r="D309" s="210" t="inlineStr">
        <is>
          <t>关于全面推进美丽中国建设的意见</t>
        </is>
      </c>
      <c r="E309" s="210" t="inlineStr">
        <is>
          <t>Opinions on Comprehensively Developing a “Beautiful China”</t>
        </is>
      </c>
      <c r="F309" s="209" t="inlineStr">
        <is>
          <t>Communist Party of China Central Committee; State Council</t>
        </is>
      </c>
      <c r="G309" s="209" t="inlineStr">
        <is>
          <t>意见</t>
        </is>
      </c>
      <c r="H309" s="210" t="inlineStr">
        <is>
          <t>Mitigation-enabling</t>
        </is>
      </c>
      <c r="I309" s="211" t="inlineStr">
        <is>
          <t>A</t>
        </is>
      </c>
      <c r="J309" s="208" t="inlineStr">
        <is>
          <t>-</t>
        </is>
      </c>
      <c r="K309" s="211" t="inlineStr">
        <is>
          <t>TAR</t>
        </is>
      </c>
      <c r="L309" s="209" t="inlineStr">
        <is>
          <t>HTM</t>
        </is>
      </c>
      <c r="M309" s="209" t="inlineStr">
        <is>
          <t>CN</t>
        </is>
      </c>
      <c r="N309" s="203" t="inlineStr">
        <is>
          <t>https://www.mee.gov.cn/zcwj/zyygwj/202401/t20240111_1063458.shtml</t>
        </is>
      </c>
    </row>
    <row r="310">
      <c r="B310" s="198" t="inlineStr">
        <is>
          <t>O2406</t>
        </is>
      </c>
      <c r="C310" s="208" t="n">
        <v>2024</v>
      </c>
      <c r="D310" s="210" t="inlineStr">
        <is>
          <t>关于推进实施水泥行业超低排放的意见</t>
        </is>
      </c>
      <c r="E310" s="210" t="inlineStr">
        <is>
          <t>Opinions on Promoting the Implementation of Ultra-low Emissions Reform in Cement Industry</t>
        </is>
      </c>
      <c r="F310" s="209" t="inlineStr">
        <is>
          <t>Ministry of Ecology and Environment; National Development and Reform Commission; Ministry of Industry and Information Technology; Ministry of Finance; Ministry of Transport</t>
        </is>
      </c>
      <c r="G310" s="209" t="inlineStr">
        <is>
          <t>意见</t>
        </is>
      </c>
      <c r="H310" s="210" t="inlineStr">
        <is>
          <t>Explicit mitigation</t>
        </is>
      </c>
      <c r="I310" s="211" t="inlineStr">
        <is>
          <t>B.2</t>
        </is>
      </c>
      <c r="J310" s="208" t="inlineStr">
        <is>
          <t>-</t>
        </is>
      </c>
      <c r="K310" s="211" t="inlineStr">
        <is>
          <t>TAR</t>
        </is>
      </c>
      <c r="L310" s="209" t="inlineStr">
        <is>
          <t>PDF</t>
        </is>
      </c>
      <c r="M310" s="209" t="inlineStr">
        <is>
          <t>CN</t>
        </is>
      </c>
      <c r="N310" s="203" t="inlineStr">
        <is>
          <t>https://www.mee.gov.cn/xxgk2018/xxgk/xxgk03/202401/t20240119_1064243.html</t>
        </is>
      </c>
    </row>
    <row r="311">
      <c r="B311" s="198" t="inlineStr">
        <is>
          <t>O2407</t>
        </is>
      </c>
      <c r="C311" s="208" t="n">
        <v>2024</v>
      </c>
      <c r="D311" s="210" t="inlineStr">
        <is>
          <t>国务院关于加快经济社会发展全面绿色转型的意见</t>
        </is>
      </c>
      <c r="E311" s="210" t="inlineStr">
        <is>
          <t>Opinions on Accelerating the Green Transition of Economic and Social Development</t>
        </is>
      </c>
      <c r="F311" s="209" t="inlineStr">
        <is>
          <t>Communist Party of China Central Committee; State Council</t>
        </is>
      </c>
      <c r="G311" s="209" t="inlineStr">
        <is>
          <t>意见</t>
        </is>
      </c>
      <c r="H311" s="210" t="inlineStr">
        <is>
          <t>Explicit mitigation</t>
        </is>
      </c>
      <c r="I311" s="211" t="inlineStr">
        <is>
          <t>A</t>
        </is>
      </c>
      <c r="J311" s="208" t="inlineStr">
        <is>
          <t>-</t>
        </is>
      </c>
      <c r="K311" s="211" t="inlineStr">
        <is>
          <t>TAR</t>
        </is>
      </c>
      <c r="L311" s="209" t="inlineStr">
        <is>
          <t>HTM</t>
        </is>
      </c>
      <c r="M311" s="209" t="inlineStr">
        <is>
          <t>CN</t>
        </is>
      </c>
      <c r="N311" s="203" t="inlineStr">
        <is>
          <t>https://www.gov.cn/zhengce/202408/content_6967663.htm</t>
        </is>
      </c>
    </row>
    <row r="312">
      <c r="B312" s="198" t="inlineStr">
        <is>
          <t>O2501</t>
        </is>
      </c>
      <c r="C312" s="208" t="n">
        <v>2025</v>
      </c>
      <c r="D312" s="210" t="inlineStr">
        <is>
          <t>关于促进环保装备制造业高质量发展的若干意见</t>
        </is>
      </c>
      <c r="E312" s="210" t="inlineStr">
        <is>
          <t>Opinions on Promoting High-Quality Development of Environmental Protection Equipment Manufacturing Industry</t>
        </is>
      </c>
      <c r="F312" s="209" t="inlineStr">
        <is>
          <t>Ministry of Industry and Information Technology; Ministry of Ecology and Environment; State Administration for Market Regulation</t>
        </is>
      </c>
      <c r="G312" s="209" t="inlineStr">
        <is>
          <t>意见</t>
        </is>
      </c>
      <c r="H312" s="210" t="inlineStr">
        <is>
          <t>Mitigation-enabling</t>
        </is>
      </c>
      <c r="I312" s="211" t="inlineStr">
        <is>
          <t>B.2</t>
        </is>
      </c>
      <c r="J312" s="208" t="inlineStr">
        <is>
          <t>-</t>
        </is>
      </c>
      <c r="K312" s="211" t="inlineStr">
        <is>
          <t>TAR</t>
        </is>
      </c>
      <c r="L312" s="209" t="inlineStr">
        <is>
          <t>HTM</t>
        </is>
      </c>
      <c r="M312" s="209" t="inlineStr">
        <is>
          <t>CN</t>
        </is>
      </c>
      <c r="N312" s="203" t="inlineStr">
        <is>
          <t>https://www.gov.cn/zhengce/zhengceku/202503/content_7013158.htm</t>
        </is>
      </c>
    </row>
    <row r="313">
      <c r="B313" s="198" t="inlineStr">
        <is>
          <t>O2502</t>
        </is>
      </c>
      <c r="C313" s="208" t="n">
        <v>2025</v>
      </c>
      <c r="D313" s="210" t="inlineStr">
        <is>
          <t>中共中央 国务院关于进一步深化农村改革扎实推进乡村全面振兴的意见</t>
        </is>
      </c>
      <c r="E313" s="210" t="inlineStr">
        <is>
          <t>Opinions for Further Deepening Rural Reform and Advancing Comprehensive Rural Revitalization</t>
        </is>
      </c>
      <c r="F313" s="209" t="inlineStr">
        <is>
          <t>Communist Party of China Central Committee; State Council</t>
        </is>
      </c>
      <c r="G313" s="209" t="inlineStr">
        <is>
          <t>意见</t>
        </is>
      </c>
      <c r="H313" s="210" t="inlineStr">
        <is>
          <t>Economy planning incl. climate</t>
        </is>
      </c>
      <c r="I313" s="211" t="inlineStr">
        <is>
          <t>C.6</t>
        </is>
      </c>
      <c r="J313" s="208" t="inlineStr">
        <is>
          <t>-</t>
        </is>
      </c>
      <c r="K313" s="211" t="inlineStr">
        <is>
          <t>NO-TAR</t>
        </is>
      </c>
      <c r="L313" s="209" t="inlineStr">
        <is>
          <t>HTM</t>
        </is>
      </c>
      <c r="M313" s="209" t="inlineStr">
        <is>
          <t>CN</t>
        </is>
      </c>
      <c r="N313" s="203" t="inlineStr">
        <is>
          <t>https://www.gov.cn/gongbao/2025/issue_11906/202503/content_7011166.html</t>
        </is>
      </c>
    </row>
    <row r="314">
      <c r="B314" s="198" t="inlineStr">
        <is>
          <t>O2503</t>
        </is>
      </c>
      <c r="C314" s="208" t="n">
        <v>2025</v>
      </c>
      <c r="D314" s="210" t="inlineStr">
        <is>
          <t>关于推动内河航运高质量发展的意见</t>
        </is>
      </c>
      <c r="E314" s="210" t="inlineStr">
        <is>
          <t>Opinions for the High-Quality Development of Inland Waterway Transportation</t>
        </is>
      </c>
      <c r="F314" s="209" t="inlineStr">
        <is>
          <t>Ministry of Transport; Ministry of Industry and Information Technology; Ministry of Finance; Ministry of Natural Resources; Ministry of Ecology and Environment; Ministry of Water Resources</t>
        </is>
      </c>
      <c r="G314" s="209" t="inlineStr">
        <is>
          <t>意见</t>
        </is>
      </c>
      <c r="H314" s="210" t="inlineStr">
        <is>
          <t>Explicit mitigation</t>
        </is>
      </c>
      <c r="I314" s="211" t="inlineStr">
        <is>
          <t>B.4</t>
        </is>
      </c>
      <c r="J314" s="208" t="inlineStr">
        <is>
          <t>-</t>
        </is>
      </c>
      <c r="K314" s="211" t="inlineStr">
        <is>
          <t>TAR</t>
        </is>
      </c>
      <c r="L314" s="209" t="inlineStr">
        <is>
          <t>HTM</t>
        </is>
      </c>
      <c r="M314" s="209" t="inlineStr">
        <is>
          <t>CN</t>
        </is>
      </c>
      <c r="N314" s="203" t="inlineStr">
        <is>
          <t>https://xxgk.mot.gov.cn/2020/jigou/syj/202506/t20250627_4171424.html</t>
        </is>
      </c>
    </row>
    <row r="315">
      <c r="B315" s="198" t="inlineStr">
        <is>
          <t>O2504</t>
        </is>
      </c>
      <c r="C315" s="208" t="n">
        <v>2025</v>
      </c>
      <c r="D315" s="210" t="inlineStr">
        <is>
          <t>关于加快推进煤炭洗选高质量发展的意见</t>
        </is>
      </c>
      <c r="E315" s="210" t="inlineStr">
        <is>
          <t>Opinions on Accelerating the High-Quality Development of Coal Washing and Processing</t>
        </is>
      </c>
      <c r="F315" s="209" t="inlineStr">
        <is>
          <t>National Energy Administration</t>
        </is>
      </c>
      <c r="G315" s="209" t="inlineStr">
        <is>
          <t>意见</t>
        </is>
      </c>
      <c r="H315" s="210" t="inlineStr">
        <is>
          <t>Fossil-fuel</t>
        </is>
      </c>
      <c r="I315" s="211" t="inlineStr">
        <is>
          <t>B.1</t>
        </is>
      </c>
      <c r="J315" s="208" t="inlineStr">
        <is>
          <t>-</t>
        </is>
      </c>
      <c r="K315" s="211" t="inlineStr">
        <is>
          <t>NO-TAR</t>
        </is>
      </c>
      <c r="L315" s="209" t="inlineStr">
        <is>
          <t>HTM</t>
        </is>
      </c>
      <c r="M315" s="209" t="inlineStr">
        <is>
          <t>CN</t>
        </is>
      </c>
      <c r="N315" s="203" t="inlineStr">
        <is>
          <t>https://www.nea.gov.cn/20251017/7ea998503bad4d24bb2334cf41f300d9/c.html</t>
        </is>
      </c>
    </row>
    <row r="316">
      <c r="B316" s="198" t="inlineStr">
        <is>
          <t>O2601</t>
        </is>
      </c>
      <c r="C316" s="208" t="n">
        <v>2026</v>
      </c>
      <c r="D316" s="210" t="inlineStr">
        <is>
          <t>关于更高水平更高质量做好节能降碳工作的意见</t>
        </is>
      </c>
      <c r="E316" s="210" t="inlineStr">
        <is>
          <t>Opinions on Achieving Higher-Level and Higher-Quality Energy Conservation and Carbon Reduction</t>
        </is>
      </c>
      <c r="F316" s="209" t="inlineStr">
        <is>
          <t>State Council; National Development and Reform Commission</t>
        </is>
      </c>
      <c r="G316" s="209" t="inlineStr">
        <is>
          <t>意见</t>
        </is>
      </c>
      <c r="H316" s="210" t="inlineStr">
        <is>
          <t>Explicit mitigation</t>
        </is>
      </c>
      <c r="I316" s="211" t="inlineStr">
        <is>
          <t>A</t>
        </is>
      </c>
      <c r="J316" s="208" t="inlineStr">
        <is>
          <t>-</t>
        </is>
      </c>
      <c r="K316" s="211" t="inlineStr">
        <is>
          <t>NO-TAR</t>
        </is>
      </c>
      <c r="L316" s="209" t="inlineStr">
        <is>
          <t>HTM</t>
        </is>
      </c>
      <c r="M316" s="209" t="inlineStr">
        <is>
          <t>CN</t>
        </is>
      </c>
      <c r="N316" s="203" t="inlineStr">
        <is>
          <t>https://www.gov.cn/yaowen/liebiao/202604/content_7066615.htm</t>
        </is>
      </c>
    </row>
    <row r="317">
      <c r="B317" s="198" t="inlineStr">
        <is>
          <t>O2602</t>
        </is>
      </c>
      <c r="C317" s="208" t="n">
        <v>2026</v>
      </c>
      <c r="D317" s="210" t="inlineStr">
        <is>
          <t>关于推动航运绿色低碳转型发展的意见</t>
        </is>
      </c>
      <c r="E317" s="210" t="inlineStr">
        <is>
          <t>Opinions for Promoting the Green and Low-Carbon Transition and Development of Shipping in China</t>
        </is>
      </c>
      <c r="F317" s="209" t="inlineStr">
        <is>
          <t>Maritime Safety Administration of the Ministry of Transport</t>
        </is>
      </c>
      <c r="G317" s="209" t="inlineStr">
        <is>
          <t>意见</t>
        </is>
      </c>
      <c r="H317" s="210" t="inlineStr">
        <is>
          <t>Explicit mitigation</t>
        </is>
      </c>
      <c r="I317" s="211" t="inlineStr">
        <is>
          <t>B.4</t>
        </is>
      </c>
      <c r="J317" s="208" t="inlineStr">
        <is>
          <t>-</t>
        </is>
      </c>
      <c r="K317" s="211" t="inlineStr">
        <is>
          <t>TAR</t>
        </is>
      </c>
      <c r="L317" s="209" t="inlineStr">
        <is>
          <t>HTM</t>
        </is>
      </c>
      <c r="M317" s="209" t="inlineStr">
        <is>
          <t>CN</t>
        </is>
      </c>
      <c r="N317" s="203" t="inlineStr">
        <is>
          <t>https://www.msa.gov.cn/html/cnmsa/xxgk/article/2026/b096e4423f2947cab0db94c383b95c97.html?hav=6RvRN10hGunPXKr</t>
        </is>
      </c>
    </row>
    <row r="318">
      <c r="B318" s="0" t="inlineStr">
        <is>
          <t>O2603</t>
        </is>
      </c>
      <c r="C318" s="0" t="n">
        <v>2026</v>
      </c>
      <c r="D318" s="0" t="inlineStr">
        <is>
          <t>关于深化综合交通运输体系改革的意见</t>
        </is>
      </c>
      <c r="E318" s="0" t="inlineStr">
        <is>
          <t>Opinions on Deepening the Reform of the Comprehensive Transport System</t>
        </is>
      </c>
      <c r="F318" s="0" t="inlineStr">
        <is>
          <t>Ministry of Transport; National Development and Reform Commission</t>
        </is>
      </c>
      <c r="G318" s="0" t="inlineStr">
        <is>
          <t>意见</t>
        </is>
      </c>
      <c r="H318" s="0" t="inlineStr">
        <is>
          <t>B.4</t>
        </is>
      </c>
      <c r="I318" s="0" t="inlineStr">
        <is>
          <t>Mitigation-enabling</t>
        </is>
      </c>
      <c r="J318" s="0" t="inlineStr">
        <is>
          <t>-</t>
        </is>
      </c>
      <c r="K318" s="0" t="inlineStr">
        <is>
          <t>NO-TAR</t>
        </is>
      </c>
      <c r="L318" s="0" t="inlineStr">
        <is>
          <t>HTM</t>
        </is>
      </c>
      <c r="M318" s="0" t="inlineStr">
        <is>
          <t>CN</t>
        </is>
      </c>
      <c r="N318" s="0" t="inlineStr">
        <is>
          <t>https://xxgk.mot.gov.cn/jigou/zcyjs/202607/t20260724_4210365.html</t>
        </is>
      </c>
    </row>
    <row r="319">
      <c r="B319" s="205" t="inlineStr">
        <is>
          <t>Action Plans</t>
        </is>
      </c>
      <c r="C319" s="206" t="n"/>
      <c r="D319" s="206" t="n"/>
      <c r="E319" s="206" t="n"/>
      <c r="F319" s="206" t="n"/>
      <c r="G319" s="206" t="n"/>
      <c r="H319" s="206" t="n"/>
      <c r="I319" s="206" t="n"/>
      <c r="J319" s="206" t="n"/>
      <c r="K319" s="206" t="n"/>
      <c r="L319" s="206" t="n"/>
      <c r="M319" s="206" t="n"/>
      <c r="N319" s="207" t="inlineStr">
        <is>
          <t>https://www.gov.cn/xinwen/2016-06/22/content_5084284.htm</t>
        </is>
      </c>
    </row>
    <row r="320">
      <c r="B320" s="198" t="inlineStr">
        <is>
          <t>AP0702</t>
        </is>
      </c>
      <c r="C320" s="208" t="n">
        <v>2007</v>
      </c>
      <c r="D320" s="209" t="inlineStr">
        <is>
          <t>中国应对气候变化科技专项行动</t>
        </is>
      </c>
      <c r="E320" s="209" t="inlineStr">
        <is>
          <t>China’s Scientific &amp; Technological Special Actions on Climate Change</t>
        </is>
      </c>
      <c r="F320" s="209" t="inlineStr">
        <is>
          <t>Ministry of Science and Technology; National Development and Reform Commission; Ministry of Foreign Affairs; Ministry of Education; Ministry of Finance; Ministry of Water Resources; Ministry of Agriculture; State Environmental Protection Administration; State Forestry Administration; Chinese Academy of Sciences; China Meteorological Administration; National Natural Science Foundation of China; State Oceanic Administration; China Association for Science and Technology</t>
        </is>
      </c>
      <c r="G320" s="209" t="inlineStr">
        <is>
          <t>专项行动</t>
        </is>
      </c>
      <c r="H320" s="210" t="inlineStr">
        <is>
          <t>Explicit mitigation</t>
        </is>
      </c>
      <c r="I320" s="211" t="inlineStr">
        <is>
          <t>C.1</t>
        </is>
      </c>
      <c r="J320" s="208" t="inlineStr">
        <is>
          <t>-</t>
        </is>
      </c>
      <c r="K320" s="211" t="inlineStr">
        <is>
          <t>TAR</t>
        </is>
      </c>
      <c r="L320" s="209" t="inlineStr">
        <is>
          <t>PDF</t>
        </is>
      </c>
      <c r="M320" s="209" t="inlineStr">
        <is>
          <t>EN</t>
        </is>
      </c>
      <c r="N320" s="203" t="inlineStr">
        <is>
          <t>https://www.most.gov.cn/ztzl/jqjnjp/jnjptpxw/200707/W020130527384709847807.pdf</t>
        </is>
      </c>
    </row>
    <row r="321">
      <c r="B321" s="198" t="inlineStr">
        <is>
          <t>AP0901</t>
        </is>
      </c>
      <c r="C321" s="208" t="n">
        <v>2009</v>
      </c>
      <c r="D321" s="210" t="inlineStr">
        <is>
          <t>应对气候变化林业行动计划</t>
        </is>
      </c>
      <c r="E321" s="210" t="inlineStr">
        <is>
          <t>Forestry Action Plan to Address Climate Change</t>
        </is>
      </c>
      <c r="F321" s="209" t="inlineStr">
        <is>
          <t>State Forestry Administration</t>
        </is>
      </c>
      <c r="G321" s="209" t="inlineStr">
        <is>
          <t>行动计划</t>
        </is>
      </c>
      <c r="H321" s="210" t="inlineStr">
        <is>
          <t>Explicit mitigation</t>
        </is>
      </c>
      <c r="I321" s="211" t="inlineStr">
        <is>
          <t>B.5</t>
        </is>
      </c>
      <c r="J321" s="208" t="inlineStr">
        <is>
          <t>-</t>
        </is>
      </c>
      <c r="K321" s="211" t="inlineStr">
        <is>
          <t>NO-TAR</t>
        </is>
      </c>
      <c r="L321" s="209" t="inlineStr">
        <is>
          <t>PDF</t>
        </is>
      </c>
      <c r="M321" s="209" t="inlineStr">
        <is>
          <t>CN</t>
        </is>
      </c>
      <c r="N321" s="203" t="inlineStr">
        <is>
          <t>https://www.tanjiaoyi.com/article-3014-1.html?</t>
        </is>
      </c>
    </row>
    <row r="322">
      <c r="B322" s="198" t="inlineStr">
        <is>
          <t>AP1101</t>
        </is>
      </c>
      <c r="C322" s="208" t="n">
        <v>2011</v>
      </c>
      <c r="D322" s="210" t="inlineStr">
        <is>
          <t>林业应对气候变化“十二五”行动要点</t>
        </is>
      </c>
      <c r="E322" s="210" t="inlineStr">
        <is>
          <t>Action Points for Forestry to Address Climate Change during the 12th Five Year Plan Period</t>
        </is>
      </c>
      <c r="F322" s="209" t="inlineStr">
        <is>
          <t>State Forestry Administration</t>
        </is>
      </c>
      <c r="G322" s="209" t="inlineStr">
        <is>
          <t>行动要点</t>
        </is>
      </c>
      <c r="H322" s="210" t="inlineStr">
        <is>
          <t>Explicit mitigation</t>
        </is>
      </c>
      <c r="I322" s="211" t="inlineStr">
        <is>
          <t>B.5</t>
        </is>
      </c>
      <c r="J322" s="208" t="inlineStr">
        <is>
          <t>-</t>
        </is>
      </c>
      <c r="K322" s="211" t="inlineStr">
        <is>
          <t>TAR</t>
        </is>
      </c>
      <c r="L322" s="209" t="inlineStr">
        <is>
          <t>HTM</t>
        </is>
      </c>
      <c r="M322" s="209" t="inlineStr">
        <is>
          <t>CN</t>
        </is>
      </c>
      <c r="N322" s="203" t="inlineStr">
        <is>
          <t>https://baike.baidu.com/item/%E6%9E%97%E4%B8%9A%E5%BA%94%E5%AF%B9%E6%B0%94%E5%80%99%E5%8F%98%E5%8C%96%E2%80%9C%E5%8D%81%E4%BA%8C%E4%BA%94%E2%80%9D%E8%A1%8C%E5%8A%A8%E8%A6%81%E7%82%B9/9093983</t>
        </is>
      </c>
    </row>
    <row r="323">
      <c r="B323" s="198" t="inlineStr">
        <is>
          <t>AP1201</t>
        </is>
      </c>
      <c r="C323" s="208" t="n">
        <v>2012</v>
      </c>
      <c r="D323" s="210" t="inlineStr">
        <is>
          <t>工业领域应对气候变化行动方案（2012-2020年）</t>
        </is>
      </c>
      <c r="E323" s="210" t="inlineStr">
        <is>
          <t>Industrial Action Plan on Climate Change (2012-2020)</t>
        </is>
      </c>
      <c r="F323" s="209" t="inlineStr">
        <is>
          <t>Ministry of Industry and Information Technology; National Development and Reform Commission; Ministry of Science and Technology; Ministry of Finance</t>
        </is>
      </c>
      <c r="G323" s="209" t="inlineStr">
        <is>
          <t>行动方案</t>
        </is>
      </c>
      <c r="H323" s="210" t="inlineStr">
        <is>
          <t>Explicit mitigation</t>
        </is>
      </c>
      <c r="I323" s="211" t="inlineStr">
        <is>
          <t>B.2</t>
        </is>
      </c>
      <c r="J323" s="208" t="inlineStr">
        <is>
          <t>2012-2020</t>
        </is>
      </c>
      <c r="K323" s="211" t="inlineStr">
        <is>
          <t>TAR</t>
        </is>
      </c>
      <c r="L323" s="209" t="inlineStr">
        <is>
          <t>PDF</t>
        </is>
      </c>
      <c r="M323" s="209" t="inlineStr">
        <is>
          <t>CN</t>
        </is>
      </c>
      <c r="N323" s="203" t="inlineStr">
        <is>
          <t>https://www.miit.gov.cn/cms_files/filemanager/oldfile/miit/n1146285/n1146352/n3054355/n3057542/n3057544/c3865061/part/3865062.pdf</t>
        </is>
      </c>
    </row>
    <row r="324">
      <c r="B324" s="198" t="inlineStr">
        <is>
          <t>AP1301</t>
        </is>
      </c>
      <c r="C324" s="208" t="n">
        <v>2013</v>
      </c>
      <c r="D324" s="210" t="inlineStr">
        <is>
          <t>绿色建筑行动方案</t>
        </is>
      </c>
      <c r="E324" s="210" t="inlineStr">
        <is>
          <t>Green Building Action Plan</t>
        </is>
      </c>
      <c r="F324" s="209" t="inlineStr">
        <is>
          <t>State Council; National Development and Reform Commission; Ministry of Housing and Urban-Rural Development</t>
        </is>
      </c>
      <c r="G324" s="209" t="inlineStr">
        <is>
          <t>行动方案</t>
        </is>
      </c>
      <c r="H324" s="210" t="inlineStr">
        <is>
          <t>Explicit mitigation</t>
        </is>
      </c>
      <c r="I324" s="211" t="inlineStr">
        <is>
          <t>B.3</t>
        </is>
      </c>
      <c r="J324" s="208" t="inlineStr">
        <is>
          <t>-</t>
        </is>
      </c>
      <c r="K324" s="211" t="inlineStr">
        <is>
          <t>TAR</t>
        </is>
      </c>
      <c r="L324" s="209" t="inlineStr">
        <is>
          <t>HTM</t>
        </is>
      </c>
      <c r="M324" s="209" t="inlineStr">
        <is>
          <t>CN</t>
        </is>
      </c>
      <c r="N324" s="203" t="inlineStr">
        <is>
          <t>https://baike.baidu.com/item/%E7%BB%BF%E8%89%B2%E5%BB%BA%E7%AD%91%E8%A1%8C%E5%8A%A8%E6%96%B9%E6%A1%88/2910439</t>
        </is>
      </c>
    </row>
    <row r="325">
      <c r="B325" s="198" t="inlineStr">
        <is>
          <t>AP1302</t>
        </is>
      </c>
      <c r="C325" s="208" t="n">
        <v>2013</v>
      </c>
      <c r="D325" s="210" t="inlineStr">
        <is>
          <t>大气污染防治行动计划</t>
        </is>
      </c>
      <c r="E325" s="210" t="inlineStr">
        <is>
          <t>Action Plan on Prevention and Control of Air Pollution</t>
        </is>
      </c>
      <c r="F325" s="209" t="inlineStr">
        <is>
          <t>State Council</t>
        </is>
      </c>
      <c r="G325" s="209" t="inlineStr">
        <is>
          <t>行动计划</t>
        </is>
      </c>
      <c r="H325" s="210" t="inlineStr">
        <is>
          <t>Mitigation-enabling</t>
        </is>
      </c>
      <c r="I325" s="211" t="inlineStr">
        <is>
          <t>D.1</t>
        </is>
      </c>
      <c r="J325" s="208" t="inlineStr">
        <is>
          <t>-</t>
        </is>
      </c>
      <c r="K325" s="211" t="inlineStr">
        <is>
          <t>TAR</t>
        </is>
      </c>
      <c r="L325" s="209" t="inlineStr">
        <is>
          <t>HTM</t>
        </is>
      </c>
      <c r="M325" s="209" t="inlineStr">
        <is>
          <t>CN</t>
        </is>
      </c>
      <c r="N325" s="203" t="inlineStr">
        <is>
          <t>http://www.gov.cn/zwgk/2013-09/12/content_2486773.htm</t>
        </is>
      </c>
    </row>
    <row r="326">
      <c r="B326" s="198" t="inlineStr">
        <is>
          <t>AP1401</t>
        </is>
      </c>
      <c r="C326" s="208" t="n">
        <v>2014</v>
      </c>
      <c r="D326" s="210" t="inlineStr">
        <is>
          <t>能源发展战略行动计划（2014-2020年）</t>
        </is>
      </c>
      <c r="E326" s="210" t="inlineStr">
        <is>
          <t>Energy Development Strategy Action Plan (2014-2020)</t>
        </is>
      </c>
      <c r="F326" s="209" t="inlineStr">
        <is>
          <t>State Council</t>
        </is>
      </c>
      <c r="G326" s="209" t="inlineStr">
        <is>
          <t>行动计划</t>
        </is>
      </c>
      <c r="H326" s="210" t="inlineStr">
        <is>
          <t>Economy planning incl. climate</t>
        </is>
      </c>
      <c r="I326" s="211" t="inlineStr">
        <is>
          <t>B.1</t>
        </is>
      </c>
      <c r="J326" s="208" t="inlineStr">
        <is>
          <t>2014-2020</t>
        </is>
      </c>
      <c r="K326" s="211" t="inlineStr">
        <is>
          <t>TAR</t>
        </is>
      </c>
      <c r="L326" s="209" t="inlineStr">
        <is>
          <t>HTM</t>
        </is>
      </c>
      <c r="M326" s="209" t="inlineStr">
        <is>
          <t>CN</t>
        </is>
      </c>
      <c r="N326" s="203" t="inlineStr">
        <is>
          <t>http://www.nea.gov.cn/2014-12/03/c_133830458.htm</t>
        </is>
      </c>
    </row>
    <row r="327">
      <c r="B327" s="198" t="inlineStr">
        <is>
          <t>AP1402</t>
        </is>
      </c>
      <c r="C327" s="208" t="n">
        <v>2014</v>
      </c>
      <c r="D327" s="210" t="inlineStr">
        <is>
          <t>2014-2015年节能减排科技专项行动方案</t>
        </is>
      </c>
      <c r="E327" s="210" t="inlineStr">
        <is>
          <t>2014-2015 Energy Conservation and Emission Reduction Science and Technology Special Action Plan</t>
        </is>
      </c>
      <c r="F327" s="209" t="inlineStr">
        <is>
          <t>Ministry of Science and Technology; Ministry of Industry and Information Technology</t>
        </is>
      </c>
      <c r="G327" s="209" t="inlineStr">
        <is>
          <t>行动方案</t>
        </is>
      </c>
      <c r="H327" s="210" t="inlineStr">
        <is>
          <t>Explicit mitigation</t>
        </is>
      </c>
      <c r="I327" s="211" t="inlineStr">
        <is>
          <t>C.1</t>
        </is>
      </c>
      <c r="J327" s="208" t="inlineStr">
        <is>
          <t>2014-2015</t>
        </is>
      </c>
      <c r="K327" s="211" t="inlineStr">
        <is>
          <t>NO-TAR</t>
        </is>
      </c>
      <c r="L327" s="209" t="inlineStr">
        <is>
          <t>HTM</t>
        </is>
      </c>
      <c r="M327" s="209" t="inlineStr">
        <is>
          <t>CN</t>
        </is>
      </c>
      <c r="N327" s="203" t="inlineStr">
        <is>
          <t>https://www.most.gov.cn/xxgk/xinxifenlei/fdzdgknr/qtwj/qtwj2014/201403/t20140304_112112.html</t>
        </is>
      </c>
    </row>
    <row r="328">
      <c r="B328" s="198" t="inlineStr">
        <is>
          <t>AP1403</t>
        </is>
      </c>
      <c r="C328" s="208" t="n">
        <v>2014</v>
      </c>
      <c r="D328" s="210" t="inlineStr">
        <is>
          <t>煤电节能减排升级与改造行动计划 （2014-2020年）</t>
        </is>
      </c>
      <c r="E328" s="210" t="inlineStr">
        <is>
          <t>Action Plan for Retrofitting and Upgrading Coal-fired Power Plants (2014 - 2020)</t>
        </is>
      </c>
      <c r="F328" s="209" t="inlineStr">
        <is>
          <t>National Development and Reform Commission; Ministry of Industry and Information Technology; Ministry of Environmental Protection; National Energy Administration</t>
        </is>
      </c>
      <c r="G328" s="209" t="inlineStr">
        <is>
          <t>行动计划</t>
        </is>
      </c>
      <c r="H328" s="210" t="inlineStr">
        <is>
          <t>Fossil-fuel</t>
        </is>
      </c>
      <c r="I328" s="211" t="inlineStr">
        <is>
          <t>B.1</t>
        </is>
      </c>
      <c r="J328" s="208" t="inlineStr">
        <is>
          <t>2014-2020</t>
        </is>
      </c>
      <c r="K328" s="211" t="inlineStr">
        <is>
          <t>TAR</t>
        </is>
      </c>
      <c r="L328" s="209" t="inlineStr">
        <is>
          <t>HTM</t>
        </is>
      </c>
      <c r="M328" s="209" t="inlineStr">
        <is>
          <t>CN</t>
        </is>
      </c>
      <c r="N328" s="203" t="inlineStr">
        <is>
          <t>https://www.gov.cn/gongbao/content/2015/content_2818468.htm</t>
        </is>
      </c>
    </row>
    <row r="329">
      <c r="B329" s="198" t="inlineStr">
        <is>
          <t>AP1404</t>
        </is>
      </c>
      <c r="C329" s="208" t="n">
        <v>2014</v>
      </c>
      <c r="D329" s="210" t="inlineStr">
        <is>
          <t>2014—2015年节能减排低碳发展行动方案</t>
        </is>
      </c>
      <c r="E329" s="210" t="inlineStr">
        <is>
          <t>Action Plan for Energy Conservation, Emission Reduction and Low-Carbon Development in 2014-2015</t>
        </is>
      </c>
      <c r="F329" s="209" t="inlineStr">
        <is>
          <t>State Council</t>
        </is>
      </c>
      <c r="G329" s="209" t="inlineStr">
        <is>
          <t>行动计划</t>
        </is>
      </c>
      <c r="H329" s="210" t="inlineStr">
        <is>
          <t>Explicit mitigation</t>
        </is>
      </c>
      <c r="I329" s="211" t="inlineStr">
        <is>
          <t>A</t>
        </is>
      </c>
      <c r="J329" s="208" t="inlineStr">
        <is>
          <t>2014-2015</t>
        </is>
      </c>
      <c r="K329" s="211" t="inlineStr">
        <is>
          <t>TAR</t>
        </is>
      </c>
      <c r="L329" s="209" t="inlineStr">
        <is>
          <t>HTM</t>
        </is>
      </c>
      <c r="M329" s="209" t="inlineStr">
        <is>
          <t>CN</t>
        </is>
      </c>
      <c r="N329" s="203" t="inlineStr">
        <is>
          <t>https://www.gov.cn/zhengce/zhengceku/2014-05/26/content_8824.htm</t>
        </is>
      </c>
    </row>
    <row r="330">
      <c r="B330" s="198" t="inlineStr">
        <is>
          <t>AP1501</t>
        </is>
      </c>
      <c r="C330" s="208" t="n">
        <v>2015</v>
      </c>
      <c r="D330" s="210" t="inlineStr">
        <is>
          <t>煤炭清洁高效利用行动计划（2015-2020年）</t>
        </is>
      </c>
      <c r="E330" s="210" t="inlineStr">
        <is>
          <t>Action Plan for Clean and Efficient Use of Coal (2015-2020)</t>
        </is>
      </c>
      <c r="F330" s="209" t="inlineStr">
        <is>
          <t>National Energy Administration</t>
        </is>
      </c>
      <c r="G330" s="209" t="inlineStr">
        <is>
          <t>行动计划</t>
        </is>
      </c>
      <c r="H330" s="210" t="inlineStr">
        <is>
          <t>Fossil-fuel</t>
        </is>
      </c>
      <c r="I330" s="211" t="inlineStr">
        <is>
          <t>B.1</t>
        </is>
      </c>
      <c r="J330" s="208" t="inlineStr">
        <is>
          <t>2015-2020</t>
        </is>
      </c>
      <c r="K330" s="211" t="inlineStr">
        <is>
          <t>NO-TAR</t>
        </is>
      </c>
      <c r="L330" s="209" t="inlineStr">
        <is>
          <t>PDF</t>
        </is>
      </c>
      <c r="M330" s="209" t="inlineStr">
        <is>
          <t>CN</t>
        </is>
      </c>
      <c r="N330" s="203" t="inlineStr">
        <is>
          <t>http://zfxxgk.nea.gov.cn/auto85/201505/t20150505_1917.htm</t>
        </is>
      </c>
    </row>
    <row r="331">
      <c r="B331" s="198" t="inlineStr">
        <is>
          <t>AP1502</t>
        </is>
      </c>
      <c r="C331" s="208" t="n">
        <v>2015</v>
      </c>
      <c r="D331" s="210" t="inlineStr">
        <is>
          <t>促进绿色建材生产和应用行动方案</t>
        </is>
      </c>
      <c r="E331" s="210" t="inlineStr">
        <is>
          <t>Action Plan for Promoting the Production and Application of Green Building Materials</t>
        </is>
      </c>
      <c r="F331" s="209" t="inlineStr">
        <is>
          <t>Ministry of Industry and Information Technology; Ministry of Housing and Urban-Rural Development</t>
        </is>
      </c>
      <c r="G331" s="209" t="inlineStr">
        <is>
          <t>行动方案</t>
        </is>
      </c>
      <c r="H331" s="210" t="inlineStr">
        <is>
          <t>Explicit mitigation</t>
        </is>
      </c>
      <c r="I331" s="211" t="inlineStr">
        <is>
          <t>B.3</t>
        </is>
      </c>
      <c r="J331" s="208" t="inlineStr">
        <is>
          <t>-</t>
        </is>
      </c>
      <c r="K331" s="211" t="inlineStr">
        <is>
          <t>NO-TAR</t>
        </is>
      </c>
      <c r="L331" s="209" t="inlineStr">
        <is>
          <t>HTM</t>
        </is>
      </c>
      <c r="M331" s="209" t="inlineStr">
        <is>
          <t>CN</t>
        </is>
      </c>
      <c r="N331" s="203" t="inlineStr">
        <is>
          <t>https://baike.baidu.com/item/%E4%B8%A4%E9%83%A8%E9%97%A8%E5%87%BA%E5%8F%B0%E3%80%8A%E4%BF%83%E8%BF%9B%E7%BB%BF%E8%89%B2%E5%BB%BA%E6%9D%90%E7%94%9F%E4%BA%A7%E5%92%8C%E5%BA%94%E7%94%A8%E8%A1%8C%E5%8A%A8%E6%96%B9%E6%A1%88%E3%80%8B/18600087</t>
        </is>
      </c>
    </row>
    <row r="332">
      <c r="B332" s="198" t="inlineStr">
        <is>
          <t>AP1601</t>
        </is>
      </c>
      <c r="C332" s="208" t="n">
        <v>2016</v>
      </c>
      <c r="D332" s="210" t="inlineStr">
        <is>
          <t>能源技术革命创新行动计划(2016-2030年)</t>
        </is>
      </c>
      <c r="E332" s="210" t="inlineStr">
        <is>
          <t>Energy Technology Revolutionary Innovation Action Plan (2016-2030)</t>
        </is>
      </c>
      <c r="F332" s="209" t="inlineStr">
        <is>
          <t>National Development and Reform Commission; National Energy Administration</t>
        </is>
      </c>
      <c r="G332" s="209" t="inlineStr">
        <is>
          <t>行动计划</t>
        </is>
      </c>
      <c r="H332" s="210" t="inlineStr">
        <is>
          <t>Economy planning incl. climate</t>
        </is>
      </c>
      <c r="I332" s="211" t="inlineStr">
        <is>
          <t>B.1</t>
        </is>
      </c>
      <c r="J332" s="208" t="inlineStr">
        <is>
          <t>2016-2030</t>
        </is>
      </c>
      <c r="K332" s="211" t="inlineStr">
        <is>
          <t>NO-TAR</t>
        </is>
      </c>
      <c r="L332" s="209" t="inlineStr">
        <is>
          <t>PDF</t>
        </is>
      </c>
      <c r="M332" s="209" t="inlineStr">
        <is>
          <t>CN</t>
        </is>
      </c>
      <c r="N332" s="203" t="inlineStr">
        <is>
          <t>https://www.ndrc.gov.cn/xxgk/zcfb/tz/201606/t20160601_963080.html?code=&amp;state=123</t>
        </is>
      </c>
    </row>
    <row r="333">
      <c r="B333" s="198" t="inlineStr">
        <is>
          <t>AP1602</t>
        </is>
      </c>
      <c r="C333" s="208" t="n">
        <v>2016</v>
      </c>
      <c r="D333" s="210" t="inlineStr">
        <is>
          <t>工业领域电力需求侧管理专项行动计划（2016－2020年）</t>
        </is>
      </c>
      <c r="E333" s="210" t="inlineStr">
        <is>
          <t>Special Action Plan for Power Demand Side Management in the Industrial Sector (2016-2020)</t>
        </is>
      </c>
      <c r="F333" s="209" t="inlineStr">
        <is>
          <t>Ministry of Industry and Information Technology</t>
        </is>
      </c>
      <c r="G333" s="209" t="inlineStr">
        <is>
          <t>行动计划</t>
        </is>
      </c>
      <c r="H333" s="210" t="inlineStr">
        <is>
          <t>Economy planning incl. climate</t>
        </is>
      </c>
      <c r="I333" s="211" t="inlineStr">
        <is>
          <t>B.2</t>
        </is>
      </c>
      <c r="J333" s="208" t="inlineStr">
        <is>
          <t>2016-2020</t>
        </is>
      </c>
      <c r="K333" s="211" t="inlineStr">
        <is>
          <t>TAR</t>
        </is>
      </c>
      <c r="L333" s="209" t="inlineStr">
        <is>
          <t>HTM</t>
        </is>
      </c>
      <c r="M333" s="209" t="inlineStr">
        <is>
          <t>CN</t>
        </is>
      </c>
      <c r="N333" s="203" t="inlineStr">
        <is>
          <t>https://www.gov.cn/xinwen/2016-09/01/content_5104483.htm</t>
        </is>
      </c>
    </row>
    <row r="334">
      <c r="B334" s="198" t="inlineStr">
        <is>
          <t>AP1603</t>
        </is>
      </c>
      <c r="C334" s="208" t="n">
        <v>2016</v>
      </c>
      <c r="D334" s="210" t="inlineStr">
        <is>
          <t>林业应对气候变化“十三五”行动要点</t>
        </is>
      </c>
      <c r="E334" s="210" t="inlineStr">
        <is>
          <t>Action Points for Forestry to Address Climate Change during the 13th Five Year Plan Period</t>
        </is>
      </c>
      <c r="F334" s="209" t="inlineStr">
        <is>
          <t>State Forestry Administration</t>
        </is>
      </c>
      <c r="G334" s="209" t="inlineStr">
        <is>
          <t>行动要点</t>
        </is>
      </c>
      <c r="H334" s="210" t="inlineStr">
        <is>
          <t>Explicit mitigation</t>
        </is>
      </c>
      <c r="I334" s="211" t="inlineStr">
        <is>
          <t>B.5</t>
        </is>
      </c>
      <c r="J334" s="208" t="inlineStr">
        <is>
          <t>13th FYP</t>
        </is>
      </c>
      <c r="K334" s="211" t="inlineStr">
        <is>
          <t>TAR</t>
        </is>
      </c>
      <c r="L334" s="209" t="inlineStr">
        <is>
          <t>HTM</t>
        </is>
      </c>
      <c r="M334" s="209" t="inlineStr">
        <is>
          <t>CN</t>
        </is>
      </c>
      <c r="N334" s="203" t="inlineStr">
        <is>
          <t>https://www.gov.cn/xinwen/2016-06/22/content_5084284.htm</t>
        </is>
      </c>
    </row>
    <row r="335">
      <c r="B335" s="198" t="inlineStr">
        <is>
          <t>AP1801</t>
        </is>
      </c>
      <c r="C335" s="208" t="n">
        <v>2018</v>
      </c>
      <c r="D335" s="210" t="inlineStr">
        <is>
          <t>智能光伏产业发展行动计划（2018-2020年）</t>
        </is>
      </c>
      <c r="E335" s="210" t="inlineStr">
        <is>
          <t>Action Plan for the Development of Smart Photovoltaic Industry (2018-2020)</t>
        </is>
      </c>
      <c r="F335" s="209" t="inlineStr">
        <is>
          <t>Ministry of Industry and Information Technology; National Development and Reform Commission; Ministry of Science and Technology; Ministry of Finance; National Energy Administration</t>
        </is>
      </c>
      <c r="G335" s="209" t="inlineStr">
        <is>
          <t>行动计划</t>
        </is>
      </c>
      <c r="H335" s="210" t="inlineStr">
        <is>
          <t>Mitigation-enabling</t>
        </is>
      </c>
      <c r="I335" s="211" t="inlineStr">
        <is>
          <t>B.2, B.1</t>
        </is>
      </c>
      <c r="J335" s="208" t="inlineStr">
        <is>
          <t>2018-2020</t>
        </is>
      </c>
      <c r="K335" s="211" t="inlineStr">
        <is>
          <t>NO-TAR</t>
        </is>
      </c>
      <c r="L335" s="209" t="inlineStr">
        <is>
          <t>PDF</t>
        </is>
      </c>
      <c r="M335" s="209" t="inlineStr">
        <is>
          <t>CN</t>
        </is>
      </c>
      <c r="N335" s="203" t="inlineStr">
        <is>
          <t>http://www.gov.cn/zhengce/zhengceku/2019-10/15/content_5440071.htm</t>
        </is>
      </c>
    </row>
    <row r="336">
      <c r="B336" s="198" t="inlineStr">
        <is>
          <t>AP1802</t>
        </is>
      </c>
      <c r="C336" s="208" t="n">
        <v>2018</v>
      </c>
      <c r="D336" s="210" t="inlineStr">
        <is>
          <t>打赢蓝天保卫战三年行动计划</t>
        </is>
      </c>
      <c r="E336" s="210" t="inlineStr">
        <is>
          <t>Three-year action plan for cleaner air (also called the Blue Sky War/Defense)</t>
        </is>
      </c>
      <c r="F336" s="209" t="inlineStr">
        <is>
          <t>State Council</t>
        </is>
      </c>
      <c r="G336" s="209" t="inlineStr">
        <is>
          <t>行动计划</t>
        </is>
      </c>
      <c r="H336" s="210" t="inlineStr">
        <is>
          <t>Mitigation-enabling</t>
        </is>
      </c>
      <c r="I336" s="211" t="inlineStr">
        <is>
          <t>D.1</t>
        </is>
      </c>
      <c r="J336" s="208" t="inlineStr">
        <is>
          <t>-</t>
        </is>
      </c>
      <c r="K336" s="211" t="inlineStr">
        <is>
          <t>TAR</t>
        </is>
      </c>
      <c r="L336" s="209" t="inlineStr">
        <is>
          <t>HTM</t>
        </is>
      </c>
      <c r="M336" s="209" t="inlineStr">
        <is>
          <t>CN</t>
        </is>
      </c>
      <c r="N336" s="203" t="inlineStr">
        <is>
          <t>https://www.gov.cn/zhengce/content/2018-07/03/content_5303158.htm</t>
        </is>
      </c>
    </row>
    <row r="337" ht="15.75" customHeight="1" s="235">
      <c r="B337" s="198" t="inlineStr">
        <is>
          <t>AP1803</t>
        </is>
      </c>
      <c r="C337" s="208" t="n">
        <v>2018</v>
      </c>
      <c r="D337" s="210" t="inlineStr">
        <is>
          <t>提升新能源汽车充电保障能力行动计划</t>
        </is>
      </c>
      <c r="E337" s="210" t="inlineStr">
        <is>
          <t>Action Plan for Enhancing the Charging Capacity for Electric Vehicles</t>
        </is>
      </c>
      <c r="F337" s="209" t="inlineStr">
        <is>
          <t>National Development and Reform Commission; National Energy Administration; Ministry of Industry and Information Technology</t>
        </is>
      </c>
      <c r="G337" s="209" t="inlineStr">
        <is>
          <t>行动计划</t>
        </is>
      </c>
      <c r="H337" s="210" t="inlineStr">
        <is>
          <t>Mitigation-enabling</t>
        </is>
      </c>
      <c r="I337" s="211" t="inlineStr">
        <is>
          <t>C.1, B.2, B.4</t>
        </is>
      </c>
      <c r="J337" s="208" t="inlineStr">
        <is>
          <t>2018-2020</t>
        </is>
      </c>
      <c r="K337" s="211" t="inlineStr">
        <is>
          <t>NO-TAR</t>
        </is>
      </c>
      <c r="L337" s="209" t="inlineStr">
        <is>
          <t>HTM</t>
        </is>
      </c>
      <c r="M337" s="209" t="inlineStr">
        <is>
          <t>CN</t>
        </is>
      </c>
      <c r="N337" s="203" t="inlineStr">
        <is>
          <t>https://chinaenergyportal.org/en/action-plan-for-enhancing-the-guaranteed-charging-capacity-for-electric-vehicles/</t>
        </is>
      </c>
    </row>
    <row r="338">
      <c r="B338" s="198" t="inlineStr">
        <is>
          <t>AP1804</t>
        </is>
      </c>
      <c r="C338" s="208" t="n">
        <v>2018</v>
      </c>
      <c r="D338" s="210" t="inlineStr">
        <is>
          <t>清洁能源消纳行动计划（2018-2020 年）</t>
        </is>
      </c>
      <c r="E338" s="210" t="inlineStr">
        <is>
          <t>Clean Energy Consumption Action Plan (2018-2020)</t>
        </is>
      </c>
      <c r="F338" s="209" t="inlineStr">
        <is>
          <t>National Development and Reform Commission; National Energy Administration</t>
        </is>
      </c>
      <c r="G338" s="209" t="inlineStr">
        <is>
          <t>行动计划</t>
        </is>
      </c>
      <c r="H338" s="210" t="inlineStr">
        <is>
          <t>Mitigation-enabling</t>
        </is>
      </c>
      <c r="I338" s="211" t="inlineStr">
        <is>
          <t>B.1</t>
        </is>
      </c>
      <c r="J338" s="208" t="inlineStr">
        <is>
          <t>2018-2020</t>
        </is>
      </c>
      <c r="K338" s="211" t="inlineStr">
        <is>
          <t>TAR</t>
        </is>
      </c>
      <c r="L338" s="209" t="inlineStr">
        <is>
          <t>PDF</t>
        </is>
      </c>
      <c r="M338" s="209" t="inlineStr">
        <is>
          <t>CN</t>
        </is>
      </c>
      <c r="N338" s="203" t="inlineStr">
        <is>
          <t>https://www.ndrc.gov.cn/xxgk/zcfb/ghxwj/201812/t20181204_960958.html</t>
        </is>
      </c>
    </row>
    <row r="339">
      <c r="B339" s="198" t="inlineStr">
        <is>
          <t>AP1901</t>
        </is>
      </c>
      <c r="C339" s="208" t="n">
        <v>2019</v>
      </c>
      <c r="D339" s="210" t="inlineStr">
        <is>
          <t>绿色生活创建行动总体方案</t>
        </is>
      </c>
      <c r="E339" s="210" t="inlineStr">
        <is>
          <t>Action Plan for Green Life (NDRC)</t>
        </is>
      </c>
      <c r="F339" s="209" t="inlineStr">
        <is>
          <t>National Development and Reform Commission; Ministry of Ecology and Environment; Ministry of Housing and Urban-Rural Development; Ministry of Water Resources; Ministry of Agriculture and Rural Affairs; National Forestry and Grassland Administration</t>
        </is>
      </c>
      <c r="G339" s="209" t="inlineStr">
        <is>
          <t>行动方案</t>
        </is>
      </c>
      <c r="H339" s="210" t="inlineStr">
        <is>
          <t>Explicit mitigation</t>
        </is>
      </c>
      <c r="I339" s="211" t="inlineStr">
        <is>
          <t>C.4</t>
        </is>
      </c>
      <c r="J339" s="208" t="inlineStr">
        <is>
          <t>-</t>
        </is>
      </c>
      <c r="K339" s="211" t="inlineStr">
        <is>
          <t>NO-TAR</t>
        </is>
      </c>
      <c r="L339" s="209" t="inlineStr">
        <is>
          <t>PDF</t>
        </is>
      </c>
      <c r="M339" s="209" t="inlineStr">
        <is>
          <t>CN</t>
        </is>
      </c>
      <c r="N339" s="203" t="inlineStr">
        <is>
          <t>https://www.ndrc.gov.cn/xxgk/zcfb/tz/201911/t20191105_1197738.html?code=&amp;state=123</t>
        </is>
      </c>
    </row>
    <row r="340">
      <c r="B340" s="198" t="inlineStr">
        <is>
          <t>AP1902</t>
        </is>
      </c>
      <c r="C340" s="208" t="n">
        <v>2019</v>
      </c>
      <c r="D340" s="210" t="inlineStr">
        <is>
          <t>绿色出行行动计划（2019—2022年）</t>
        </is>
      </c>
      <c r="E340" s="210" t="inlineStr">
        <is>
          <t>Green Travel Action Plan (2019-2022)</t>
        </is>
      </c>
      <c r="F340" s="209" t="inlineStr">
        <is>
          <t>Ministry of Transport; Communist Party of China Central Committee; National Development and Reform Commission; Ministry of Industry and Information Technology; Ministry of Public Security; Ministry of Finance; Ministry of Ecology and Environment; Ministry of Housing and Urban-Rural Development; State Administration for Market Regulation; National Government Offices Administration; All-China Federation of Trade Unions; China Railway Corporation</t>
        </is>
      </c>
      <c r="G340" s="209" t="inlineStr">
        <is>
          <t>行动计划</t>
        </is>
      </c>
      <c r="H340" s="210" t="inlineStr">
        <is>
          <t>Explicit mitigation</t>
        </is>
      </c>
      <c r="I340" s="211" t="inlineStr">
        <is>
          <t>C.4</t>
        </is>
      </c>
      <c r="J340" s="208" t="inlineStr">
        <is>
          <t>2019-2022</t>
        </is>
      </c>
      <c r="K340" s="211" t="inlineStr">
        <is>
          <t>NO-TAR</t>
        </is>
      </c>
      <c r="L340" s="209" t="inlineStr">
        <is>
          <t>HTM</t>
        </is>
      </c>
      <c r="M340" s="209" t="inlineStr">
        <is>
          <t>CN</t>
        </is>
      </c>
      <c r="N340" s="203" t="inlineStr">
        <is>
          <t>https://www.gov.cn/xinwen/2019-06/03/content_5397034.htm</t>
        </is>
      </c>
    </row>
    <row r="341">
      <c r="B341" s="198" t="inlineStr">
        <is>
          <t>AP1903</t>
        </is>
      </c>
      <c r="C341" s="208" t="n">
        <v>2019</v>
      </c>
      <c r="D341" s="210" t="inlineStr">
        <is>
          <t>绿色高效制冷行动方案</t>
        </is>
      </c>
      <c r="E341" s="210" t="inlineStr">
        <is>
          <t>Green and Efficient Refrigeration Action Plan</t>
        </is>
      </c>
      <c r="F341" s="209" t="inlineStr">
        <is>
          <t>National Development and Reform Commission; Ministry of Industry and Information Technology; Ministry of Finance; Ministry of Ecology and Environment; Ministry of Housing and Urban-Rural Development; State Administration for Market Regulation; National Government Offices Administration</t>
        </is>
      </c>
      <c r="G341" s="209" t="inlineStr">
        <is>
          <t>行动方案</t>
        </is>
      </c>
      <c r="H341" s="210" t="inlineStr">
        <is>
          <t>Explicit mitigation</t>
        </is>
      </c>
      <c r="I341" s="211" t="inlineStr">
        <is>
          <t>C.1, B.2</t>
        </is>
      </c>
      <c r="J341" s="208" t="inlineStr">
        <is>
          <t>-</t>
        </is>
      </c>
      <c r="K341" s="211" t="inlineStr">
        <is>
          <t>NO-TAR</t>
        </is>
      </c>
      <c r="L341" s="209" t="inlineStr">
        <is>
          <t>PDF</t>
        </is>
      </c>
      <c r="M341" s="209" t="inlineStr">
        <is>
          <t>CN</t>
        </is>
      </c>
      <c r="N341" s="203" t="inlineStr">
        <is>
          <t>https://www.ndrc.gov.cn/xxgk/zcfb/tz/201906/t20190614_962461.html?code=&amp;state=123</t>
        </is>
      </c>
    </row>
    <row r="342">
      <c r="B342" s="198" t="inlineStr">
        <is>
          <t>AP1904</t>
        </is>
      </c>
      <c r="C342" s="208" t="n">
        <v>2019</v>
      </c>
      <c r="D342" s="210" t="inlineStr">
        <is>
          <t>贯彻落实《关于促进储能技术与产业发展的指导意见》2019-2020 年行动计划</t>
        </is>
      </c>
      <c r="E342" s="210" t="inlineStr">
        <is>
          <t>2019-2020 Action Plan of the Guiding Opinions on Promoting Energy Storage Technology and Industrial Development</t>
        </is>
      </c>
      <c r="F342" s="209" t="inlineStr">
        <is>
          <t>National Development and Reform Commission; Ministry of Science and Technology; Ministry of Industry and Information Technology; National Energy Administration</t>
        </is>
      </c>
      <c r="G342" s="209" t="inlineStr">
        <is>
          <t>行动计划</t>
        </is>
      </c>
      <c r="H342" s="210" t="inlineStr">
        <is>
          <t>Mitigation-enabling</t>
        </is>
      </c>
      <c r="I342" s="211" t="inlineStr">
        <is>
          <t>C.1, B.2, B.1</t>
        </is>
      </c>
      <c r="J342" s="208" t="inlineStr">
        <is>
          <t>2019-2020</t>
        </is>
      </c>
      <c r="K342" s="211" t="inlineStr">
        <is>
          <t>NO-TAR</t>
        </is>
      </c>
      <c r="L342" s="209" t="inlineStr">
        <is>
          <t>PDF</t>
        </is>
      </c>
      <c r="M342" s="209" t="inlineStr">
        <is>
          <t>CN</t>
        </is>
      </c>
      <c r="N342" s="203" t="inlineStr">
        <is>
          <t>https://www.ndrc.gov.cn/xxgk/zcfb/tz/201907/t20190701_962470.html?code=&amp;state=123#</t>
        </is>
      </c>
    </row>
    <row r="343">
      <c r="B343" s="198" t="inlineStr">
        <is>
          <t>AP2003</t>
        </is>
      </c>
      <c r="C343" s="208" t="n">
        <v>2020</v>
      </c>
      <c r="D343" s="210" t="inlineStr">
        <is>
          <t>绿色出行创建行动方案</t>
        </is>
      </c>
      <c r="E343" s="210" t="inlineStr">
        <is>
          <t>Green Travel Creation Action Plan</t>
        </is>
      </c>
      <c r="F343" s="209" t="inlineStr">
        <is>
          <t>Ministry of Transport; National Development and Reform Commission</t>
        </is>
      </c>
      <c r="G343" s="209" t="inlineStr">
        <is>
          <t>行动方案</t>
        </is>
      </c>
      <c r="H343" s="210" t="inlineStr">
        <is>
          <t>Explicit mitigation</t>
        </is>
      </c>
      <c r="I343" s="211" t="inlineStr">
        <is>
          <t>C.4</t>
        </is>
      </c>
      <c r="J343" s="208" t="inlineStr">
        <is>
          <t>-</t>
        </is>
      </c>
      <c r="K343" s="211" t="inlineStr">
        <is>
          <t>TAR</t>
        </is>
      </c>
      <c r="L343" s="209" t="inlineStr">
        <is>
          <t>HTM</t>
        </is>
      </c>
      <c r="M343" s="209" t="inlineStr">
        <is>
          <t>CN</t>
        </is>
      </c>
      <c r="N343" s="203" t="inlineStr">
        <is>
          <t>https://xxgk.mot.gov.cn/2020/jigou/ysfws/202007/t20200724_3437849.html</t>
        </is>
      </c>
    </row>
    <row r="344">
      <c r="B344" s="198" t="inlineStr">
        <is>
          <t>AP2004</t>
        </is>
      </c>
      <c r="C344" s="208" t="n">
        <v>2020</v>
      </c>
      <c r="D344" s="210" t="inlineStr">
        <is>
          <t>绿色建筑创建行动方案</t>
        </is>
      </c>
      <c r="E344" s="210" t="inlineStr">
        <is>
          <t>Green Building Creation Action Plan</t>
        </is>
      </c>
      <c r="F344" s="209" t="inlineStr">
        <is>
          <t>Ministry of Housing and Urban-Rural Development; National Development and Reform Commission; Ministry of Education; Ministry of Industry and Information Technology; People’s Bank of China; National Government Offices Administration; China Banking and Insurance Regulatory Commission</t>
        </is>
      </c>
      <c r="G344" s="209" t="inlineStr">
        <is>
          <t>行动方案</t>
        </is>
      </c>
      <c r="H344" s="210" t="inlineStr">
        <is>
          <t>Explicit mitigation</t>
        </is>
      </c>
      <c r="I344" s="211" t="inlineStr">
        <is>
          <t>B.3</t>
        </is>
      </c>
      <c r="J344" s="208" t="inlineStr">
        <is>
          <t>-</t>
        </is>
      </c>
      <c r="K344" s="211" t="inlineStr">
        <is>
          <t>NO-TAR</t>
        </is>
      </c>
      <c r="L344" s="209" t="inlineStr">
        <is>
          <t>PDF</t>
        </is>
      </c>
      <c r="M344" s="209" t="inlineStr">
        <is>
          <t>CN</t>
        </is>
      </c>
      <c r="N344" s="203" t="inlineStr">
        <is>
          <t>https://www.gov.cn/zhengce/zhengceku/2020-07/24/content_5529745.htm</t>
        </is>
      </c>
    </row>
    <row r="345">
      <c r="B345" s="198" t="inlineStr">
        <is>
          <t>AP2005</t>
        </is>
      </c>
      <c r="C345" s="208" t="n">
        <v>2020</v>
      </c>
      <c r="D345" s="210" t="inlineStr">
        <is>
          <t>红树林保护修复专项行动计划（2020-2025年）</t>
        </is>
      </c>
      <c r="E345" s="210" t="inlineStr">
        <is>
          <t>Special Action Plan for Mangrove Protection and Restoration (2020-2025)</t>
        </is>
      </c>
      <c r="F345" s="209" t="inlineStr">
        <is>
          <t>Ministry of Natural Resources; National Forestry and Grassland Administration</t>
        </is>
      </c>
      <c r="G345" s="209" t="inlineStr">
        <is>
          <t>行动计划</t>
        </is>
      </c>
      <c r="H345" s="210" t="inlineStr">
        <is>
          <t>Mitigation-enabling</t>
        </is>
      </c>
      <c r="I345" s="211" t="inlineStr">
        <is>
          <t>B.5</t>
        </is>
      </c>
      <c r="J345" s="208" t="inlineStr">
        <is>
          <t>2020-2025</t>
        </is>
      </c>
      <c r="K345" s="211" t="inlineStr">
        <is>
          <t>TAR</t>
        </is>
      </c>
      <c r="L345" s="209" t="inlineStr">
        <is>
          <t>HTM</t>
        </is>
      </c>
      <c r="M345" s="209" t="inlineStr">
        <is>
          <t>CN</t>
        </is>
      </c>
      <c r="N345" s="203" t="inlineStr">
        <is>
          <t>https://www.gov.cn/zhengce/zhengceku/2020-08/29/content_5538354.htm</t>
        </is>
      </c>
    </row>
    <row r="346">
      <c r="B346" s="198" t="inlineStr">
        <is>
          <t>AP2101</t>
        </is>
      </c>
      <c r="C346" s="208" t="n">
        <v>2021</v>
      </c>
      <c r="D346" s="210" t="inlineStr">
        <is>
          <t>高等学校碳中和科技创新行动计划</t>
        </is>
      </c>
      <c r="E346" s="210" t="inlineStr">
        <is>
          <t>Carbon Neutral Science and Technology Innovation Action Plan for Colleges and Universities</t>
        </is>
      </c>
      <c r="F346" s="209" t="inlineStr">
        <is>
          <t>Ministry of Education</t>
        </is>
      </c>
      <c r="G346" s="209" t="inlineStr">
        <is>
          <t>行动计划</t>
        </is>
      </c>
      <c r="H346" s="210" t="inlineStr">
        <is>
          <t>Explicit mitigation</t>
        </is>
      </c>
      <c r="I346" s="211" t="inlineStr">
        <is>
          <t>C.5</t>
        </is>
      </c>
      <c r="J346" s="208" t="inlineStr">
        <is>
          <t>-</t>
        </is>
      </c>
      <c r="K346" s="211" t="inlineStr">
        <is>
          <t>NO-TAR</t>
        </is>
      </c>
      <c r="L346" s="209" t="inlineStr">
        <is>
          <t>HTM</t>
        </is>
      </c>
      <c r="M346" s="209" t="inlineStr">
        <is>
          <t>CN</t>
        </is>
      </c>
      <c r="N346" s="203" t="inlineStr">
        <is>
          <t>http://www.moe.gov.cn/srcsite/A16/moe_784/202107/t20210728_547451.html</t>
        </is>
      </c>
    </row>
    <row r="347">
      <c r="B347" s="198" t="inlineStr">
        <is>
          <t>AP2103</t>
        </is>
      </c>
      <c r="C347" s="208" t="n">
        <v>2021</v>
      </c>
      <c r="D347" s="210" t="inlineStr">
        <is>
          <t>“美丽中国，我是行动者”提升公民生态文明意识行动计划（2021-2025 年）</t>
        </is>
      </c>
      <c r="E347" s="210" t="inlineStr">
        <is>
          <t>Action Plan to Enhance Citizens' Awareness of Ecological Civilization</t>
        </is>
      </c>
      <c r="F347" s="209" t="inlineStr">
        <is>
          <t>Ministry of Ecology and Environment; Communist Party of China Central Committee; Central Commission for Guiding Cultural and Ethical Progress; Ministry of Education; Communist Youth League of China Central Committee; All-China Women’s Federation</t>
        </is>
      </c>
      <c r="G347" s="209" t="inlineStr">
        <is>
          <t>行动计划</t>
        </is>
      </c>
      <c r="H347" s="210" t="inlineStr">
        <is>
          <t>Mitigation-enabling</t>
        </is>
      </c>
      <c r="I347" s="211" t="inlineStr">
        <is>
          <t>C.4</t>
        </is>
      </c>
      <c r="J347" s="208" t="inlineStr">
        <is>
          <t>-</t>
        </is>
      </c>
      <c r="K347" s="211" t="inlineStr">
        <is>
          <t>NO-TAR</t>
        </is>
      </c>
      <c r="L347" s="209" t="inlineStr">
        <is>
          <t>PDF</t>
        </is>
      </c>
      <c r="M347" s="209" t="inlineStr">
        <is>
          <t>CN</t>
        </is>
      </c>
      <c r="N347" s="203" t="inlineStr">
        <is>
          <t>https://www.mee.gov.cn/xxgk2018/xxgk/xxgk03/202102/t20210223_822116.html</t>
        </is>
      </c>
    </row>
    <row r="348">
      <c r="B348" s="198" t="inlineStr">
        <is>
          <t>AP2104</t>
        </is>
      </c>
      <c r="C348" s="208" t="n">
        <v>2021</v>
      </c>
      <c r="D348" s="210" t="inlineStr">
        <is>
          <t>石化化工重点行业严格能效约束推动节能降碳行动方案（2021-2025 年）</t>
        </is>
      </c>
      <c r="E348" s="210" t="inlineStr">
        <is>
          <t>Action Plan for Strict Energy Efficiency Constraints in Key Petrochemical and Chemical Industries to Promote Energy Efficiency and Carbon Reduction</t>
        </is>
      </c>
      <c r="F348" s="209" t="inlineStr">
        <is>
          <t>National Development and Reform Commission; Ministry of Industry and Information Technology; Ministry of Finance; Ministry of Ecology and Environment; People’s Bank of China; State Administration for Market Regulation; China Securities Regulatory Commission; National Energy Administration</t>
        </is>
      </c>
      <c r="G348" s="209" t="inlineStr">
        <is>
          <t>行动方案</t>
        </is>
      </c>
      <c r="H348" s="210" t="inlineStr">
        <is>
          <t>Explicit mitigation</t>
        </is>
      </c>
      <c r="I348" s="211" t="inlineStr">
        <is>
          <t>B.2</t>
        </is>
      </c>
      <c r="J348" s="208" t="inlineStr">
        <is>
          <t>-</t>
        </is>
      </c>
      <c r="K348" s="211" t="inlineStr">
        <is>
          <t>NO-TAR</t>
        </is>
      </c>
      <c r="L348" s="209" t="inlineStr">
        <is>
          <t>PDF</t>
        </is>
      </c>
      <c r="M348" s="209" t="inlineStr">
        <is>
          <t>CN</t>
        </is>
      </c>
      <c r="N348" s="203" t="inlineStr">
        <is>
          <t>https://www.ndrc.gov.cn/xxgk/zcfb/tz/202110/P020211021702323037931.pdf</t>
        </is>
      </c>
    </row>
    <row r="349">
      <c r="B349" s="198" t="inlineStr">
        <is>
          <t>AP2105</t>
        </is>
      </c>
      <c r="C349" s="208" t="n">
        <v>2021</v>
      </c>
      <c r="D349" s="210" t="inlineStr">
        <is>
          <t>冶金、建材重点行业严格能效约束推动节能降碳行动方案（2021-2025 年）</t>
        </is>
      </c>
      <c r="E349" s="210" t="inlineStr">
        <is>
          <t>Action Plan for Strict Energy Efficiency Constraints in Key Industries in Metallurgy and Building Materials to Promote Energy Efficiency and Carbon Reduction</t>
        </is>
      </c>
      <c r="F349" s="209" t="inlineStr">
        <is>
          <t>National Development and Reform Commission; Ministry of Industry and Information Technology; Ministry of Finance; Ministry of Ecology and Environment; People’s Bank of China; State Administration for Market Regulation; China Securities Regulatory Commission; National Energy Administration</t>
        </is>
      </c>
      <c r="G349" s="209" t="inlineStr">
        <is>
          <t>行动方案</t>
        </is>
      </c>
      <c r="H349" s="210" t="inlineStr">
        <is>
          <t>Explicit mitigation</t>
        </is>
      </c>
      <c r="I349" s="211" t="inlineStr">
        <is>
          <t>B.2</t>
        </is>
      </c>
      <c r="J349" s="208" t="inlineStr">
        <is>
          <t>-</t>
        </is>
      </c>
      <c r="K349" s="211" t="inlineStr">
        <is>
          <t>NO-TAR</t>
        </is>
      </c>
      <c r="L349" s="209" t="inlineStr">
        <is>
          <t>PDF</t>
        </is>
      </c>
      <c r="M349" s="209" t="inlineStr">
        <is>
          <t>CN</t>
        </is>
      </c>
      <c r="N349" s="203" t="inlineStr">
        <is>
          <t>https://www.ndrc.gov.cn/xxgk/zcfb/tz/202110/P020211021702322751485.pdf</t>
        </is>
      </c>
    </row>
    <row r="350">
      <c r="B350" s="198" t="inlineStr">
        <is>
          <t>AP2107</t>
        </is>
      </c>
      <c r="C350" s="208" t="n">
        <v>2021</v>
      </c>
      <c r="D350" s="210" t="inlineStr">
        <is>
          <t>智能光伏产业创新发展行动计划（2021-2025年）</t>
        </is>
      </c>
      <c r="E350" s="210" t="inlineStr">
        <is>
          <t>Action Plan for Innovation and Development of Intelligent Photovoltaic Industry</t>
        </is>
      </c>
      <c r="F350" s="209" t="inlineStr">
        <is>
          <t>Ministry of Industry and Information Technology; Ministry of Housing and Urban-Rural Development; Ministry of Transport; Ministry of Agriculture and Rural Affairs; National Energy Administration</t>
        </is>
      </c>
      <c r="G350" s="209" t="inlineStr">
        <is>
          <t>行动计划</t>
        </is>
      </c>
      <c r="H350" s="210" t="inlineStr">
        <is>
          <t>Mitigation-enabling</t>
        </is>
      </c>
      <c r="I350" s="211" t="inlineStr">
        <is>
          <t>B.2, C.1</t>
        </is>
      </c>
      <c r="J350" s="208" t="inlineStr">
        <is>
          <t>-</t>
        </is>
      </c>
      <c r="K350" s="211" t="inlineStr">
        <is>
          <t>NO-TAR</t>
        </is>
      </c>
      <c r="L350" s="209" t="inlineStr">
        <is>
          <t>PDF</t>
        </is>
      </c>
      <c r="M350" s="209" t="inlineStr">
        <is>
          <t>CN</t>
        </is>
      </c>
      <c r="N350" s="203" t="inlineStr">
        <is>
          <t>https://www.miit.gov.cn/zwgk/zcwj/wjfb/tz/art/2022/art_de86b26087844ebab5e886e954ca1453.html</t>
        </is>
      </c>
    </row>
    <row r="351">
      <c r="B351" s="198" t="inlineStr">
        <is>
          <t>AP2108</t>
        </is>
      </c>
      <c r="C351" s="208" t="n">
        <v>2021</v>
      </c>
      <c r="D351" s="210" t="inlineStr">
        <is>
          <t>新型数据中心发展三年行动计划（2021-2023年）</t>
        </is>
      </c>
      <c r="E351" s="210" t="inlineStr">
        <is>
          <t>Three-Year Action Plan for the Development of New Data Centres (2021-2023)</t>
        </is>
      </c>
      <c r="F351" s="209" t="inlineStr">
        <is>
          <t>Ministry of Industry and Information Technology</t>
        </is>
      </c>
      <c r="G351" s="209" t="inlineStr">
        <is>
          <t>行动计划</t>
        </is>
      </c>
      <c r="H351" s="210" t="inlineStr">
        <is>
          <t>Economy planning incl. climate</t>
        </is>
      </c>
      <c r="I351" s="211" t="inlineStr">
        <is>
          <t>B.3</t>
        </is>
      </c>
      <c r="J351" s="208" t="inlineStr">
        <is>
          <t>2021-2023</t>
        </is>
      </c>
      <c r="K351" s="211" t="inlineStr">
        <is>
          <t>TAR</t>
        </is>
      </c>
      <c r="L351" s="209" t="inlineStr">
        <is>
          <t>HTM</t>
        </is>
      </c>
      <c r="M351" s="209" t="inlineStr">
        <is>
          <t>CN</t>
        </is>
      </c>
      <c r="N351" s="203" t="inlineStr">
        <is>
          <t>https://www.gov.cn/zhengce/zhengceku/2021-07/14/content_5624964.htm</t>
        </is>
      </c>
    </row>
    <row r="352">
      <c r="B352" s="198" t="inlineStr">
        <is>
          <t>AP2201</t>
        </is>
      </c>
      <c r="C352" s="208" t="n">
        <v>2022</v>
      </c>
      <c r="D352" s="226" t="inlineStr">
        <is>
          <t>加强碳达峰碳中和高等教育人才培养体系建设工作方案</t>
        </is>
      </c>
      <c r="E352" s="210" t="inlineStr">
        <is>
          <t>Action Plan for Strengthening the Education and Training System for Carbon Peaking and Neutrality in Higher Education</t>
        </is>
      </c>
      <c r="F352" s="209" t="inlineStr">
        <is>
          <t>Ministry of Education</t>
        </is>
      </c>
      <c r="G352" s="209" t="inlineStr">
        <is>
          <t>工作方案</t>
        </is>
      </c>
      <c r="H352" s="210" t="inlineStr">
        <is>
          <t>Explicit mitigation</t>
        </is>
      </c>
      <c r="I352" s="211" t="inlineStr">
        <is>
          <t>C.5</t>
        </is>
      </c>
      <c r="J352" s="208" t="inlineStr">
        <is>
          <t>-</t>
        </is>
      </c>
      <c r="K352" s="211" t="inlineStr">
        <is>
          <t>NO-TAR</t>
        </is>
      </c>
      <c r="L352" s="209" t="inlineStr">
        <is>
          <t>HTM</t>
        </is>
      </c>
      <c r="M352" s="209" t="inlineStr">
        <is>
          <t>CN</t>
        </is>
      </c>
      <c r="N352" s="203" t="inlineStr">
        <is>
          <t>http://www.moe.gov.cn/srcsite/A08/s7056/202205/t20220506_625229.html</t>
        </is>
      </c>
    </row>
    <row r="353">
      <c r="B353" s="198" t="inlineStr">
        <is>
          <t>AP2202</t>
        </is>
      </c>
      <c r="C353" s="208" t="n">
        <v>2022</v>
      </c>
      <c r="D353" s="226" t="inlineStr">
        <is>
          <t>能源碳达峰碳中和标准化提升行动计划</t>
        </is>
      </c>
      <c r="E353" s="210" t="inlineStr">
        <is>
          <t>Action Plan for Standardizing Energy Carbon Peaking and Carbon Neutrality</t>
        </is>
      </c>
      <c r="F353" s="209" t="inlineStr">
        <is>
          <t>National Energy Administration; State Administration for Market Regulation</t>
        </is>
      </c>
      <c r="G353" s="209" t="inlineStr">
        <is>
          <t>行动计划</t>
        </is>
      </c>
      <c r="H353" s="210" t="inlineStr">
        <is>
          <t>Explicit mitigation</t>
        </is>
      </c>
      <c r="I353" s="211" t="inlineStr">
        <is>
          <t>C.3</t>
        </is>
      </c>
      <c r="J353" s="208" t="inlineStr">
        <is>
          <t>-</t>
        </is>
      </c>
      <c r="K353" s="211" t="inlineStr">
        <is>
          <t>NO-TAR</t>
        </is>
      </c>
      <c r="L353" s="209" t="inlineStr">
        <is>
          <t>PDF</t>
        </is>
      </c>
      <c r="M353" s="209" t="inlineStr">
        <is>
          <t>CN</t>
        </is>
      </c>
      <c r="N353" s="203" t="inlineStr">
        <is>
          <t>https://www.nea.gov.cn/2022-10/09/c_1310668927.htm</t>
        </is>
      </c>
    </row>
    <row r="354">
      <c r="B354" s="198" t="inlineStr">
        <is>
          <t>AP2203</t>
        </is>
      </c>
      <c r="C354" s="208" t="n">
        <v>2022</v>
      </c>
      <c r="D354" s="210" t="inlineStr">
        <is>
          <t>新污染物治理行动方案</t>
        </is>
      </c>
      <c r="E354" s="210" t="inlineStr">
        <is>
          <t>Action Plan for New Pollutant Management</t>
        </is>
      </c>
      <c r="F354" s="209" t="inlineStr">
        <is>
          <t>State Council</t>
        </is>
      </c>
      <c r="G354" s="209" t="inlineStr">
        <is>
          <t>行动方案</t>
        </is>
      </c>
      <c r="H354" s="210" t="inlineStr">
        <is>
          <t>Mitigation-enabling</t>
        </is>
      </c>
      <c r="I354" s="211" t="inlineStr">
        <is>
          <t>C.3</t>
        </is>
      </c>
      <c r="J354" s="208" t="inlineStr">
        <is>
          <t>-</t>
        </is>
      </c>
      <c r="K354" s="211" t="inlineStr">
        <is>
          <t>NO-TAR</t>
        </is>
      </c>
      <c r="L354" s="209" t="inlineStr">
        <is>
          <t>HTM</t>
        </is>
      </c>
      <c r="M354" s="209" t="inlineStr">
        <is>
          <t>CN</t>
        </is>
      </c>
      <c r="N354" s="203" t="inlineStr">
        <is>
          <t>https://www.gov.cn/zhengce/content/2022-05/24/content_5692059.htm</t>
        </is>
      </c>
    </row>
    <row r="355">
      <c r="B355" s="198" t="inlineStr">
        <is>
          <t>AP2204</t>
        </is>
      </c>
      <c r="C355" s="208" t="n">
        <v>2022</v>
      </c>
      <c r="D355" s="210" t="inlineStr">
        <is>
          <t>工业能效提升行动计划</t>
        </is>
      </c>
      <c r="E355" s="210" t="inlineStr">
        <is>
          <t>Action Plan for Industrial Energy Efficiency Improvement</t>
        </is>
      </c>
      <c r="F355" s="209" t="inlineStr">
        <is>
          <t>Ministry of Industry and Information Technology; National Development and Reform Commission; Ministry of Finance; Ministry of Ecology and Environment; People’s Bank of China; State-owned Assets Supervision and Administration Commission of the State Council; State Administration for Market Regulation</t>
        </is>
      </c>
      <c r="G355" s="209" t="inlineStr">
        <is>
          <t>行动计划</t>
        </is>
      </c>
      <c r="H355" s="210" t="inlineStr">
        <is>
          <t>Mitigation-enabling</t>
        </is>
      </c>
      <c r="I355" s="211" t="inlineStr">
        <is>
          <t>B.2</t>
        </is>
      </c>
      <c r="J355" s="208" t="inlineStr">
        <is>
          <t>-</t>
        </is>
      </c>
      <c r="K355" s="211" t="inlineStr">
        <is>
          <t>NO-TAR</t>
        </is>
      </c>
      <c r="L355" s="209" t="inlineStr">
        <is>
          <t>PDF</t>
        </is>
      </c>
      <c r="M355" s="209" t="inlineStr">
        <is>
          <t>CN</t>
        </is>
      </c>
      <c r="N355" s="203" t="inlineStr">
        <is>
          <t>https://www.gov.cn/zhengce/zhengceku/2022-06/29/content_5698410.htm</t>
        </is>
      </c>
    </row>
    <row r="356">
      <c r="B356" s="198" t="inlineStr">
        <is>
          <t>AP2205</t>
        </is>
      </c>
      <c r="C356" s="208" t="n">
        <v>2022</v>
      </c>
      <c r="D356" s="210" t="inlineStr">
        <is>
          <t>加快推进公路沿线充电基础设施建设行动方案</t>
        </is>
      </c>
      <c r="E356" s="210" t="inlineStr">
        <is>
          <t>Action Plan to Accelerate the Construction of Charging Infrastructure Along Highways</t>
        </is>
      </c>
      <c r="F356" s="209" t="inlineStr">
        <is>
          <t>Ministry of Transport; National Energy Administration; State Grid Corporation of China; China Southern Power Grid Company Limited</t>
        </is>
      </c>
      <c r="G356" s="209" t="inlineStr">
        <is>
          <t>行动方案</t>
        </is>
      </c>
      <c r="H356" s="210" t="inlineStr">
        <is>
          <t>Mitigation-enabling</t>
        </is>
      </c>
      <c r="I356" s="211" t="inlineStr">
        <is>
          <t>B.3, B.4</t>
        </is>
      </c>
      <c r="J356" s="208" t="inlineStr">
        <is>
          <t>-</t>
        </is>
      </c>
      <c r="K356" s="211" t="inlineStr">
        <is>
          <t>NO-TAR</t>
        </is>
      </c>
      <c r="L356" s="209" t="inlineStr">
        <is>
          <t>HTM</t>
        </is>
      </c>
      <c r="M356" s="209" t="inlineStr">
        <is>
          <t>CN</t>
        </is>
      </c>
      <c r="N356" s="203" t="inlineStr">
        <is>
          <t>https://xxgk.mot.gov.cn/2020/jigou/glj/202208/t20220825_3670513.html</t>
        </is>
      </c>
    </row>
    <row r="357">
      <c r="B357" s="198" t="inlineStr">
        <is>
          <t>AP2206</t>
        </is>
      </c>
      <c r="C357" s="208" t="n">
        <v>2022</v>
      </c>
      <c r="D357" s="210" t="inlineStr">
        <is>
          <t>焦化行业碳达峰碳中和行动方案</t>
        </is>
      </c>
      <c r="E357" s="210" t="inlineStr">
        <is>
          <t>Action Plan for Carbon Peaking and Carbon Neutrality in the Coking Sector</t>
        </is>
      </c>
      <c r="F357" s="209" t="inlineStr">
        <is>
          <t>China Coking Industry Association</t>
        </is>
      </c>
      <c r="G357" s="209" t="inlineStr">
        <is>
          <t>行动方案</t>
        </is>
      </c>
      <c r="H357" s="210" t="inlineStr">
        <is>
          <t>Explicit mitigation</t>
        </is>
      </c>
      <c r="I357" s="211" t="inlineStr">
        <is>
          <t>B.2</t>
        </is>
      </c>
      <c r="J357" s="208" t="inlineStr">
        <is>
          <t>-</t>
        </is>
      </c>
      <c r="K357" s="211" t="inlineStr">
        <is>
          <t>TAR</t>
        </is>
      </c>
      <c r="L357" s="209" t="inlineStr">
        <is>
          <t>PDF</t>
        </is>
      </c>
      <c r="M357" s="209" t="inlineStr">
        <is>
          <t>CN</t>
        </is>
      </c>
      <c r="N357" s="203" t="inlineStr">
        <is>
          <t>http://www.cnljxh.com/news/show.php?id=470</t>
        </is>
      </c>
    </row>
    <row r="358">
      <c r="B358" s="198" t="inlineStr">
        <is>
          <t>AP2208</t>
        </is>
      </c>
      <c r="C358" s="208" t="n">
        <v>2022</v>
      </c>
      <c r="D358" s="210" t="inlineStr">
        <is>
          <t>加快电力装备绿色低碳创新发展行动计划</t>
        </is>
      </c>
      <c r="E358" s="210" t="inlineStr">
        <is>
          <t>Action Plan to Accelerate the Development of Green and Low-carbon Innovation in Power Equipment</t>
        </is>
      </c>
      <c r="F358" s="209" t="inlineStr">
        <is>
          <t>Ministry of Industry and Information Technology; Ministry of Finance; Ministry of Commerce; State-owned Assets Supervision and Administration Commission of the State Council; State Administration for Market Regulation</t>
        </is>
      </c>
      <c r="G358" s="209" t="inlineStr">
        <is>
          <t>行动计划</t>
        </is>
      </c>
      <c r="H358" s="210" t="inlineStr">
        <is>
          <t>Explicit mitigation</t>
        </is>
      </c>
      <c r="I358" s="211" t="inlineStr">
        <is>
          <t>B.1, C.1</t>
        </is>
      </c>
      <c r="J358" s="208" t="inlineStr">
        <is>
          <t>-</t>
        </is>
      </c>
      <c r="K358" s="211" t="inlineStr">
        <is>
          <t>NO-TAR</t>
        </is>
      </c>
      <c r="L358" s="209" t="inlineStr">
        <is>
          <t>HTM</t>
        </is>
      </c>
      <c r="M358" s="209" t="inlineStr">
        <is>
          <t>CN</t>
        </is>
      </c>
      <c r="N358" s="203" t="inlineStr">
        <is>
          <t>https://www.miit.gov.cn/zwgk/zcwj/wjfb/tz/art/2022/art_4ccbd89465cc4336b88b19a02bbf473b.html</t>
        </is>
      </c>
    </row>
    <row r="359">
      <c r="B359" s="198" t="inlineStr">
        <is>
          <t>AP2209</t>
        </is>
      </c>
      <c r="C359" s="208" t="n">
        <v>2022</v>
      </c>
      <c r="D359" s="210" t="inlineStr">
        <is>
          <t>信息通信行业绿色低碳发展行动计划（2022-2025 年）</t>
        </is>
      </c>
      <c r="E359" s="210" t="inlineStr">
        <is>
          <t>Action Plan for Green and Low-Carbon Development of the Information and Communication Industry (2022-2025)</t>
        </is>
      </c>
      <c r="F359" s="209" t="inlineStr">
        <is>
          <t>Ministry of Industry and Information Technology; National Development and Reform Commission; Ministry of Finance; Ministry of Ecology and Environment; Ministry of Housing and Urban-Rural Development; State-owned Assets Supervision and Administration Commission of the State Council; National Energy Administration</t>
        </is>
      </c>
      <c r="G359" s="209" t="inlineStr">
        <is>
          <t>行动计划</t>
        </is>
      </c>
      <c r="H359" s="210" t="inlineStr">
        <is>
          <t>Explicit mitigation</t>
        </is>
      </c>
      <c r="I359" s="211" t="inlineStr">
        <is>
          <t>B.2</t>
        </is>
      </c>
      <c r="J359" s="208" t="inlineStr">
        <is>
          <t>2022-2025</t>
        </is>
      </c>
      <c r="K359" s="211" t="inlineStr">
        <is>
          <t>NO-TAR</t>
        </is>
      </c>
      <c r="L359" s="209" t="inlineStr">
        <is>
          <t>PDF</t>
        </is>
      </c>
      <c r="M359" s="209" t="inlineStr">
        <is>
          <t>CN</t>
        </is>
      </c>
      <c r="N359" s="203" t="inlineStr">
        <is>
          <t>https://www.miit.gov.cn/zwgk/zcwj/wjfb/tz/art/2022/art_a6e264bf71ed44549904c9e27aeba472.html</t>
        </is>
      </c>
    </row>
    <row r="360">
      <c r="B360" s="198" t="inlineStr">
        <is>
          <t>AP2210</t>
        </is>
      </c>
      <c r="C360" s="208" t="n">
        <v>2022</v>
      </c>
      <c r="D360" s="210" t="inlineStr">
        <is>
          <t>到2025年化学农药减量化行动方案</t>
        </is>
      </c>
      <c r="E360" s="210" t="inlineStr">
        <is>
          <t>Action Plan for the Reduction of Chemical Pesticides by 2025</t>
        </is>
      </c>
      <c r="F360" s="209" t="inlineStr">
        <is>
          <t>Ministry of Agriculture and Rural Affairs</t>
        </is>
      </c>
      <c r="G360" s="209" t="inlineStr">
        <is>
          <t>行动方案</t>
        </is>
      </c>
      <c r="H360" s="210" t="inlineStr">
        <is>
          <t>Economy planning incl. climate</t>
        </is>
      </c>
      <c r="I360" s="211" t="inlineStr">
        <is>
          <t>D.3</t>
        </is>
      </c>
      <c r="J360" s="208" t="inlineStr">
        <is>
          <t>2022-2025</t>
        </is>
      </c>
      <c r="K360" s="211" t="inlineStr">
        <is>
          <t>NO-TAR</t>
        </is>
      </c>
      <c r="L360" s="209" t="inlineStr">
        <is>
          <t>PDF</t>
        </is>
      </c>
      <c r="M360" s="209" t="inlineStr">
        <is>
          <t>CN</t>
        </is>
      </c>
      <c r="N360" s="203" t="inlineStr">
        <is>
          <t>http://www.moa.gov.cn/govpublic/ZZYGLS/202212/t20221201_6416398.htm</t>
        </is>
      </c>
    </row>
    <row r="361">
      <c r="B361" s="198" t="inlineStr">
        <is>
          <t>AP2211</t>
        </is>
      </c>
      <c r="C361" s="208" t="n">
        <v>2022</v>
      </c>
      <c r="D361" s="210" t="inlineStr">
        <is>
          <t>深入打好重污染天气消除、臭氧污染防治和柴油货车污染治理攻坚战行动方案</t>
        </is>
      </c>
      <c r="E361" s="210" t="inlineStr">
        <is>
          <t>Action Plan for Deepening the Campaign to Eliminate Heavy Pollution Weather, Prevent and Control Ozone Pollution, and Control Diesel Truck Pollution</t>
        </is>
      </c>
      <c r="F361" s="209" t="inlineStr">
        <is>
          <t>Ministry of Ecology and Environment; National Development and Reform Commission; Ministry of Industry and Information Technology; Ministry of Finance; Ministry of Transport</t>
        </is>
      </c>
      <c r="G361" s="209" t="inlineStr">
        <is>
          <t>行动方案</t>
        </is>
      </c>
      <c r="H361" s="210" t="inlineStr">
        <is>
          <t>Mitigation-enabling</t>
        </is>
      </c>
      <c r="I361" s="211" t="inlineStr">
        <is>
          <t>D.1</t>
        </is>
      </c>
      <c r="J361" s="208" t="inlineStr">
        <is>
          <t>-</t>
        </is>
      </c>
      <c r="K361" s="211" t="inlineStr">
        <is>
          <t>NO-TAR</t>
        </is>
      </c>
      <c r="L361" s="209" t="inlineStr">
        <is>
          <t>HTM</t>
        </is>
      </c>
      <c r="M361" s="209" t="inlineStr">
        <is>
          <t>CN</t>
        </is>
      </c>
      <c r="N361" s="203" t="inlineStr">
        <is>
          <t>https://www.mee.gov.cn/xxgk2018/xxgk/xxgk03/202211/t20221116_1005042.html</t>
        </is>
      </c>
    </row>
    <row r="362">
      <c r="B362" s="198" t="inlineStr">
        <is>
          <t>AP2213</t>
        </is>
      </c>
      <c r="C362" s="208" t="n">
        <v>2022</v>
      </c>
      <c r="D362" s="210" t="inlineStr">
        <is>
          <t>工业水效提升行动计划</t>
        </is>
      </c>
      <c r="E362" s="210" t="inlineStr">
        <is>
          <t>Action Plan for Industrial Water Efficiency Improvement</t>
        </is>
      </c>
      <c r="F362" s="209" t="inlineStr">
        <is>
          <t>Ministry of Industry and Information Technology; Ministry of Water Resources; National Development and Reform Commission; Ministry of Finance; Ministry of Housing and Urban-Rural Development; State Administration for Market Regulation</t>
        </is>
      </c>
      <c r="G362" s="209" t="inlineStr">
        <is>
          <t>行动计划</t>
        </is>
      </c>
      <c r="H362" s="210" t="inlineStr">
        <is>
          <t>Mitigation-enabling</t>
        </is>
      </c>
      <c r="I362" s="211" t="inlineStr">
        <is>
          <t>D.3</t>
        </is>
      </c>
      <c r="J362" s="208" t="inlineStr">
        <is>
          <t>-</t>
        </is>
      </c>
      <c r="K362" s="209" t="inlineStr">
        <is>
          <t>NO-TAR</t>
        </is>
      </c>
      <c r="L362" s="209" t="inlineStr">
        <is>
          <t>PDF</t>
        </is>
      </c>
      <c r="M362" s="209" t="inlineStr">
        <is>
          <t>CN</t>
        </is>
      </c>
      <c r="N362" s="203" t="inlineStr">
        <is>
          <t>https://wap.miit.gov.cn/zwgk/zcwj/wjfb/tz/art/2022/art_cf9ca7196df7467394e580b84f82d957.html</t>
        </is>
      </c>
    </row>
    <row r="363">
      <c r="B363" s="198" t="inlineStr">
        <is>
          <t>AP2301</t>
        </is>
      </c>
      <c r="C363" s="208" t="n">
        <v>2023</v>
      </c>
      <c r="D363" s="210" t="inlineStr">
        <is>
          <t>到2025年化肥减量化行动方案</t>
        </is>
      </c>
      <c r="E363" s="210" t="inlineStr">
        <is>
          <t>Action Plan for Fertilizer Reduction by 2025</t>
        </is>
      </c>
      <c r="F363" s="209" t="inlineStr">
        <is>
          <t>Ministry of Agriculture and Rural Affairs</t>
        </is>
      </c>
      <c r="G363" s="209" t="inlineStr">
        <is>
          <t>行动方案</t>
        </is>
      </c>
      <c r="H363" s="210" t="inlineStr">
        <is>
          <t>Mitigation-enabling</t>
        </is>
      </c>
      <c r="I363" s="211" t="inlineStr">
        <is>
          <t>D.3</t>
        </is>
      </c>
      <c r="J363" s="208" t="inlineStr">
        <is>
          <t>2023-2025</t>
        </is>
      </c>
      <c r="K363" s="211" t="inlineStr">
        <is>
          <t>NO-TAR</t>
        </is>
      </c>
      <c r="L363" s="209" t="inlineStr">
        <is>
          <t>PDF</t>
        </is>
      </c>
      <c r="M363" s="209" t="inlineStr">
        <is>
          <t>CN</t>
        </is>
      </c>
      <c r="N363" s="203" t="inlineStr">
        <is>
          <t>http://www.moa.gov.cn/govpublic/ZZYGLS/202212/t20221201_6416398.htm</t>
        </is>
      </c>
    </row>
    <row r="364">
      <c r="B364" s="198" t="inlineStr">
        <is>
          <t>AP2302</t>
        </is>
      </c>
      <c r="C364" s="208" t="n">
        <v>2023</v>
      </c>
      <c r="D364" s="210" t="inlineStr">
        <is>
          <t>加快油气勘探开发与新能源融合发展行动方案（2023-2025年）</t>
        </is>
      </c>
      <c r="E364" s="210" t="inlineStr">
        <is>
          <t>Action Plan for Accelerating Oil and Gas Exploration and Developing New Energy Integration (2023-2025)</t>
        </is>
      </c>
      <c r="F364" s="209" t="inlineStr">
        <is>
          <t>National Energy Administration</t>
        </is>
      </c>
      <c r="G364" s="209" t="inlineStr">
        <is>
          <t>行动方案</t>
        </is>
      </c>
      <c r="H364" s="210" t="inlineStr">
        <is>
          <t>Fossil-fuel</t>
        </is>
      </c>
      <c r="I364" s="211" t="inlineStr">
        <is>
          <t>B.1</t>
        </is>
      </c>
      <c r="J364" s="208" t="inlineStr">
        <is>
          <t>2023-2025</t>
        </is>
      </c>
      <c r="K364" s="211" t="inlineStr">
        <is>
          <t>NO-TAR</t>
        </is>
      </c>
      <c r="L364" s="209" t="inlineStr">
        <is>
          <t>HTM</t>
        </is>
      </c>
      <c r="M364" s="209" t="inlineStr">
        <is>
          <t>CN</t>
        </is>
      </c>
      <c r="N364" s="203" t="inlineStr">
        <is>
          <t>http://zfxxgk.nea.gov.cn/2023-02/27/c_1310704758.htm</t>
        </is>
      </c>
    </row>
    <row r="365">
      <c r="B365" s="198" t="inlineStr">
        <is>
          <t>AP2303</t>
        </is>
      </c>
      <c r="C365" s="208" t="n">
        <v>2023</v>
      </c>
      <c r="D365" s="210" t="inlineStr">
        <is>
          <t>绿色航空制造业发展纲要（2023-2035年）</t>
        </is>
      </c>
      <c r="E365" s="210" t="inlineStr">
        <is>
          <t>Outline of Green Aviation Manufacturing Development (2023-2035)</t>
        </is>
      </c>
      <c r="F365" s="209" t="inlineStr">
        <is>
          <t>Ministry of Industry and Information Technology; Ministry of Science and Technology; Ministry of Finance; Civil Aviation Administration of China</t>
        </is>
      </c>
      <c r="G365" s="209" t="inlineStr">
        <is>
          <t>发展纲要</t>
        </is>
      </c>
      <c r="H365" s="210" t="inlineStr">
        <is>
          <t>Explicit mitigation</t>
        </is>
      </c>
      <c r="I365" s="211" t="inlineStr">
        <is>
          <t>B.2, B.4</t>
        </is>
      </c>
      <c r="J365" s="208" t="inlineStr">
        <is>
          <t>2023-2025</t>
        </is>
      </c>
      <c r="K365" s="211" t="inlineStr">
        <is>
          <t>NO-TAR</t>
        </is>
      </c>
      <c r="L365" s="209" t="inlineStr">
        <is>
          <t>PDF</t>
        </is>
      </c>
      <c r="M365" s="209" t="inlineStr">
        <is>
          <t>CN</t>
        </is>
      </c>
      <c r="N365" s="203" t="inlineStr">
        <is>
          <t>https://www.gov.cn/zhengce/zhengceku/202310/content_6908243.htm</t>
        </is>
      </c>
    </row>
    <row r="366">
      <c r="B366" s="198" t="inlineStr">
        <is>
          <t>AP2304</t>
        </is>
      </c>
      <c r="C366" s="208" t="n">
        <v>2023</v>
      </c>
      <c r="D366" s="210" t="inlineStr">
        <is>
          <t>空气质量持续改善行动计划</t>
        </is>
      </c>
      <c r="E366" s="210" t="inlineStr">
        <is>
          <t>Action Plan for Continuous Improvement of Air Quality</t>
        </is>
      </c>
      <c r="F366" s="209" t="inlineStr">
        <is>
          <t>State Council</t>
        </is>
      </c>
      <c r="G366" s="209" t="inlineStr">
        <is>
          <t>行动计划</t>
        </is>
      </c>
      <c r="H366" s="210" t="inlineStr">
        <is>
          <t>Mitigation-enabling</t>
        </is>
      </c>
      <c r="I366" s="211" t="inlineStr">
        <is>
          <t>D.1</t>
        </is>
      </c>
      <c r="J366" s="208" t="inlineStr">
        <is>
          <t>-</t>
        </is>
      </c>
      <c r="K366" s="211" t="inlineStr">
        <is>
          <t>TAR</t>
        </is>
      </c>
      <c r="L366" s="209" t="inlineStr">
        <is>
          <t>HTM</t>
        </is>
      </c>
      <c r="M366" s="209" t="inlineStr">
        <is>
          <t>CN</t>
        </is>
      </c>
      <c r="N366" s="203" t="inlineStr">
        <is>
          <t>https://news.cctv.com/2023/12/07/ARTI5j8uPTZp7Wao7t5jeCg0231207.shtml</t>
        </is>
      </c>
    </row>
    <row r="367">
      <c r="B367" s="198" t="inlineStr">
        <is>
          <t>AP2305</t>
        </is>
      </c>
      <c r="C367" s="208" t="n">
        <v>2023</v>
      </c>
      <c r="D367" s="210" t="inlineStr">
        <is>
          <t>甲烷排放控制行动方案</t>
        </is>
      </c>
      <c r="E367" s="210" t="inlineStr">
        <is>
          <t>Action Plan for the Control of Methane Emissions</t>
        </is>
      </c>
      <c r="F367" s="209" t="inlineStr">
        <is>
          <t>Ministry of Ecology and Environment; National Development and Reform Commission; Ministry of Industry and Information Technology; Ministry of Natural Resources; Ministry of Housing and Urban-Rural Development; Ministry of Transport; Ministry of Agriculture and Rural Affairs; National Energy Administration; National Forestry and Grassland Administration</t>
        </is>
      </c>
      <c r="G367" s="209" t="inlineStr">
        <is>
          <t>行动方案</t>
        </is>
      </c>
      <c r="H367" s="210" t="inlineStr">
        <is>
          <t>Explicit mitigation</t>
        </is>
      </c>
      <c r="I367" s="211" t="inlineStr">
        <is>
          <t>B.5</t>
        </is>
      </c>
      <c r="J367" s="208" t="inlineStr">
        <is>
          <t>-</t>
        </is>
      </c>
      <c r="K367" s="211" t="inlineStr">
        <is>
          <t>NO-TAR</t>
        </is>
      </c>
      <c r="L367" s="209" t="inlineStr">
        <is>
          <t>HTM</t>
        </is>
      </c>
      <c r="M367" s="209" t="inlineStr">
        <is>
          <t>CN</t>
        </is>
      </c>
      <c r="N367" s="203" t="inlineStr">
        <is>
          <t>https://www.mee.gov.cn/xxgk2018/xxgk/xxgk03/202311/t20231107_1055437.html</t>
        </is>
      </c>
    </row>
    <row r="368">
      <c r="B368" s="198" t="inlineStr">
        <is>
          <t>AP2306</t>
        </is>
      </c>
      <c r="C368" s="208" t="n">
        <v>2023</v>
      </c>
      <c r="D368" s="210" t="inlineStr">
        <is>
          <t>深入推进快递包装绿色转型行动方案</t>
        </is>
      </c>
      <c r="E368" s="210" t="inlineStr">
        <is>
          <t>Action Plan for Advancing the Green Transformation of Express Packaging</t>
        </is>
      </c>
      <c r="F368" s="209" t="inlineStr">
        <is>
          <t>National Development and Reform Commission; State Post Bureau; Ministry of Industry and Information Technology; Ministry of Finance; Ministry of Housing and Urban-Rural Development; Ministry of Commerce; State Administration for Market Regulation; Supreme People’s Procuratorate</t>
        </is>
      </c>
      <c r="G368" s="209" t="inlineStr">
        <is>
          <t>行动方案</t>
        </is>
      </c>
      <c r="H368" s="210" t="inlineStr">
        <is>
          <t>Explicit mitigation</t>
        </is>
      </c>
      <c r="I368" s="211" t="inlineStr">
        <is>
          <t>B.4</t>
        </is>
      </c>
      <c r="J368" s="208" t="inlineStr">
        <is>
          <t>-</t>
        </is>
      </c>
      <c r="K368" s="211" t="inlineStr">
        <is>
          <t>NO-TAR</t>
        </is>
      </c>
      <c r="L368" s="209" t="inlineStr">
        <is>
          <t>HTM</t>
        </is>
      </c>
      <c r="M368" s="209" t="inlineStr">
        <is>
          <t>CN</t>
        </is>
      </c>
      <c r="N368" s="203" t="inlineStr">
        <is>
          <t>https://www.ndrc.gov.cn/xxgk/zcfb/tz/202312/t20231215_1362653.html</t>
        </is>
      </c>
    </row>
    <row r="369">
      <c r="B369" s="198" t="inlineStr">
        <is>
          <t>AP2307</t>
        </is>
      </c>
      <c r="C369" s="208" t="n">
        <v>2023</v>
      </c>
      <c r="D369" s="210" t="inlineStr">
        <is>
          <t>船舶制造业绿色发展行动纲要（2024—2030年）</t>
        </is>
      </c>
      <c r="E369" s="210" t="inlineStr">
        <is>
          <t>Action Outline for Green Development of the Shipbuilding Industry (2024-2030)</t>
        </is>
      </c>
      <c r="F369" s="209" t="inlineStr">
        <is>
          <t>Ministry of Industry and Information Technology; National Development and Reform Commission; Ministry of Finance; Ministry of Ecology and Environment; Ministry of Transport</t>
        </is>
      </c>
      <c r="G369" s="209" t="inlineStr">
        <is>
          <t>行动纲要</t>
        </is>
      </c>
      <c r="H369" s="210" t="inlineStr">
        <is>
          <t>Explicit mitigation</t>
        </is>
      </c>
      <c r="I369" s="211" t="inlineStr">
        <is>
          <t>B.2, B.4</t>
        </is>
      </c>
      <c r="J369" s="208" t="inlineStr">
        <is>
          <t>2024-2030</t>
        </is>
      </c>
      <c r="K369" s="211" t="inlineStr">
        <is>
          <t>NO-TAR</t>
        </is>
      </c>
      <c r="L369" s="209" t="inlineStr">
        <is>
          <t>PDF</t>
        </is>
      </c>
      <c r="M369" s="209" t="inlineStr">
        <is>
          <t>CN</t>
        </is>
      </c>
      <c r="N369" s="203" t="inlineStr">
        <is>
          <t>https://www.gov.cn/zhengce/zhengceku/202312/content_6923175.htm</t>
        </is>
      </c>
    </row>
    <row r="370">
      <c r="B370" s="198" t="inlineStr">
        <is>
          <t>AP2308</t>
        </is>
      </c>
      <c r="C370" s="208" t="n">
        <v>2023</v>
      </c>
      <c r="D370" s="210" t="inlineStr">
        <is>
          <t>加快建设交通强国五年行动计划（2023—2027 年）</t>
        </is>
      </c>
      <c r="E370" s="210" t="inlineStr">
        <is>
          <t>Five Year Action Plan for Accelerating the Construction of a Strong Transportation Country (2023-2027)</t>
        </is>
      </c>
      <c r="F370" s="209" t="inlineStr">
        <is>
          <t>Ministry of Transport; National Railway Administration; Civil Aviation Administration of China; State Post Bureau; China State Railway Group Co., Ltd.</t>
        </is>
      </c>
      <c r="G370" s="209" t="inlineStr">
        <is>
          <t>行动计划</t>
        </is>
      </c>
      <c r="H370" s="210" t="inlineStr">
        <is>
          <t>Economy planning incl. climate</t>
        </is>
      </c>
      <c r="I370" s="211" t="inlineStr">
        <is>
          <t>B.4</t>
        </is>
      </c>
      <c r="J370" s="208" t="inlineStr">
        <is>
          <t>2023-2027</t>
        </is>
      </c>
      <c r="K370" s="211" t="inlineStr">
        <is>
          <t>NO-TAR</t>
        </is>
      </c>
      <c r="L370" s="209" t="inlineStr">
        <is>
          <t>HTM</t>
        </is>
      </c>
      <c r="M370" s="209" t="inlineStr">
        <is>
          <t>CN</t>
        </is>
      </c>
      <c r="N370" s="203" t="inlineStr">
        <is>
          <t>https://www.kczg.org.cn/rules/detail?id=6241327</t>
        </is>
      </c>
    </row>
    <row r="371">
      <c r="B371" s="198" t="inlineStr">
        <is>
          <t>AP2402</t>
        </is>
      </c>
      <c r="C371" s="208" t="n">
        <v>2024</v>
      </c>
      <c r="D371" s="210" t="inlineStr">
        <is>
          <t>推动大规模设备更新和消费品以旧换新行动方案</t>
        </is>
      </c>
      <c r="E371" s="210" t="inlineStr">
        <is>
          <t>Action Plan for Promoting Large-scale Equipment Renewals and Trade-ins of Consumer Goods (State Council)</t>
        </is>
      </c>
      <c r="F371" s="209" t="inlineStr">
        <is>
          <t>State Council</t>
        </is>
      </c>
      <c r="G371" s="209" t="inlineStr">
        <is>
          <t>行动方案</t>
        </is>
      </c>
      <c r="H371" s="210" t="inlineStr">
        <is>
          <t>Mitigation-enabling</t>
        </is>
      </c>
      <c r="I371" s="211" t="inlineStr">
        <is>
          <t>C.4</t>
        </is>
      </c>
      <c r="J371" s="208" t="inlineStr">
        <is>
          <t>-</t>
        </is>
      </c>
      <c r="K371" s="211" t="inlineStr">
        <is>
          <t>NO-TAR</t>
        </is>
      </c>
      <c r="L371" s="209" t="inlineStr">
        <is>
          <t>HTM</t>
        </is>
      </c>
      <c r="M371" s="209" t="inlineStr">
        <is>
          <t>CN</t>
        </is>
      </c>
      <c r="N371" s="203" t="inlineStr">
        <is>
          <t>https://www.gov.cn/zhengce/content/202403/content_6939232.htm</t>
        </is>
      </c>
    </row>
    <row r="372">
      <c r="B372" s="198" t="inlineStr">
        <is>
          <t>AP2403</t>
        </is>
      </c>
      <c r="C372" s="208" t="n">
        <v>2024</v>
      </c>
      <c r="D372" s="210" t="inlineStr">
        <is>
          <t>推动消费品以旧换新行动方案</t>
        </is>
      </c>
      <c r="E372" s="210" t="inlineStr">
        <is>
          <t>Action Plan for Accelerating the Replacement of Consumer Goods</t>
        </is>
      </c>
      <c r="F372" s="209" t="inlineStr">
        <is>
          <t>Ministry of Commerce; National Development and Reform Commission; Ministry of Industry and Information Technology; Ministry of Public Security; Ministry of Civil Affairs; Ministry of Finance; Ministry of Natural Resources; Ministry of Ecology and Environment; Ministry of Housing and Urban-Rural Development; Ministry of Transport; People’s Bank of China; State Taxation Administration; State Administration for Market Regulation; National Financial Regulatory Administration</t>
        </is>
      </c>
      <c r="G372" s="209" t="inlineStr">
        <is>
          <t>行动方案</t>
        </is>
      </c>
      <c r="H372" s="210" t="inlineStr">
        <is>
          <t>Mitigation-enabling</t>
        </is>
      </c>
      <c r="I372" s="211" t="inlineStr">
        <is>
          <t>C.4</t>
        </is>
      </c>
      <c r="J372" s="208" t="inlineStr">
        <is>
          <t>-</t>
        </is>
      </c>
      <c r="K372" s="211" t="inlineStr">
        <is>
          <t>TAR</t>
        </is>
      </c>
      <c r="L372" s="209" t="inlineStr">
        <is>
          <t>HTM</t>
        </is>
      </c>
      <c r="M372" s="209" t="inlineStr">
        <is>
          <t>CN</t>
        </is>
      </c>
      <c r="N372" s="203" t="inlineStr">
        <is>
          <t>https://www.gov.cn/zhengce/zhengceku/202404/content_6945069.htm</t>
        </is>
      </c>
    </row>
    <row r="373">
      <c r="B373" s="198" t="inlineStr">
        <is>
          <t>AP2404</t>
        </is>
      </c>
      <c r="C373" s="208" t="n">
        <v>2024</v>
      </c>
      <c r="D373" s="210" t="inlineStr">
        <is>
          <t>交通运输大规模设备更新行动方案</t>
        </is>
      </c>
      <c r="E373" s="210" t="inlineStr">
        <is>
          <t>Action Plan for Large-scale Equipment Renewals in Transportation Sector</t>
        </is>
      </c>
      <c r="F373" s="209" t="inlineStr">
        <is>
          <t>Ministry of Transport; National Development and Reform Commission; Ministry of Industry and Information Technology; Ministry of Public Security; Ministry of Finance; Ministry of Ecology and Environment; Ministry of Commerce; People’s Bank of China; State Administration for Market Regulation; National Financial Regulatory Administration; National Energy Administration; National Railway Administration; State Post Bureau</t>
        </is>
      </c>
      <c r="G373" s="209" t="inlineStr">
        <is>
          <t>行动方案</t>
        </is>
      </c>
      <c r="H373" s="210" t="inlineStr">
        <is>
          <t>Mitigation-enabling</t>
        </is>
      </c>
      <c r="I373" s="211" t="inlineStr">
        <is>
          <t>B.4</t>
        </is>
      </c>
      <c r="J373" s="208" t="inlineStr">
        <is>
          <t>-</t>
        </is>
      </c>
      <c r="K373" s="211" t="inlineStr">
        <is>
          <t>NO-TAR</t>
        </is>
      </c>
      <c r="L373" s="209" t="inlineStr">
        <is>
          <t>HTM</t>
        </is>
      </c>
      <c r="M373" s="209" t="inlineStr">
        <is>
          <t>CN</t>
        </is>
      </c>
      <c r="N373" s="203" t="inlineStr">
        <is>
          <t>https://www.ndrc.gov.cn/xwdt/ztzl/tddgmsbgxhxfpyjhx/gzdt/202407/t20240718_1391800.html</t>
        </is>
      </c>
    </row>
    <row r="374">
      <c r="B374" s="198" t="inlineStr">
        <is>
          <t>AP2405</t>
        </is>
      </c>
      <c r="C374" s="208" t="n">
        <v>2024</v>
      </c>
      <c r="D374" s="210" t="inlineStr">
        <is>
          <t>2024—2025年节能降碳行动方案</t>
        </is>
      </c>
      <c r="E374" s="210" t="inlineStr">
        <is>
          <t>2024-2025 Action Plan for Energy Conservation and Carbon Emissions Reduction</t>
        </is>
      </c>
      <c r="F374" s="209" t="inlineStr">
        <is>
          <t>State Council</t>
        </is>
      </c>
      <c r="G374" s="209" t="inlineStr">
        <is>
          <t>行动方案</t>
        </is>
      </c>
      <c r="H374" s="210" t="inlineStr">
        <is>
          <t>Explicit mitigation</t>
        </is>
      </c>
      <c r="I374" s="211" t="inlineStr">
        <is>
          <t>A</t>
        </is>
      </c>
      <c r="J374" s="208" t="inlineStr">
        <is>
          <t>2024-2025</t>
        </is>
      </c>
      <c r="K374" s="211" t="inlineStr">
        <is>
          <t>TAR</t>
        </is>
      </c>
      <c r="L374" s="209" t="inlineStr">
        <is>
          <t>HTM</t>
        </is>
      </c>
      <c r="M374" s="209" t="inlineStr">
        <is>
          <t>CN</t>
        </is>
      </c>
      <c r="N374" s="203" t="inlineStr">
        <is>
          <t>https://www.gov.cn/zhengce/content/202405/content_6954322.htm</t>
        </is>
      </c>
    </row>
    <row r="375">
      <c r="B375" s="198" t="inlineStr">
        <is>
          <t>AP2406</t>
        </is>
      </c>
      <c r="C375" s="208" t="n">
        <v>2024</v>
      </c>
      <c r="D375" s="210" t="inlineStr">
        <is>
          <t>煤电低碳化改造建设行动方案(2024—2027年)</t>
        </is>
      </c>
      <c r="E375" s="210" t="inlineStr">
        <is>
          <t>Action Plan for Low-Carbon Transformation and Construction of Coal Power (2024-2027)</t>
        </is>
      </c>
      <c r="F375" s="209" t="inlineStr">
        <is>
          <t>National Development and Reform Commission; National Energy Administration</t>
        </is>
      </c>
      <c r="G375" s="209" t="inlineStr">
        <is>
          <t>行动方案</t>
        </is>
      </c>
      <c r="H375" s="210" t="inlineStr">
        <is>
          <t>Fossil-fuel</t>
        </is>
      </c>
      <c r="I375" s="211" t="inlineStr">
        <is>
          <t>B.1</t>
        </is>
      </c>
      <c r="J375" s="208" t="inlineStr">
        <is>
          <t>2024-2027</t>
        </is>
      </c>
      <c r="K375" s="211" t="inlineStr">
        <is>
          <t>TAR</t>
        </is>
      </c>
      <c r="L375" s="209" t="inlineStr">
        <is>
          <t>PDF</t>
        </is>
      </c>
      <c r="M375" s="209" t="inlineStr">
        <is>
          <t>CN</t>
        </is>
      </c>
      <c r="N375" s="203" t="inlineStr">
        <is>
          <t>https://www.ndrc.gov.cn/xxgk/zcfb/tz/202407/t20240715_1391663.html</t>
        </is>
      </c>
    </row>
    <row r="376">
      <c r="B376" s="198" t="inlineStr">
        <is>
          <t>AP2407</t>
        </is>
      </c>
      <c r="C376" s="208" t="n">
        <v>2024</v>
      </c>
      <c r="D376" s="210" t="inlineStr">
        <is>
          <t>加快构建新型电力系统行动方案(2024—2027年)</t>
        </is>
      </c>
      <c r="E376" s="210" t="inlineStr">
        <is>
          <t>Action Plan for Accelerating the Construction of a New Type of Power System (2024-2027)</t>
        </is>
      </c>
      <c r="F376" s="209" t="inlineStr">
        <is>
          <t>National Development and Reform Commission; National Energy Administration; National Data Administration</t>
        </is>
      </c>
      <c r="G376" s="209" t="inlineStr">
        <is>
          <t>行动方案</t>
        </is>
      </c>
      <c r="H376" s="210" t="inlineStr">
        <is>
          <t>Economy planning incl. climate</t>
        </is>
      </c>
      <c r="I376" s="211" t="inlineStr">
        <is>
          <t>B.1</t>
        </is>
      </c>
      <c r="J376" s="208" t="inlineStr">
        <is>
          <t>2024-2027</t>
        </is>
      </c>
      <c r="K376" s="211" t="inlineStr">
        <is>
          <t>NO-TAR</t>
        </is>
      </c>
      <c r="L376" s="209" t="inlineStr">
        <is>
          <t>HTM</t>
        </is>
      </c>
      <c r="M376" s="209" t="inlineStr">
        <is>
          <t>CN</t>
        </is>
      </c>
      <c r="N376" s="203" t="inlineStr">
        <is>
          <t>https://www.ndrc.gov.cn/xwdt/tzgg/202408/t20240806_1392260.html</t>
        </is>
      </c>
    </row>
    <row r="377">
      <c r="B377" s="198" t="inlineStr">
        <is>
          <t>AP2408</t>
        </is>
      </c>
      <c r="C377" s="208" t="n">
        <v>2024</v>
      </c>
      <c r="D377" s="210" t="inlineStr">
        <is>
          <t>标准提升引领原材料工业优化升级行动方案（2025—2027 年）</t>
        </is>
      </c>
      <c r="E377" s="210" t="inlineStr">
        <is>
          <t>Action Plan for Upgrading and Optimizing the Raw Materials Industry through Standards Enhancement (2025–2027)</t>
        </is>
      </c>
      <c r="F377" s="209" t="inlineStr">
        <is>
          <t>Ministry of Industry and Information Technology; Ministry of Ecology and Environment; Ministry of Emergency Management; Standardization Administration of China</t>
        </is>
      </c>
      <c r="G377" s="209" t="inlineStr">
        <is>
          <t>行动方案</t>
        </is>
      </c>
      <c r="H377" s="210" t="inlineStr">
        <is>
          <t>Economy planning incl. climate</t>
        </is>
      </c>
      <c r="I377" s="211" t="inlineStr">
        <is>
          <t>B.2</t>
        </is>
      </c>
      <c r="J377" s="208" t="inlineStr">
        <is>
          <t>2025-2027</t>
        </is>
      </c>
      <c r="K377" s="211" t="inlineStr">
        <is>
          <t>NO-TAR</t>
        </is>
      </c>
      <c r="L377" s="209" t="inlineStr">
        <is>
          <t>PDF</t>
        </is>
      </c>
      <c r="M377" s="209" t="inlineStr">
        <is>
          <t>CN</t>
        </is>
      </c>
      <c r="N377" s="203" t="inlineStr">
        <is>
          <t>https://www.gov.cn/zhengce/zhengceku/202412/P020241217518293168948.pdf</t>
        </is>
      </c>
    </row>
    <row r="378">
      <c r="B378" s="198" t="inlineStr">
        <is>
          <t>AP2409</t>
        </is>
      </c>
      <c r="C378" s="208" t="n">
        <v>2024</v>
      </c>
      <c r="D378" s="210" t="inlineStr">
        <is>
          <t>钢铁行业节能降碳专项行动计划</t>
        </is>
      </c>
      <c r="E378" s="210" t="inlineStr">
        <is>
          <t>Special Action Plans for Energy Saving and Carbon Reduction for Iron and Steel</t>
        </is>
      </c>
      <c r="F378" s="209" t="inlineStr">
        <is>
          <t>National Development and Reform Commission; Ministry of Industry and Information Technology; Ministry of Ecology and Environment; State Administration for Market Regulation; National Energy Administration</t>
        </is>
      </c>
      <c r="G378" s="209" t="inlineStr">
        <is>
          <t>行动计划</t>
        </is>
      </c>
      <c r="H378" s="210" t="inlineStr">
        <is>
          <t>Explicit mitigation</t>
        </is>
      </c>
      <c r="I378" s="211" t="inlineStr">
        <is>
          <t>B.2</t>
        </is>
      </c>
      <c r="J378" s="208" t="inlineStr">
        <is>
          <t>-</t>
        </is>
      </c>
      <c r="K378" s="211" t="inlineStr">
        <is>
          <t>NO-TAR</t>
        </is>
      </c>
      <c r="L378" s="209" t="inlineStr">
        <is>
          <t>PDF</t>
        </is>
      </c>
      <c r="M378" s="209" t="inlineStr">
        <is>
          <t>CN</t>
        </is>
      </c>
      <c r="N378" s="203" t="inlineStr">
        <is>
          <t>https://www.gov.cn/zhengce/zhengceku/202406/content_6956307.htm</t>
        </is>
      </c>
    </row>
    <row r="379">
      <c r="B379" s="198" t="inlineStr">
        <is>
          <t>AP2410</t>
        </is>
      </c>
      <c r="C379" s="208" t="n">
        <v>2024</v>
      </c>
      <c r="D379" s="210" t="inlineStr">
        <is>
          <t>炼油行业节能降碳专项行动计划</t>
        </is>
      </c>
      <c r="E379" s="210" t="inlineStr">
        <is>
          <t>Special Action Plans for Energy Saving and Carbon Reduction for Oil Refining</t>
        </is>
      </c>
      <c r="F379" s="209" t="inlineStr">
        <is>
          <t>National Development and Reform Commission; Ministry of Industry and Information Technology; Ministry of Ecology and Environment; State Administration for Market Regulation; National Energy Administration</t>
        </is>
      </c>
      <c r="G379" s="209" t="inlineStr">
        <is>
          <t>行动计划</t>
        </is>
      </c>
      <c r="H379" s="210" t="inlineStr">
        <is>
          <t>Fossil-fuel</t>
        </is>
      </c>
      <c r="I379" s="211" t="inlineStr">
        <is>
          <t>B.2</t>
        </is>
      </c>
      <c r="J379" s="208" t="inlineStr">
        <is>
          <t>-</t>
        </is>
      </c>
      <c r="K379" s="211" t="inlineStr">
        <is>
          <t>NO-TAR</t>
        </is>
      </c>
      <c r="L379" s="209" t="inlineStr">
        <is>
          <t>PDF</t>
        </is>
      </c>
      <c r="M379" s="209" t="inlineStr">
        <is>
          <t>CN</t>
        </is>
      </c>
      <c r="N379" s="203" t="inlineStr">
        <is>
          <t>https://www.gov.cn/zhengce/zhengceku/202406/content_6956304.htm</t>
        </is>
      </c>
    </row>
    <row r="380">
      <c r="B380" s="198" t="inlineStr">
        <is>
          <t>AP2411</t>
        </is>
      </c>
      <c r="C380" s="208" t="n">
        <v>2024</v>
      </c>
      <c r="D380" s="210" t="inlineStr">
        <is>
          <t>合成氨行业节能降碳专项行动计划</t>
        </is>
      </c>
      <c r="E380" s="210" t="inlineStr">
        <is>
          <t>Special Action Plans for Energy Saving and Carbon Reduction for Ammonia</t>
        </is>
      </c>
      <c r="F380" s="209" t="inlineStr">
        <is>
          <t>National Development and Reform Commission; Ministry of Industry and Information Technology; Ministry of Ecology and Environment; State Administration for Market Regulation; National Energy Administration</t>
        </is>
      </c>
      <c r="G380" s="209" t="inlineStr">
        <is>
          <t>行动计划</t>
        </is>
      </c>
      <c r="H380" s="210" t="inlineStr">
        <is>
          <t>Explicit mitigation</t>
        </is>
      </c>
      <c r="I380" s="211" t="inlineStr">
        <is>
          <t>B.2</t>
        </is>
      </c>
      <c r="J380" s="208" t="inlineStr">
        <is>
          <t>-</t>
        </is>
      </c>
      <c r="K380" s="211" t="inlineStr">
        <is>
          <t>NO-TAR</t>
        </is>
      </c>
      <c r="L380" s="209" t="inlineStr">
        <is>
          <t>PDF</t>
        </is>
      </c>
      <c r="M380" s="209" t="inlineStr">
        <is>
          <t>CN</t>
        </is>
      </c>
      <c r="N380" s="203" t="inlineStr">
        <is>
          <t>https://www.gov.cn/zhengce/zhengceku/202406/content_6956306.htm</t>
        </is>
      </c>
    </row>
    <row r="381">
      <c r="B381" s="198" t="inlineStr">
        <is>
          <t>AP2412</t>
        </is>
      </c>
      <c r="C381" s="208" t="n">
        <v>2024</v>
      </c>
      <c r="D381" s="210" t="inlineStr">
        <is>
          <t>水泥行业节能降碳专项行动计划</t>
        </is>
      </c>
      <c r="E381" s="210" t="inlineStr">
        <is>
          <t>Special Action Plans for Energy Saving and Carbon Reduction for Cement</t>
        </is>
      </c>
      <c r="F381" s="209" t="inlineStr">
        <is>
          <t>National Development and Reform Commission; Ministry of Industry and Information Technology; Ministry of Ecology and Environment; State Administration for Market Regulation; National Energy Administration</t>
        </is>
      </c>
      <c r="G381" s="209" t="inlineStr">
        <is>
          <t>行动计划</t>
        </is>
      </c>
      <c r="H381" s="210" t="inlineStr">
        <is>
          <t>Explicit mitigation</t>
        </is>
      </c>
      <c r="I381" s="211" t="inlineStr">
        <is>
          <t>B.2</t>
        </is>
      </c>
      <c r="J381" s="208" t="inlineStr">
        <is>
          <t>-</t>
        </is>
      </c>
      <c r="K381" s="211" t="inlineStr">
        <is>
          <t>NO-TAR</t>
        </is>
      </c>
      <c r="L381" s="209" t="inlineStr">
        <is>
          <t>PDF</t>
        </is>
      </c>
      <c r="M381" s="209" t="inlineStr">
        <is>
          <t>CN</t>
        </is>
      </c>
      <c r="N381" s="203" t="inlineStr">
        <is>
          <t>https://www.ndrc.gov.cn/xxgk/zcfb/tz/202406/t20240607_1386763.html</t>
        </is>
      </c>
    </row>
    <row r="382">
      <c r="B382" s="198" t="inlineStr">
        <is>
          <t>AP2413</t>
        </is>
      </c>
      <c r="C382" s="208" t="n">
        <v>2024</v>
      </c>
      <c r="D382" s="210" t="inlineStr">
        <is>
          <t>电解铝行业节能降碳专项行动计划</t>
        </is>
      </c>
      <c r="E382" s="210" t="inlineStr">
        <is>
          <t>Special Action Plans for Energy Saving and Carbon Reduction for Aluminum Electrolysis</t>
        </is>
      </c>
      <c r="F382" s="209" t="inlineStr">
        <is>
          <t>National Development and Reform Commission; Ministry of Industry and Information Technology; Ministry of Ecology and Environment; State Administration for Market Regulation; National Energy Administration</t>
        </is>
      </c>
      <c r="G382" s="209" t="inlineStr">
        <is>
          <t>行动计划</t>
        </is>
      </c>
      <c r="H382" s="210" t="inlineStr">
        <is>
          <t>Explicit mitigation</t>
        </is>
      </c>
      <c r="I382" s="211" t="inlineStr">
        <is>
          <t>B.2</t>
        </is>
      </c>
      <c r="J382" s="208" t="inlineStr">
        <is>
          <t>-</t>
        </is>
      </c>
      <c r="K382" s="211" t="inlineStr">
        <is>
          <t>NO-TAR</t>
        </is>
      </c>
      <c r="L382" s="209" t="inlineStr">
        <is>
          <t>HTM</t>
        </is>
      </c>
      <c r="M382" s="209" t="inlineStr">
        <is>
          <t>CN</t>
        </is>
      </c>
      <c r="N382" s="203" t="inlineStr">
        <is>
          <t>https://www.ndrc.gov.cn/xwdt/tzgg/202407/t20240723_1391888.html</t>
        </is>
      </c>
    </row>
    <row r="383" ht="14.5" customHeight="1" s="235">
      <c r="B383" s="198" t="inlineStr">
        <is>
          <t>AP2414</t>
        </is>
      </c>
      <c r="C383" s="208" t="n">
        <v>2024</v>
      </c>
      <c r="D383" s="210" t="inlineStr">
        <is>
          <t>数据中心绿色低碳发展专项行动计划</t>
        </is>
      </c>
      <c r="E383" s="210" t="inlineStr">
        <is>
          <t>Special Action Plan for Green and Low-Carbon Development of Data Centers</t>
        </is>
      </c>
      <c r="F383" s="209" t="inlineStr">
        <is>
          <t>National Development and Reform Commission; Ministry of Industry and Information Technology; National Energy Administration; National Data Administration</t>
        </is>
      </c>
      <c r="G383" s="209" t="inlineStr">
        <is>
          <t>行动计划</t>
        </is>
      </c>
      <c r="H383" s="210" t="inlineStr">
        <is>
          <t>Explicit mitigation</t>
        </is>
      </c>
      <c r="I383" s="211" t="inlineStr">
        <is>
          <t>B.3</t>
        </is>
      </c>
      <c r="J383" s="208" t="inlineStr">
        <is>
          <t>-</t>
        </is>
      </c>
      <c r="K383" s="211" t="inlineStr">
        <is>
          <t>NO-TAR</t>
        </is>
      </c>
      <c r="L383" s="209" t="inlineStr">
        <is>
          <t>PDF</t>
        </is>
      </c>
      <c r="M383" s="209" t="inlineStr">
        <is>
          <t>CN</t>
        </is>
      </c>
      <c r="N383" s="203" t="inlineStr">
        <is>
          <t>https://www.gov.cn/zhengce/zhengceku/202407/content_6964165.htm</t>
        </is>
      </c>
    </row>
    <row r="384">
      <c r="B384" s="198" t="inlineStr">
        <is>
          <t>AP2415</t>
        </is>
      </c>
      <c r="C384" s="208" t="n">
        <v>2024</v>
      </c>
      <c r="D384" s="210" t="inlineStr">
        <is>
          <t>进一步强化碳达峰碳中和标准计量体系建设行动方案（2024—2025年）</t>
        </is>
      </c>
      <c r="E384" s="210" t="inlineStr">
        <is>
          <t>Action Plan for Further Strengthening the Construction of Carbon Peak and Carbon Neutrality Standard Measurement System (2024-2025)</t>
        </is>
      </c>
      <c r="F384" s="209" t="inlineStr">
        <is>
          <t>National Development and Reform Commission; State Administration for Market Regulation; Ministry of Ecology and Environment</t>
        </is>
      </c>
      <c r="G384" s="209" t="inlineStr">
        <is>
          <t>行动方案</t>
        </is>
      </c>
      <c r="H384" s="210" t="inlineStr">
        <is>
          <t>Explicit mitigation</t>
        </is>
      </c>
      <c r="I384" s="211" t="inlineStr">
        <is>
          <t>C.3</t>
        </is>
      </c>
      <c r="J384" s="208" t="inlineStr">
        <is>
          <t>2024-2025</t>
        </is>
      </c>
      <c r="K384" s="211" t="inlineStr">
        <is>
          <t>TAR</t>
        </is>
      </c>
      <c r="L384" s="209" t="inlineStr">
        <is>
          <t>HTM</t>
        </is>
      </c>
      <c r="M384" s="209" t="inlineStr">
        <is>
          <t>CN</t>
        </is>
      </c>
      <c r="N384" s="203" t="inlineStr">
        <is>
          <t>https://www.ndrc.gov.cn/xwdt/tzgg/202408/t20240808_1392292_ext.html</t>
        </is>
      </c>
    </row>
    <row r="385">
      <c r="B385" s="198" t="inlineStr">
        <is>
          <t>AP2416</t>
        </is>
      </c>
      <c r="C385" s="208" t="n">
        <v>2024</v>
      </c>
      <c r="D385" s="210" t="inlineStr">
        <is>
          <t>中国生物多样性保护战略与行动计划（2023—2030 年）</t>
        </is>
      </c>
      <c r="E385" s="210" t="inlineStr">
        <is>
          <t>China's Biodiversity Conservation Strategy and Action Plan (2023–2030)</t>
        </is>
      </c>
      <c r="F385" s="209" t="inlineStr">
        <is>
          <t>Ministry of Ecology and Environment</t>
        </is>
      </c>
      <c r="G385" s="209" t="inlineStr">
        <is>
          <t>行动计划</t>
        </is>
      </c>
      <c r="H385" s="210" t="inlineStr">
        <is>
          <t>Mitigation-enabling</t>
        </is>
      </c>
      <c r="I385" s="211" t="inlineStr">
        <is>
          <t>D.3</t>
        </is>
      </c>
      <c r="J385" s="208" t="inlineStr">
        <is>
          <t>2023-2030</t>
        </is>
      </c>
      <c r="K385" s="211" t="inlineStr">
        <is>
          <t>TAR</t>
        </is>
      </c>
      <c r="L385" s="209" t="inlineStr">
        <is>
          <t>PDF</t>
        </is>
      </c>
      <c r="M385" s="209" t="inlineStr">
        <is>
          <t>CN</t>
        </is>
      </c>
      <c r="N385" s="203" t="inlineStr">
        <is>
          <t>https://www.mee.gov.cn/xxgk/hjyw/202401/t20240118_1064111.shtml</t>
        </is>
      </c>
    </row>
    <row r="386">
      <c r="B386" s="198" t="inlineStr">
        <is>
          <t>AP2417</t>
        </is>
      </c>
      <c r="C386" s="208" t="n">
        <v>2024</v>
      </c>
      <c r="D386" s="210" t="inlineStr">
        <is>
          <t>粮食节约和反食品浪费行动方案</t>
        </is>
      </c>
      <c r="E386" s="210" t="inlineStr">
        <is>
          <t>Action Plan for Food Conservation and Anti-Food Waste</t>
        </is>
      </c>
      <c r="F386" s="209" t="inlineStr">
        <is>
          <t>Communist Party of China Central Committee; State Council</t>
        </is>
      </c>
      <c r="G386" s="209" t="inlineStr">
        <is>
          <t>行动方案</t>
        </is>
      </c>
      <c r="H386" s="210" t="inlineStr">
        <is>
          <t>Mitigation-enabling</t>
        </is>
      </c>
      <c r="I386" s="211" t="inlineStr">
        <is>
          <t>B.5, C.4</t>
        </is>
      </c>
      <c r="J386" s="208" t="inlineStr">
        <is>
          <t>-</t>
        </is>
      </c>
      <c r="K386" s="211" t="inlineStr">
        <is>
          <t>NO-TAR</t>
        </is>
      </c>
      <c r="L386" s="209" t="inlineStr">
        <is>
          <t>HTM</t>
        </is>
      </c>
      <c r="M386" s="209" t="inlineStr">
        <is>
          <t>CN</t>
        </is>
      </c>
      <c r="N386" s="203" t="inlineStr">
        <is>
          <t>https://www.gov.cn/zhengce/202411/content_6989264.htm</t>
        </is>
      </c>
    </row>
    <row r="387">
      <c r="B387" s="198" t="inlineStr">
        <is>
          <t>AP2501</t>
        </is>
      </c>
      <c r="C387" s="208" t="n">
        <v>2025</v>
      </c>
      <c r="D387" s="210" t="inlineStr">
        <is>
          <t>推动热泵行业高质量发展行动方案</t>
        </is>
      </c>
      <c r="E387" s="210" t="inlineStr">
        <is>
          <t>Action Plan for Promoting High-Quality Development of the Heat Pump</t>
        </is>
      </c>
      <c r="F387" s="209" t="inlineStr">
        <is>
          <t>National Development and Reform Commission; Ministry of Industry and Information Technology; Ministry of Ecology and Environment; Ministry of Housing and Urban-Rural Development; Ministry of Transport; National Energy Administration</t>
        </is>
      </c>
      <c r="G387" s="209" t="inlineStr">
        <is>
          <t>行动方案</t>
        </is>
      </c>
      <c r="H387" s="210" t="inlineStr">
        <is>
          <t>Mitigation-enabling</t>
        </is>
      </c>
      <c r="I387" s="211" t="inlineStr">
        <is>
          <t>B.1, B.3</t>
        </is>
      </c>
      <c r="J387" s="208" t="inlineStr">
        <is>
          <t>-</t>
        </is>
      </c>
      <c r="K387" s="211" t="inlineStr">
        <is>
          <t>NO-TAR</t>
        </is>
      </c>
      <c r="L387" s="209" t="inlineStr">
        <is>
          <t>PDF</t>
        </is>
      </c>
      <c r="M387" s="209" t="inlineStr">
        <is>
          <t>CN</t>
        </is>
      </c>
      <c r="N387" s="203" t="inlineStr">
        <is>
          <t>https://www.ndrc.gov.cn/xxgk/zcfb/tz/202504/t20250402_1396954.html</t>
        </is>
      </c>
    </row>
    <row r="388">
      <c r="B388" s="198" t="inlineStr">
        <is>
          <t>AP2502</t>
        </is>
      </c>
      <c r="C388" s="208" t="n">
        <v>2025</v>
      </c>
      <c r="D388" s="210" t="inlineStr">
        <is>
          <t>新型储能制造业高质量发展行动方案</t>
        </is>
      </c>
      <c r="E388" s="210" t="inlineStr">
        <is>
          <t>Action Plan for High-Quality Development of the New Energy Storage Manufacturing Industry</t>
        </is>
      </c>
      <c r="F388" s="209" t="inlineStr">
        <is>
          <t>Ministry of Industry and Information Technology; National Development and Reform Commission; Ministry of Education; Ministry of Commerce; State Administration for Market Regulation; China National Intellectual Property Administration; National Energy Administration; National Fire and Rescue Administration</t>
        </is>
      </c>
      <c r="G388" s="209" t="inlineStr">
        <is>
          <t>行动方案</t>
        </is>
      </c>
      <c r="H388" s="210" t="inlineStr">
        <is>
          <t>Mitigation-enabling</t>
        </is>
      </c>
      <c r="I388" s="211" t="inlineStr">
        <is>
          <t>B.1, B.2</t>
        </is>
      </c>
      <c r="J388" s="208" t="inlineStr">
        <is>
          <t>-</t>
        </is>
      </c>
      <c r="K388" s="211" t="inlineStr">
        <is>
          <t>NO-TAR</t>
        </is>
      </c>
      <c r="L388" s="209" t="inlineStr">
        <is>
          <t>PDF</t>
        </is>
      </c>
      <c r="M388" s="209" t="inlineStr">
        <is>
          <t>CN</t>
        </is>
      </c>
      <c r="N388" s="203" t="inlineStr">
        <is>
          <t>https://www.nea.gov.cn/20250218/8b14082a18c2423ba9779882d3791d30/c.html</t>
        </is>
      </c>
    </row>
    <row r="389">
      <c r="B389" s="198" t="inlineStr">
        <is>
          <t>AP2503</t>
        </is>
      </c>
      <c r="C389" s="208" t="n">
        <v>2025</v>
      </c>
      <c r="D389" s="210" t="inlineStr">
        <is>
          <t>新型储能规模化建设专项行动方案（2025—2027 年）</t>
        </is>
      </c>
      <c r="E389" s="210" t="inlineStr">
        <is>
          <t>Special Action Plan for Large Scale Construction of New Energy Storage (2025-2027)</t>
        </is>
      </c>
      <c r="F389" s="209" t="inlineStr">
        <is>
          <t>National Development and Reform Commission; National Energy Administration</t>
        </is>
      </c>
      <c r="G389" s="209" t="inlineStr">
        <is>
          <t>行动方案</t>
        </is>
      </c>
      <c r="H389" s="210" t="inlineStr">
        <is>
          <t>Mitigation-enabling</t>
        </is>
      </c>
      <c r="I389" s="211" t="inlineStr">
        <is>
          <t>B.1</t>
        </is>
      </c>
      <c r="J389" s="208" t="inlineStr">
        <is>
          <t>-</t>
        </is>
      </c>
      <c r="K389" s="211" t="inlineStr">
        <is>
          <t>TAR</t>
        </is>
      </c>
      <c r="L389" s="209" t="inlineStr">
        <is>
          <t>PDF</t>
        </is>
      </c>
      <c r="M389" s="209" t="inlineStr">
        <is>
          <t>CN</t>
        </is>
      </c>
      <c r="N389" s="203" t="inlineStr">
        <is>
          <t>https://www.ndrc.gov.cn/xxgk/zcfb/tz/202509/t20250912_1400425.html</t>
        </is>
      </c>
    </row>
    <row r="390">
      <c r="B390" s="198" t="inlineStr">
        <is>
          <t>AP2504</t>
        </is>
      </c>
      <c r="C390" s="208" t="n">
        <v>2025</v>
      </c>
      <c r="D390" s="210" t="inlineStr">
        <is>
          <t>工业领域氧化亚氮排放控制行动方案</t>
        </is>
      </c>
      <c r="E390" s="210" t="inlineStr">
        <is>
          <t>Action Plan for Controlling Nitrous Oxide Emissions in the Industrial Sector</t>
        </is>
      </c>
      <c r="F390" s="209" t="inlineStr">
        <is>
          <t>Ministry of Ecology and Environment; National Development and Reform Commission; Ministry of Industry and Information Technology</t>
        </is>
      </c>
      <c r="G390" s="209" t="inlineStr">
        <is>
          <t>行动方案</t>
        </is>
      </c>
      <c r="H390" s="210" t="inlineStr">
        <is>
          <t>Explicit mitigation</t>
        </is>
      </c>
      <c r="I390" s="211" t="inlineStr">
        <is>
          <t>B.2</t>
        </is>
      </c>
      <c r="J390" s="208" t="inlineStr">
        <is>
          <t>-</t>
        </is>
      </c>
      <c r="K390" s="211" t="inlineStr">
        <is>
          <t>NO-TAR</t>
        </is>
      </c>
      <c r="L390" s="209" t="inlineStr">
        <is>
          <t>PDF</t>
        </is>
      </c>
      <c r="M390" s="209" t="inlineStr">
        <is>
          <t>CN</t>
        </is>
      </c>
      <c r="N390" s="203" t="inlineStr">
        <is>
          <t>https://www.mee.gov.cn/xxgk2018/xxgk/xxgk03/202508/t20250829_1126396.html?utm_source=cbnewsletter&amp;utm_medium=email&amp;utm_term=2025-09-25&amp;utm_campaign=China+Briefing+Shanghai+cooperation+summit+ETS+absolute+emissions+cap+China+s+heatwave+adaptation</t>
        </is>
      </c>
    </row>
    <row r="391">
      <c r="B391" s="198" t="inlineStr">
        <is>
          <t>AP2505</t>
        </is>
      </c>
      <c r="C391" s="208" t="n">
        <v>2025</v>
      </c>
      <c r="D391" s="210" t="inlineStr">
        <is>
          <t>美丽河湖保护与建设行动方案（2025—2027年）</t>
        </is>
      </c>
      <c r="E391" s="210" t="inlineStr">
        <is>
          <t>Action Plan for Beautiful Rivers and Lakes Protection and Construction (2025-2027)</t>
        </is>
      </c>
      <c r="F391" s="209" t="inlineStr">
        <is>
          <t>Ministry of Ecology and Environment; National Development and Reform Commission; Ministry of Finance; Ministry of Housing and Urban-Rural Development; Ministry of Water Resources; Ministry of Agriculture and Rural Affairs; National Forestry and Grassland Administration</t>
        </is>
      </c>
      <c r="G391" s="209" t="inlineStr">
        <is>
          <t>行动方案</t>
        </is>
      </c>
      <c r="H391" s="210" t="inlineStr">
        <is>
          <t>Mitigation-enabling</t>
        </is>
      </c>
      <c r="I391" s="211" t="inlineStr">
        <is>
          <t>D.3</t>
        </is>
      </c>
      <c r="J391" s="208" t="inlineStr">
        <is>
          <t>2025–2027</t>
        </is>
      </c>
      <c r="K391" s="211" t="inlineStr">
        <is>
          <t>TAR</t>
        </is>
      </c>
      <c r="L391" s="209" t="inlineStr">
        <is>
          <t>PDF</t>
        </is>
      </c>
      <c r="M391" s="209" t="inlineStr">
        <is>
          <t>CN</t>
        </is>
      </c>
      <c r="N391" s="203" t="inlineStr">
        <is>
          <t>https://www.gov.cn/zhengce/zhengceku/202505/content_7024700.htm</t>
        </is>
      </c>
    </row>
    <row r="392">
      <c r="B392" s="198" t="inlineStr">
        <is>
          <t>AP2506</t>
        </is>
      </c>
      <c r="C392" s="208" t="n">
        <v>2025</v>
      </c>
      <c r="D392" s="210" t="inlineStr">
        <is>
          <t>电动汽车充电设施服务能力“三年倍增”行动方案（2025—2027 年）</t>
        </is>
      </c>
      <c r="E392" s="210" t="inlineStr">
        <is>
          <t>Action Plan for Doubling the Service Capacity of Electric Vehicle Charging Facilities (2025–2027)</t>
        </is>
      </c>
      <c r="F392" s="209" t="inlineStr">
        <is>
          <t>National Development and Reform Commission; National Energy Administration; Ministry of Industry and Information Technology; Ministry of Housing and Urban-Rural Development; Ministry of Transport; State Administration for Market Regulation</t>
        </is>
      </c>
      <c r="G392" s="209" t="inlineStr">
        <is>
          <t>行动方案</t>
        </is>
      </c>
      <c r="H392" s="210" t="inlineStr">
        <is>
          <t>Mitigation-enabling</t>
        </is>
      </c>
      <c r="I392" s="211" t="inlineStr">
        <is>
          <t>B.4</t>
        </is>
      </c>
      <c r="J392" s="208" t="inlineStr">
        <is>
          <t>2025–2027</t>
        </is>
      </c>
      <c r="K392" s="211" t="inlineStr">
        <is>
          <t>TAR</t>
        </is>
      </c>
      <c r="L392" s="209" t="inlineStr">
        <is>
          <t>PDF</t>
        </is>
      </c>
      <c r="M392" s="209" t="inlineStr">
        <is>
          <t>CN</t>
        </is>
      </c>
      <c r="N392" s="203" t="inlineStr">
        <is>
          <t>https://www.ndrc.gov.cn/xxgk/zcfb/tz/202510/P020251015595398499456.pdf</t>
        </is>
      </c>
    </row>
    <row r="393">
      <c r="B393" s="198" t="inlineStr">
        <is>
          <t>AP2601</t>
        </is>
      </c>
      <c r="C393" s="208" t="n">
        <v>2026</v>
      </c>
      <c r="D393" s="210" t="inlineStr">
        <is>
          <t>再生材料应用推广行动方案</t>
        </is>
      </c>
      <c r="E393" s="210" t="inlineStr">
        <is>
          <t>Action Plan for Promoting the Application of Recycled Materials</t>
        </is>
      </c>
      <c r="F393" s="209" t="inlineStr">
        <is>
          <t>National Development and Reform Commission; Ministry of Industry and Information Technology; Ministry of Finance; Ministry of Ecology and Environment; Ministry of Commerce; General Administration of Customs; State Administration for Market Regulation.</t>
        </is>
      </c>
      <c r="G393" s="209" t="inlineStr">
        <is>
          <t>行动方案</t>
        </is>
      </c>
      <c r="H393" s="210" t="inlineStr">
        <is>
          <t>Mitigation-enabling</t>
        </is>
      </c>
      <c r="I393" s="211" t="inlineStr">
        <is>
          <t>D.2</t>
        </is>
      </c>
      <c r="J393" s="208" t="inlineStr">
        <is>
          <t>-</t>
        </is>
      </c>
      <c r="K393" s="211" t="inlineStr">
        <is>
          <t>TAR</t>
        </is>
      </c>
      <c r="L393" s="209" t="inlineStr">
        <is>
          <t>HTM</t>
        </is>
      </c>
      <c r="M393" s="209" t="inlineStr">
        <is>
          <t>CN</t>
        </is>
      </c>
      <c r="N393" s="203" t="inlineStr">
        <is>
          <t>https://www.ndrc.gov.cn/fggz/hjyzy/zyzhlyhxhjj/202601/t20260108_1403120.html</t>
        </is>
      </c>
    </row>
    <row r="394">
      <c r="B394" s="198" t="inlineStr">
        <is>
          <t>AP2602</t>
        </is>
      </c>
      <c r="C394" s="208" t="n">
        <v>2026</v>
      </c>
      <c r="D394" s="226" t="inlineStr">
        <is>
          <t>固体废物综合治理行动计划</t>
        </is>
      </c>
      <c r="E394" s="210" t="inlineStr">
        <is>
          <t>Action Plan for Integrated Solid Waste Management</t>
        </is>
      </c>
      <c r="F394" s="209" t="inlineStr">
        <is>
          <t>State Council</t>
        </is>
      </c>
      <c r="G394" s="209" t="inlineStr">
        <is>
          <t>行动计划</t>
        </is>
      </c>
      <c r="H394" s="210" t="inlineStr">
        <is>
          <t>Mitigation-enabling</t>
        </is>
      </c>
      <c r="I394" s="211" t="inlineStr">
        <is>
          <t>D.2</t>
        </is>
      </c>
      <c r="J394" s="208" t="inlineStr">
        <is>
          <t>-</t>
        </is>
      </c>
      <c r="K394" s="211" t="inlineStr">
        <is>
          <t>TAR</t>
        </is>
      </c>
      <c r="L394" s="209" t="inlineStr">
        <is>
          <t>HTM</t>
        </is>
      </c>
      <c r="M394" s="209" t="inlineStr">
        <is>
          <t>CN</t>
        </is>
      </c>
      <c r="N394" s="203" t="inlineStr">
        <is>
          <t>https://www.gov.cn/zhengce/content/202601/content_7053807.htm</t>
        </is>
      </c>
    </row>
    <row r="395">
      <c r="B395" s="198" t="inlineStr">
        <is>
          <t>AP2603</t>
        </is>
      </c>
      <c r="C395" s="208" t="n">
        <v>2026</v>
      </c>
      <c r="D395" s="226" t="inlineStr">
        <is>
          <t>关于促进人工智能与能源双向赋能的行动方案</t>
        </is>
      </c>
      <c r="E395" s="210" t="inlineStr">
        <is>
          <t>Action Plan for Promoting the Two-Way Empowerment of Artificial Intelligence and Energy</t>
        </is>
      </c>
      <c r="F395" s="209" t="inlineStr">
        <is>
          <t>National Development and Reform Commission; National Energy Administration; Ministry of Industry and Information Technology; National Data Administration.</t>
        </is>
      </c>
      <c r="G395" s="209" t="inlineStr">
        <is>
          <t>行动计划</t>
        </is>
      </c>
      <c r="H395" s="210" t="inlineStr">
        <is>
          <t>Mitigation-enabling</t>
        </is>
      </c>
      <c r="I395" s="211" t="inlineStr">
        <is>
          <t>B.1, C.1</t>
        </is>
      </c>
      <c r="J395" s="208" t="inlineStr">
        <is>
          <t>-</t>
        </is>
      </c>
      <c r="K395" s="211" t="inlineStr">
        <is>
          <t>NO-TAR</t>
        </is>
      </c>
      <c r="L395" s="209" t="inlineStr">
        <is>
          <t>HTM</t>
        </is>
      </c>
      <c r="M395" s="209" t="inlineStr">
        <is>
          <t>CN</t>
        </is>
      </c>
      <c r="N395" s="203" t="inlineStr">
        <is>
          <t>https://www.nea.gov.cn/20260508/4dae97ca01d348e4871bb8654be34b3a/c.html</t>
        </is>
      </c>
    </row>
    <row r="396">
      <c r="B396" s="198" t="inlineStr">
        <is>
          <t>AP2604</t>
        </is>
      </c>
      <c r="C396" s="208" t="n">
        <v>2026</v>
      </c>
      <c r="D396" s="210" t="inlineStr">
        <is>
          <t>加力推进石化化工行业老旧装置更新改造行动方案（2026—2029年）</t>
        </is>
      </c>
      <c r="E396" s="210" t="inlineStr">
        <is>
          <t>Action Plan for Accelerating the Renewal and Upgrading of Aging Facilities in the Petrochemical Industry (2026–2029)</t>
        </is>
      </c>
      <c r="F396" s="209" t="inlineStr">
        <is>
          <t>Ministry of Industry and Information Technology; National Development and Reform Commission; Ministry of Ecology and Environment; Ministry of Emergency Management; People's Bank of China; State-owned Assets Supervision and Administration Commission of the State Council; State Administration for Market Regulation.</t>
        </is>
      </c>
      <c r="G396" s="209" t="inlineStr">
        <is>
          <t>行动方案</t>
        </is>
      </c>
      <c r="H396" s="210" t="inlineStr">
        <is>
          <t>Mitigation-enabling</t>
        </is>
      </c>
      <c r="I396" s="211" t="inlineStr">
        <is>
          <t>B.2</t>
        </is>
      </c>
      <c r="J396" s="208" t="inlineStr">
        <is>
          <t>2026—2029</t>
        </is>
      </c>
      <c r="K396" s="211" t="inlineStr">
        <is>
          <t>NO-TAR</t>
        </is>
      </c>
      <c r="L396" s="209" t="inlineStr">
        <is>
          <t>PDF</t>
        </is>
      </c>
      <c r="M396" s="209" t="inlineStr">
        <is>
          <t>CN</t>
        </is>
      </c>
      <c r="N396" s="203" t="inlineStr">
        <is>
          <t>https://www.miit.gov.cn/jgsj/ycls/gzdt/art/2026/art_d7f9d7930d3e406883e8afea6c9b3ab3.html</t>
        </is>
      </c>
    </row>
    <row r="397">
      <c r="B397" s="198" t="inlineStr">
        <is>
          <t>AP2605</t>
        </is>
      </c>
      <c r="C397" s="208" t="n">
        <v>2026</v>
      </c>
      <c r="D397" s="226" t="inlineStr">
        <is>
          <t>标准引领纺织工业优化升级行动方案（2026—2028 年）</t>
        </is>
      </c>
      <c r="E397" s="210" t="inlineStr">
        <is>
          <t>Action Plan for Standards-Driven Optimizing and Upgrading of the Textile Industry (2026–2028)</t>
        </is>
      </c>
      <c r="F397" s="209" t="inlineStr">
        <is>
          <t>Ministry of Industry and Information Technology; Ministry of Ecology and Environment; General Administration of Market Supervision</t>
        </is>
      </c>
      <c r="G397" s="209" t="inlineStr">
        <is>
          <t>行动方案</t>
        </is>
      </c>
      <c r="H397" s="210" t="inlineStr">
        <is>
          <t>Mitigation-enabling</t>
        </is>
      </c>
      <c r="I397" s="211" t="inlineStr">
        <is>
          <t>B.2</t>
        </is>
      </c>
      <c r="J397" s="208" t="inlineStr">
        <is>
          <t>2026–2028</t>
        </is>
      </c>
      <c r="K397" s="211" t="inlineStr">
        <is>
          <t>NO-TAR</t>
        </is>
      </c>
      <c r="L397" s="209" t="inlineStr">
        <is>
          <t>HTM</t>
        </is>
      </c>
      <c r="M397" s="209" t="inlineStr">
        <is>
          <t>CN</t>
        </is>
      </c>
      <c r="N397" s="203" t="inlineStr">
        <is>
          <t>https://www.gov.cn/zhengce/zhengceku/202603/P020260331708714713298.pdf</t>
        </is>
      </c>
    </row>
    <row r="398">
      <c r="B398" s="0" t="inlineStr">
        <is>
          <t>AP2606</t>
        </is>
      </c>
      <c r="C398" s="0" t="n">
        <v>2026</v>
      </c>
      <c r="D398" s="0" t="inlineStr">
        <is>
          <t>美丽中国建设全民行动促进计划（2026—2030年）</t>
        </is>
      </c>
      <c r="E398" s="0" t="inlineStr">
        <is>
          <t>Action Promotion Plan for Public Participation in Building a Beautiful China (2026-2030)</t>
        </is>
      </c>
      <c r="F398" s="0" t="inlineStr">
        <is>
          <t>Ministry of Ecology and Environment and other departments</t>
        </is>
      </c>
      <c r="G398" s="0" t="inlineStr">
        <is>
          <t>行动计划</t>
        </is>
      </c>
      <c r="H398" s="0" t="inlineStr">
        <is>
          <t>C.4</t>
        </is>
      </c>
      <c r="I398" s="0" t="inlineStr">
        <is>
          <t>Mitigation-enabling</t>
        </is>
      </c>
      <c r="J398" s="0" t="inlineStr">
        <is>
          <t>2026-2030</t>
        </is>
      </c>
      <c r="K398" s="0" t="inlineStr">
        <is>
          <t>NO-TAR</t>
        </is>
      </c>
      <c r="L398" s="0" t="inlineStr">
        <is>
          <t>HTM</t>
        </is>
      </c>
      <c r="M398" s="0" t="inlineStr">
        <is>
          <t>CN</t>
        </is>
      </c>
      <c r="N398" s="0" t="inlineStr">
        <is>
          <t>https://www.mee.gov.cn/ywgz/xcjy/shxc/202606/t20260625_1160245.shtml</t>
        </is>
      </c>
    </row>
    <row r="399">
      <c r="B399" s="0" t="inlineStr">
        <is>
          <t>AP2607</t>
        </is>
      </c>
      <c r="C399" s="0" t="n">
        <v>2026</v>
      </c>
      <c r="D399" s="0" t="inlineStr">
        <is>
          <t>关于开展重点行业节能降碳改造攻坚三年行动的通知（附三年行动计划）</t>
        </is>
      </c>
      <c r="E399" s="0" t="inlineStr">
        <is>
          <t>Notice on the Three-Year Action for Energy Conservation and Carbon Reduction Upgrading in Key Industries (with the Three-Year Action Plan Attached)</t>
        </is>
      </c>
      <c r="F399" s="0" t="inlineStr">
        <is>
          <t>National Development and Reform Commission and other departments</t>
        </is>
      </c>
      <c r="G399" s="0" t="inlineStr">
        <is>
          <t>行动计划</t>
        </is>
      </c>
      <c r="H399" s="0" t="inlineStr">
        <is>
          <t>B.2, B.1</t>
        </is>
      </c>
      <c r="I399" s="0" t="inlineStr">
        <is>
          <t>Explicit mitigation</t>
        </is>
      </c>
      <c r="J399" s="0" t="inlineStr">
        <is>
          <t>2026-2028</t>
        </is>
      </c>
      <c r="K399" s="0" t="inlineStr">
        <is>
          <t>TAR</t>
        </is>
      </c>
      <c r="L399" s="0" t="inlineStr">
        <is>
          <t>HTM</t>
        </is>
      </c>
      <c r="M399" s="0" t="inlineStr">
        <is>
          <t>CN</t>
        </is>
      </c>
      <c r="N399" s="0" t="inlineStr">
        <is>
          <t>https://www.ndrc.gov.cn/xxgk/zcfb/tz/202606/t20260615_1405852.html</t>
        </is>
      </c>
    </row>
    <row r="400">
      <c r="B400" s="0" t="inlineStr">
        <is>
          <t>AP2608</t>
        </is>
      </c>
      <c r="C400" s="0" t="n">
        <v>2026</v>
      </c>
      <c r="D400" s="0" t="inlineStr">
        <is>
          <t>能源领域节能降碳行动计划（2026—2028年）</t>
        </is>
      </c>
      <c r="E400" s="0" t="inlineStr">
        <is>
          <t>Action Plan for Energy Conservation and Carbon Reduction in the Energy Sector (2026-2028)</t>
        </is>
      </c>
      <c r="F400" s="0" t="inlineStr">
        <is>
          <t>National Energy Administration</t>
        </is>
      </c>
      <c r="G400" s="0" t="inlineStr">
        <is>
          <t>行动计划</t>
        </is>
      </c>
      <c r="H400" s="0" t="inlineStr">
        <is>
          <t>B.1</t>
        </is>
      </c>
      <c r="I400" s="0" t="inlineStr">
        <is>
          <t>Explicit mitigation</t>
        </is>
      </c>
      <c r="J400" s="0" t="inlineStr">
        <is>
          <t>2026-2028</t>
        </is>
      </c>
      <c r="K400" s="0" t="inlineStr">
        <is>
          <t>TAR</t>
        </is>
      </c>
      <c r="L400" s="0" t="inlineStr">
        <is>
          <t>HTM</t>
        </is>
      </c>
      <c r="M400" s="0" t="inlineStr">
        <is>
          <t>CN</t>
        </is>
      </c>
      <c r="N400" s="0" t="inlineStr">
        <is>
          <t>https://www.nea.gov.cn/20260710/4acf5873e20149cdbc52c709b16b30ff/c.html</t>
        </is>
      </c>
    </row>
    <row r="401">
      <c r="B401" s="205" t="inlineStr">
        <is>
          <t>Implementation Plans / Opinions</t>
        </is>
      </c>
      <c r="C401" s="206" t="n"/>
      <c r="D401" s="206" t="n"/>
      <c r="E401" s="206" t="n"/>
      <c r="F401" s="206" t="n"/>
      <c r="G401" s="206" t="n"/>
      <c r="H401" s="206" t="n"/>
      <c r="I401" s="206" t="n"/>
      <c r="J401" s="206" t="n"/>
      <c r="K401" s="206" t="n"/>
      <c r="L401" s="206" t="n"/>
      <c r="M401" s="206" t="n"/>
      <c r="N401" s="207" t="inlineStr">
        <is>
          <t>https://www.ndrc.gov.cn/xxgk/zcfb/tz/202111/P020211103333054582799.pdf</t>
        </is>
      </c>
    </row>
    <row r="402">
      <c r="B402" s="198" t="inlineStr">
        <is>
          <t>IP0701</t>
        </is>
      </c>
      <c r="C402" s="208" t="n">
        <v>2007</v>
      </c>
      <c r="D402" s="210" t="inlineStr">
        <is>
          <t>节能减排全民行动实施方案</t>
        </is>
      </c>
      <c r="E402" s="210" t="inlineStr">
        <is>
          <t>Implementation Plan for the National Action Plan on Energy Conservation and Emission Reduction</t>
        </is>
      </c>
      <c r="F402" s="209" t="inlineStr">
        <is>
          <t>National Development and Reform Commission; Communist Party of China Central Committee; Ministry of Education; Ministry of Science and Technology; Ministry of Finance; Ministry of Environmental Protection; State-owned Assets Supervision and Administration Commission of the State Council; National Bureau of Statistics; China Banking Regulatory Commission; Standing Committee of the National People’s Congress; National Committee of the Chinese People’s Political Consultative Conference; Administration of Government Offices of the CPC Central Committee; National Government Offices Administration; All-China Federation of Trade Unions; Communist Youth League of China Central Committee; All-China Women’s Federation; China Association for Science and Technology; General Logistics Department of the People’s Liberation Army</t>
        </is>
      </c>
      <c r="G402" s="209" t="inlineStr">
        <is>
          <t>实施方案</t>
        </is>
      </c>
      <c r="H402" s="210" t="inlineStr">
        <is>
          <t>Explicit mitigation</t>
        </is>
      </c>
      <c r="I402" s="211" t="inlineStr">
        <is>
          <t>A</t>
        </is>
      </c>
      <c r="J402" s="208" t="inlineStr">
        <is>
          <t>-</t>
        </is>
      </c>
      <c r="K402" s="211" t="inlineStr">
        <is>
          <t>NO-TAR</t>
        </is>
      </c>
      <c r="L402" s="209" t="inlineStr">
        <is>
          <t>HTM</t>
        </is>
      </c>
      <c r="M402" s="209" t="inlineStr">
        <is>
          <t>CN</t>
        </is>
      </c>
      <c r="N402" s="203" t="inlineStr">
        <is>
          <t>https://baike.baidu.com/item/%E8%8A%82%E8%83%BD%E5%87%8F%E6%8E%92%E5%85%A8%E6%B0%91%E8%A1%8C%E5%8A%A8%E5%AE%9E%E6%96%BD%E6%96%B9%E6%A1%88/2726363</t>
        </is>
      </c>
    </row>
    <row r="403">
      <c r="B403" s="198" t="inlineStr">
        <is>
          <t>IP1501</t>
        </is>
      </c>
      <c r="C403" s="208" t="n">
        <v>2015</v>
      </c>
      <c r="D403" s="210" t="inlineStr">
        <is>
          <t>加快推进新能源汽车在交通运输行业推广应用的实施意见</t>
        </is>
      </c>
      <c r="E403" s="210" t="inlineStr">
        <is>
          <t>Implementation Opinions on Accelerating the Promotion and Application of New Energy Vehicles in the Transportation Industry</t>
        </is>
      </c>
      <c r="F403" s="209" t="inlineStr">
        <is>
          <t>Ministry of Transport</t>
        </is>
      </c>
      <c r="G403" s="209" t="inlineStr">
        <is>
          <t>实施意见</t>
        </is>
      </c>
      <c r="H403" s="210" t="inlineStr">
        <is>
          <t>Mitigation-enabling</t>
        </is>
      </c>
      <c r="I403" s="211" t="inlineStr">
        <is>
          <t>B.4</t>
        </is>
      </c>
      <c r="J403" s="208" t="inlineStr">
        <is>
          <t>-</t>
        </is>
      </c>
      <c r="K403" s="211" t="inlineStr">
        <is>
          <t>TAR</t>
        </is>
      </c>
      <c r="L403" s="209" t="inlineStr">
        <is>
          <t>HTM</t>
        </is>
      </c>
      <c r="M403" s="209" t="inlineStr">
        <is>
          <t>CN</t>
        </is>
      </c>
      <c r="N403" s="203" t="inlineStr">
        <is>
          <t>https://xxgk.mot.gov.cn/2020/jigou/ysfws/202006/t20200623_3315133.html</t>
        </is>
      </c>
    </row>
    <row r="404">
      <c r="B404" s="198" t="inlineStr">
        <is>
          <t>IP1502</t>
        </is>
      </c>
      <c r="C404" s="208" t="n">
        <v>2015</v>
      </c>
      <c r="D404" s="210" t="inlineStr">
        <is>
          <t>关于推进电力市场建设的实施意见</t>
        </is>
      </c>
      <c r="E404" s="210" t="inlineStr">
        <is>
          <t>Implementation Opinions on Promoting the Construction of the Power Market</t>
        </is>
      </c>
      <c r="F404" s="209" t="inlineStr">
        <is>
          <t>National Development and Reform Commission; National Energy Administration</t>
        </is>
      </c>
      <c r="G404" s="209" t="inlineStr">
        <is>
          <t>实施意见</t>
        </is>
      </c>
      <c r="H404" s="210" t="inlineStr">
        <is>
          <t>Economy planning incl. climate</t>
        </is>
      </c>
      <c r="I404" s="211" t="inlineStr">
        <is>
          <t>B.1</t>
        </is>
      </c>
      <c r="J404" s="208" t="inlineStr">
        <is>
          <t>-</t>
        </is>
      </c>
      <c r="K404" s="211" t="inlineStr">
        <is>
          <t>NO-TAR</t>
        </is>
      </c>
      <c r="L404" s="209" t="inlineStr">
        <is>
          <t>PDF</t>
        </is>
      </c>
      <c r="M404" s="209" t="inlineStr">
        <is>
          <t>CN</t>
        </is>
      </c>
      <c r="N404" s="203" t="inlineStr">
        <is>
          <t>http://www.nea.gov.cn/2015-11/30/c_134867851.htm</t>
        </is>
      </c>
    </row>
    <row r="405">
      <c r="B405" s="198" t="inlineStr">
        <is>
          <t>IP1601</t>
        </is>
      </c>
      <c r="C405" s="208" t="n">
        <v>2016</v>
      </c>
      <c r="D405" s="210" t="inlineStr">
        <is>
          <t>控制污染物排放许可制实施方案</t>
        </is>
      </c>
      <c r="E405" s="210" t="inlineStr">
        <is>
          <t>Implementation Plan of a Licensing System to Control Pollutant Emission</t>
        </is>
      </c>
      <c r="F405" s="209" t="inlineStr">
        <is>
          <t>State Council</t>
        </is>
      </c>
      <c r="G405" s="209" t="inlineStr">
        <is>
          <t>实施方案</t>
        </is>
      </c>
      <c r="H405" s="210" t="inlineStr">
        <is>
          <t>Mitigation-enabling</t>
        </is>
      </c>
      <c r="I405" s="211" t="inlineStr">
        <is>
          <t>C.3</t>
        </is>
      </c>
      <c r="J405" s="208" t="inlineStr">
        <is>
          <t>-</t>
        </is>
      </c>
      <c r="K405" s="211" t="inlineStr">
        <is>
          <t>NO-TAR</t>
        </is>
      </c>
      <c r="L405" s="209" t="inlineStr">
        <is>
          <t>HTM</t>
        </is>
      </c>
      <c r="M405" s="209" t="inlineStr">
        <is>
          <t>CN</t>
        </is>
      </c>
      <c r="N405" s="203" t="inlineStr">
        <is>
          <t>https://www.gov.cn/zhengce/zhengceku/2016-11/21/content_5135510.htm</t>
        </is>
      </c>
    </row>
    <row r="406">
      <c r="B406" s="198" t="inlineStr">
        <is>
          <t>IP1701</t>
        </is>
      </c>
      <c r="C406" s="208" t="n">
        <v>2017</v>
      </c>
      <c r="D406" s="210" t="inlineStr">
        <is>
          <t>推进交通运输生态文明建设实施方案</t>
        </is>
      </c>
      <c r="E406" s="210" t="inlineStr">
        <is>
          <t>Implementation Plan for Promoting the Construction of Ecological Civilization in Transportation</t>
        </is>
      </c>
      <c r="F406" s="209" t="inlineStr">
        <is>
          <t>Ministry of Transport</t>
        </is>
      </c>
      <c r="G406" s="209" t="inlineStr">
        <is>
          <t>实施方案</t>
        </is>
      </c>
      <c r="H406" s="210" t="inlineStr">
        <is>
          <t>Mitigation-enabling</t>
        </is>
      </c>
      <c r="I406" s="211" t="inlineStr">
        <is>
          <t>B.4</t>
        </is>
      </c>
      <c r="J406" s="208" t="inlineStr">
        <is>
          <t>-</t>
        </is>
      </c>
      <c r="K406" s="211" t="inlineStr">
        <is>
          <t>TAR</t>
        </is>
      </c>
      <c r="L406" s="209" t="inlineStr">
        <is>
          <t>HTM</t>
        </is>
      </c>
      <c r="M406" s="209" t="inlineStr">
        <is>
          <t>CN</t>
        </is>
      </c>
      <c r="N406" s="203" t="inlineStr">
        <is>
          <t>https://xxgk.mot.gov.cn/2020/jigou/zhghs/202006/t20200630_3319803.html</t>
        </is>
      </c>
    </row>
    <row r="407">
      <c r="B407" s="198" t="inlineStr">
        <is>
          <t>IP1702</t>
        </is>
      </c>
      <c r="C407" s="208" t="n">
        <v>2017</v>
      </c>
      <c r="D407" s="210" t="inlineStr">
        <is>
          <t>解决弃水弃风弃光问题实施方案</t>
        </is>
      </c>
      <c r="E407" s="210" t="inlineStr">
        <is>
          <t>Implementation Plan for Solving the Problems of Water, Wind, and Solar Power Curtailment</t>
        </is>
      </c>
      <c r="F407" s="209" t="inlineStr">
        <is>
          <t>National Development and Reform Commission; National Energy Administration</t>
        </is>
      </c>
      <c r="G407" s="209" t="inlineStr">
        <is>
          <t>实施方案</t>
        </is>
      </c>
      <c r="H407" s="210" t="inlineStr">
        <is>
          <t>Mitigation-enabling</t>
        </is>
      </c>
      <c r="I407" s="211" t="inlineStr">
        <is>
          <t>B.1</t>
        </is>
      </c>
      <c r="J407" s="208" t="inlineStr">
        <is>
          <t>-</t>
        </is>
      </c>
      <c r="K407" s="211" t="inlineStr">
        <is>
          <t>TAR</t>
        </is>
      </c>
      <c r="L407" s="209" t="inlineStr">
        <is>
          <t>PDF</t>
        </is>
      </c>
      <c r="M407" s="209" t="inlineStr">
        <is>
          <t>CN</t>
        </is>
      </c>
      <c r="N407" s="203" t="inlineStr">
        <is>
          <t>https://www.gov.cn/xinwen/2017-11/14/content_5239536.htm</t>
        </is>
      </c>
    </row>
    <row r="408">
      <c r="B408" s="198" t="inlineStr">
        <is>
          <t>IP1901</t>
        </is>
      </c>
      <c r="C408" s="208" t="n">
        <v>2019</v>
      </c>
      <c r="D408" s="210" t="inlineStr">
        <is>
          <t>大型活动碳中和实施指南（试行）</t>
        </is>
      </c>
      <c r="E408" s="210" t="inlineStr">
        <is>
          <t>Implementation Guidelines for Carbon Neutralization of Large-scale Activities (trial)</t>
        </is>
      </c>
      <c r="F408" s="209" t="inlineStr">
        <is>
          <t>Ministry of Ecology and Environment</t>
        </is>
      </c>
      <c r="G408" s="209" t="inlineStr">
        <is>
          <t>实施指南</t>
        </is>
      </c>
      <c r="H408" s="210" t="inlineStr">
        <is>
          <t>Explicit mitigation</t>
        </is>
      </c>
      <c r="I408" s="211" t="inlineStr">
        <is>
          <t>B.3</t>
        </is>
      </c>
      <c r="J408" s="208" t="inlineStr">
        <is>
          <t>-</t>
        </is>
      </c>
      <c r="K408" s="211" t="inlineStr">
        <is>
          <t>NO-TAR</t>
        </is>
      </c>
      <c r="L408" s="209" t="inlineStr">
        <is>
          <t>HTM</t>
        </is>
      </c>
      <c r="M408" s="209" t="inlineStr">
        <is>
          <t>CN</t>
        </is>
      </c>
      <c r="N408" s="203" t="inlineStr">
        <is>
          <t>https://www.gov.cn/gongbao/content/2019/content_5430516.htm</t>
        </is>
      </c>
    </row>
    <row r="409">
      <c r="B409" s="198" t="inlineStr">
        <is>
          <t>IP1902</t>
        </is>
      </c>
      <c r="C409" s="208" t="n">
        <v>2019</v>
      </c>
      <c r="D409" s="210" t="inlineStr">
        <is>
          <t>绿色建材产品认证实施方案</t>
        </is>
      </c>
      <c r="E409" s="210" t="inlineStr">
        <is>
          <t>Implementation Plan for Green Building Material Product Certification</t>
        </is>
      </c>
      <c r="F409" s="209" t="inlineStr">
        <is>
          <t>State Administration for Market Regulation; Ministry of Housing and Urban-Rural Development; Ministry of Industry and Information Technology</t>
        </is>
      </c>
      <c r="G409" s="209" t="inlineStr">
        <is>
          <t>实施方案</t>
        </is>
      </c>
      <c r="H409" s="210" t="inlineStr">
        <is>
          <t>Explicit mitigation</t>
        </is>
      </c>
      <c r="I409" s="211" t="inlineStr">
        <is>
          <t>B.3</t>
        </is>
      </c>
      <c r="J409" s="208" t="inlineStr">
        <is>
          <t>-</t>
        </is>
      </c>
      <c r="K409" s="211" t="inlineStr">
        <is>
          <t>NO-TAR</t>
        </is>
      </c>
      <c r="L409" s="209" t="inlineStr">
        <is>
          <t>HTM</t>
        </is>
      </c>
      <c r="M409" s="209" t="inlineStr">
        <is>
          <t>CN</t>
        </is>
      </c>
      <c r="N409" s="203" t="inlineStr">
        <is>
          <t>https://www.cnca.gov.cn/zwxx/tz/2019/art/2019/art_afb18bd2c112466fa38c44838bdfe62d.html</t>
        </is>
      </c>
    </row>
    <row r="410">
      <c r="B410" s="198" t="inlineStr">
        <is>
          <t>IP2001</t>
        </is>
      </c>
      <c r="C410" s="208" t="n">
        <v>2020</v>
      </c>
      <c r="D410" s="210" t="inlineStr">
        <is>
          <t>完善生物质发电项目建设运行 的实施方案</t>
        </is>
      </c>
      <c r="E410" s="210" t="inlineStr">
        <is>
          <t>Improved Implementation Plan for Biomass Power Generation Project Construction and Operation</t>
        </is>
      </c>
      <c r="F410" s="209" t="inlineStr">
        <is>
          <t>National Development and Reform Commission; Ministry of Finance; National Energy Administration</t>
        </is>
      </c>
      <c r="G410" s="209" t="inlineStr">
        <is>
          <t>实施方案</t>
        </is>
      </c>
      <c r="H410" s="210" t="inlineStr">
        <is>
          <t>Mitigation-enabling</t>
        </is>
      </c>
      <c r="I410" s="211" t="inlineStr">
        <is>
          <t>B.1</t>
        </is>
      </c>
      <c r="J410" s="208" t="inlineStr">
        <is>
          <t>-</t>
        </is>
      </c>
      <c r="K410" s="211" t="inlineStr">
        <is>
          <t>NO-TAR</t>
        </is>
      </c>
      <c r="L410" s="209" t="inlineStr">
        <is>
          <t>PDF</t>
        </is>
      </c>
      <c r="M410" s="209" t="inlineStr">
        <is>
          <t>CN</t>
        </is>
      </c>
      <c r="N410" s="203" t="inlineStr">
        <is>
          <t>http://www.nea.gov.cn/2020-09/16/c_139372803.htm</t>
        </is>
      </c>
    </row>
    <row r="411">
      <c r="B411" s="198" t="inlineStr">
        <is>
          <t>IP2003</t>
        </is>
      </c>
      <c r="C411" s="208" t="n">
        <v>2020</v>
      </c>
      <c r="D411" s="210" t="inlineStr">
        <is>
          <t>关于营造更好发展环境 支持民营节能环保企业健康发展的实施意见</t>
        </is>
      </c>
      <c r="E411" s="210" t="inlineStr">
        <is>
          <t>Implementation Opinions on Creating a Better Development Environment to Support the Healthy Development of Private Energy saving and Environmental Protection Enterprises</t>
        </is>
      </c>
      <c r="F411" s="209" t="inlineStr">
        <is>
          <t>National Development and Reform Commission; Ministry of Science and Technology; Ministry of Industry and Information Technology; Ministry of Ecology and Environment; China Banking and Insurance Regulatory Commission; All-China Federation of Industry and Commerce</t>
        </is>
      </c>
      <c r="G411" s="209" t="inlineStr">
        <is>
          <t>实施意见</t>
        </is>
      </c>
      <c r="H411" s="210" t="inlineStr">
        <is>
          <t>Mitigation-enabling</t>
        </is>
      </c>
      <c r="I411" s="211" t="inlineStr">
        <is>
          <t>B.1</t>
        </is>
      </c>
      <c r="J411" s="208" t="inlineStr">
        <is>
          <t>-</t>
        </is>
      </c>
      <c r="K411" s="211" t="inlineStr">
        <is>
          <t>NO-TAR</t>
        </is>
      </c>
      <c r="L411" s="209" t="inlineStr">
        <is>
          <t>HTM</t>
        </is>
      </c>
      <c r="M411" s="209" t="inlineStr">
        <is>
          <t>CN</t>
        </is>
      </c>
      <c r="N411" s="203" t="inlineStr">
        <is>
          <t>https://www.ndrc.gov.cn/xxgk/zcfb/tz/202005/t20200525_1228833.html?code=&amp;state=123</t>
        </is>
      </c>
    </row>
    <row r="412">
      <c r="B412" s="198" t="inlineStr">
        <is>
          <t>IP2004</t>
        </is>
      </c>
      <c r="C412" s="208" t="n">
        <v>2020</v>
      </c>
      <c r="D412" s="210" t="inlineStr">
        <is>
          <t>关于加快推进天然气储备能力建设的实施意见</t>
        </is>
      </c>
      <c r="E412" s="210" t="inlineStr">
        <is>
          <t>Implementation Opinions on Accelerating the Construction of Natural Gas Reserve Capacity</t>
        </is>
      </c>
      <c r="F412" s="209" t="inlineStr">
        <is>
          <t>National Development and Reform Commission; Ministry of Finance; Ministry of Natural Resources; Ministry of Housing and Urban-Rural Development; National Energy Administration</t>
        </is>
      </c>
      <c r="G412" s="209" t="inlineStr">
        <is>
          <t>实施意见</t>
        </is>
      </c>
      <c r="H412" s="210" t="inlineStr">
        <is>
          <t>Fossil-fuel</t>
        </is>
      </c>
      <c r="I412" s="211" t="inlineStr">
        <is>
          <t>B.1</t>
        </is>
      </c>
      <c r="J412" s="208" t="inlineStr">
        <is>
          <t>-</t>
        </is>
      </c>
      <c r="K412" s="211" t="inlineStr">
        <is>
          <t>NO-TAR</t>
        </is>
      </c>
      <c r="L412" s="209" t="inlineStr">
        <is>
          <t>HTM</t>
        </is>
      </c>
      <c r="M412" s="209" t="inlineStr">
        <is>
          <t>CN</t>
        </is>
      </c>
      <c r="N412" s="203" t="inlineStr">
        <is>
          <t>https://www.ndrc.gov.cn/xxgk/zcfb/tz/202004/t20200414_1225639.html?code=&amp;state=123</t>
        </is>
      </c>
    </row>
    <row r="413">
      <c r="B413" s="198" t="inlineStr">
        <is>
          <t>IP2005</t>
        </is>
      </c>
      <c r="C413" s="208" t="n">
        <v>2020</v>
      </c>
      <c r="D413" s="210" t="inlineStr">
        <is>
          <t>关于加强储能标准化工作的实施方案</t>
        </is>
      </c>
      <c r="E413" s="210" t="inlineStr">
        <is>
          <t>Implementation Plan for Strengthening Standardization of Energy Storage</t>
        </is>
      </c>
      <c r="F413" s="209" t="inlineStr">
        <is>
          <t>National Energy Administration; Ministry of Emergency Management; State Administration for Market Regulation</t>
        </is>
      </c>
      <c r="G413" s="209" t="inlineStr">
        <is>
          <t>实施方案</t>
        </is>
      </c>
      <c r="H413" s="210" t="inlineStr">
        <is>
          <t>Mitigation-enabling</t>
        </is>
      </c>
      <c r="I413" s="211" t="inlineStr">
        <is>
          <t>B.1</t>
        </is>
      </c>
      <c r="J413" s="208" t="inlineStr">
        <is>
          <t>-</t>
        </is>
      </c>
      <c r="K413" s="211" t="inlineStr">
        <is>
          <t>NO-TAR</t>
        </is>
      </c>
      <c r="L413" s="209" t="inlineStr">
        <is>
          <t>PDF</t>
        </is>
      </c>
      <c r="M413" s="209" t="inlineStr">
        <is>
          <t>CN</t>
        </is>
      </c>
      <c r="N413" s="203" t="inlineStr">
        <is>
          <t>http://zfxxgk.nea.gov.cn/auto83/202001/t20200116_3972.htm</t>
        </is>
      </c>
    </row>
    <row r="414">
      <c r="B414" s="198" t="inlineStr">
        <is>
          <t>IP2101</t>
        </is>
      </c>
      <c r="C414" s="208" t="n">
        <v>2021</v>
      </c>
      <c r="D414" s="210" t="inlineStr">
        <is>
          <t>贯彻落实碳达峰碳中和目标要求 推动数据中心和5G等新型基础设施绿色高质量发展实施方案</t>
        </is>
      </c>
      <c r="E414" s="210" t="inlineStr">
        <is>
          <t>Implementation Plan for Promoting the Green and High-quality Development of New Infrastructure such as Data Centers and 5G</t>
        </is>
      </c>
      <c r="F414" s="209" t="inlineStr">
        <is>
          <t>National Development and Reform Commission; Cyberspace Administration of China; Ministry of Industry and Information Technology; National Energy Administration</t>
        </is>
      </c>
      <c r="G414" s="209" t="inlineStr">
        <is>
          <t>实施方案</t>
        </is>
      </c>
      <c r="H414" s="210" t="inlineStr">
        <is>
          <t>Explicit mitigation</t>
        </is>
      </c>
      <c r="I414" s="211" t="inlineStr">
        <is>
          <t>B.3</t>
        </is>
      </c>
      <c r="J414" s="208" t="inlineStr">
        <is>
          <t>-</t>
        </is>
      </c>
      <c r="K414" s="211" t="inlineStr">
        <is>
          <t>NO-TAR</t>
        </is>
      </c>
      <c r="L414" s="209" t="inlineStr">
        <is>
          <t>PDF</t>
        </is>
      </c>
      <c r="M414" s="209" t="inlineStr">
        <is>
          <t>CN</t>
        </is>
      </c>
      <c r="N414" s="203" t="inlineStr">
        <is>
          <t>https://www.ndrc.gov.cn/xwdt/tzgg/202112/t20211208_1307105.html?code=&amp;state=123</t>
        </is>
      </c>
    </row>
    <row r="415">
      <c r="B415" s="198" t="inlineStr">
        <is>
          <t>IP2102</t>
        </is>
      </c>
      <c r="C415" s="208" t="n">
        <v>2021</v>
      </c>
      <c r="D415" s="210" t="inlineStr">
        <is>
          <t>国家高新区绿色发展专项行动实施方案</t>
        </is>
      </c>
      <c r="E415" s="210" t="inlineStr">
        <is>
          <t>Implementation Plan for the National High-tech Zone Green Development Special Action</t>
        </is>
      </c>
      <c r="F415" s="209" t="inlineStr">
        <is>
          <t>Ministry of Science and Technology</t>
        </is>
      </c>
      <c r="G415" s="209" t="inlineStr">
        <is>
          <t>实施方案</t>
        </is>
      </c>
      <c r="H415" s="210" t="inlineStr">
        <is>
          <t>Explicit mitigation</t>
        </is>
      </c>
      <c r="I415" s="211" t="inlineStr">
        <is>
          <t>C.1</t>
        </is>
      </c>
      <c r="J415" s="208" t="inlineStr">
        <is>
          <t>-</t>
        </is>
      </c>
      <c r="K415" s="211" t="inlineStr">
        <is>
          <t>TAR</t>
        </is>
      </c>
      <c r="L415" s="209" t="inlineStr">
        <is>
          <t>HTM</t>
        </is>
      </c>
      <c r="M415" s="209" t="inlineStr">
        <is>
          <t>CN</t>
        </is>
      </c>
      <c r="N415" s="203" t="inlineStr">
        <is>
          <t>https://www.most.gov.cn/xxgk/xinxifenlei/fdzdgknr/fgzc/gfxwj/gfxwj2021/202102/t20210202_172685.html</t>
        </is>
      </c>
    </row>
    <row r="416">
      <c r="B416" s="198" t="inlineStr">
        <is>
          <t>IP2103</t>
        </is>
      </c>
      <c r="C416" s="208" t="n">
        <v>2021</v>
      </c>
      <c r="D416" s="210" t="inlineStr">
        <is>
          <t>深入开展公共机构绿色低碳引领行动促进碳达峰实施方案</t>
        </is>
      </c>
      <c r="E416" s="210" t="inlineStr">
        <is>
          <t>Implementation Plan of Promoting Peak Carbon Dioxide Emissions through the Deepening of Green and Low-carbon Leading Actions of Public Institutions</t>
        </is>
      </c>
      <c r="F416" s="209" t="inlineStr">
        <is>
          <t>National Government Offices Administration; National Development and Reform Commission; Ministry of Finance; Ministry of Ecology and Environment</t>
        </is>
      </c>
      <c r="G416" s="209" t="inlineStr">
        <is>
          <t>实施方案</t>
        </is>
      </c>
      <c r="H416" s="210" t="inlineStr">
        <is>
          <t>Explicit mitigation</t>
        </is>
      </c>
      <c r="I416" s="211" t="inlineStr">
        <is>
          <t>B.3</t>
        </is>
      </c>
      <c r="J416" s="208" t="inlineStr">
        <is>
          <t>-</t>
        </is>
      </c>
      <c r="K416" s="211" t="inlineStr">
        <is>
          <t>NO-TAR</t>
        </is>
      </c>
      <c r="L416" s="209" t="inlineStr">
        <is>
          <t>HTM</t>
        </is>
      </c>
      <c r="M416" s="209" t="inlineStr">
        <is>
          <t>CN</t>
        </is>
      </c>
      <c r="N416" s="203" t="inlineStr">
        <is>
          <t>https://www.ggj.gov.cn/tzgg/202111/t20211119_33936.htm</t>
        </is>
      </c>
    </row>
    <row r="417">
      <c r="B417" s="198" t="inlineStr">
        <is>
          <t>IP2104</t>
        </is>
      </c>
      <c r="C417" s="208" t="n">
        <v>2021</v>
      </c>
      <c r="D417" s="210" t="inlineStr">
        <is>
          <t>“十四五”支持老工业城市和资源型城市产业转型升级示范区高质量发展实施方案</t>
        </is>
      </c>
      <c r="E417" s="210" t="inlineStr">
        <is>
          <t>Implementation Plan for Supporting High-Quality Development of Industrial Transformation and Upgrading of Demonstration Zones in Old Industrial Cities and Resource based Cities during the 14th Five Year Plan Period</t>
        </is>
      </c>
      <c r="F417" s="209" t="inlineStr">
        <is>
          <t>National Development and Reform Commission; Ministry of Science and Technology; Ministry of Industry and Information Technology; Ministry of Natural Resources; China Development Bank</t>
        </is>
      </c>
      <c r="G417" s="209" t="inlineStr">
        <is>
          <t>实施方案</t>
        </is>
      </c>
      <c r="H417" s="210" t="inlineStr">
        <is>
          <t>Economy planning incl. climate</t>
        </is>
      </c>
      <c r="I417" s="211" t="inlineStr">
        <is>
          <t>C.6</t>
        </is>
      </c>
      <c r="J417" s="208" t="inlineStr">
        <is>
          <t>14th FYP</t>
        </is>
      </c>
      <c r="K417" s="211" t="inlineStr">
        <is>
          <t>NO-TAR</t>
        </is>
      </c>
      <c r="L417" s="209" t="inlineStr">
        <is>
          <t>PDF</t>
        </is>
      </c>
      <c r="M417" s="209" t="inlineStr">
        <is>
          <t>CN</t>
        </is>
      </c>
      <c r="N417" s="203" t="inlineStr">
        <is>
          <t>https://www.ndrc.gov.cn/xxgk/zcfb/tz/202111/t20211130_1306223.html</t>
        </is>
      </c>
    </row>
    <row r="418">
      <c r="B418" s="198" t="inlineStr">
        <is>
          <t>IP2105</t>
        </is>
      </c>
      <c r="C418" s="208" t="n">
        <v>2021</v>
      </c>
      <c r="D418" s="210" t="inlineStr">
        <is>
          <t>加快农村能源转型发展助力乡村振兴的实施意见</t>
        </is>
      </c>
      <c r="E418" s="210" t="inlineStr">
        <is>
          <t>Implementation Opinions on Accelerating the Transformation and Development of Rural Energy to Support Rural Revitalization</t>
        </is>
      </c>
      <c r="F418" s="209" t="inlineStr">
        <is>
          <t>National Energy Administration; Ministry of Agriculture and Rural Affairs; National Rural Revitalization Administration</t>
        </is>
      </c>
      <c r="G418" s="209" t="inlineStr">
        <is>
          <t>实施意见</t>
        </is>
      </c>
      <c r="H418" s="210" t="inlineStr">
        <is>
          <t>Economy planning incl. climate</t>
        </is>
      </c>
      <c r="I418" s="211" t="inlineStr">
        <is>
          <t>B.1, C.6</t>
        </is>
      </c>
      <c r="J418" s="208" t="inlineStr">
        <is>
          <t>-</t>
        </is>
      </c>
      <c r="K418" s="211" t="inlineStr">
        <is>
          <t>NO-TAR</t>
        </is>
      </c>
      <c r="L418" s="209" t="inlineStr">
        <is>
          <t>PDF</t>
        </is>
      </c>
      <c r="M418" s="209" t="inlineStr">
        <is>
          <t>CN</t>
        </is>
      </c>
      <c r="N418" s="203" t="inlineStr">
        <is>
          <t>http://zfxxgk.nea.gov.cn/2021-12/29/c_1310411188.htm</t>
        </is>
      </c>
    </row>
    <row r="419">
      <c r="B419" s="198" t="inlineStr">
        <is>
          <t>IP2107</t>
        </is>
      </c>
      <c r="C419" s="208" t="n">
        <v>2021</v>
      </c>
      <c r="D419" s="210" t="inlineStr">
        <is>
          <t>全国煤电机组改造升级实施方案</t>
        </is>
      </c>
      <c r="E419" s="210" t="inlineStr">
        <is>
          <t>Implementation Plan for National Coal fired Power Unit Renovation and Upgrading</t>
        </is>
      </c>
      <c r="F419" s="209" t="inlineStr">
        <is>
          <t>National Development and Reform Commission; National Energy Administration</t>
        </is>
      </c>
      <c r="G419" s="209" t="inlineStr">
        <is>
          <t>实施方案</t>
        </is>
      </c>
      <c r="H419" s="210" t="inlineStr">
        <is>
          <t>Fossil-fuel</t>
        </is>
      </c>
      <c r="I419" s="211" t="inlineStr">
        <is>
          <t>B.1</t>
        </is>
      </c>
      <c r="J419" s="208" t="inlineStr">
        <is>
          <t>-</t>
        </is>
      </c>
      <c r="K419" s="211" t="inlineStr">
        <is>
          <t>TAR</t>
        </is>
      </c>
      <c r="L419" s="209" t="inlineStr">
        <is>
          <t>PDF</t>
        </is>
      </c>
      <c r="M419" s="209" t="inlineStr">
        <is>
          <t>CN</t>
        </is>
      </c>
      <c r="N419" s="203" t="inlineStr">
        <is>
          <t>https://www.ndrc.gov.cn/xxgk/zcfb/tz/202111/P020211103333054582799.pdf</t>
        </is>
      </c>
    </row>
    <row r="420">
      <c r="B420" s="198" t="inlineStr">
        <is>
          <t>IP2201</t>
        </is>
      </c>
      <c r="C420" s="208" t="n">
        <v>2022</v>
      </c>
      <c r="D420" s="210" t="inlineStr">
        <is>
          <t>减污降碳协同增效实施方案</t>
        </is>
      </c>
      <c r="E420" s="210" t="inlineStr">
        <is>
          <t>Implementation Plan for Synergistic Efficiency of Pollution Reduction and Carbon Reduction</t>
        </is>
      </c>
      <c r="F420" s="209" t="inlineStr">
        <is>
          <t>Ministry of Ecology and Environment; National Development and Reform Commission; Ministry of Industry and Information Technology; Ministry of Housing and Urban-Rural Development; Ministry of Transport; Ministry of Agriculture and Rural Affairs; National Energy Administration</t>
        </is>
      </c>
      <c r="G420" s="209" t="inlineStr">
        <is>
          <t>实施方案</t>
        </is>
      </c>
      <c r="H420" s="210" t="inlineStr">
        <is>
          <t>Explicit mitigation</t>
        </is>
      </c>
      <c r="I420" s="211" t="inlineStr">
        <is>
          <t>A</t>
        </is>
      </c>
      <c r="J420" s="208" t="inlineStr">
        <is>
          <t>-</t>
        </is>
      </c>
      <c r="K420" s="211" t="inlineStr">
        <is>
          <t>TAR</t>
        </is>
      </c>
      <c r="L420" s="209" t="inlineStr">
        <is>
          <t>HTM</t>
        </is>
      </c>
      <c r="M420" s="209" t="inlineStr">
        <is>
          <t>CN</t>
        </is>
      </c>
      <c r="N420" s="203" t="inlineStr">
        <is>
          <t>https://baike.baidu.com/item/%E5%87%8F%E6%B1%A1%E9%99%8D%E7%A2%B3%E5%8D%8F%E5%90%8C%E5%A2%9E%E6%95%88%E5%AE%9E%E6%96%BD%E6%96%B9%E6%A1%88/59030016</t>
        </is>
      </c>
    </row>
    <row r="421">
      <c r="B421" s="198" t="inlineStr">
        <is>
          <t>IP2202</t>
        </is>
      </c>
      <c r="C421" s="208" t="n">
        <v>2022</v>
      </c>
      <c r="D421" s="210" t="inlineStr">
        <is>
          <t>农业农村减排固碳实施方案</t>
        </is>
      </c>
      <c r="E421" s="210" t="inlineStr">
        <is>
          <t>Implementation Plan for Agricultural and Rural Emission Reduction and Carbon Sequestration</t>
        </is>
      </c>
      <c r="F421" s="209" t="inlineStr">
        <is>
          <t>Ministry of Agriculture and Rural Affairs</t>
        </is>
      </c>
      <c r="G421" s="209" t="inlineStr">
        <is>
          <t>实施方案</t>
        </is>
      </c>
      <c r="H421" s="210" t="inlineStr">
        <is>
          <t>Explicit mitigation</t>
        </is>
      </c>
      <c r="I421" s="211" t="inlineStr">
        <is>
          <t>B.5</t>
        </is>
      </c>
      <c r="J421" s="208" t="inlineStr">
        <is>
          <t>-</t>
        </is>
      </c>
      <c r="K421" s="211" t="inlineStr">
        <is>
          <t>NO-TAR</t>
        </is>
      </c>
      <c r="L421" s="209" t="inlineStr">
        <is>
          <t>PDF</t>
        </is>
      </c>
      <c r="M421" s="209" t="inlineStr">
        <is>
          <t>CN</t>
        </is>
      </c>
      <c r="N421" s="203" t="inlineStr">
        <is>
          <t>https://www.moa.gov.cn/govpublic/KJJYS/202206/P020220630331656855638.pdf</t>
        </is>
      </c>
    </row>
    <row r="422">
      <c r="B422" s="198" t="inlineStr">
        <is>
          <t>IP2203</t>
        </is>
      </c>
      <c r="C422" s="208" t="n">
        <v>2022</v>
      </c>
      <c r="D422" s="210" t="inlineStr">
        <is>
          <t>促进绿色消费实施方案</t>
        </is>
      </c>
      <c r="E422" s="210" t="inlineStr">
        <is>
          <t>Implementation Plan for Promoting Green Consumption</t>
        </is>
      </c>
      <c r="F422" s="209" t="inlineStr">
        <is>
          <t>National Development and Reform Commission; Ministry of Industry and Information Technology; Ministry of Commerce; Ministry of Culture and Tourism; State Administration for Market Regulation; National Radio and Television Administration; All-China Federation of Supply and Marketing Cooperatives</t>
        </is>
      </c>
      <c r="G422" s="209" t="inlineStr">
        <is>
          <t>实施方案</t>
        </is>
      </c>
      <c r="H422" s="210" t="inlineStr">
        <is>
          <t>Explicit mitigation</t>
        </is>
      </c>
      <c r="I422" s="211" t="inlineStr">
        <is>
          <t>C.4</t>
        </is>
      </c>
      <c r="J422" s="208" t="inlineStr">
        <is>
          <t>-</t>
        </is>
      </c>
      <c r="K422" s="211" t="inlineStr">
        <is>
          <t>NO-TAR</t>
        </is>
      </c>
      <c r="L422" s="209" t="inlineStr">
        <is>
          <t>PDF</t>
        </is>
      </c>
      <c r="M422" s="209" t="inlineStr">
        <is>
          <t>CN</t>
        </is>
      </c>
      <c r="N422" s="203" t="inlineStr">
        <is>
          <t>https://www.ndrc.gov.cn/xwdt/tzgg/202201/t20220121_1312525.html?code=&amp;state=123</t>
        </is>
      </c>
    </row>
    <row r="423">
      <c r="B423" s="198" t="inlineStr">
        <is>
          <t>IP2204</t>
        </is>
      </c>
      <c r="C423" s="208" t="n">
        <v>2022</v>
      </c>
      <c r="D423" s="210" t="inlineStr">
        <is>
          <t>关于加快建立统一规范的碳排放统计核算体系实施方案</t>
        </is>
      </c>
      <c r="E423" s="210" t="inlineStr">
        <is>
          <t>Implementation Plan for Accelerating and Establishing a Unified and Standardized Carbon Emission Accounting System</t>
        </is>
      </c>
      <c r="F423" s="209" t="inlineStr">
        <is>
          <t>National Development and Reform Commission; National Bureau of Statistics; Ministry of Ecology and Environment</t>
        </is>
      </c>
      <c r="G423" s="209" t="inlineStr">
        <is>
          <t>实施方案</t>
        </is>
      </c>
      <c r="H423" s="210" t="inlineStr">
        <is>
          <t>Explicit mitigation</t>
        </is>
      </c>
      <c r="I423" s="211" t="inlineStr">
        <is>
          <t>C.3</t>
        </is>
      </c>
      <c r="J423" s="208" t="inlineStr">
        <is>
          <t>-</t>
        </is>
      </c>
      <c r="K423" s="211" t="inlineStr">
        <is>
          <t>NO-TAR</t>
        </is>
      </c>
      <c r="L423" s="209" t="inlineStr">
        <is>
          <t>PDF</t>
        </is>
      </c>
      <c r="M423" s="209" t="inlineStr">
        <is>
          <t>CN</t>
        </is>
      </c>
      <c r="N423" s="203" t="inlineStr">
        <is>
          <t>https://www.gov.cn/zhengce/zhengceku/2022-08/19/content_5706074.htm</t>
        </is>
      </c>
    </row>
    <row r="424">
      <c r="B424" s="198" t="inlineStr">
        <is>
          <t>IP2205</t>
        </is>
      </c>
      <c r="C424" s="208" t="n">
        <v>2022</v>
      </c>
      <c r="D424" s="210" t="inlineStr">
        <is>
          <t>科技支撑碳达峰碳中和实施方案（2022—2030年）</t>
        </is>
      </c>
      <c r="E424" s="210" t="inlineStr">
        <is>
          <t>Implementation Plan for Technology for Carbon Peaking and Carbon Neutrality (2022–2030)</t>
        </is>
      </c>
      <c r="F424" s="209" t="inlineStr">
        <is>
          <t>Ministry of Science and Technology; National Development and Reform Commission; Ministry of Industry and Information Technology; Ministry of Ecology and Environment; Ministry of Housing and Urban-Rural Development; Ministry of Transport; Chinese Academy of Sciences; Chinese Academy of Engineering; National Energy Administration</t>
        </is>
      </c>
      <c r="G424" s="209" t="inlineStr">
        <is>
          <t>实施方案</t>
        </is>
      </c>
      <c r="H424" s="210" t="inlineStr">
        <is>
          <t>Explicit mitigation</t>
        </is>
      </c>
      <c r="I424" s="211" t="inlineStr">
        <is>
          <t>C.1</t>
        </is>
      </c>
      <c r="J424" s="208" t="inlineStr">
        <is>
          <t>-</t>
        </is>
      </c>
      <c r="K424" s="211" t="inlineStr">
        <is>
          <t>NO-TAR</t>
        </is>
      </c>
      <c r="L424" s="209" t="inlineStr">
        <is>
          <t>HTM</t>
        </is>
      </c>
      <c r="M424" s="209" t="inlineStr">
        <is>
          <t>CN</t>
        </is>
      </c>
      <c r="N424" s="203" t="inlineStr">
        <is>
          <t>https://baike.baidu.com/item/%E7%A7%91%E6%8A%80%E6%94%AF%E6%92%91%E7%A2%B3%E8%BE%BE%E5%B3%B0%E7%A2%B3%E4%B8%AD%E5%92%8C%E5%AE%9E%E6%96%BD%E6%96%B9%E6%A1%88%EF%BC%882022%E2%80%942030%E5%B9%B4%EF%BC%89/61878040</t>
        </is>
      </c>
    </row>
    <row r="425">
      <c r="B425" s="198" t="inlineStr">
        <is>
          <t>IP2206</t>
        </is>
      </c>
      <c r="C425" s="208" t="n">
        <v>2022</v>
      </c>
      <c r="D425" s="210" t="inlineStr">
        <is>
          <t>工业领域碳达峰实施方案</t>
        </is>
      </c>
      <c r="E425" s="210" t="inlineStr">
        <is>
          <t>Implementation Plan for Carbon Peaking in the Industrial Sector</t>
        </is>
      </c>
      <c r="F425" s="209" t="inlineStr">
        <is>
          <t>Ministry of Industry and Information Technology; National Development and Reform Commission; Ministry of Ecology and Environment</t>
        </is>
      </c>
      <c r="G425" s="209" t="inlineStr">
        <is>
          <t>实施方案</t>
        </is>
      </c>
      <c r="H425" s="210" t="inlineStr">
        <is>
          <t>Explicit mitigation</t>
        </is>
      </c>
      <c r="I425" s="211" t="inlineStr">
        <is>
          <t>B.2</t>
        </is>
      </c>
      <c r="J425" s="208" t="inlineStr">
        <is>
          <t>-</t>
        </is>
      </c>
      <c r="K425" s="211" t="inlineStr">
        <is>
          <t>NO-TAR</t>
        </is>
      </c>
      <c r="L425" s="209" t="inlineStr">
        <is>
          <t>PDF</t>
        </is>
      </c>
      <c r="M425" s="209" t="inlineStr">
        <is>
          <t>CN</t>
        </is>
      </c>
      <c r="N425" s="203" t="inlineStr">
        <is>
          <t>https://wap.miit.gov.cn/jgsj/jns/wjfb/art/2022/art_9984665dbb904976a064a69be1b03f06.html</t>
        </is>
      </c>
    </row>
    <row r="426">
      <c r="B426" s="198" t="inlineStr">
        <is>
          <t>IP2207</t>
        </is>
      </c>
      <c r="C426" s="208" t="n">
        <v>2022</v>
      </c>
      <c r="D426" s="210" t="inlineStr">
        <is>
          <t>加快推进废旧纺织品循环利用的实施意见</t>
        </is>
      </c>
      <c r="E426" s="210" t="inlineStr">
        <is>
          <t>Implementation Opinions on Promoting Textile Waste Recycling</t>
        </is>
      </c>
      <c r="F426" s="209" t="inlineStr">
        <is>
          <t>National Development and Reform Commission; Ministry of Industry and Information Technology; Ministry of Commerce; State Administration for Market Regulation</t>
        </is>
      </c>
      <c r="G426" s="209" t="inlineStr">
        <is>
          <t>实施方案</t>
        </is>
      </c>
      <c r="H426" s="210" t="inlineStr">
        <is>
          <t>Mitigation-enabling</t>
        </is>
      </c>
      <c r="I426" s="211" t="inlineStr">
        <is>
          <t>D.2</t>
        </is>
      </c>
      <c r="J426" s="208" t="inlineStr">
        <is>
          <t>-</t>
        </is>
      </c>
      <c r="K426" s="211" t="inlineStr">
        <is>
          <t>NO-TAR</t>
        </is>
      </c>
      <c r="L426" s="209" t="inlineStr">
        <is>
          <t>HTM</t>
        </is>
      </c>
      <c r="M426" s="209" t="inlineStr">
        <is>
          <t>CN</t>
        </is>
      </c>
      <c r="N426" s="203" t="inlineStr">
        <is>
          <t>https://www.ndrc.gov.cn/xxgk/zcfb/tz/202204/t20220411_1321822.html?code=&amp;state=123</t>
        </is>
      </c>
    </row>
    <row r="427">
      <c r="B427" s="198" t="inlineStr">
        <is>
          <t>IP2208</t>
        </is>
      </c>
      <c r="C427" s="208" t="n">
        <v>2022</v>
      </c>
      <c r="D427" s="210" t="inlineStr">
        <is>
          <t>促进新时代新能源高质量发展实施方案</t>
        </is>
      </c>
      <c r="E427" s="210" t="inlineStr">
        <is>
          <t>Implementation Plan for Promoting the High-Quality Development of New Energy in the New Era</t>
        </is>
      </c>
      <c r="F427" s="209" t="inlineStr">
        <is>
          <t>National Development and Reform Commission; National Energy Administration</t>
        </is>
      </c>
      <c r="G427" s="209" t="inlineStr">
        <is>
          <t>实施方案</t>
        </is>
      </c>
      <c r="H427" s="210" t="inlineStr">
        <is>
          <t>Economy planning incl. climate</t>
        </is>
      </c>
      <c r="I427" s="211" t="inlineStr">
        <is>
          <t>B.1</t>
        </is>
      </c>
      <c r="J427" s="208" t="inlineStr">
        <is>
          <t>-</t>
        </is>
      </c>
      <c r="K427" s="211" t="inlineStr">
        <is>
          <t>TAR</t>
        </is>
      </c>
      <c r="L427" s="209" t="inlineStr">
        <is>
          <t>HTM</t>
        </is>
      </c>
      <c r="M427" s="209" t="inlineStr">
        <is>
          <t>CN</t>
        </is>
      </c>
      <c r="N427" s="203" t="inlineStr">
        <is>
          <t>https://www.gov.cn/zhengce/content/2022-05/30/content_5693013.htm</t>
        </is>
      </c>
    </row>
    <row r="428">
      <c r="B428" s="198" t="inlineStr">
        <is>
          <t>IP2210</t>
        </is>
      </c>
      <c r="C428" s="208" t="n">
        <v>2022</v>
      </c>
      <c r="D428" s="210" t="inlineStr">
        <is>
          <t>关于加快推进冷链物流运输高质量发展的实施意见</t>
        </is>
      </c>
      <c r="E428" s="210" t="inlineStr">
        <is>
          <t>Implementation Opinions on Promoting High-Quality Development of Cold-Chain Transportation</t>
        </is>
      </c>
      <c r="F428" s="209" t="inlineStr">
        <is>
          <t>Ministry of Transport; National Railway Administration; Civil Aviation Administration of China; State Post Bureau; China State Railway Group Co., Ltd.</t>
        </is>
      </c>
      <c r="G428" s="209" t="inlineStr">
        <is>
          <t>实施意见</t>
        </is>
      </c>
      <c r="H428" s="210" t="inlineStr">
        <is>
          <t>Economy planning incl. climate</t>
        </is>
      </c>
      <c r="I428" s="211" t="inlineStr">
        <is>
          <t>B.4</t>
        </is>
      </c>
      <c r="J428" s="208" t="inlineStr">
        <is>
          <t>-</t>
        </is>
      </c>
      <c r="K428" s="211" t="inlineStr">
        <is>
          <t>NO-TAR</t>
        </is>
      </c>
      <c r="L428" s="209" t="inlineStr">
        <is>
          <t>HTM</t>
        </is>
      </c>
      <c r="M428" s="209" t="inlineStr">
        <is>
          <t>CN</t>
        </is>
      </c>
      <c r="N428" s="203" t="inlineStr">
        <is>
          <t>https://xxgk.mot.gov.cn/2020/jigou/ysfws/202204/t20220411_3650541.html</t>
        </is>
      </c>
    </row>
    <row r="429">
      <c r="B429" s="198" t="inlineStr">
        <is>
          <t>IP2215</t>
        </is>
      </c>
      <c r="C429" s="208" t="n">
        <v>2022</v>
      </c>
      <c r="D429" s="210" t="inlineStr">
        <is>
          <t>关于进一步完善市场导向的绿色技术创新体系实施方案（2023—2025年）</t>
        </is>
      </c>
      <c r="E429" s="210" t="inlineStr">
        <is>
          <t>Implementation Plan on Further Improving the Market-oriented Green Technology Innovation System (2023-2025)</t>
        </is>
      </c>
      <c r="F429" s="209" t="inlineStr">
        <is>
          <t>National Development and Reform Commission; Ministry of Science and Technology</t>
        </is>
      </c>
      <c r="G429" s="209" t="inlineStr">
        <is>
          <t>实施方案</t>
        </is>
      </c>
      <c r="H429" s="210" t="inlineStr">
        <is>
          <t>Explicit mitigation</t>
        </is>
      </c>
      <c r="I429" s="211" t="inlineStr">
        <is>
          <t>C.1</t>
        </is>
      </c>
      <c r="J429" s="208" t="inlineStr">
        <is>
          <t>2023-2025</t>
        </is>
      </c>
      <c r="K429" s="211" t="inlineStr">
        <is>
          <t>NO-TAR</t>
        </is>
      </c>
      <c r="L429" s="209" t="inlineStr">
        <is>
          <t>PDF</t>
        </is>
      </c>
      <c r="M429" s="209" t="inlineStr">
        <is>
          <t>CN</t>
        </is>
      </c>
      <c r="N429" s="203" t="inlineStr">
        <is>
          <t>https://www.ndrc.gov.cn/xwdt/tzgg/202212/t20221228_1344206_ext.html</t>
        </is>
      </c>
    </row>
    <row r="430">
      <c r="B430" s="198" t="inlineStr">
        <is>
          <t>IP2216</t>
        </is>
      </c>
      <c r="C430" s="208" t="n">
        <v>2022</v>
      </c>
      <c r="D430" s="210" t="inlineStr">
        <is>
          <t>建立健全碳达峰碳中和标准计量体系实施方案</t>
        </is>
      </c>
      <c r="E430" s="210" t="inlineStr">
        <is>
          <t>Implementation Plan of Carbon Peak Carbon Neutralization Standard Measurement System</t>
        </is>
      </c>
      <c r="F430" s="209" t="inlineStr">
        <is>
          <t>State Administration for Market Regulation; National Development and Reform Commission; Ministry of Industry and Information Technology; Ministry of Natural Resources; Ministry of Ecology and Environment; Ministry of Housing and Urban-Rural Development; Ministry of Transport; China Meteorological Administration; National Forestry and Grassland Administration</t>
        </is>
      </c>
      <c r="G430" s="209" t="inlineStr">
        <is>
          <t>实施方案</t>
        </is>
      </c>
      <c r="H430" s="210" t="inlineStr">
        <is>
          <t>Explicit mitigation</t>
        </is>
      </c>
      <c r="I430" s="211" t="inlineStr">
        <is>
          <t>C.3</t>
        </is>
      </c>
      <c r="J430" s="208" t="inlineStr">
        <is>
          <t>-</t>
        </is>
      </c>
      <c r="K430" s="211" t="inlineStr">
        <is>
          <t>NO-TAR</t>
        </is>
      </c>
      <c r="L430" s="209" t="inlineStr">
        <is>
          <t>PDF</t>
        </is>
      </c>
      <c r="M430" s="209" t="inlineStr">
        <is>
          <t>CN</t>
        </is>
      </c>
      <c r="N430" s="203" t="inlineStr">
        <is>
          <t>https://www.gov.cn/zhengce/zhengceku/2022-11/01/content_5723071.htm</t>
        </is>
      </c>
    </row>
    <row r="431">
      <c r="B431" s="198" t="inlineStr">
        <is>
          <t>IP2217</t>
        </is>
      </c>
      <c r="C431" s="208" t="n">
        <v>2022</v>
      </c>
      <c r="D431" s="210" t="inlineStr">
        <is>
          <t>进一步提升电动汽车充电基础设施服务保障能力的实施意见</t>
        </is>
      </c>
      <c r="E431" s="210" t="inlineStr">
        <is>
          <t>Implementation Opinions on Further Enhancing the Service Guarantee Capability of Electric Vehicle Charging Infrastructure</t>
        </is>
      </c>
      <c r="F431" s="209" t="inlineStr">
        <is>
          <t>National Development and Reform Commission; Ministry of Industry and Information Technology; Ministry of Housing and Urban-Rural Development; Ministry of Commerce; National Energy Administration</t>
        </is>
      </c>
      <c r="G431" s="209" t="inlineStr">
        <is>
          <t>实施意见</t>
        </is>
      </c>
      <c r="H431" s="210" t="inlineStr">
        <is>
          <t>Mitigation-enabling</t>
        </is>
      </c>
      <c r="I431" s="211" t="inlineStr">
        <is>
          <t>B.3, B.4</t>
        </is>
      </c>
      <c r="J431" s="208" t="inlineStr">
        <is>
          <t>-</t>
        </is>
      </c>
      <c r="K431" s="211" t="inlineStr">
        <is>
          <t>TAR</t>
        </is>
      </c>
      <c r="L431" s="209" t="inlineStr">
        <is>
          <t>HTM</t>
        </is>
      </c>
      <c r="M431" s="209" t="inlineStr">
        <is>
          <t>CN</t>
        </is>
      </c>
      <c r="N431" s="203" t="inlineStr">
        <is>
          <t>https://www.ndrc.gov.cn/xxgk/zcfb/ghxwj/202201/t20220121_1312634.html?code=&amp;state=123</t>
        </is>
      </c>
    </row>
    <row r="432">
      <c r="B432" s="198" t="inlineStr">
        <is>
          <t>IP2218</t>
        </is>
      </c>
      <c r="C432" s="208" t="n">
        <v>2022</v>
      </c>
      <c r="D432" s="210" t="inlineStr">
        <is>
          <t>加快推动工业资源综合利用实施方案</t>
        </is>
      </c>
      <c r="E432" s="210" t="inlineStr">
        <is>
          <t>Implementation Plan for Accelerating the Comprehensive Utilization of Industrial Resources</t>
        </is>
      </c>
      <c r="F432" s="209" t="inlineStr">
        <is>
          <t>Ministry of Industry and Information Technology; National Development and Reform Commission; Ministry of Science and Technology; Ministry of Finance; Ministry of Natural Resources; Ministry of Ecology and Environment; Ministry of Commerce; State Taxation Administration</t>
        </is>
      </c>
      <c r="G432" s="209" t="inlineStr">
        <is>
          <t>实施方案</t>
        </is>
      </c>
      <c r="H432" s="210" t="inlineStr">
        <is>
          <t>Economy planning incl. climate</t>
        </is>
      </c>
      <c r="I432" s="211" t="inlineStr">
        <is>
          <t>B.2</t>
        </is>
      </c>
      <c r="J432" s="208" t="inlineStr">
        <is>
          <t>-</t>
        </is>
      </c>
      <c r="K432" s="211" t="inlineStr">
        <is>
          <t>NO-TAR</t>
        </is>
      </c>
      <c r="L432" s="209" t="inlineStr">
        <is>
          <t>HTM</t>
        </is>
      </c>
      <c r="M432" s="209" t="inlineStr">
        <is>
          <t>CN</t>
        </is>
      </c>
      <c r="N432" s="203" t="inlineStr">
        <is>
          <t>https://wap.miit.gov.cn/jgsj/jns/zhlyh/art/2022/art_c80aad4ef15b4864a42ba751c4c22119.html</t>
        </is>
      </c>
    </row>
    <row r="433">
      <c r="B433" s="198" t="inlineStr">
        <is>
          <t>IP2219</t>
        </is>
      </c>
      <c r="C433" s="208" t="n">
        <v>2022</v>
      </c>
      <c r="D433" s="210" t="inlineStr">
        <is>
          <t>城乡建设领域碳达峰实施方案</t>
        </is>
      </c>
      <c r="E433" s="210" t="inlineStr">
        <is>
          <t>Implementation Plans for Carbon Peaking in Urban and Rural Development</t>
        </is>
      </c>
      <c r="F433" s="209" t="inlineStr">
        <is>
          <t>Ministry of Housing and Urban-Rural Development; National Development and Reform Commission</t>
        </is>
      </c>
      <c r="G433" s="209" t="inlineStr">
        <is>
          <t>实施方案</t>
        </is>
      </c>
      <c r="H433" s="210" t="inlineStr">
        <is>
          <t>Explicit mitigation</t>
        </is>
      </c>
      <c r="I433" s="211" t="inlineStr">
        <is>
          <t>C.6</t>
        </is>
      </c>
      <c r="J433" s="208" t="inlineStr">
        <is>
          <t>-</t>
        </is>
      </c>
      <c r="K433" s="211" t="inlineStr">
        <is>
          <t>TAR</t>
        </is>
      </c>
      <c r="L433" s="209" t="inlineStr">
        <is>
          <t>HTM</t>
        </is>
      </c>
      <c r="M433" s="209" t="inlineStr">
        <is>
          <t>CN</t>
        </is>
      </c>
      <c r="N433" s="203" t="inlineStr">
        <is>
          <t>https://baike.baidu.com/item/%E5%9F%8E%E4%B9%A1%E5%BB%BA%E8%AE%BE%E9%A2%86%E5%9F%9F%E7%A2%B3%E8%BE%BE%E5%B3%B0%E5%AE%9E%E6%96%BD%E6%96%B9%E6%A1%88/61723326</t>
        </is>
      </c>
    </row>
    <row r="434">
      <c r="B434" s="198" t="inlineStr">
        <is>
          <t>IP2220</t>
        </is>
      </c>
      <c r="C434" s="208" t="n">
        <v>2022</v>
      </c>
      <c r="D434" s="210" t="inlineStr">
        <is>
          <t>建材行业碳达峰实施方案</t>
        </is>
      </c>
      <c r="E434" s="210" t="inlineStr">
        <is>
          <t>Implementation Plans for Carbon Peaking in Building Materials</t>
        </is>
      </c>
      <c r="F434" s="209" t="inlineStr">
        <is>
          <t>Ministry of Industry and Information Technology; National Development and Reform Commission; Ministry of Ecology and Environment; Ministry of Housing and Urban-Rural Development</t>
        </is>
      </c>
      <c r="G434" s="209" t="inlineStr">
        <is>
          <t>实施方案</t>
        </is>
      </c>
      <c r="H434" s="210" t="inlineStr">
        <is>
          <t>Explicit mitigation</t>
        </is>
      </c>
      <c r="I434" s="211" t="inlineStr">
        <is>
          <t>B.2</t>
        </is>
      </c>
      <c r="J434" s="208" t="inlineStr">
        <is>
          <t>-</t>
        </is>
      </c>
      <c r="K434" s="211" t="inlineStr">
        <is>
          <t>TAR</t>
        </is>
      </c>
      <c r="L434" s="209" t="inlineStr">
        <is>
          <t>HTM</t>
        </is>
      </c>
      <c r="M434" s="209" t="inlineStr">
        <is>
          <t>CN</t>
        </is>
      </c>
      <c r="N434" s="203" t="inlineStr">
        <is>
          <t>https://baike.baidu.com/item/%E5%BB%BA%E6%9D%90%E8%A1%8C%E4%B8%9A%E7%A2%B3%E8%BE%BE%E5%B3%B0%E5%AE%9E%E6%96%BD%E6%96%B9%E6%A1%88/62182581</t>
        </is>
      </c>
    </row>
    <row r="435">
      <c r="B435" s="198" t="inlineStr">
        <is>
          <t>IP2221</t>
        </is>
      </c>
      <c r="C435" s="208" t="n">
        <v>2022</v>
      </c>
      <c r="D435" s="210" t="inlineStr">
        <is>
          <t>有色金属行业碳达峰实施方案</t>
        </is>
      </c>
      <c r="E435" s="210" t="inlineStr">
        <is>
          <t>Implementation Plans for Carbon Peaking in Nonferrous Metals</t>
        </is>
      </c>
      <c r="F435" s="209" t="inlineStr">
        <is>
          <t>Ministry of Industry and Information Technology; National Development and Reform Commission; Ministry of Ecology and Environment</t>
        </is>
      </c>
      <c r="G435" s="209" t="inlineStr">
        <is>
          <t>实施方案</t>
        </is>
      </c>
      <c r="H435" s="210" t="inlineStr">
        <is>
          <t>Explicit mitigation</t>
        </is>
      </c>
      <c r="I435" s="211" t="inlineStr">
        <is>
          <t>B.2</t>
        </is>
      </c>
      <c r="J435" s="208" t="inlineStr">
        <is>
          <t>-</t>
        </is>
      </c>
      <c r="K435" s="211" t="inlineStr">
        <is>
          <t>TAR</t>
        </is>
      </c>
      <c r="L435" s="209" t="inlineStr">
        <is>
          <t>HTM</t>
        </is>
      </c>
      <c r="M435" s="209" t="inlineStr">
        <is>
          <t>CN</t>
        </is>
      </c>
      <c r="N435" s="203" t="inlineStr">
        <is>
          <t>https://baike.baidu.com/item/%E6%9C%89%E8%89%B2%E9%87%91%E5%B1%9E%E8%A1%8C%E4%B8%9A%E7%A2%B3%E8%BE%BE%E5%B3%B0%E5%AE%9E%E6%96%BD%E6%96%B9%E6%A1%88/62254056</t>
        </is>
      </c>
    </row>
    <row r="436">
      <c r="B436" s="198" t="inlineStr">
        <is>
          <t>IP2301</t>
        </is>
      </c>
      <c r="C436" s="208" t="n">
        <v>2023</v>
      </c>
      <c r="D436" s="210" t="inlineStr">
        <is>
          <t>加快推进充电基础设施建设 更好支持新能源汽车下乡和乡村振兴的实施意见</t>
        </is>
      </c>
      <c r="E436" s="210" t="inlineStr">
        <is>
          <t>Implementation Opinions on Accelerating the Construction of Charging Infrastructure to Better Support New Energy Vehicles in Rural Areas and Rural Revitalization</t>
        </is>
      </c>
      <c r="F436" s="209" t="inlineStr">
        <is>
          <t>National Development and Reform Commission; National Energy Administration; Ministry of Industry and Information Technology; Ministry of Housing and Urban-Rural Development; Ministry of Agriculture and Rural Affairs</t>
        </is>
      </c>
      <c r="G436" s="209" t="inlineStr">
        <is>
          <t>实施方案</t>
        </is>
      </c>
      <c r="H436" s="210" t="inlineStr">
        <is>
          <t>Mitigation-enabling</t>
        </is>
      </c>
      <c r="I436" s="211" t="inlineStr">
        <is>
          <t>B.4, B.3</t>
        </is>
      </c>
      <c r="J436" s="208" t="inlineStr">
        <is>
          <t>-</t>
        </is>
      </c>
      <c r="K436" s="211" t="inlineStr">
        <is>
          <t>NO-TAR</t>
        </is>
      </c>
      <c r="L436" s="209" t="inlineStr">
        <is>
          <t>HTM</t>
        </is>
      </c>
      <c r="M436" s="209" t="inlineStr">
        <is>
          <t>CN</t>
        </is>
      </c>
      <c r="N436" s="203" t="inlineStr">
        <is>
          <t>https://www.ndrc.gov.cn/xxgk/zcfb/tz/202305/t20230517_1355814.html</t>
        </is>
      </c>
    </row>
    <row r="437">
      <c r="B437" s="198" t="inlineStr">
        <is>
          <t>IP2303</t>
        </is>
      </c>
      <c r="C437" s="208" t="n">
        <v>2023</v>
      </c>
      <c r="D437" s="210" t="inlineStr">
        <is>
          <t>绿色建材产业高质量发展实施方案</t>
        </is>
      </c>
      <c r="E437" s="210" t="inlineStr">
        <is>
          <t>Implementation Plan for High-Quality Development of the Green Building Materials Industry</t>
        </is>
      </c>
      <c r="F437" s="209" t="inlineStr">
        <is>
          <t>Ministry of Industry and Information Technology; National Development and Reform Commission; Ministry of Housing and Urban-Rural Development; Ministry of Ecology and Environment; State Administration for Market Regulation</t>
        </is>
      </c>
      <c r="G437" s="209" t="inlineStr">
        <is>
          <t>实施方案</t>
        </is>
      </c>
      <c r="H437" s="210" t="inlineStr">
        <is>
          <t>Explicit mitigation</t>
        </is>
      </c>
      <c r="I437" s="211" t="inlineStr">
        <is>
          <t>B.2</t>
        </is>
      </c>
      <c r="J437" s="208" t="inlineStr">
        <is>
          <t>-</t>
        </is>
      </c>
      <c r="K437" s="211" t="inlineStr">
        <is>
          <t>NO-TAR</t>
        </is>
      </c>
      <c r="L437" s="209" t="inlineStr">
        <is>
          <t>PDF</t>
        </is>
      </c>
      <c r="M437" s="209" t="inlineStr">
        <is>
          <t>CN</t>
        </is>
      </c>
      <c r="N437" s="203" t="inlineStr">
        <is>
          <t>https://www.gov.cn/zhengce/zhengceku/202401/content_6925435.htm</t>
        </is>
      </c>
    </row>
    <row r="438">
      <c r="B438" s="198" t="inlineStr">
        <is>
          <t>IP2401</t>
        </is>
      </c>
      <c r="C438" s="208" t="n">
        <v>2024</v>
      </c>
      <c r="D438" s="210" t="inlineStr">
        <is>
          <t>国家重点低碳技术征集推广实施方案</t>
        </is>
      </c>
      <c r="E438" s="210" t="inlineStr">
        <is>
          <t>Implementation Plan for Collection and Promotion of National Key Low-Carbon Technologies</t>
        </is>
      </c>
      <c r="F438" s="209" t="inlineStr">
        <is>
          <t>Ministry of Ecology and Environment; Ministry of Science and Technology; Ministry of Industry and Information Technology; Ministry of Housing and Urban-Rural Development; Ministry of Transport; Ministry of Agriculture and Rural Affairs</t>
        </is>
      </c>
      <c r="G438" s="209" t="inlineStr">
        <is>
          <t>实施方案</t>
        </is>
      </c>
      <c r="H438" s="210" t="inlineStr">
        <is>
          <t>Explicit mitigation</t>
        </is>
      </c>
      <c r="I438" s="211" t="inlineStr">
        <is>
          <t>C.1</t>
        </is>
      </c>
      <c r="J438" s="208" t="inlineStr">
        <is>
          <t>-</t>
        </is>
      </c>
      <c r="K438" s="211" t="inlineStr">
        <is>
          <t>NO-TAR</t>
        </is>
      </c>
      <c r="L438" s="209" t="inlineStr">
        <is>
          <t>PDF</t>
        </is>
      </c>
      <c r="M438" s="209" t="inlineStr">
        <is>
          <t>CN</t>
        </is>
      </c>
      <c r="N438" s="203" t="inlineStr">
        <is>
          <t>https://www.mee.gov.cn/xxgk2018/xxgk/xxgk05/202402/t20240222_1066647.html</t>
        </is>
      </c>
    </row>
    <row r="439">
      <c r="B439" s="198" t="inlineStr">
        <is>
          <t>IP2402</t>
        </is>
      </c>
      <c r="C439" s="208" t="n">
        <v>2024</v>
      </c>
      <c r="D439" s="210" t="inlineStr">
        <is>
          <t>推动工业领域设备更新实施方案</t>
        </is>
      </c>
      <c r="E439" s="210" t="inlineStr">
        <is>
          <t>Implementation Plan for Accelerating Equipment Renewals in Industrial Sector</t>
        </is>
      </c>
      <c r="F439" s="209" t="inlineStr">
        <is>
          <t>Ministry of Industry and Information Technology; National Development and Reform Commission; Ministry of Finance</t>
        </is>
      </c>
      <c r="G439" s="209" t="inlineStr">
        <is>
          <t>实施方案</t>
        </is>
      </c>
      <c r="H439" s="210" t="inlineStr">
        <is>
          <t>Mitigation-enabling</t>
        </is>
      </c>
      <c r="I439" s="211" t="inlineStr">
        <is>
          <t>B.2</t>
        </is>
      </c>
      <c r="J439" s="208" t="inlineStr">
        <is>
          <t>-</t>
        </is>
      </c>
      <c r="K439" s="211" t="inlineStr">
        <is>
          <t>NO-TAR</t>
        </is>
      </c>
      <c r="L439" s="209" t="inlineStr">
        <is>
          <t>HTM</t>
        </is>
      </c>
      <c r="M439" s="209" t="inlineStr">
        <is>
          <t>CN</t>
        </is>
      </c>
      <c r="N439" s="203" t="inlineStr">
        <is>
          <t>https://www.gov.cn/zhengce/zhengceku/202404/content_6944252.htm</t>
        </is>
      </c>
    </row>
    <row r="440">
      <c r="B440" s="198" t="inlineStr">
        <is>
          <t>IP2403</t>
        </is>
      </c>
      <c r="C440" s="208" t="n">
        <v>2024</v>
      </c>
      <c r="D440" s="210" t="inlineStr">
        <is>
          <t>能源重点领域大规模设备更新实施方案</t>
        </is>
      </c>
      <c r="E440" s="210" t="inlineStr">
        <is>
          <t>Implementation Plan for Large-scale Equipment Renewals in Key Areas of Energy Sector</t>
        </is>
      </c>
      <c r="F440" s="209" t="inlineStr">
        <is>
          <t>National Development and Reform Commission; National Energy Administration</t>
        </is>
      </c>
      <c r="G440" s="209" t="inlineStr">
        <is>
          <t>实施方案</t>
        </is>
      </c>
      <c r="H440" s="210" t="inlineStr">
        <is>
          <t>Mitigation-enabling</t>
        </is>
      </c>
      <c r="I440" s="211" t="inlineStr">
        <is>
          <t>B.1</t>
        </is>
      </c>
      <c r="J440" s="208" t="inlineStr">
        <is>
          <t>-</t>
        </is>
      </c>
      <c r="K440" s="211" t="inlineStr">
        <is>
          <t>NO-TAR</t>
        </is>
      </c>
      <c r="L440" s="209" t="inlineStr">
        <is>
          <t>PDF</t>
        </is>
      </c>
      <c r="M440" s="209" t="inlineStr">
        <is>
          <t>CN</t>
        </is>
      </c>
      <c r="N440" s="203" t="inlineStr">
        <is>
          <t>https://www.ndrc.gov.cn/xxgk/zcfb/tz/202408/t20240821_1392506.html</t>
        </is>
      </c>
    </row>
    <row r="441" ht="14.5" customHeight="1" s="235">
      <c r="B441" s="198" t="inlineStr">
        <is>
          <t>IP2404</t>
        </is>
      </c>
      <c r="C441" s="208" t="n">
        <v>2024</v>
      </c>
      <c r="D441" s="210" t="inlineStr">
        <is>
          <t>配电网高质量发展行动实施方案（2024—2027年）</t>
        </is>
      </c>
      <c r="E441" s="210" t="inlineStr">
        <is>
          <t>Implementation Plan for the High-quality Development of Distribution Networks (2024-2027)</t>
        </is>
      </c>
      <c r="F441" s="209" t="inlineStr">
        <is>
          <t>National Energy Administration</t>
        </is>
      </c>
      <c r="G441" s="209" t="inlineStr">
        <is>
          <t>实施方案</t>
        </is>
      </c>
      <c r="H441" s="210" t="inlineStr">
        <is>
          <t>Economy planning incl. climate</t>
        </is>
      </c>
      <c r="I441" s="211" t="inlineStr">
        <is>
          <t>B.1</t>
        </is>
      </c>
      <c r="J441" s="208" t="inlineStr">
        <is>
          <t>2024-2027</t>
        </is>
      </c>
      <c r="K441" s="211" t="inlineStr">
        <is>
          <t>NO-TAR</t>
        </is>
      </c>
      <c r="L441" s="209" t="inlineStr">
        <is>
          <t>PDF</t>
        </is>
      </c>
      <c r="M441" s="209" t="inlineStr">
        <is>
          <t>CN</t>
        </is>
      </c>
      <c r="N441" s="203" t="inlineStr">
        <is>
          <t>https://zfxxgk.nea.gov.cn/2024-08/02/c_1310784260.htm</t>
        </is>
      </c>
    </row>
    <row r="442">
      <c r="B442" s="198" t="inlineStr">
        <is>
          <t>IP2405</t>
        </is>
      </c>
      <c r="C442" s="208" t="n">
        <v>2024</v>
      </c>
      <c r="D442" s="210" t="inlineStr">
        <is>
          <t>关于建立碳足迹管理体系的实施方案</t>
        </is>
      </c>
      <c r="E442" s="210" t="inlineStr">
        <is>
          <t>Implementation Plan for the Establishment of a Carbon Footprint Management System</t>
        </is>
      </c>
      <c r="F442" s="209" t="inlineStr">
        <is>
          <t>Ministry of Ecology and Environment; National Development and Reform Commission; Ministry of Industry and Information Technology; Ministry of Finance; Ministry of Transport; Ministry of Commerce; General Administration of Customs; State Administration for Market Regulation</t>
        </is>
      </c>
      <c r="G442" s="209" t="inlineStr">
        <is>
          <t>实施方案</t>
        </is>
      </c>
      <c r="H442" s="210" t="inlineStr">
        <is>
          <t>Explicit mitigation</t>
        </is>
      </c>
      <c r="I442" s="211" t="inlineStr">
        <is>
          <t>C.3</t>
        </is>
      </c>
      <c r="J442" s="208" t="inlineStr">
        <is>
          <t>-</t>
        </is>
      </c>
      <c r="K442" s="211" t="inlineStr">
        <is>
          <t>NO-TAR</t>
        </is>
      </c>
      <c r="L442" s="209" t="inlineStr">
        <is>
          <t>PDF</t>
        </is>
      </c>
      <c r="M442" s="209" t="inlineStr">
        <is>
          <t>CN</t>
        </is>
      </c>
      <c r="N442" s="203" t="inlineStr">
        <is>
          <t>https://www.mee.gov.cn/xxgk2018/xxgk/xxgk03/202406/t20240604_1074986.html</t>
        </is>
      </c>
    </row>
    <row r="443">
      <c r="B443" s="198" t="inlineStr">
        <is>
          <t>IP2406</t>
        </is>
      </c>
      <c r="C443" s="208" t="n">
        <v>2024</v>
      </c>
      <c r="D443" s="210" t="inlineStr">
        <is>
          <t>电力系统调节能力优化专项行动实施方案 （2025—2027年）</t>
        </is>
      </c>
      <c r="E443" s="210" t="inlineStr">
        <is>
          <t>Implementation Plan for Special Action on Optimization of Power System Regulation Capacity (2025-2027)</t>
        </is>
      </c>
      <c r="F443" s="209" t="inlineStr">
        <is>
          <t>National Development and Reform Commission; National Energy Administration</t>
        </is>
      </c>
      <c r="G443" s="209" t="inlineStr">
        <is>
          <t>实施方案</t>
        </is>
      </c>
      <c r="H443" s="210" t="inlineStr">
        <is>
          <t>Economy planning incl. climate</t>
        </is>
      </c>
      <c r="I443" s="211" t="inlineStr">
        <is>
          <t>B.1</t>
        </is>
      </c>
      <c r="J443" s="208" t="inlineStr">
        <is>
          <t>2025-2027</t>
        </is>
      </c>
      <c r="K443" s="211" t="inlineStr">
        <is>
          <t>NO-TAR</t>
        </is>
      </c>
      <c r="L443" s="209" t="inlineStr">
        <is>
          <t>PDF</t>
        </is>
      </c>
      <c r="M443" s="209" t="inlineStr">
        <is>
          <t>CN</t>
        </is>
      </c>
      <c r="N443" s="203" t="inlineStr">
        <is>
          <t>https://www.gov.cn/zhengce/zhengceku/202501/content_6996643.htm</t>
        </is>
      </c>
    </row>
    <row r="444">
      <c r="B444" s="198" t="inlineStr">
        <is>
          <t>IP2407</t>
        </is>
      </c>
      <c r="C444" s="208" t="n">
        <v>2024</v>
      </c>
      <c r="D444" s="210" t="inlineStr">
        <is>
          <t>加快工业领域清洁低碳氢应用实施方案</t>
        </is>
      </c>
      <c r="E444" s="210" t="inlineStr">
        <is>
          <t>Implementation Plan for Clean and Low-Carbon Hydrogen Applications in the Industrial Sector</t>
        </is>
      </c>
      <c r="F444" s="209" t="inlineStr">
        <is>
          <t>Ministry of Industry and Information Technology; National Development and Reform Commission; National Energy Administration</t>
        </is>
      </c>
      <c r="G444" s="209" t="inlineStr">
        <is>
          <t>实施方案</t>
        </is>
      </c>
      <c r="H444" s="210" t="inlineStr">
        <is>
          <t>Explicit mitigation</t>
        </is>
      </c>
      <c r="I444" s="211" t="inlineStr">
        <is>
          <t>B.2</t>
        </is>
      </c>
      <c r="J444" s="208" t="inlineStr">
        <is>
          <t>-</t>
        </is>
      </c>
      <c r="K444" s="211" t="inlineStr">
        <is>
          <t>NO-TAR</t>
        </is>
      </c>
      <c r="L444" s="209" t="inlineStr">
        <is>
          <t>PDF</t>
        </is>
      </c>
      <c r="M444" s="209" t="inlineStr">
        <is>
          <t>CN</t>
        </is>
      </c>
      <c r="N444" s="203" t="inlineStr">
        <is>
          <t>https://www.nea.gov.cn/20241231/22b72793b0c946a4b9bfc2b06612b32e/c.html</t>
        </is>
      </c>
    </row>
    <row r="445">
      <c r="B445" s="198" t="inlineStr">
        <is>
          <t>IP2408</t>
        </is>
      </c>
      <c r="C445" s="208" t="n">
        <v>2024</v>
      </c>
      <c r="D445" s="210" t="inlineStr">
        <is>
          <t>推进建筑和市政基础设施设备更新工作实施方案</t>
        </is>
      </c>
      <c r="E445" s="210" t="inlineStr">
        <is>
          <t>Implementation Plan for Accelerating the Renewal of Building and Municipal Infrastructure Equipment</t>
        </is>
      </c>
      <c r="F445" s="209" t="inlineStr">
        <is>
          <t>Ministry of Housing and Urban-Rural Development</t>
        </is>
      </c>
      <c r="G445" s="209" t="inlineStr">
        <is>
          <t>实施方案</t>
        </is>
      </c>
      <c r="H445" s="210" t="inlineStr">
        <is>
          <t>Mitigation-enabling</t>
        </is>
      </c>
      <c r="I445" s="211" t="inlineStr">
        <is>
          <t>B.3</t>
        </is>
      </c>
      <c r="J445" s="208" t="inlineStr">
        <is>
          <t>-</t>
        </is>
      </c>
      <c r="K445" s="211" t="inlineStr">
        <is>
          <t>NO-TAR</t>
        </is>
      </c>
      <c r="L445" s="209" t="inlineStr">
        <is>
          <t>PDF</t>
        </is>
      </c>
      <c r="M445" s="209" t="inlineStr">
        <is>
          <t>CN</t>
        </is>
      </c>
      <c r="N445" s="203" t="inlineStr">
        <is>
          <t>https://www.gov.cn/zhengce/zhengceku/202404/content_6944067.htm</t>
        </is>
      </c>
    </row>
    <row r="446">
      <c r="B446" s="198" t="inlineStr">
        <is>
          <t>IP2501</t>
        </is>
      </c>
      <c r="C446" s="208" t="n">
        <v>2025</v>
      </c>
      <c r="D446" s="210" t="inlineStr">
        <is>
          <t>铝产业高质量发展实施方案（2025—2027年）</t>
        </is>
      </c>
      <c r="E446" s="210" t="inlineStr">
        <is>
          <t>Implementation Plan for High Quality Development of Aluminum Industry (2025-2027)</t>
        </is>
      </c>
      <c r="F446" s="209" t="inlineStr">
        <is>
          <t>Ministry of Industry and Information Technology; National Development and Reform Commission; Ministry of Natural Resources; Ministry of Ecology and Environment; Ministry of Commerce; People’s Bank of China; State-owned Assets Supervision and Administration Commission of the State Council; General Administration of Customs; State Administration for Market Regulation; National Energy Administration</t>
        </is>
      </c>
      <c r="G446" s="209" t="inlineStr">
        <is>
          <t>实施方案</t>
        </is>
      </c>
      <c r="H446" s="210" t="inlineStr">
        <is>
          <t>Economy planning incl. climate</t>
        </is>
      </c>
      <c r="I446" s="211" t="inlineStr">
        <is>
          <t>B.2</t>
        </is>
      </c>
      <c r="J446" s="208" t="inlineStr">
        <is>
          <t>2025-2027</t>
        </is>
      </c>
      <c r="K446" s="211" t="inlineStr">
        <is>
          <t>NO-TAR</t>
        </is>
      </c>
      <c r="L446" s="209" t="inlineStr">
        <is>
          <t>PDF</t>
        </is>
      </c>
      <c r="M446" s="209" t="inlineStr">
        <is>
          <t>CN</t>
        </is>
      </c>
      <c r="N446" s="203" t="inlineStr">
        <is>
          <t>https://newenergy.in-en.com/html/newenergy-2440093.shtml?utm_source=cbnewsletter&amp;utm_medium=email&amp;utm_term=2025-04-07&amp;utm_campaign=China+Briefing+Solar+exports+Carbon+market+expansion+Leaders+climate+commitments</t>
        </is>
      </c>
    </row>
    <row r="447">
      <c r="B447" s="198" t="inlineStr">
        <is>
          <t>IP2502</t>
        </is>
      </c>
      <c r="C447" s="208" t="n">
        <v>2025</v>
      </c>
      <c r="D447" s="210" t="inlineStr">
        <is>
          <t>养殖业节粮行动实施方案</t>
        </is>
      </c>
      <c r="E447" s="210" t="inlineStr">
        <is>
          <t>Implementation Plan for Grain Saving Action in Livestock Industry</t>
        </is>
      </c>
      <c r="F447" s="209" t="inlineStr">
        <is>
          <t>Ministry of Agriculture and Rural Affairs</t>
        </is>
      </c>
      <c r="G447" s="209" t="inlineStr">
        <is>
          <t>实施方案</t>
        </is>
      </c>
      <c r="H447" s="210" t="inlineStr">
        <is>
          <t>Mitigation-enabling</t>
        </is>
      </c>
      <c r="I447" s="211" t="inlineStr">
        <is>
          <t>B.5</t>
        </is>
      </c>
      <c r="J447" s="208" t="inlineStr">
        <is>
          <t>-</t>
        </is>
      </c>
      <c r="K447" s="211" t="inlineStr">
        <is>
          <t>NO-TAR</t>
        </is>
      </c>
      <c r="L447" s="209" t="inlineStr">
        <is>
          <t>HTM</t>
        </is>
      </c>
      <c r="M447" s="209" t="inlineStr">
        <is>
          <t>CN</t>
        </is>
      </c>
      <c r="N447" s="203" t="inlineStr">
        <is>
          <t>https://www.moa.gov.cn/govpublic/xmsyj/202504/t20250429_6473633.htm</t>
        </is>
      </c>
    </row>
    <row r="448">
      <c r="B448" s="198" t="inlineStr">
        <is>
          <t>IP2503</t>
        </is>
      </c>
      <c r="C448" s="208" t="n">
        <v>2025</v>
      </c>
      <c r="D448" s="210" t="inlineStr">
        <is>
          <t>新一代煤电升级专项行动实施方案（2025—2027年）</t>
        </is>
      </c>
      <c r="E448" s="210" t="inlineStr">
        <is>
          <t>Implementation Plan for the Next-Generation Coal Power Upgrade Initiative (2025-2027)</t>
        </is>
      </c>
      <c r="F448" s="209" t="inlineStr">
        <is>
          <t>National Development and Reform Commission; National Energy Administration</t>
        </is>
      </c>
      <c r="G448" s="209" t="inlineStr">
        <is>
          <t>实施方案</t>
        </is>
      </c>
      <c r="H448" s="210" t="inlineStr">
        <is>
          <t>Fossil-fuel</t>
        </is>
      </c>
      <c r="I448" s="211" t="inlineStr">
        <is>
          <t>B.1</t>
        </is>
      </c>
      <c r="J448" s="208" t="inlineStr">
        <is>
          <t>2025-2027</t>
        </is>
      </c>
      <c r="K448" s="211" t="inlineStr">
        <is>
          <t>NO-TAR</t>
        </is>
      </c>
      <c r="L448" s="209" t="inlineStr">
        <is>
          <t>PDF</t>
        </is>
      </c>
      <c r="M448" s="209" t="inlineStr">
        <is>
          <t>CN</t>
        </is>
      </c>
      <c r="N448" s="203" t="inlineStr">
        <is>
          <t>https://www.gov.cn/zhengce/zhengceku/202504/content_7018738.htm</t>
        </is>
      </c>
    </row>
    <row r="449" ht="14.5" customHeight="1" s="235">
      <c r="B449" s="198" t="inlineStr">
        <is>
          <t>IP2504</t>
        </is>
      </c>
      <c r="C449" s="208" t="n">
        <v>2025</v>
      </c>
      <c r="D449" s="210" t="inlineStr">
        <is>
          <t>轻工业数字化转型实施方案</t>
        </is>
      </c>
      <c r="E449" s="210" t="inlineStr">
        <is>
          <t>Implementation Plan for the Digital Transition of the Light Industry</t>
        </is>
      </c>
      <c r="F449" s="209" t="inlineStr">
        <is>
          <t>Ministry of Industry and Information Technology; Ministry of Education; State Administration for Market Regulation</t>
        </is>
      </c>
      <c r="G449" s="209" t="inlineStr">
        <is>
          <t>实施方案</t>
        </is>
      </c>
      <c r="H449" s="210" t="inlineStr">
        <is>
          <t>Economy planning incl. climate</t>
        </is>
      </c>
      <c r="I449" s="211" t="inlineStr">
        <is>
          <t>B.2</t>
        </is>
      </c>
      <c r="J449" s="208" t="inlineStr">
        <is>
          <t>-</t>
        </is>
      </c>
      <c r="K449" s="211" t="inlineStr">
        <is>
          <t>NO-TAR</t>
        </is>
      </c>
      <c r="L449" s="209" t="inlineStr">
        <is>
          <t>HTM</t>
        </is>
      </c>
      <c r="M449" s="209" t="inlineStr">
        <is>
          <t>CN</t>
        </is>
      </c>
      <c r="N449" s="203" t="inlineStr">
        <is>
          <t>https://www.gov.cn/zhengce/zhengceku/202503/content_7015987.htm</t>
        </is>
      </c>
    </row>
    <row r="450">
      <c r="B450" s="198" t="inlineStr">
        <is>
          <t>IP2506</t>
        </is>
      </c>
      <c r="C450" s="208" t="n">
        <v>2025</v>
      </c>
      <c r="D450" s="210" t="inlineStr">
        <is>
          <t>银行业保险业绿色金融高质量发展实施方案</t>
        </is>
      </c>
      <c r="E450" s="210" t="inlineStr">
        <is>
          <t>Implementation Plan for High-Quality Development of Green Finance in the Banking and Insurance Sectors</t>
        </is>
      </c>
      <c r="F450" s="209" t="inlineStr">
        <is>
          <t>National Financial Regulatory Administration; People’s Bank of China</t>
        </is>
      </c>
      <c r="G450" s="209" t="inlineStr">
        <is>
          <t>实施方案</t>
        </is>
      </c>
      <c r="H450" s="210" t="inlineStr">
        <is>
          <t>Explicit mitigation</t>
        </is>
      </c>
      <c r="I450" s="211" t="inlineStr">
        <is>
          <t>C.2</t>
        </is>
      </c>
      <c r="J450" s="208" t="inlineStr">
        <is>
          <t>-</t>
        </is>
      </c>
      <c r="K450" s="211" t="inlineStr">
        <is>
          <t>NO-TAR</t>
        </is>
      </c>
      <c r="L450" s="209" t="inlineStr">
        <is>
          <t>HTM</t>
        </is>
      </c>
      <c r="M450" s="209" t="inlineStr">
        <is>
          <t>CN</t>
        </is>
      </c>
      <c r="N450" s="203" t="inlineStr">
        <is>
          <t>https://www.nfra.gov.cn/cn/view/pages/ItemDetail.html?docId=1199877&amp;itemId=928</t>
        </is>
      </c>
    </row>
    <row r="451">
      <c r="B451" s="198" t="inlineStr">
        <is>
          <t>IP2507</t>
        </is>
      </c>
      <c r="C451" s="208" t="n">
        <v>2025</v>
      </c>
      <c r="D451" s="210" t="inlineStr">
        <is>
          <t>关于加强生态环境领域科技创新 推动美丽中国建设的实施意见</t>
        </is>
      </c>
      <c r="E451" s="210" t="inlineStr">
        <is>
          <t>Implementation Opinions on Strengthening Technological Innovation in the Field of Ecological Environment to Promote the Construction of a Beautiful China</t>
        </is>
      </c>
      <c r="F451" s="209" t="inlineStr">
        <is>
          <t>Ministry of Ecology and Environment; National Development and Reform Commission; Ministry of Education; Ministry of Industry and Information Technology; Ministry of Finance; Ministry of Human Resources and Social Security; Ministry of Natural Resources; Ministry of Housing and Urban-Rural Development; Ministry of Transport; Ministry of Water Resources; Ministry of Agriculture and Rural Affairs; State-owned Assets Supervision and Administration Commission of the State Council; Chinese Academy of Sciences; China Meteorological Administration; National Forestry and Grassland Administration; National Natural Science Foundation of China</t>
        </is>
      </c>
      <c r="G451" s="209" t="inlineStr">
        <is>
          <t>实施意见</t>
        </is>
      </c>
      <c r="H451" s="210" t="inlineStr">
        <is>
          <t>Mitigation-enabling</t>
        </is>
      </c>
      <c r="I451" s="211" t="inlineStr">
        <is>
          <t>C.1</t>
        </is>
      </c>
      <c r="J451" s="208" t="inlineStr">
        <is>
          <t>-</t>
        </is>
      </c>
      <c r="K451" s="211" t="inlineStr">
        <is>
          <t>NO-TAR</t>
        </is>
      </c>
      <c r="L451" s="209" t="inlineStr">
        <is>
          <t>PDF</t>
        </is>
      </c>
      <c r="M451" s="209" t="inlineStr">
        <is>
          <t>CN</t>
        </is>
      </c>
      <c r="N451" s="203" t="inlineStr">
        <is>
          <t>https://www.mee.gov.cn/xxgk2018/xxgk/xxgk03/202502/t20250220_1102555.html</t>
        </is>
      </c>
    </row>
    <row r="452">
      <c r="B452" s="198" t="inlineStr">
        <is>
          <t>IP2508</t>
        </is>
      </c>
      <c r="C452" s="208" t="n">
        <v>2025</v>
      </c>
      <c r="D452" s="210" t="inlineStr">
        <is>
          <t>美丽乡村建设实施方案</t>
        </is>
      </c>
      <c r="E452" s="210" t="inlineStr">
        <is>
          <t>Implementation Plan for the Construction of Beautiful Countryside</t>
        </is>
      </c>
      <c r="F452" s="209" t="inlineStr">
        <is>
          <t>Ministry of Ecology and Environment; Ministry of Agriculture and Rural Affairs; National Development and Reform Commission; Ministry of Finance; Ministry of Natural Resources; Ministry of Housing and Urban-Rural Development; Ministry of Water Resources; State Administration for Market Regulation; National Forestry and Grassland Administration</t>
        </is>
      </c>
      <c r="G452" s="209" t="inlineStr">
        <is>
          <t>实施方案</t>
        </is>
      </c>
      <c r="H452" s="210" t="inlineStr">
        <is>
          <t>Mitigation-enabling</t>
        </is>
      </c>
      <c r="I452" s="211" t="inlineStr">
        <is>
          <t>C.6</t>
        </is>
      </c>
      <c r="J452" s="208" t="inlineStr">
        <is>
          <t>-</t>
        </is>
      </c>
      <c r="K452" s="211" t="inlineStr">
        <is>
          <t>NO-TAR</t>
        </is>
      </c>
      <c r="L452" s="209" t="inlineStr">
        <is>
          <t>PDF</t>
        </is>
      </c>
      <c r="M452" s="209" t="inlineStr">
        <is>
          <t>CN</t>
        </is>
      </c>
      <c r="N452" s="203" t="inlineStr">
        <is>
          <t>https://www.mee.gov.cn/xxgk2018/xxgk/xxgk03/202501/t20250120_1100929.html</t>
        </is>
      </c>
    </row>
    <row r="453">
      <c r="B453" s="198" t="inlineStr">
        <is>
          <t>IP2509</t>
        </is>
      </c>
      <c r="C453" s="208" t="n">
        <v>2025</v>
      </c>
      <c r="D453" s="210" t="inlineStr">
        <is>
          <t>美丽城市建设实施方案</t>
        </is>
      </c>
      <c r="E453" s="210" t="inlineStr">
        <is>
          <t>Implementation Plan for the Construction of Beautiful Cities</t>
        </is>
      </c>
      <c r="F453" s="209" t="inlineStr">
        <is>
          <t>Ministry of Ecology and Environment; Communist Party of China Central Committee; National Development and Reform Commission; Ministry of Industry and Information Technology; Ministry of Finance; Ministry of Natural Resources; Ministry of Housing and Urban-Rural Development; Ministry of Transport; Ministry of Culture and Tourism; People’s Bank of China; National Data Administration</t>
        </is>
      </c>
      <c r="G453" s="209" t="inlineStr">
        <is>
          <t>实施方案</t>
        </is>
      </c>
      <c r="H453" s="210" t="inlineStr">
        <is>
          <t>Mitigation-enabling</t>
        </is>
      </c>
      <c r="I453" s="211" t="inlineStr">
        <is>
          <t>C.6</t>
        </is>
      </c>
      <c r="J453" s="208" t="inlineStr">
        <is>
          <t>-</t>
        </is>
      </c>
      <c r="K453" s="211" t="inlineStr">
        <is>
          <t>NO-TAR</t>
        </is>
      </c>
      <c r="L453" s="209" t="inlineStr">
        <is>
          <t>PDF</t>
        </is>
      </c>
      <c r="M453" s="209" t="inlineStr">
        <is>
          <t>CN</t>
        </is>
      </c>
      <c r="N453" s="203" t="inlineStr">
        <is>
          <t>https://www.gov.cn/zhengce/zhengceku/202501/content_7000079.htm</t>
        </is>
      </c>
    </row>
    <row r="454">
      <c r="B454" s="198" t="inlineStr">
        <is>
          <t>IP2511</t>
        </is>
      </c>
      <c r="C454" s="208" t="n">
        <v>2025</v>
      </c>
      <c r="D454" s="210" t="inlineStr">
        <is>
          <t>关于推进“人工智能+”能源高质量发展的实施意见</t>
        </is>
      </c>
      <c r="E454" s="210" t="inlineStr">
        <is>
          <t>Implementation Opinions for Promoting High-Quality Development of “AI+” Energy</t>
        </is>
      </c>
      <c r="F454" s="209" t="inlineStr">
        <is>
          <t>National Development and Reform Commission; National Energy Administration</t>
        </is>
      </c>
      <c r="G454" s="209" t="inlineStr">
        <is>
          <t>实施意见</t>
        </is>
      </c>
      <c r="H454" s="210" t="inlineStr">
        <is>
          <t>Economy planning incl. climate</t>
        </is>
      </c>
      <c r="I454" s="211" t="inlineStr">
        <is>
          <t>B.3</t>
        </is>
      </c>
      <c r="J454" s="208" t="inlineStr">
        <is>
          <t>-</t>
        </is>
      </c>
      <c r="K454" s="211" t="inlineStr">
        <is>
          <t>NO-TAR</t>
        </is>
      </c>
      <c r="L454" s="209" t="inlineStr">
        <is>
          <t>HTM</t>
        </is>
      </c>
      <c r="M454" s="209" t="inlineStr">
        <is>
          <t>CN</t>
        </is>
      </c>
      <c r="N454" s="203" t="inlineStr">
        <is>
          <t>https://www.nea.gov.cn/20250908/8a90bf7f17b141038fe7be0988a2c603/c.html</t>
        </is>
      </c>
    </row>
    <row r="455">
      <c r="B455" s="198" t="inlineStr">
        <is>
          <t>IP2512</t>
        </is>
      </c>
      <c r="C455" s="208" t="n">
        <v>2025</v>
      </c>
      <c r="D455" s="210" t="inlineStr">
        <is>
          <t>关于深入推进工业和信息化绿色低碳标准化工作的实施方案</t>
        </is>
      </c>
      <c r="E455" s="210" t="inlineStr">
        <is>
          <t>Implementation Plan for Advancing Green and Low-Carbon Standardization in the Industrial and Information Technology Sectors</t>
        </is>
      </c>
      <c r="F455" s="209" t="inlineStr">
        <is>
          <t>Ministry of Industry and Information Technology</t>
        </is>
      </c>
      <c r="G455" s="209" t="inlineStr">
        <is>
          <t>实施方案</t>
        </is>
      </c>
      <c r="H455" s="210" t="inlineStr">
        <is>
          <t>Explicit mitigation</t>
        </is>
      </c>
      <c r="I455" s="211" t="inlineStr">
        <is>
          <t>B.2</t>
        </is>
      </c>
      <c r="J455" s="208" t="inlineStr">
        <is>
          <t>-</t>
        </is>
      </c>
      <c r="K455" s="211" t="inlineStr">
        <is>
          <t>NO-TAR</t>
        </is>
      </c>
      <c r="L455" s="209" t="inlineStr">
        <is>
          <t>PDF</t>
        </is>
      </c>
      <c r="M455" s="209" t="inlineStr">
        <is>
          <t>CN</t>
        </is>
      </c>
      <c r="N455" s="203" t="inlineStr">
        <is>
          <t>https://www.miit.gov.cn/zwgk/zcwj/wjfb/tz/art/2025/art_e9123ba56ce74d74b09124019c7d509b.html</t>
        </is>
      </c>
    </row>
    <row r="456">
      <c r="B456" s="198" t="inlineStr">
        <is>
          <t>IP2513</t>
        </is>
      </c>
      <c r="C456" s="208" t="n">
        <v>2025</v>
      </c>
      <c r="D456" s="226" t="inlineStr">
        <is>
          <t>节水装备高质量发展实施方案（2025—2030 年）</t>
        </is>
      </c>
      <c r="E456" s="210" t="inlineStr">
        <is>
          <t>Implementation Plan for High-Quality Development of Water-Saving Equipment (2025–2030)</t>
        </is>
      </c>
      <c r="F456" s="209" t="inlineStr">
        <is>
          <t>Ministry of Industry and Information Technology; Ministry of Water Resources</t>
        </is>
      </c>
      <c r="G456" s="209" t="inlineStr">
        <is>
          <t>实施方案</t>
        </is>
      </c>
      <c r="H456" s="210" t="inlineStr">
        <is>
          <t>Mitigation-enabling</t>
        </is>
      </c>
      <c r="I456" s="211" t="inlineStr">
        <is>
          <t>B.2</t>
        </is>
      </c>
      <c r="J456" s="208" t="inlineStr">
        <is>
          <t>2025–2030</t>
        </is>
      </c>
      <c r="K456" s="211" t="inlineStr">
        <is>
          <t>NO-TAR</t>
        </is>
      </c>
      <c r="L456" s="209" t="inlineStr">
        <is>
          <t>PDF</t>
        </is>
      </c>
      <c r="M456" s="209" t="inlineStr">
        <is>
          <t>CN</t>
        </is>
      </c>
      <c r="N456" s="203" t="inlineStr">
        <is>
          <t>https://www.miit.gov.cn/jgsj/jns/gzdt/art/2025/art_8eb5473a00b04635805511c2d61be046.html</t>
        </is>
      </c>
    </row>
    <row r="457">
      <c r="B457" s="198" t="inlineStr">
        <is>
          <t>IP2514</t>
        </is>
      </c>
      <c r="C457" s="208" t="n">
        <v>2025</v>
      </c>
      <c r="D457" s="226" t="inlineStr">
        <is>
          <t>商务部关于拓展绿色贸易的实施意见</t>
        </is>
      </c>
      <c r="E457" s="210" t="inlineStr">
        <is>
          <t>Implementation Opinions for Expanding Green Trade</t>
        </is>
      </c>
      <c r="F457" s="209" t="inlineStr">
        <is>
          <t>Ministry of Commerce</t>
        </is>
      </c>
      <c r="G457" s="209" t="inlineStr">
        <is>
          <t>实施方案</t>
        </is>
      </c>
      <c r="H457" s="210" t="inlineStr">
        <is>
          <t>Explicit mitigation</t>
        </is>
      </c>
      <c r="I457" s="211" t="inlineStr">
        <is>
          <t>B.2</t>
        </is>
      </c>
      <c r="J457" s="208" t="inlineStr">
        <is>
          <t>-</t>
        </is>
      </c>
      <c r="K457" s="211" t="inlineStr">
        <is>
          <t>NO-TAR</t>
        </is>
      </c>
      <c r="L457" s="209" t="inlineStr">
        <is>
          <t>HTM</t>
        </is>
      </c>
      <c r="M457" s="209" t="inlineStr">
        <is>
          <t>CN</t>
        </is>
      </c>
      <c r="N457" s="203" t="inlineStr">
        <is>
          <t>https://wms.mofcom.gov.cn/zcfb/wmzc/art/2025/art_65a91bb52e84415c88149c4f16c34a95.html</t>
        </is>
      </c>
    </row>
    <row r="458">
      <c r="B458" s="198" t="inlineStr">
        <is>
          <t>IP2601</t>
        </is>
      </c>
      <c r="C458" s="208" t="n">
        <v>2026</v>
      </c>
      <c r="D458" s="226" t="inlineStr">
        <is>
          <t>节能装备高质量发展实施方案（2026—2028年）</t>
        </is>
      </c>
      <c r="E458" s="210" t="inlineStr">
        <is>
          <t>Implementation Plan for the High-Quality Development of Energy-Saving Equipment (2026–2028)</t>
        </is>
      </c>
      <c r="F458" s="209" t="inlineStr">
        <is>
          <t>Ministry of Industry and Information Technology; National Development and Reform Commission; State-owned Assets Supervision and Administration Commission of the State Council; National Energy Administration.</t>
        </is>
      </c>
      <c r="G458" s="209" t="inlineStr">
        <is>
          <t>实施方案</t>
        </is>
      </c>
      <c r="H458" s="210" t="inlineStr">
        <is>
          <t>Mitigation-enabling</t>
        </is>
      </c>
      <c r="I458" s="211" t="inlineStr">
        <is>
          <t>B.2</t>
        </is>
      </c>
      <c r="J458" s="208" t="inlineStr">
        <is>
          <t>2026–2028</t>
        </is>
      </c>
      <c r="K458" s="211" t="inlineStr">
        <is>
          <t>NO-TAR</t>
        </is>
      </c>
      <c r="L458" s="209" t="inlineStr">
        <is>
          <t>PDF</t>
        </is>
      </c>
      <c r="M458" s="209" t="inlineStr">
        <is>
          <t>CN</t>
        </is>
      </c>
      <c r="N458" s="203" t="inlineStr">
        <is>
          <t>https://wap.miit.gov.cn/zwgk/zcwj/wjfb/tz/art/2026/art_a3250eaa656845149b12615070009204.html</t>
        </is>
      </c>
    </row>
    <row r="459">
      <c r="B459" s="0" t="inlineStr">
        <is>
          <t>IP2602</t>
        </is>
      </c>
      <c r="C459" s="0" t="n">
        <v>2026</v>
      </c>
      <c r="D459" s="0" t="inlineStr">
        <is>
          <t>可再生能源消费最低比重目标和可再生能源电力消纳责任权重制度实施办法</t>
        </is>
      </c>
      <c r="E459" s="0" t="inlineStr">
        <is>
          <t>Implementation Measures for the Minimum Share Target of Renewable Energy Consumption and the Renewable Energy Power Consumption Responsibility Weight System</t>
        </is>
      </c>
      <c r="F459" s="0" t="inlineStr">
        <is>
          <t>National Development and Reform Commission and other departments</t>
        </is>
      </c>
      <c r="G459" s="0" t="inlineStr">
        <is>
          <t>实施方案</t>
        </is>
      </c>
      <c r="H459" s="0" t="inlineStr">
        <is>
          <t>B.1</t>
        </is>
      </c>
      <c r="I459" s="0" t="inlineStr">
        <is>
          <t>Mitigation-enabling</t>
        </is>
      </c>
      <c r="J459" s="0" t="inlineStr">
        <is>
          <t>-</t>
        </is>
      </c>
      <c r="K459" s="0" t="inlineStr">
        <is>
          <t>NO-TAR</t>
        </is>
      </c>
      <c r="L459" s="0" t="inlineStr">
        <is>
          <t>PDF</t>
        </is>
      </c>
      <c r="M459" s="0" t="inlineStr">
        <is>
          <t>CN</t>
        </is>
      </c>
      <c r="N459" s="0" t="inlineStr">
        <is>
          <t>https://www.ndrc.gov.cn/xxgk/zcfb/fzggwl/202606/P020260612578227968808.pdf</t>
        </is>
      </c>
    </row>
    <row r="460">
      <c r="B460" s="0" t="inlineStr">
        <is>
          <t>IP2603</t>
        </is>
      </c>
      <c r="C460" s="0" t="n">
        <v>2026</v>
      </c>
      <c r="D460" s="0" t="inlineStr">
        <is>
          <t>推动新能源重卡规模化应用实施方案</t>
        </is>
      </c>
      <c r="E460" s="0" t="inlineStr">
        <is>
          <t>Implementation Plan for Promoting the Large-Scale Application of New Energy Heavy-Duty Trucks</t>
        </is>
      </c>
      <c r="F460" s="0" t="inlineStr">
        <is>
          <t>Ministry of Transport and other departments</t>
        </is>
      </c>
      <c r="G460" s="0" t="inlineStr">
        <is>
          <t>实施方案</t>
        </is>
      </c>
      <c r="H460" s="0" t="inlineStr">
        <is>
          <t>B.4</t>
        </is>
      </c>
      <c r="I460" s="0" t="inlineStr">
        <is>
          <t>Explicit mitigation</t>
        </is>
      </c>
      <c r="J460" s="0" t="inlineStr">
        <is>
          <t>15th FYP</t>
        </is>
      </c>
      <c r="K460" s="0" t="inlineStr">
        <is>
          <t>TAR</t>
        </is>
      </c>
      <c r="L460" s="0" t="inlineStr">
        <is>
          <t>HTM</t>
        </is>
      </c>
      <c r="M460" s="0" t="inlineStr">
        <is>
          <t>CN</t>
        </is>
      </c>
      <c r="N460" s="0" t="inlineStr">
        <is>
          <t>https://www.gov.cn/zhengce/zhengceku/202606/content_7072002.htm</t>
        </is>
      </c>
    </row>
    <row r="461">
      <c r="A461" s="0" t="n"/>
      <c r="B461" s="0" t="inlineStr">
        <is>
          <t>IP2604</t>
        </is>
      </c>
      <c r="C461" s="0" t="n">
        <v>2026</v>
      </c>
      <c r="D461" s="0" t="inlineStr">
        <is>
          <t>促进数字化绿色化协同转型发展实施方案（2026-2030年）</t>
        </is>
      </c>
      <c r="E461" s="0" t="inlineStr">
        <is>
          <t>Implementation Plan for Promoting Coordinated Digital and Green Transformation (2026-2030)</t>
        </is>
      </c>
      <c r="F461" s="0" t="inlineStr">
        <is>
          <t>Cyberspace Administration of China and other departments</t>
        </is>
      </c>
      <c r="G461" s="0" t="inlineStr">
        <is>
          <t>实施方案</t>
        </is>
      </c>
      <c r="H461" s="0" t="inlineStr">
        <is>
          <t>Explicit mitigation</t>
        </is>
      </c>
      <c r="I461" s="0" t="inlineStr">
        <is>
          <t>B.3</t>
        </is>
      </c>
      <c r="J461" s="0" t="inlineStr">
        <is>
          <t>2026-2030</t>
        </is>
      </c>
      <c r="K461" s="0" t="inlineStr">
        <is>
          <t>TAR</t>
        </is>
      </c>
      <c r="L461" s="0" t="inlineStr">
        <is>
          <t>HTM</t>
        </is>
      </c>
      <c r="M461" s="0" t="inlineStr">
        <is>
          <t>CN</t>
        </is>
      </c>
      <c r="N461" s="0" t="inlineStr">
        <is>
          <t>https://www.cac.gov.cn/2026-09/04/c_1790271981772781.htm</t>
        </is>
      </c>
    </row>
    <row r="462">
      <c r="B462" s="205" t="inlineStr">
        <is>
          <t>Notices</t>
        </is>
      </c>
      <c r="C462" s="206" t="n"/>
      <c r="D462" s="206" t="n"/>
      <c r="E462" s="206" t="n"/>
      <c r="F462" s="206" t="n"/>
      <c r="G462" s="206" t="n"/>
      <c r="H462" s="206" t="n"/>
      <c r="I462" s="206" t="n"/>
      <c r="J462" s="206" t="n"/>
      <c r="K462" s="206" t="n"/>
      <c r="L462" s="206" t="n"/>
      <c r="M462" s="206" t="n"/>
      <c r="N462" s="207" t="inlineStr">
        <is>
          <t>https://www.miit.gov.cn/zwgk/zcwj/wjfb/tz/art/2025/art_5f72b18071ec49b5916bb9f99e58872e.html</t>
        </is>
      </c>
    </row>
    <row r="463">
      <c r="B463" s="198" t="inlineStr">
        <is>
          <t>N0501</t>
        </is>
      </c>
      <c r="C463" s="208" t="n">
        <v>2005</v>
      </c>
      <c r="D463" s="210" t="inlineStr">
        <is>
          <t>关于做好建设节约型社会近期重点工作的通知</t>
        </is>
      </c>
      <c r="E463" s="210" t="inlineStr">
        <is>
          <t>Notice on the Immediate Priorities for Building a Conservation-oriented Society</t>
        </is>
      </c>
      <c r="F463" s="209" t="inlineStr">
        <is>
          <t>State Council</t>
        </is>
      </c>
      <c r="G463" s="209" t="inlineStr">
        <is>
          <t>通知</t>
        </is>
      </c>
      <c r="H463" s="210" t="inlineStr">
        <is>
          <t>Mitigation-enabling</t>
        </is>
      </c>
      <c r="I463" s="211" t="inlineStr">
        <is>
          <t>C.4</t>
        </is>
      </c>
      <c r="J463" s="208" t="inlineStr">
        <is>
          <t>-</t>
        </is>
      </c>
      <c r="K463" s="211" t="inlineStr">
        <is>
          <t>NO-TAR</t>
        </is>
      </c>
      <c r="L463" s="209" t="inlineStr">
        <is>
          <t>HTM</t>
        </is>
      </c>
      <c r="M463" s="209" t="inlineStr">
        <is>
          <t>CN</t>
        </is>
      </c>
      <c r="N463" s="203" t="inlineStr">
        <is>
          <t>https://www.gov.cn/gongbao/content/2005/content_64306.htm</t>
        </is>
      </c>
    </row>
    <row r="464">
      <c r="B464" s="198" t="inlineStr">
        <is>
          <t>N0801</t>
        </is>
      </c>
      <c r="C464" s="208" t="n">
        <v>2008</v>
      </c>
      <c r="D464" s="210" t="inlineStr">
        <is>
          <t>关于加强气候变化和气象防灾减灾科学普及工作的通知</t>
        </is>
      </c>
      <c r="E464" s="210" t="inlineStr">
        <is>
          <t>Notice on Strengthening the Popularization of Climate Change and Meteorological Disaster Prevention and Mitigation Science</t>
        </is>
      </c>
      <c r="F464" s="209" t="inlineStr">
        <is>
          <t>China Meteorological Administration; Ministry of Science and Technology</t>
        </is>
      </c>
      <c r="G464" s="209" t="inlineStr">
        <is>
          <t>通知</t>
        </is>
      </c>
      <c r="H464" s="210" t="inlineStr">
        <is>
          <t>Explicit mitigation</t>
        </is>
      </c>
      <c r="I464" s="211" t="inlineStr">
        <is>
          <t>D.1</t>
        </is>
      </c>
      <c r="J464" s="208" t="inlineStr">
        <is>
          <t>-</t>
        </is>
      </c>
      <c r="K464" s="211" t="inlineStr">
        <is>
          <t>NO-TAR</t>
        </is>
      </c>
      <c r="L464" s="209" t="inlineStr">
        <is>
          <t>HTM</t>
        </is>
      </c>
      <c r="M464" s="209" t="inlineStr">
        <is>
          <t>CN</t>
        </is>
      </c>
      <c r="N464" s="203" t="inlineStr">
        <is>
          <t>https://www.most.gov.cn/xxgk/xinxifenlei/fdzdgknr/qtwj/qtwj2010before/200811/t20081129_65726.html</t>
        </is>
      </c>
    </row>
    <row r="465">
      <c r="B465" s="198" t="inlineStr">
        <is>
          <t>N0901</t>
        </is>
      </c>
      <c r="C465" s="208" t="n">
        <v>2009</v>
      </c>
      <c r="D465" s="210" t="inlineStr">
        <is>
          <t>环境保护部要求国家生态工业示范园发展低碳经济</t>
        </is>
      </c>
      <c r="E465" s="210" t="inlineStr">
        <is>
          <t>Notice on Strengthening the Development of Low-Carbon Economy in National Ecological Industrial Demonstration Parks</t>
        </is>
      </c>
      <c r="F465" s="209" t="inlineStr">
        <is>
          <t>Ministry of Ecology and Environment</t>
        </is>
      </c>
      <c r="G465" s="209" t="inlineStr">
        <is>
          <t>通知</t>
        </is>
      </c>
      <c r="H465" s="210" t="inlineStr">
        <is>
          <t>Explicit mitigation</t>
        </is>
      </c>
      <c r="I465" s="211" t="inlineStr">
        <is>
          <t>B.1</t>
        </is>
      </c>
      <c r="J465" s="208" t="inlineStr">
        <is>
          <t>-</t>
        </is>
      </c>
      <c r="K465" s="211" t="inlineStr">
        <is>
          <t>NO-TAR</t>
        </is>
      </c>
      <c r="L465" s="209" t="inlineStr">
        <is>
          <t>HTM</t>
        </is>
      </c>
      <c r="M465" s="209" t="inlineStr">
        <is>
          <t>CN</t>
        </is>
      </c>
      <c r="N465" s="203" t="inlineStr">
        <is>
          <t>https://www.gov.cn/gzdt/2009-12/30/content_1500005.htm</t>
        </is>
      </c>
    </row>
    <row r="466">
      <c r="B466" s="198" t="inlineStr">
        <is>
          <t>N1302</t>
        </is>
      </c>
      <c r="C466" s="208" t="n">
        <v>2013</v>
      </c>
      <c r="D466" s="210" t="inlineStr">
        <is>
          <t>关于加强碳捕集、利用和封存试验示范项目环境保护工作的通知</t>
        </is>
      </c>
      <c r="E466" s="210" t="inlineStr">
        <is>
          <t>Notice on Strengthening Environmental Protection Work for Carbon Capture, Utilization and Storage Pilot Demonstration Projects</t>
        </is>
      </c>
      <c r="F466" s="209" t="inlineStr">
        <is>
          <t>Ministry of Ecology and Environment</t>
        </is>
      </c>
      <c r="G466" s="209" t="inlineStr">
        <is>
          <t>通知</t>
        </is>
      </c>
      <c r="H466" s="210" t="inlineStr">
        <is>
          <t>Explicit mitigation</t>
        </is>
      </c>
      <c r="I466" s="211" t="inlineStr">
        <is>
          <t>D.3</t>
        </is>
      </c>
      <c r="J466" s="208" t="inlineStr">
        <is>
          <t>-</t>
        </is>
      </c>
      <c r="K466" s="211" t="inlineStr">
        <is>
          <t>NO-TAR</t>
        </is>
      </c>
      <c r="L466" s="209" t="inlineStr">
        <is>
          <t>HTM</t>
        </is>
      </c>
      <c r="M466" s="209" t="inlineStr">
        <is>
          <t>CN</t>
        </is>
      </c>
      <c r="N466" s="203" t="inlineStr">
        <is>
          <t>https://www.mee.gov.cn/gkml/hbb/bgt/201311/t20131104_262804.htm</t>
        </is>
      </c>
    </row>
    <row r="467">
      <c r="B467" s="198" t="inlineStr">
        <is>
          <t>N2001</t>
        </is>
      </c>
      <c r="C467" s="208" t="n">
        <v>2020</v>
      </c>
      <c r="D467" s="210" t="inlineStr">
        <is>
          <t>关于做好2020年重点领域化解过剩产能工作的通知</t>
        </is>
      </c>
      <c r="E467" s="210" t="inlineStr">
        <is>
          <t>Notice on Doing a Good Job in Resolving Excess Capacity in Key Areas in 2020</t>
        </is>
      </c>
      <c r="F467" s="209" t="inlineStr">
        <is>
          <t>National Development and Reform Commission; Ministry of Industry and Information Technology; National Energy Administration; Ministry of Finance; Ministry of Human Resources and Social Security; State-owned Assets Supervision and Administration Commission of the State Council</t>
        </is>
      </c>
      <c r="G467" s="209" t="inlineStr">
        <is>
          <t>通知</t>
        </is>
      </c>
      <c r="H467" s="210" t="inlineStr">
        <is>
          <t>Economy planning incl. climate</t>
        </is>
      </c>
      <c r="I467" s="211" t="inlineStr">
        <is>
          <t>B.2</t>
        </is>
      </c>
      <c r="J467" s="208" t="n">
        <v>2020</v>
      </c>
      <c r="K467" s="211" t="inlineStr">
        <is>
          <t>NO-TAR</t>
        </is>
      </c>
      <c r="L467" s="209" t="inlineStr">
        <is>
          <t>HTM</t>
        </is>
      </c>
      <c r="M467" s="209" t="inlineStr">
        <is>
          <t>CN</t>
        </is>
      </c>
      <c r="N467" s="203" t="inlineStr">
        <is>
          <t>https://www.ndrc.gov.cn/xxgk/zcfb/tz/202006/t20200618_1231503.html?code=&amp;state=123</t>
        </is>
      </c>
    </row>
    <row r="468" ht="14.5" customHeight="1" s="235">
      <c r="B468" s="198" t="inlineStr">
        <is>
          <t>N2101</t>
        </is>
      </c>
      <c r="C468" s="208" t="n">
        <v>2021</v>
      </c>
      <c r="D468" s="210" t="inlineStr">
        <is>
          <t>关于做好新能源配套送出工程投资建设有关事项的通知</t>
        </is>
      </c>
      <c r="E468" s="210" t="inlineStr">
        <is>
          <t>Notice on Doing a Good Job in Investment and Construction of New Energy Supporting Transmission Projects</t>
        </is>
      </c>
      <c r="F468" s="209" t="inlineStr">
        <is>
          <t>National Development and Reform Commission; National Energy Administration</t>
        </is>
      </c>
      <c r="G468" s="209" t="inlineStr">
        <is>
          <t>通知</t>
        </is>
      </c>
      <c r="H468" s="210" t="inlineStr">
        <is>
          <t>Mitigation-enabling</t>
        </is>
      </c>
      <c r="I468" s="211" t="inlineStr">
        <is>
          <t>B.1</t>
        </is>
      </c>
      <c r="J468" s="208" t="inlineStr">
        <is>
          <t>-</t>
        </is>
      </c>
      <c r="K468" s="211" t="inlineStr">
        <is>
          <t>NO-TAR</t>
        </is>
      </c>
      <c r="L468" s="209" t="inlineStr">
        <is>
          <t>HTM</t>
        </is>
      </c>
      <c r="M468" s="209" t="inlineStr">
        <is>
          <t>CN</t>
        </is>
      </c>
      <c r="N468" s="203" t="inlineStr">
        <is>
          <t>https://www.ndrc.gov.cn/xwdt/tzgg/202107/t20210705_1285400.html?code=&amp;state=123</t>
        </is>
      </c>
    </row>
    <row r="469">
      <c r="B469" s="198" t="inlineStr">
        <is>
          <t>N2601</t>
        </is>
      </c>
      <c r="C469" s="208" t="n">
        <v>2026</v>
      </c>
      <c r="D469" s="210" t="inlineStr">
        <is>
          <t>关于实施绿色消费推进行动的通知</t>
        </is>
      </c>
      <c r="E469" s="210" t="inlineStr">
        <is>
          <t>Notice for the Implementation of Green Consumption Promotion</t>
        </is>
      </c>
      <c r="F469" s="209" t="inlineStr">
        <is>
          <t>Ministry of Commerce; National Development and Reform Commission; Ministry of Industry and Information Technology; Ministry of Ecology and Environment; Ministry of Housing and Urban-Rural Development; Ministry of Agriculture and Rural Affairs; People's Bank of China; State Administration for Market Regulation; National Financial Regulatory Administration</t>
        </is>
      </c>
      <c r="G469" s="209" t="inlineStr">
        <is>
          <t>通知</t>
        </is>
      </c>
      <c r="H469" s="210" t="inlineStr">
        <is>
          <t>Mitigation-enabling</t>
        </is>
      </c>
      <c r="I469" s="211" t="inlineStr">
        <is>
          <t>C.4</t>
        </is>
      </c>
      <c r="J469" s="208" t="inlineStr">
        <is>
          <t>2026-2030</t>
        </is>
      </c>
      <c r="K469" s="211" t="inlineStr">
        <is>
          <t>NO-TAR</t>
        </is>
      </c>
      <c r="L469" s="209" t="inlineStr">
        <is>
          <t>HTM</t>
        </is>
      </c>
      <c r="M469" s="209" t="inlineStr">
        <is>
          <t>CN</t>
        </is>
      </c>
      <c r="N469" s="203" t="inlineStr">
        <is>
          <t>https://www.gov.cn/zhengce/zhengceku/202601/content_7053876.htm</t>
        </is>
      </c>
    </row>
    <row r="470">
      <c r="B470" s="0" t="inlineStr">
        <is>
          <t>N2602</t>
        </is>
      </c>
      <c r="C470" s="0" t="n">
        <v>2026</v>
      </c>
      <c r="D470" s="0" t="inlineStr">
        <is>
          <t>关于开展2026年新能源汽车下乡活动的通知</t>
        </is>
      </c>
      <c r="E470" s="0" t="inlineStr">
        <is>
          <t>Notice on the 2026 Campaign to Bring New Energy Vehicles to Rural Areas</t>
        </is>
      </c>
      <c r="F470" s="0" t="inlineStr">
        <is>
          <t>Ministry of Industry and Information Technology and other departments</t>
        </is>
      </c>
      <c r="G470" s="0" t="inlineStr">
        <is>
          <t>通知</t>
        </is>
      </c>
      <c r="H470" s="0" t="inlineStr">
        <is>
          <t>B.4</t>
        </is>
      </c>
      <c r="I470" s="0" t="inlineStr">
        <is>
          <t>Mitigation-enabling</t>
        </is>
      </c>
      <c r="J470" s="0" t="inlineStr">
        <is>
          <t>-</t>
        </is>
      </c>
      <c r="K470" s="0" t="inlineStr">
        <is>
          <t>NO-TAR</t>
        </is>
      </c>
      <c r="L470" s="0" t="inlineStr">
        <is>
          <t>HTM</t>
        </is>
      </c>
      <c r="M470" s="0" t="inlineStr">
        <is>
          <t>CN</t>
        </is>
      </c>
      <c r="N470" s="0" t="inlineStr">
        <is>
          <t>https://www.miit.gov.cn/zwgk/zcwj/wjfb/tz/art/2026/art_addcc0a2fd3f4bf6993e3e48f7b8d4c3.html</t>
        </is>
      </c>
    </row>
    <row r="471">
      <c r="B471" s="0" t="inlineStr">
        <is>
          <t>N2603</t>
        </is>
      </c>
      <c r="C471" s="0" t="n">
        <v>2026</v>
      </c>
      <c r="D471" s="0" t="inlineStr">
        <is>
          <t>关于组织开展地热能高质量开发利用试点工作的通知</t>
        </is>
      </c>
      <c r="E471" s="0" t="inlineStr">
        <is>
          <t>Notice on Organizing Pilot Projects for the High-Quality Development and Utilization of Geothermal Energy</t>
        </is>
      </c>
      <c r="F471" s="0" t="inlineStr">
        <is>
          <t>General Department of the National Energy Administration</t>
        </is>
      </c>
      <c r="G471" s="0" t="inlineStr">
        <is>
          <t>通知</t>
        </is>
      </c>
      <c r="H471" s="0" t="inlineStr">
        <is>
          <t>B.1</t>
        </is>
      </c>
      <c r="I471" s="0" t="inlineStr">
        <is>
          <t>Mitigation-enabling</t>
        </is>
      </c>
      <c r="J471" s="0" t="inlineStr">
        <is>
          <t>-</t>
        </is>
      </c>
      <c r="K471" s="0" t="inlineStr">
        <is>
          <t>NO-TAR</t>
        </is>
      </c>
      <c r="L471" s="0" t="inlineStr">
        <is>
          <t>HTM</t>
        </is>
      </c>
      <c r="M471" s="0" t="inlineStr">
        <is>
          <t>CN</t>
        </is>
      </c>
      <c r="N471" s="0" t="inlineStr">
        <is>
          <t>https://www.nea.gov.cn/20260615/ebbeeb6d9e804a658ac13d70b2e4bd6f/c.html</t>
        </is>
      </c>
    </row>
    <row r="472">
      <c r="B472" s="0" t="inlineStr">
        <is>
          <t>N2604</t>
        </is>
      </c>
      <c r="C472" s="0" t="n">
        <v>2026</v>
      </c>
      <c r="D472" s="0" t="inlineStr">
        <is>
          <t>关于深入推进农村能源革命 开展村镇微能网建设试点工作的通知</t>
        </is>
      </c>
      <c r="E472" s="0" t="inlineStr">
        <is>
          <t>Notice on Deepening the Rural Energy Revolution and Piloting the Construction of Village and Township Micro-Energy Grids</t>
        </is>
      </c>
      <c r="F472" s="0" t="inlineStr">
        <is>
          <t>General Department of the National Energy Administration</t>
        </is>
      </c>
      <c r="G472" s="0" t="inlineStr">
        <is>
          <t>通知</t>
        </is>
      </c>
      <c r="H472" s="0" t="inlineStr">
        <is>
          <t>B.1</t>
        </is>
      </c>
      <c r="I472" s="0" t="inlineStr">
        <is>
          <t>Mitigation-enabling</t>
        </is>
      </c>
      <c r="J472" s="0" t="inlineStr">
        <is>
          <t>2026-2030</t>
        </is>
      </c>
      <c r="K472" s="0" t="inlineStr">
        <is>
          <t>TAR</t>
        </is>
      </c>
      <c r="L472" s="0" t="inlineStr">
        <is>
          <t>HTM</t>
        </is>
      </c>
      <c r="M472" s="0" t="inlineStr">
        <is>
          <t>CN</t>
        </is>
      </c>
      <c r="N472" s="0" t="inlineStr">
        <is>
          <t>https://www.nea.gov.cn/20260720/49d1f73c7afb489aa3ff3375b2da941c/c.html</t>
        </is>
      </c>
    </row>
    <row r="473">
      <c r="B473" s="0" t="inlineStr">
        <is>
          <t>N2605</t>
        </is>
      </c>
      <c r="C473" s="0" t="n">
        <v>2026</v>
      </c>
      <c r="D473" s="0" t="inlineStr">
        <is>
          <t>关于组织开展2026年度重点行业能效、碳效领跑者企业推荐工作的通知</t>
        </is>
      </c>
      <c r="E473" s="0" t="inlineStr">
        <is>
          <t>Notice on Recommending Benchmark Enterprises for Energy and Carbon Efficiency in Key Industries in 2026</t>
        </is>
      </c>
      <c r="F473" s="0" t="inlineStr">
        <is>
          <t>Ministry of Industry and Information Technology; National Development and Reform Commission; State Administration for Market Regulation</t>
        </is>
      </c>
      <c r="G473" s="0" t="inlineStr">
        <is>
          <t>通知</t>
        </is>
      </c>
      <c r="H473" s="0" t="inlineStr">
        <is>
          <t>B.2</t>
        </is>
      </c>
      <c r="I473" s="0" t="inlineStr">
        <is>
          <t>Mitigation-enabling</t>
        </is>
      </c>
      <c r="J473" s="0" t="inlineStr">
        <is>
          <t>-</t>
        </is>
      </c>
      <c r="K473" s="0" t="inlineStr">
        <is>
          <t>NO-TAR</t>
        </is>
      </c>
      <c r="L473" s="0" t="inlineStr">
        <is>
          <t>HTM</t>
        </is>
      </c>
      <c r="M473" s="0" t="inlineStr">
        <is>
          <t>CN</t>
        </is>
      </c>
      <c r="N473" s="0" t="inlineStr">
        <is>
          <t>https://wap.miit.gov.cn/zwgk/zcwj/wjfb/tz/art/2026/art_277a824ef0ae478faf7dc2d4f14b5db6.html</t>
        </is>
      </c>
    </row>
    <row r="474">
      <c r="B474" s="0" t="inlineStr">
        <is>
          <t>N2606</t>
        </is>
      </c>
      <c r="C474" s="0" t="n">
        <v>2026</v>
      </c>
      <c r="D474" s="0" t="inlineStr">
        <is>
          <t>关于组织开展国家级零碳工厂建设工作的通知</t>
        </is>
      </c>
      <c r="E474" s="0" t="inlineStr">
        <is>
          <t>Notice on Organizing the Construction of National-Level Zero-Carbon Factories</t>
        </is>
      </c>
      <c r="F474" s="0" t="inlineStr">
        <is>
          <t>Ministry of Industry and Information Technology</t>
        </is>
      </c>
      <c r="G474" s="0" t="inlineStr">
        <is>
          <t>通知</t>
        </is>
      </c>
      <c r="H474" s="0" t="inlineStr">
        <is>
          <t>A.2</t>
        </is>
      </c>
      <c r="I474" s="0" t="inlineStr">
        <is>
          <t>Explicit mitigation</t>
        </is>
      </c>
      <c r="J474" s="0" t="inlineStr">
        <is>
          <t>-</t>
        </is>
      </c>
      <c r="K474" s="0" t="inlineStr">
        <is>
          <t>NO-TAR</t>
        </is>
      </c>
      <c r="L474" s="0" t="inlineStr">
        <is>
          <t>HTM</t>
        </is>
      </c>
      <c r="M474" s="0" t="inlineStr">
        <is>
          <t>CN</t>
        </is>
      </c>
      <c r="N474" s="0" t="inlineStr">
        <is>
          <t>https://www.miit.gov.cn/jgsj/jns/nyjy/art/2026/art_93fe83f24eb843789a636f6c5f9e79c6.html</t>
        </is>
      </c>
    </row>
    <row r="475" ht="14.5" customHeight="1" s="235">
      <c r="B475" s="205" t="inlineStr">
        <is>
          <t>Work plans</t>
        </is>
      </c>
      <c r="C475" s="206" t="n"/>
      <c r="D475" s="206" t="n"/>
      <c r="E475" s="206" t="n"/>
      <c r="F475" s="206" t="n"/>
      <c r="G475" s="206" t="n"/>
      <c r="H475" s="206" t="n"/>
      <c r="I475" s="206" t="n"/>
      <c r="J475" s="206" t="n"/>
      <c r="K475" s="206" t="n"/>
      <c r="L475" s="206" t="n"/>
      <c r="M475" s="206" t="n"/>
      <c r="N475" s="207" t="inlineStr">
        <is>
          <t>https://www.gov.cn/zhengce/2020-12/21/content_5571916.htm</t>
        </is>
      </c>
    </row>
    <row r="476">
      <c r="B476" s="198" t="inlineStr">
        <is>
          <t>WOP0701</t>
        </is>
      </c>
      <c r="C476" s="208" t="n">
        <v>2007</v>
      </c>
      <c r="D476" s="226" t="inlineStr">
        <is>
          <t>节能减排综合性工作方案</t>
        </is>
      </c>
      <c r="E476" s="210" t="inlineStr">
        <is>
          <t>Comprehensive Work Plan for Energy Conservation and Emission Reduction</t>
        </is>
      </c>
      <c r="F476" s="209" t="inlineStr">
        <is>
          <t>State Council</t>
        </is>
      </c>
      <c r="G476" s="209" t="inlineStr">
        <is>
          <t>工作方案</t>
        </is>
      </c>
      <c r="H476" s="210" t="inlineStr">
        <is>
          <t>Explicit mitigation</t>
        </is>
      </c>
      <c r="I476" s="211" t="inlineStr">
        <is>
          <t>B.1</t>
        </is>
      </c>
      <c r="J476" s="211" t="inlineStr">
        <is>
          <t>-</t>
        </is>
      </c>
      <c r="K476" s="211" t="inlineStr">
        <is>
          <t>TAR</t>
        </is>
      </c>
      <c r="L476" s="209" t="inlineStr">
        <is>
          <t>HTM</t>
        </is>
      </c>
      <c r="M476" s="209" t="inlineStr">
        <is>
          <t>CN</t>
        </is>
      </c>
      <c r="N476" s="203" t="inlineStr">
        <is>
          <t>https://www.gov.cn/zwgk/2007-06/03/content_634545.htm</t>
        </is>
      </c>
    </row>
    <row r="477">
      <c r="B477" s="198" t="inlineStr">
        <is>
          <t>WOP0801</t>
        </is>
      </c>
      <c r="C477" s="208" t="n">
        <v>2008</v>
      </c>
      <c r="D477" s="226" t="inlineStr">
        <is>
          <t>2008年节能减排工作安排</t>
        </is>
      </c>
      <c r="E477" s="210" t="inlineStr">
        <is>
          <t>Work Plan for Energy Conservation and Emission Reduction in 2008</t>
        </is>
      </c>
      <c r="F477" s="209" t="inlineStr">
        <is>
          <t>State Council</t>
        </is>
      </c>
      <c r="G477" s="209" t="inlineStr">
        <is>
          <t>工作安排</t>
        </is>
      </c>
      <c r="H477" s="210" t="inlineStr">
        <is>
          <t>Explicit mitigation</t>
        </is>
      </c>
      <c r="I477" s="211" t="inlineStr">
        <is>
          <t>A</t>
        </is>
      </c>
      <c r="J477" s="211" t="inlineStr">
        <is>
          <t>-</t>
        </is>
      </c>
      <c r="K477" s="211" t="inlineStr">
        <is>
          <t>NO-TAR</t>
        </is>
      </c>
      <c r="L477" s="209" t="inlineStr">
        <is>
          <t>HTM</t>
        </is>
      </c>
      <c r="M477" s="209" t="inlineStr">
        <is>
          <t>CN</t>
        </is>
      </c>
      <c r="N477" s="203" t="inlineStr">
        <is>
          <t>https://www.gov.cn/zhengce/zhengceku/2016-09/22/content_5110758.htm</t>
        </is>
      </c>
    </row>
    <row r="478">
      <c r="B478" s="198" t="inlineStr">
        <is>
          <t>WOP0901</t>
        </is>
      </c>
      <c r="C478" s="208" t="n">
        <v>2009</v>
      </c>
      <c r="D478" s="226" t="inlineStr">
        <is>
          <t>2009年节能减排工作安排</t>
        </is>
      </c>
      <c r="E478" s="210" t="inlineStr">
        <is>
          <t>Work Plan for Energy Conservation and Emission Reduction in 2009</t>
        </is>
      </c>
      <c r="F478" s="209" t="inlineStr">
        <is>
          <t>State Council</t>
        </is>
      </c>
      <c r="G478" s="209" t="inlineStr">
        <is>
          <t>工作安排</t>
        </is>
      </c>
      <c r="H478" s="210" t="inlineStr">
        <is>
          <t>Explicit mitigation</t>
        </is>
      </c>
      <c r="I478" s="211" t="inlineStr">
        <is>
          <t>A</t>
        </is>
      </c>
      <c r="J478" s="211" t="inlineStr">
        <is>
          <t>-</t>
        </is>
      </c>
      <c r="K478" s="211" t="inlineStr">
        <is>
          <t>NO-TAR</t>
        </is>
      </c>
      <c r="L478" s="209" t="inlineStr">
        <is>
          <t>HTM</t>
        </is>
      </c>
      <c r="M478" s="209" t="inlineStr">
        <is>
          <t>CN</t>
        </is>
      </c>
      <c r="N478" s="203" t="inlineStr">
        <is>
          <t>https://www.gov.cn/zhengce/zhengceku/2009-07/31/content_4899.htm</t>
        </is>
      </c>
    </row>
    <row r="479">
      <c r="B479" s="198" t="inlineStr">
        <is>
          <t>WOP1501</t>
        </is>
      </c>
      <c r="C479" s="208" t="n">
        <v>2015</v>
      </c>
      <c r="D479" s="210" t="inlineStr">
        <is>
          <t>全面实施燃煤电厂超低排放和节能改造工作方案</t>
        </is>
      </c>
      <c r="E479" s="210" t="inlineStr">
        <is>
          <t>Ultra-Low Emission and Energy-Saving Transformation Work Plan for Coal-Fired Power Plants</t>
        </is>
      </c>
      <c r="F479" s="209" t="inlineStr">
        <is>
          <t>Ministry of Environmental Protection; National Development and Reform Commission; National Energy Administration</t>
        </is>
      </c>
      <c r="G479" s="209" t="inlineStr">
        <is>
          <t>工作方案</t>
        </is>
      </c>
      <c r="H479" s="210" t="inlineStr">
        <is>
          <t>Fossil-fuel</t>
        </is>
      </c>
      <c r="I479" s="211" t="inlineStr">
        <is>
          <t>B.1</t>
        </is>
      </c>
      <c r="J479" s="211" t="inlineStr">
        <is>
          <t>-</t>
        </is>
      </c>
      <c r="K479" s="211" t="inlineStr">
        <is>
          <t>TAR</t>
        </is>
      </c>
      <c r="L479" s="209" t="inlineStr">
        <is>
          <t>PDF</t>
        </is>
      </c>
      <c r="M479" s="209" t="inlineStr">
        <is>
          <t>CN</t>
        </is>
      </c>
      <c r="N479" s="203" t="inlineStr">
        <is>
          <t>https://www.mee.gov.cn/gkml/hbb/bwj/201512/t20151215_319170.htm</t>
        </is>
      </c>
    </row>
    <row r="480">
      <c r="B480" s="198" t="inlineStr">
        <is>
          <t>WOP2101</t>
        </is>
      </c>
      <c r="C480" s="208" t="n">
        <v>2021</v>
      </c>
      <c r="D480" s="210" t="inlineStr">
        <is>
          <t>反食品浪费工作方案</t>
        </is>
      </c>
      <c r="E480" s="210" t="inlineStr">
        <is>
          <t>Anti-Food Waste Work Plan</t>
        </is>
      </c>
      <c r="F480" s="209" t="inlineStr">
        <is>
          <t>National Development and Reform Commission; Ministry of Commerce; State Administration for Market Regulation; National Food and Strategic Reserves Administration</t>
        </is>
      </c>
      <c r="G480" s="209" t="inlineStr">
        <is>
          <t>工作方案</t>
        </is>
      </c>
      <c r="H480" s="210" t="inlineStr">
        <is>
          <t>Mitigation-enabling</t>
        </is>
      </c>
      <c r="I480" s="211" t="inlineStr">
        <is>
          <t>D.2</t>
        </is>
      </c>
      <c r="J480" s="211" t="inlineStr">
        <is>
          <t>-</t>
        </is>
      </c>
      <c r="K480" s="211" t="inlineStr">
        <is>
          <t>NO-TAR</t>
        </is>
      </c>
      <c r="L480" s="209" t="inlineStr">
        <is>
          <t>PDF</t>
        </is>
      </c>
      <c r="M480" s="209" t="inlineStr">
        <is>
          <t>CN</t>
        </is>
      </c>
      <c r="N480" s="203" t="inlineStr">
        <is>
          <t>https://www.ndrc.gov.cn/xxgk/zcfb/tz/202112/t20211217_1308233.html?code=&amp;state=123</t>
        </is>
      </c>
    </row>
    <row r="481">
      <c r="B481" s="198" t="inlineStr">
        <is>
          <t>WOP2102</t>
        </is>
      </c>
      <c r="C481" s="208" t="n">
        <v>2021</v>
      </c>
      <c r="D481" s="210" t="inlineStr">
        <is>
          <t>清洁能源消纳情况综合监管工作方案</t>
        </is>
      </c>
      <c r="E481" s="210" t="inlineStr">
        <is>
          <t>Work Plan for the Comprehensive Supervision of Clean Energy Consumption</t>
        </is>
      </c>
      <c r="F481" s="209" t="inlineStr">
        <is>
          <t>National Energy Administration</t>
        </is>
      </c>
      <c r="G481" s="209" t="inlineStr">
        <is>
          <t>工作方案</t>
        </is>
      </c>
      <c r="H481" s="210" t="inlineStr">
        <is>
          <t>Mitigation-enabling</t>
        </is>
      </c>
      <c r="I481" s="211" t="inlineStr">
        <is>
          <t>B.1</t>
        </is>
      </c>
      <c r="J481" s="211" t="inlineStr">
        <is>
          <t>-</t>
        </is>
      </c>
      <c r="K481" s="211" t="inlineStr">
        <is>
          <t>NO-TAR</t>
        </is>
      </c>
      <c r="L481" s="209" t="inlineStr">
        <is>
          <t>HTM</t>
        </is>
      </c>
      <c r="M481" s="209" t="inlineStr">
        <is>
          <t>CN</t>
        </is>
      </c>
      <c r="N481" s="203" t="inlineStr">
        <is>
          <t>http://zfxxgk.nea.gov.cn/2021-03/17/c_139829878.htm</t>
        </is>
      </c>
    </row>
    <row r="482">
      <c r="B482" s="198" t="inlineStr">
        <is>
          <t>WOP2202</t>
        </is>
      </c>
      <c r="C482" s="208" t="n">
        <v>2022</v>
      </c>
      <c r="D482" s="210" t="inlineStr">
        <is>
          <t xml:space="preserve">推进多式联运发展优化调整运输结构工作方案（2021—2025年）
</t>
        </is>
      </c>
      <c r="E482" s="210" t="inlineStr">
        <is>
          <t>Work Plan for Promoting the Development, Optimization, and Adjustment of Transport Structure in Multimodal Transport (2021–2025)</t>
        </is>
      </c>
      <c r="F482" s="209" t="inlineStr">
        <is>
          <t>State Council</t>
        </is>
      </c>
      <c r="G482" s="209" t="inlineStr">
        <is>
          <t>工作方案</t>
        </is>
      </c>
      <c r="H482" s="210" t="inlineStr">
        <is>
          <t>Economy planning incl. climate</t>
        </is>
      </c>
      <c r="I482" s="211" t="inlineStr">
        <is>
          <t>B.4</t>
        </is>
      </c>
      <c r="J482" s="211" t="inlineStr">
        <is>
          <t>-</t>
        </is>
      </c>
      <c r="K482" s="211" t="inlineStr">
        <is>
          <t>NO-TAR</t>
        </is>
      </c>
      <c r="L482" s="209" t="inlineStr">
        <is>
          <t>HTM</t>
        </is>
      </c>
      <c r="M482" s="209" t="inlineStr">
        <is>
          <t>CN</t>
        </is>
      </c>
      <c r="N482" s="203" t="inlineStr">
        <is>
          <t>https://www.gov.cn/zhengce/content/2022-01/07/content_5666914.htm</t>
        </is>
      </c>
    </row>
    <row r="483">
      <c r="B483" s="198" t="inlineStr">
        <is>
          <t>WOP2401</t>
        </is>
      </c>
      <c r="C483" s="208" t="n">
        <v>2024</v>
      </c>
      <c r="D483" s="210" t="inlineStr">
        <is>
          <t>完善碳排放统计核算体系工作方案</t>
        </is>
      </c>
      <c r="E483" s="210" t="inlineStr">
        <is>
          <t>Work Plan for Improving the Carbon Emission Accounting and Statistical System</t>
        </is>
      </c>
      <c r="F483" s="209" t="inlineStr">
        <is>
          <t>National Development and Reform Commission; Ministry of Ecology and Environment; National Bureau of Statistics; Ministry of Industry and Information Technology; Ministry of Housing and Urban-Rural Development; Ministry of Transport; State Administration for Market Regulation; National Energy Administration</t>
        </is>
      </c>
      <c r="G483" s="209" t="inlineStr">
        <is>
          <t>工作方案</t>
        </is>
      </c>
      <c r="H483" s="210" t="inlineStr">
        <is>
          <t>Explicit mitigation</t>
        </is>
      </c>
      <c r="I483" s="211" t="inlineStr">
        <is>
          <t>C.3</t>
        </is>
      </c>
      <c r="J483" s="211" t="inlineStr">
        <is>
          <t>-</t>
        </is>
      </c>
      <c r="K483" s="211" t="inlineStr">
        <is>
          <t>NO-TAR</t>
        </is>
      </c>
      <c r="L483" s="209" t="inlineStr">
        <is>
          <t>PDF</t>
        </is>
      </c>
      <c r="M483" s="209" t="inlineStr">
        <is>
          <t>CN</t>
        </is>
      </c>
      <c r="N483" s="203" t="inlineStr">
        <is>
          <t>https://www.gov.cn/zhengce/zhengceku/202410/content_6983052.htm</t>
        </is>
      </c>
    </row>
    <row r="484">
      <c r="B484" s="198" t="inlineStr">
        <is>
          <t>WOP2403</t>
        </is>
      </c>
      <c r="C484" s="208" t="n">
        <v>2024</v>
      </c>
      <c r="D484" s="210" t="inlineStr">
        <is>
          <t>加快推动建筑领域节能降碳工作方案</t>
        </is>
      </c>
      <c r="E484" s="210" t="inlineStr">
        <is>
          <t>Work Plan on Accelerating Energy Conservation and Carbon Reduction in the Building Sector</t>
        </is>
      </c>
      <c r="F484" s="209" t="inlineStr">
        <is>
          <t>National Development and Reform Commission; Ministry of Housing and Urban-Rural Development</t>
        </is>
      </c>
      <c r="G484" s="209" t="inlineStr">
        <is>
          <t>工作方案</t>
        </is>
      </c>
      <c r="H484" s="210" t="inlineStr">
        <is>
          <t>Explicit mitigation</t>
        </is>
      </c>
      <c r="I484" s="211" t="inlineStr">
        <is>
          <t>B.3</t>
        </is>
      </c>
      <c r="J484" s="211" t="inlineStr">
        <is>
          <t>-</t>
        </is>
      </c>
      <c r="K484" s="211" t="inlineStr">
        <is>
          <t>TAR</t>
        </is>
      </c>
      <c r="L484" s="209" t="inlineStr">
        <is>
          <t>HTM</t>
        </is>
      </c>
      <c r="M484" s="209" t="inlineStr">
        <is>
          <t>CN</t>
        </is>
      </c>
      <c r="N484" s="203" t="inlineStr">
        <is>
          <t>https://www.gov.cn/zhengce/zhengceku/202403/content_6939607.htm</t>
        </is>
      </c>
    </row>
    <row r="485">
      <c r="B485" s="198" t="inlineStr">
        <is>
          <t>WOP2501</t>
        </is>
      </c>
      <c r="C485" s="208" t="n">
        <v>2025</v>
      </c>
      <c r="D485" s="210" t="inlineStr">
        <is>
          <t>中国履行〈关于消耗臭氧层物质的蒙特利尔议定书〉国家方案（2025—2030年）</t>
        </is>
      </c>
      <c r="E485" s="210" t="inlineStr">
        <is>
          <t>China's National Plan for Implementing the Montreal Protocol on Substances that Deplete the Ozone Layer (2025-2030)</t>
        </is>
      </c>
      <c r="F485" s="209" t="inlineStr">
        <is>
          <t>Ministry of Ecology and Environment; National Development and Reform Commission; Ministry of Industry and Information Technology; Ministry of Commerce; General Administration of Customs</t>
        </is>
      </c>
      <c r="G485" s="209" t="inlineStr">
        <is>
          <t>国家方案</t>
        </is>
      </c>
      <c r="H485" s="210" t="inlineStr">
        <is>
          <t>Mitigation-enabling</t>
        </is>
      </c>
      <c r="I485" s="211" t="inlineStr">
        <is>
          <t>A</t>
        </is>
      </c>
      <c r="J485" s="211" t="inlineStr">
        <is>
          <t>2025-2030</t>
        </is>
      </c>
      <c r="K485" s="211" t="inlineStr">
        <is>
          <t>NO-TAR</t>
        </is>
      </c>
      <c r="L485" s="209" t="inlineStr">
        <is>
          <t>PDF</t>
        </is>
      </c>
      <c r="M485" s="209" t="inlineStr">
        <is>
          <t>CN</t>
        </is>
      </c>
      <c r="N485" s="203" t="inlineStr">
        <is>
          <t>https://www.mee.gov.cn/xxgk2018/xxgk/xxgk03/202504/t20250423_1117396.html</t>
        </is>
      </c>
    </row>
    <row r="486">
      <c r="B486" s="198" t="inlineStr">
        <is>
          <t>WOP2502</t>
        </is>
      </c>
      <c r="C486" s="208" t="n">
        <v>2025</v>
      </c>
      <c r="D486" s="210" t="inlineStr">
        <is>
          <t>汽车行业稳增长工作方案(2025—2026年)</t>
        </is>
      </c>
      <c r="E486" s="210" t="inlineStr">
        <is>
          <t>Work Plan for Stabilizing Growth in the Automobile Industry (2025–2026)</t>
        </is>
      </c>
      <c r="F486" s="209" t="inlineStr">
        <is>
          <t>Ministry of Industry and Information Technology; Ministry of Public Security; Ministry of Finance; Ministry of Transport; Ministry of Commerce; General Administration of Customs; State Administration for Market Regulation; National Energy Administration</t>
        </is>
      </c>
      <c r="G486" s="209" t="inlineStr">
        <is>
          <t>工作方案</t>
        </is>
      </c>
      <c r="H486" s="210" t="inlineStr">
        <is>
          <t>Economy planning incl. climate</t>
        </is>
      </c>
      <c r="I486" s="211" t="inlineStr">
        <is>
          <t>B.4</t>
        </is>
      </c>
      <c r="J486" s="211" t="inlineStr">
        <is>
          <t>2025–2026</t>
        </is>
      </c>
      <c r="K486" s="211" t="inlineStr">
        <is>
          <t>TAR</t>
        </is>
      </c>
      <c r="L486" s="209" t="inlineStr">
        <is>
          <t>PDF</t>
        </is>
      </c>
      <c r="M486" s="209" t="inlineStr">
        <is>
          <t>CN</t>
        </is>
      </c>
      <c r="N486" s="203" t="inlineStr">
        <is>
          <t>https://www.gov.cn/zhengce/zhengceku/202509/content_7040552.htm</t>
        </is>
      </c>
    </row>
    <row r="487" ht="4" customHeight="1" s="235">
      <c r="B487" s="198" t="inlineStr">
        <is>
          <t>WOP2503</t>
        </is>
      </c>
      <c r="C487" s="208" t="n">
        <v>2025</v>
      </c>
      <c r="D487" s="210" t="inlineStr">
        <is>
          <t>有色金属行业稳增长工作方案（2025—2026年）</t>
        </is>
      </c>
      <c r="E487" s="210" t="inlineStr">
        <is>
          <t>Work Plan for Stabilizing Growth in the Non-ferrous Metal Industry (2025–2026)</t>
        </is>
      </c>
      <c r="F487" s="209" t="inlineStr">
        <is>
          <t>Ministry of Industry and Information Technology; Ministry of Natural Resources; Ministry of Commerce; People’s Bank of China; State-owned Assets Supervision and Administration Commission of the State Council; General Administration of Customs; China Securities Regulatory Commission; National Food and Strategic Reserves Administration</t>
        </is>
      </c>
      <c r="G487" s="209" t="inlineStr">
        <is>
          <t>工作方案</t>
        </is>
      </c>
      <c r="H487" s="210" t="inlineStr">
        <is>
          <t>Economy planning incl. climate</t>
        </is>
      </c>
      <c r="I487" s="211" t="inlineStr">
        <is>
          <t>B.2</t>
        </is>
      </c>
      <c r="J487" s="211" t="inlineStr">
        <is>
          <t>2025–2026</t>
        </is>
      </c>
      <c r="K487" s="211" t="inlineStr">
        <is>
          <t>TAR</t>
        </is>
      </c>
      <c r="L487" s="209" t="inlineStr">
        <is>
          <t>PDF</t>
        </is>
      </c>
      <c r="M487" s="209" t="inlineStr">
        <is>
          <t>CN</t>
        </is>
      </c>
      <c r="N487" s="203" t="inlineStr">
        <is>
          <t>https://www.miit.gov.cn/zwgk/zcwj/wjfb/tz/art/2025/art_5f72b18071ec49b5916bb9f99e58872e.html</t>
        </is>
      </c>
    </row>
    <row r="488" hidden="1" s="235">
      <c r="B488" s="198" t="inlineStr">
        <is>
          <t>WOP2504</t>
        </is>
      </c>
      <c r="C488" s="208" t="n">
        <v>2025</v>
      </c>
      <c r="D488" s="210" t="inlineStr">
        <is>
          <t>建材行业稳增长工作方案（2025—2026年）</t>
        </is>
      </c>
      <c r="E488" s="210" t="inlineStr">
        <is>
          <t>Work Plan for Stabilizing Growth in the Building Materials Industry (2025–2026)</t>
        </is>
      </c>
      <c r="F488" s="209" t="inlineStr">
        <is>
          <t>Ministry of Industry and Information Technology; Ministry of Natural Resources; Ministry of Ecology and Environment; Ministry of Housing and Urban-Rural Development; Ministry of Water Resources; Ministry of Agriculture and Rural Affairs</t>
        </is>
      </c>
      <c r="G488" s="209" t="inlineStr">
        <is>
          <t>工作方案</t>
        </is>
      </c>
      <c r="H488" s="210" t="inlineStr">
        <is>
          <t>Economy planning incl. climate</t>
        </is>
      </c>
      <c r="I488" s="211" t="inlineStr">
        <is>
          <t>B.2</t>
        </is>
      </c>
      <c r="J488" s="211" t="inlineStr">
        <is>
          <t>2025–2026</t>
        </is>
      </c>
      <c r="K488" s="211" t="inlineStr">
        <is>
          <t>TAR</t>
        </is>
      </c>
      <c r="L488" s="209" t="inlineStr">
        <is>
          <t>PDF</t>
        </is>
      </c>
      <c r="M488" s="209" t="inlineStr">
        <is>
          <t>CN</t>
        </is>
      </c>
      <c r="N488" s="203" t="inlineStr">
        <is>
          <t>https://www.miit.gov.cn/zwgk/zcwj/wjfb/tz/art/2025/art_c73c2f6a0f20465aa92c360daa08619b.html</t>
        </is>
      </c>
    </row>
    <row r="489" hidden="1" s="235">
      <c r="B489" s="198" t="inlineStr">
        <is>
          <t>WOP2505</t>
        </is>
      </c>
      <c r="C489" s="208" t="n">
        <v>2025</v>
      </c>
      <c r="D489" s="210" t="inlineStr">
        <is>
          <t>钢铁行业稳增长工作方案（2025－2026年）</t>
        </is>
      </c>
      <c r="E489" s="210" t="inlineStr">
        <is>
          <t>Work Plan for Stabilizing Growth in the Steel Industry (2025–2026)</t>
        </is>
      </c>
      <c r="F489" s="209" t="inlineStr">
        <is>
          <t>Ministry of Industry and Information Technology; Ministry of Natural Resources; Ministry of Ecology and Environment; Ministry of Commerce; State Administration for Market Regulation</t>
        </is>
      </c>
      <c r="G489" s="209" t="inlineStr">
        <is>
          <t>工作方案</t>
        </is>
      </c>
      <c r="H489" s="210" t="inlineStr">
        <is>
          <t>Economy planning incl. climate</t>
        </is>
      </c>
      <c r="I489" s="211" t="inlineStr">
        <is>
          <t>B.2</t>
        </is>
      </c>
      <c r="J489" s="211" t="inlineStr">
        <is>
          <t>2025–2026</t>
        </is>
      </c>
      <c r="K489" s="211" t="inlineStr">
        <is>
          <t>TAR</t>
        </is>
      </c>
      <c r="L489" s="209" t="inlineStr">
        <is>
          <t>PDF</t>
        </is>
      </c>
      <c r="M489" s="209" t="inlineStr">
        <is>
          <t>CN</t>
        </is>
      </c>
      <c r="N489" s="203" t="inlineStr">
        <is>
          <t>https://www.miit.gov.cn/zwgk/zcwj/wjfb/tz/art/2025/art_e0b143ab438a4de4973ba9031c75b673.html</t>
        </is>
      </c>
    </row>
    <row r="490" hidden="1" s="235">
      <c r="B490" s="198" t="inlineStr">
        <is>
          <t>WOP2506</t>
        </is>
      </c>
      <c r="C490" s="208" t="n">
        <v>2025</v>
      </c>
      <c r="D490" s="210" t="inlineStr">
        <is>
          <t>石化化工行业稳增长工作方案（2025-2026年）</t>
        </is>
      </c>
      <c r="E490" s="210" t="inlineStr">
        <is>
          <t>Work Plan for Stabilizing Growth in the Petrochemical Industry (2025–2026)</t>
        </is>
      </c>
      <c r="F490" s="209" t="inlineStr">
        <is>
          <t>Ministry of Industry and Information Technology; Ministry of Ecology and Environment; Ministry of Emergency Management; People’s Bank of China; State Administration for Market Regulation; National Financial Regulatory Administration; All-China Federation of Supply and Marketing Cooperatives</t>
        </is>
      </c>
      <c r="G490" s="209" t="inlineStr">
        <is>
          <t>工作方案</t>
        </is>
      </c>
      <c r="H490" s="210" t="inlineStr">
        <is>
          <t>Economy planning incl. climate</t>
        </is>
      </c>
      <c r="I490" s="211" t="inlineStr">
        <is>
          <t>B.1</t>
        </is>
      </c>
      <c r="J490" s="211" t="inlineStr">
        <is>
          <t>2025–2026</t>
        </is>
      </c>
      <c r="K490" s="211" t="inlineStr">
        <is>
          <t>TAR</t>
        </is>
      </c>
      <c r="L490" s="209" t="inlineStr">
        <is>
          <t>PDF</t>
        </is>
      </c>
      <c r="M490" s="209" t="inlineStr">
        <is>
          <t>CN</t>
        </is>
      </c>
      <c r="N490" s="203" t="inlineStr">
        <is>
          <t>https://www.miit.gov.cn/zwgk/zcwj/wjfb/tz/art/2025/art_fc1de65c987b44ab8560d2acf3b142a4.html</t>
        </is>
      </c>
    </row>
    <row r="491" hidden="1" s="235">
      <c r="B491" s="198" t="inlineStr">
        <is>
          <t>WOP2507</t>
        </is>
      </c>
      <c r="C491" s="208" t="n">
        <v>2025</v>
      </c>
      <c r="D491" s="210" t="inlineStr">
        <is>
          <t>轻工业稳增长工作方案（2025—2026年）</t>
        </is>
      </c>
      <c r="E491" s="210" t="inlineStr">
        <is>
          <t>Work Plan for Stabilizing Growth in the Light Industry (2025–2026)</t>
        </is>
      </c>
      <c r="F491" s="209" t="inlineStr">
        <is>
          <t>Ministry of Industry and Information Technology; Ministry of Commerce; State Administration for Market Regulation</t>
        </is>
      </c>
      <c r="G491" s="209" t="inlineStr">
        <is>
          <t>工作方案</t>
        </is>
      </c>
      <c r="H491" s="210" t="inlineStr">
        <is>
          <t>Economy planning incl. climate</t>
        </is>
      </c>
      <c r="I491" s="211" t="inlineStr">
        <is>
          <t>B.2</t>
        </is>
      </c>
      <c r="J491" s="211" t="inlineStr">
        <is>
          <t>2025–2027</t>
        </is>
      </c>
      <c r="K491" s="211" t="inlineStr">
        <is>
          <t>TAR</t>
        </is>
      </c>
      <c r="L491" s="209" t="inlineStr">
        <is>
          <t>PDF</t>
        </is>
      </c>
      <c r="M491" s="209" t="inlineStr">
        <is>
          <t>CN</t>
        </is>
      </c>
      <c r="N491" s="203" t="inlineStr">
        <is>
          <t>https://www.miit.gov.cn/jgsj/xfpgys/wjfb/art/2025/art_7bd09ef20e60494aba48b36116118cbb.html</t>
        </is>
      </c>
    </row>
    <row r="492" hidden="1" s="235">
      <c r="B492" s="198" t="inlineStr">
        <is>
          <t>WOP2508</t>
        </is>
      </c>
      <c r="C492" s="208" t="n">
        <v>2025</v>
      </c>
      <c r="D492" s="210" t="inlineStr">
        <is>
          <t>电力装备行业稳增长工作方案（2025-2026年）</t>
        </is>
      </c>
      <c r="E492" s="210" t="inlineStr">
        <is>
          <t>Work Plan for Stabilizing Growth in the Power Equipment Industry (2025–2026)</t>
        </is>
      </c>
      <c r="F492" s="209" t="inlineStr">
        <is>
          <t>Ministry of Industry and Information Technology; General Administration of Market Supervision; National Energy Administration</t>
        </is>
      </c>
      <c r="G492" s="209" t="inlineStr">
        <is>
          <t>工作方案</t>
        </is>
      </c>
      <c r="H492" s="210" t="inlineStr">
        <is>
          <t>Economy planning incl. climate</t>
        </is>
      </c>
      <c r="I492" s="211" t="inlineStr">
        <is>
          <t>B.2</t>
        </is>
      </c>
      <c r="J492" s="211" t="inlineStr">
        <is>
          <t>2025–2027</t>
        </is>
      </c>
      <c r="K492" s="211" t="inlineStr">
        <is>
          <t>TAR</t>
        </is>
      </c>
      <c r="L492" s="209" t="inlineStr">
        <is>
          <t>PDF</t>
        </is>
      </c>
      <c r="M492" s="209" t="inlineStr">
        <is>
          <t>CN</t>
        </is>
      </c>
      <c r="N492" s="203" t="inlineStr">
        <is>
          <t>https://www.miit.gov.cn/zwgk/zcwj/wjfb/tz/art/2025/art_e6fdc1fc198d4b3a86551a53c54b9491.html</t>
        </is>
      </c>
    </row>
    <row r="493" hidden="1" s="235">
      <c r="B493" s="198" t="inlineStr">
        <is>
          <t>WOP2509</t>
        </is>
      </c>
      <c r="C493" s="208" t="n">
        <v>2025</v>
      </c>
      <c r="D493" s="210" t="inlineStr">
        <is>
          <t>国家应对气候变化标准体系建设方案</t>
        </is>
      </c>
      <c r="E493" s="210" t="inlineStr">
        <is>
          <t>National Plan for the Construction of the National Climate Change Response Standards System</t>
        </is>
      </c>
      <c r="F493" s="209" t="inlineStr">
        <is>
          <t>Ministry of Ecology and Environment; National Development and Reform Commission; Ministry of Industry and Information Technology; Ministry of Natural Resources; Ministry of Housing and Urban-Rural Development; Ministry of Transport; Ministry of Water Resources; Ministry of Commerce; People’s Bank of China; State Administration for Market Regulation; China Meteorological Administration; National Energy Administration; National Forestry and Grassland Administration; National Railway Administration; Civil Aviation Administration of China</t>
        </is>
      </c>
      <c r="G493" s="209" t="inlineStr">
        <is>
          <t>国家方案</t>
        </is>
      </c>
      <c r="H493" s="210" t="inlineStr">
        <is>
          <t>Explicit mitigation</t>
        </is>
      </c>
      <c r="I493" s="211" t="inlineStr">
        <is>
          <t>A</t>
        </is>
      </c>
      <c r="J493" s="211" t="inlineStr">
        <is>
          <t>-</t>
        </is>
      </c>
      <c r="K493" s="211" t="inlineStr">
        <is>
          <t>NO-TAR</t>
        </is>
      </c>
      <c r="L493" s="209" t="inlineStr">
        <is>
          <t>PDF</t>
        </is>
      </c>
      <c r="M493" s="209" t="inlineStr">
        <is>
          <t>CN</t>
        </is>
      </c>
      <c r="N493" s="203" t="inlineStr">
        <is>
          <t>https://www.mee.gov.cn/xxgk2018/xxgk/xxgk03/202505/t20250530_1120372.html</t>
        </is>
      </c>
    </row>
    <row r="494" hidden="1" s="235">
      <c r="B494" s="0" t="inlineStr">
        <is>
          <t>WOP2601</t>
        </is>
      </c>
      <c r="C494" s="0" t="n">
        <v>2026</v>
      </c>
      <c r="D494" s="0" t="inlineStr">
        <is>
          <t>“十五五”公共机构节能降碳工作方案</t>
        </is>
      </c>
      <c r="E494" s="0" t="inlineStr">
        <is>
          <t>15th Five-Year Work Plan for Energy Conservation and Carbon Reduction in Public Institutions</t>
        </is>
      </c>
      <c r="F494" s="0" t="inlineStr">
        <is>
          <t>National Government Offices Administration; National Development and Reform Commission</t>
        </is>
      </c>
      <c r="G494" s="0" t="inlineStr">
        <is>
          <t>工作方案</t>
        </is>
      </c>
      <c r="H494" s="0" t="inlineStr">
        <is>
          <t>B.3</t>
        </is>
      </c>
      <c r="I494" s="0" t="inlineStr">
        <is>
          <t>Explicit mitigation</t>
        </is>
      </c>
      <c r="J494" s="0" t="inlineStr">
        <is>
          <t>15th FYP</t>
        </is>
      </c>
      <c r="K494" s="0" t="inlineStr">
        <is>
          <t>TAR</t>
        </is>
      </c>
      <c r="L494" s="0" t="inlineStr">
        <is>
          <t>HTM</t>
        </is>
      </c>
      <c r="M494" s="0" t="inlineStr">
        <is>
          <t>CN</t>
        </is>
      </c>
      <c r="N494" s="0" t="inlineStr">
        <is>
          <t>https://www.ggj.gov.cn/tzgg/202607/t20260731_49588.htm</t>
        </is>
      </c>
    </row>
    <row r="495" hidden="1" s="235">
      <c r="B495" s="205" t="inlineStr">
        <is>
          <t>White papers</t>
        </is>
      </c>
      <c r="C495" s="206" t="n"/>
      <c r="D495" s="206" t="n"/>
      <c r="E495" s="206" t="n"/>
      <c r="F495" s="206" t="n"/>
      <c r="G495" s="206" t="n"/>
      <c r="H495" s="206" t="n"/>
      <c r="I495" s="206" t="n"/>
      <c r="J495" s="206" t="n"/>
      <c r="K495" s="206" t="n"/>
      <c r="L495" s="206" t="n"/>
      <c r="M495" s="206" t="n"/>
      <c r="N495" s="207" t="n"/>
    </row>
    <row r="496">
      <c r="B496" s="198" t="inlineStr">
        <is>
          <t>WP1201</t>
        </is>
      </c>
      <c r="C496" s="208" t="n">
        <v>2012</v>
      </c>
      <c r="D496" s="210" t="inlineStr">
        <is>
          <t>中国的能源政策（2012）</t>
        </is>
      </c>
      <c r="E496" s="210" t="inlineStr">
        <is>
          <t xml:space="preserve">China Energy White Paper 2012 </t>
        </is>
      </c>
      <c r="F496" s="209" t="inlineStr">
        <is>
          <t>State Council</t>
        </is>
      </c>
      <c r="G496" s="209" t="inlineStr">
        <is>
          <t>白皮书</t>
        </is>
      </c>
      <c r="H496" s="210" t="inlineStr">
        <is>
          <t>Economy planning incl. climate</t>
        </is>
      </c>
      <c r="I496" s="211" t="inlineStr">
        <is>
          <t>B.1</t>
        </is>
      </c>
      <c r="J496" s="211" t="inlineStr">
        <is>
          <t>-</t>
        </is>
      </c>
      <c r="K496" s="211" t="inlineStr">
        <is>
          <t>TAR</t>
        </is>
      </c>
      <c r="L496" s="209" t="inlineStr">
        <is>
          <t>HTM</t>
        </is>
      </c>
      <c r="M496" s="209" t="inlineStr">
        <is>
          <t>CN</t>
        </is>
      </c>
      <c r="N496" s="203" t="inlineStr">
        <is>
          <t>https://www.iea.org/policies/5479-china-energy-white-paper-2012</t>
        </is>
      </c>
    </row>
    <row r="497">
      <c r="B497" s="198" t="inlineStr">
        <is>
          <t>WP1401</t>
        </is>
      </c>
      <c r="C497" s="208" t="n">
        <v>2014</v>
      </c>
      <c r="D497" s="210" t="inlineStr">
        <is>
          <t>2013年林业应对气候变化政策与行动白皮书</t>
        </is>
      </c>
      <c r="E497" s="210" t="inlineStr">
        <is>
          <t>2013 White Paper on Forestry Policies and Actions to Address Climate Change</t>
        </is>
      </c>
      <c r="F497" s="209" t="inlineStr">
        <is>
          <t>National Forestry and Grassland Administration</t>
        </is>
      </c>
      <c r="G497" s="209" t="inlineStr">
        <is>
          <t>白皮书</t>
        </is>
      </c>
      <c r="H497" s="210" t="inlineStr">
        <is>
          <t>Explicit mitigation</t>
        </is>
      </c>
      <c r="I497" s="211" t="inlineStr">
        <is>
          <t>B.5</t>
        </is>
      </c>
      <c r="J497" s="211" t="inlineStr">
        <is>
          <t>-</t>
        </is>
      </c>
      <c r="K497" s="211" t="inlineStr">
        <is>
          <t>NO-TAR</t>
        </is>
      </c>
      <c r="L497" s="209" t="inlineStr">
        <is>
          <t>HTM</t>
        </is>
      </c>
      <c r="M497" s="209" t="inlineStr">
        <is>
          <t>CN</t>
        </is>
      </c>
      <c r="N497" s="203" t="inlineStr">
        <is>
          <t>https://www.gov.cn/xinwen/2014-03/06/content_2630690.htm</t>
        </is>
      </c>
    </row>
    <row r="498" hidden="1" s="235">
      <c r="B498" s="198" t="inlineStr">
        <is>
          <t>WP1701</t>
        </is>
      </c>
      <c r="C498" s="208" t="n">
        <v>2017</v>
      </c>
      <c r="D498" s="210" t="inlineStr">
        <is>
          <t>2016年林业应对气候变化政策与行动白皮书</t>
        </is>
      </c>
      <c r="E498" s="210" t="inlineStr">
        <is>
          <t>2016 White Paper on Forestry Policies and Actions to Address Climate Change</t>
        </is>
      </c>
      <c r="F498" s="209" t="inlineStr">
        <is>
          <t>National Forestry and Grassland Administration</t>
        </is>
      </c>
      <c r="G498" s="209" t="inlineStr">
        <is>
          <t>白皮书</t>
        </is>
      </c>
      <c r="H498" s="210" t="inlineStr">
        <is>
          <t>Explicit mitigation</t>
        </is>
      </c>
      <c r="I498" s="211" t="inlineStr">
        <is>
          <t>B.5</t>
        </is>
      </c>
      <c r="J498" s="211" t="inlineStr">
        <is>
          <t>-</t>
        </is>
      </c>
      <c r="K498" s="211" t="inlineStr">
        <is>
          <t>TAR</t>
        </is>
      </c>
      <c r="L498" s="209" t="inlineStr">
        <is>
          <t>PDF</t>
        </is>
      </c>
      <c r="M498" s="209" t="inlineStr">
        <is>
          <t>CN</t>
        </is>
      </c>
      <c r="N498" s="203" t="inlineStr">
        <is>
          <t>https://lcj.tongliao.gov.cn/xwzx/bmdt/201709/t20170919_808361.html</t>
        </is>
      </c>
    </row>
    <row r="499" hidden="1" s="235">
      <c r="B499" s="198" t="inlineStr">
        <is>
          <t>WP1801</t>
        </is>
      </c>
      <c r="C499" s="208" t="n">
        <v>2018</v>
      </c>
      <c r="D499" s="210" t="inlineStr">
        <is>
          <t>2017年林业和草原应对气候变化政策与行动白皮书</t>
        </is>
      </c>
      <c r="E499" s="210" t="inlineStr">
        <is>
          <t>2017 White Paper on Forestry and Grassland Policies and Actions to Address Climate Change</t>
        </is>
      </c>
      <c r="F499" s="209" t="inlineStr">
        <is>
          <t>National Forestry and Grassland Administration</t>
        </is>
      </c>
      <c r="G499" s="209" t="inlineStr">
        <is>
          <t>白皮书</t>
        </is>
      </c>
      <c r="H499" s="210" t="inlineStr">
        <is>
          <t>Explicit mitigation</t>
        </is>
      </c>
      <c r="I499" s="211" t="inlineStr">
        <is>
          <t>B.5</t>
        </is>
      </c>
      <c r="J499" s="211" t="inlineStr">
        <is>
          <t>-</t>
        </is>
      </c>
      <c r="K499" s="211" t="inlineStr">
        <is>
          <t>NO-TAR</t>
        </is>
      </c>
      <c r="L499" s="209" t="inlineStr">
        <is>
          <t>HTM</t>
        </is>
      </c>
      <c r="M499" s="209" t="inlineStr">
        <is>
          <t>CN</t>
        </is>
      </c>
      <c r="N499" s="203" t="inlineStr">
        <is>
          <t>https://www.gov.cn/zhengce/zhengceku/2018-12/31/content_5437840.htm</t>
        </is>
      </c>
    </row>
    <row r="500" hidden="1" s="235">
      <c r="B500" s="198" t="inlineStr">
        <is>
          <t>WP2001</t>
        </is>
      </c>
      <c r="C500" s="208" t="n">
        <v>2020</v>
      </c>
      <c r="D500" s="210" t="inlineStr">
        <is>
          <t>2019年林业和草原应对气候变化政策与行动白皮书</t>
        </is>
      </c>
      <c r="E500" s="210" t="inlineStr">
        <is>
          <t>2019 White Paper on Forestry and Grassland Policies and Actions to Address Climate Change</t>
        </is>
      </c>
      <c r="F500" s="209" t="inlineStr">
        <is>
          <t>National Forestry and Grassland Administration</t>
        </is>
      </c>
      <c r="G500" s="209" t="inlineStr">
        <is>
          <t>白皮书</t>
        </is>
      </c>
      <c r="H500" s="210" t="inlineStr">
        <is>
          <t>Explicit mitigation</t>
        </is>
      </c>
      <c r="I500" s="211" t="inlineStr">
        <is>
          <t>B.5</t>
        </is>
      </c>
      <c r="J500" s="211" t="inlineStr">
        <is>
          <t>-</t>
        </is>
      </c>
      <c r="K500" s="211" t="inlineStr">
        <is>
          <t>NO-TAR</t>
        </is>
      </c>
      <c r="L500" s="209" t="inlineStr">
        <is>
          <t>PDF</t>
        </is>
      </c>
      <c r="M500" s="209" t="inlineStr">
        <is>
          <t>CN</t>
        </is>
      </c>
      <c r="N500" s="203" t="inlineStr">
        <is>
          <t>https://www.forestry.gov.cn/c/www/lczy/16087.jhtml</t>
        </is>
      </c>
    </row>
    <row r="501" hidden="1" s="235">
      <c r="B501" s="198" t="inlineStr">
        <is>
          <t>WP2002</t>
        </is>
      </c>
      <c r="C501" s="208" t="n">
        <v>2020</v>
      </c>
      <c r="D501" s="210" t="inlineStr">
        <is>
          <t>《新时代的中国能源发展》白皮书</t>
        </is>
      </c>
      <c r="E501" s="210" t="inlineStr">
        <is>
          <t>White Paper on Energy Development "Energy in China's New Era"</t>
        </is>
      </c>
      <c r="F501" s="209" t="inlineStr">
        <is>
          <t>State Council</t>
        </is>
      </c>
      <c r="G501" s="209" t="inlineStr">
        <is>
          <t>白皮书</t>
        </is>
      </c>
      <c r="H501" s="210" t="inlineStr">
        <is>
          <t>Economy planning incl. climate</t>
        </is>
      </c>
      <c r="I501" s="211" t="inlineStr">
        <is>
          <t>B.1</t>
        </is>
      </c>
      <c r="J501" s="211" t="inlineStr">
        <is>
          <t>-</t>
        </is>
      </c>
      <c r="K501" s="211" t="inlineStr">
        <is>
          <t>NO-TAR</t>
        </is>
      </c>
      <c r="L501" s="209" t="inlineStr">
        <is>
          <t>HTM</t>
        </is>
      </c>
      <c r="M501" s="209" t="inlineStr">
        <is>
          <t>CN</t>
        </is>
      </c>
      <c r="N501" s="203" t="inlineStr">
        <is>
          <t>https://www.gov.cn/zhengce/2020-12/21/content_5571916.htm</t>
        </is>
      </c>
    </row>
    <row r="502" hidden="1" s="235">
      <c r="B502" s="205" t="inlineStr">
        <is>
          <t>Supplementary planning frameworks</t>
        </is>
      </c>
      <c r="C502" s="206" t="n"/>
      <c r="D502" s="206" t="n"/>
      <c r="E502" s="206" t="n"/>
      <c r="F502" s="206" t="n"/>
      <c r="G502" s="206" t="n"/>
      <c r="H502" s="206" t="n"/>
      <c r="I502" s="206" t="n"/>
      <c r="J502" s="206" t="n"/>
      <c r="K502" s="206" t="n"/>
      <c r="L502" s="206" t="n"/>
      <c r="M502" s="206" t="n"/>
      <c r="N502" s="207" t="n"/>
    </row>
    <row r="503" hidden="1" s="235">
      <c r="B503" s="198" t="inlineStr">
        <is>
          <t>PF0701</t>
        </is>
      </c>
      <c r="C503" s="208" t="n">
        <v>2007</v>
      </c>
      <c r="D503" s="210" t="inlineStr">
        <is>
          <t>中国能源状况和政策</t>
        </is>
      </c>
      <c r="E503" s="210" t="inlineStr">
        <is>
          <t>China's Energy Conditions and Policies</t>
        </is>
      </c>
      <c r="F503" s="209" t="inlineStr">
        <is>
          <t>Ministry of Ecology and Environment</t>
        </is>
      </c>
      <c r="G503" s="209" t="inlineStr">
        <is>
          <t>政策</t>
        </is>
      </c>
      <c r="H503" s="210" t="inlineStr">
        <is>
          <t>Economy planning incl. climate</t>
        </is>
      </c>
      <c r="I503" s="211" t="inlineStr">
        <is>
          <t>B.1</t>
        </is>
      </c>
      <c r="J503" s="211" t="inlineStr">
        <is>
          <t>-</t>
        </is>
      </c>
      <c r="K503" s="211" t="inlineStr">
        <is>
          <t>TAR</t>
        </is>
      </c>
      <c r="L503" s="209" t="inlineStr">
        <is>
          <t>HTM</t>
        </is>
      </c>
      <c r="M503" s="209" t="inlineStr">
        <is>
          <t>EN</t>
        </is>
      </c>
      <c r="N503" s="203" t="inlineStr">
        <is>
          <t>https://english.mee.gov.cn/Resources/Plans/Plans/200801/t20080103_115879.shtml</t>
        </is>
      </c>
    </row>
    <row r="504">
      <c r="B504" s="198" t="inlineStr">
        <is>
          <t>PF1101</t>
        </is>
      </c>
      <c r="C504" s="208" t="n">
        <v>2011</v>
      </c>
      <c r="D504" s="210" t="inlineStr">
        <is>
          <t>全国造林绿化规划纲要(2011-2020 年)</t>
        </is>
      </c>
      <c r="E504" s="210" t="inlineStr">
        <is>
          <t>Outline of National Afforestation Planning (2011-2020)</t>
        </is>
      </c>
      <c r="F504" s="209" t="inlineStr">
        <is>
          <t>National Afforestation Committee; State Forestry Administration</t>
        </is>
      </c>
      <c r="G504" s="209" t="inlineStr">
        <is>
          <t>规划</t>
        </is>
      </c>
      <c r="H504" s="210" t="inlineStr">
        <is>
          <t>Mitigation-enabling</t>
        </is>
      </c>
      <c r="I504" s="211" t="inlineStr">
        <is>
          <t>B.5</t>
        </is>
      </c>
      <c r="J504" s="211" t="inlineStr">
        <is>
          <t>2011-2020</t>
        </is>
      </c>
      <c r="K504" s="211" t="inlineStr">
        <is>
          <t>TAR</t>
        </is>
      </c>
      <c r="L504" s="209" t="inlineStr">
        <is>
          <t>PDF</t>
        </is>
      </c>
      <c r="M504" s="209" t="inlineStr">
        <is>
          <t>CN</t>
        </is>
      </c>
      <c r="N504" s="203" t="inlineStr">
        <is>
          <t>https://www.forestry.gov.cn/uploadfile/main/2011-7/file/2011-7-12-8920476e3e204817a8d33e821e5fdb44.pdf</t>
        </is>
      </c>
    </row>
    <row r="505">
      <c r="B505" s="198" t="inlineStr">
        <is>
          <t>PF1601</t>
        </is>
      </c>
      <c r="C505" s="208" t="n">
        <v>2016</v>
      </c>
      <c r="D505" s="210" t="inlineStr">
        <is>
          <t>能源生产和消费革命战略(2016-2030)</t>
        </is>
      </c>
      <c r="E505" s="210" t="inlineStr">
        <is>
          <t>Energy Production and Consumption Revolution Strategy (2016-2030)</t>
        </is>
      </c>
      <c r="F505" s="209" t="inlineStr">
        <is>
          <t>National Development and Reform Commission; National Energy Administration</t>
        </is>
      </c>
      <c r="G505" s="209" t="inlineStr">
        <is>
          <t>战略</t>
        </is>
      </c>
      <c r="H505" s="210" t="inlineStr">
        <is>
          <t>Economy planning incl. climate</t>
        </is>
      </c>
      <c r="I505" s="211" t="inlineStr">
        <is>
          <t>B.1</t>
        </is>
      </c>
      <c r="J505" s="211" t="inlineStr">
        <is>
          <t>2016-2030</t>
        </is>
      </c>
      <c r="K505" s="211" t="inlineStr">
        <is>
          <t>NO-TAR</t>
        </is>
      </c>
      <c r="L505" s="209" t="inlineStr">
        <is>
          <t>PDF</t>
        </is>
      </c>
      <c r="M505" s="209" t="inlineStr">
        <is>
          <t>CN</t>
        </is>
      </c>
      <c r="N505" s="203" t="inlineStr">
        <is>
          <t>https://www.ndrc.gov.cn/xxgk/zcfb/tz/201704/t20170425_962953.html?code=&amp;state=123</t>
        </is>
      </c>
    </row>
    <row r="506">
      <c r="B506" s="198" t="inlineStr">
        <is>
          <t>PF1602</t>
        </is>
      </c>
      <c r="C506" s="208" t="n">
        <v>2016</v>
      </c>
      <c r="D506" s="210" t="inlineStr">
        <is>
          <t>全国造林绿化规划纲要(2016-2020 年)</t>
        </is>
      </c>
      <c r="E506" s="210" t="inlineStr">
        <is>
          <t>National Afforestation and Greening Plan (2016–2020)</t>
        </is>
      </c>
      <c r="F506" s="209" t="inlineStr">
        <is>
          <t>National Afforestation Committee; State Forestry Administration</t>
        </is>
      </c>
      <c r="G506" s="209" t="inlineStr">
        <is>
          <t>规划纲要</t>
        </is>
      </c>
      <c r="H506" s="210" t="inlineStr">
        <is>
          <t>Explicit mitigation</t>
        </is>
      </c>
      <c r="I506" s="211" t="inlineStr">
        <is>
          <t>B.5</t>
        </is>
      </c>
      <c r="J506" s="211" t="inlineStr">
        <is>
          <t>2016-2020</t>
        </is>
      </c>
      <c r="K506" s="211" t="inlineStr">
        <is>
          <t>TAR</t>
        </is>
      </c>
      <c r="L506" s="209" t="inlineStr">
        <is>
          <t>PDF</t>
        </is>
      </c>
      <c r="M506" s="209" t="inlineStr">
        <is>
          <t>CN</t>
        </is>
      </c>
      <c r="N506" s="203" t="inlineStr">
        <is>
          <t>https://www.doc88.com/p-74659513278812.html</t>
        </is>
      </c>
    </row>
    <row r="507">
      <c r="B507" s="198" t="inlineStr">
        <is>
          <t>PF1701</t>
        </is>
      </c>
      <c r="C507" s="208" t="n">
        <v>2017</v>
      </c>
      <c r="D507" s="210" t="inlineStr">
        <is>
          <t>北方地区冬季清洁取暖规划(2017-2021 年)</t>
        </is>
      </c>
      <c r="E507" s="210" t="inlineStr">
        <is>
          <t>Winter Clean Heating Plan in Northern China (2017-2021)</t>
        </is>
      </c>
      <c r="F507" s="209" t="inlineStr">
        <is>
          <t>National Development and Reform Commission; National Energy Administration; Ministry of Finance; Ministry of Environmental Protection; Ministry of Housing and Urban-Rural Development; State-owned Assets Supervision and Administration Commission of the State Council; General Administration of Quality Supervision, Inspection and Quarantine; China Banking Regulatory Commission; China Securities Regulatory Commission; Logistics Support Department of the Central Military Commission</t>
        </is>
      </c>
      <c r="G507" s="209" t="inlineStr">
        <is>
          <t>规划</t>
        </is>
      </c>
      <c r="H507" s="210" t="inlineStr">
        <is>
          <t>Economy planning incl. climate</t>
        </is>
      </c>
      <c r="I507" s="211" t="inlineStr">
        <is>
          <t>B.1</t>
        </is>
      </c>
      <c r="J507" s="211" t="inlineStr">
        <is>
          <t>2017-2021</t>
        </is>
      </c>
      <c r="K507" s="211" t="inlineStr">
        <is>
          <t>TAR</t>
        </is>
      </c>
      <c r="L507" s="209" t="inlineStr">
        <is>
          <t>PDF</t>
        </is>
      </c>
      <c r="M507" s="209" t="inlineStr">
        <is>
          <t>CN</t>
        </is>
      </c>
      <c r="N507" s="203" t="inlineStr">
        <is>
          <t>https://www.gov.cn/xinwen/2017-12/20/5248855/files/7ed7d7cda8984ae39a4e9620a4660c7f.pdf</t>
        </is>
      </c>
    </row>
    <row r="508">
      <c r="B508" s="198" t="inlineStr">
        <is>
          <t>PF1901</t>
        </is>
      </c>
      <c r="C508" s="208" t="n">
        <v>2019</v>
      </c>
      <c r="D508" s="210" t="inlineStr">
        <is>
          <t>交通强国建设纲要</t>
        </is>
      </c>
      <c r="E508" s="210" t="inlineStr">
        <is>
          <t>Outline for Building a Strong Transportation Country</t>
        </is>
      </c>
      <c r="F508" s="209" t="inlineStr">
        <is>
          <t>Communist Party of China Central Committee; State Council</t>
        </is>
      </c>
      <c r="G508" s="209" t="inlineStr">
        <is>
          <t>建设纲要</t>
        </is>
      </c>
      <c r="H508" s="210" t="inlineStr">
        <is>
          <t>Economy planning incl. climate</t>
        </is>
      </c>
      <c r="I508" s="211" t="inlineStr">
        <is>
          <t>B.4</t>
        </is>
      </c>
      <c r="J508" s="211" t="inlineStr">
        <is>
          <t>-</t>
        </is>
      </c>
      <c r="K508" s="211" t="inlineStr">
        <is>
          <t>NO-TAR</t>
        </is>
      </c>
      <c r="L508" s="209" t="inlineStr">
        <is>
          <t>HTM</t>
        </is>
      </c>
      <c r="M508" s="209" t="inlineStr">
        <is>
          <t>CN</t>
        </is>
      </c>
      <c r="N508" s="203" t="inlineStr">
        <is>
          <t>https://www.gov.cn/zhengce/2019-09/19/content_5431432.htm</t>
        </is>
      </c>
    </row>
    <row r="509">
      <c r="B509" s="198" t="inlineStr">
        <is>
          <t>PF2001</t>
        </is>
      </c>
      <c r="C509" s="208" t="n">
        <v>2020</v>
      </c>
      <c r="D509" s="210" t="inlineStr">
        <is>
          <t>全国重要生态系统保护和修复重大工程总体规划（2021-2035年）</t>
        </is>
      </c>
      <c r="E509" s="210" t="inlineStr">
        <is>
          <t>Overall Plan for Major Projects of National Important Ecosystem Protection and Restoration (2021-2035)</t>
        </is>
      </c>
      <c r="F509" s="209" t="inlineStr">
        <is>
          <t>National Development and Reform Commission; Ministry of Natural Resources</t>
        </is>
      </c>
      <c r="G509" s="209" t="inlineStr">
        <is>
          <t>总体规划</t>
        </is>
      </c>
      <c r="H509" s="210" t="inlineStr">
        <is>
          <t>Mitigation-enabling</t>
        </is>
      </c>
      <c r="I509" s="211" t="inlineStr">
        <is>
          <t>B.5, D.3</t>
        </is>
      </c>
      <c r="J509" s="211" t="inlineStr">
        <is>
          <t>2021-2035</t>
        </is>
      </c>
      <c r="K509" s="211" t="inlineStr">
        <is>
          <t>NO-TAR</t>
        </is>
      </c>
      <c r="L509" s="209" t="inlineStr">
        <is>
          <t>PDF</t>
        </is>
      </c>
      <c r="M509" s="209" t="inlineStr">
        <is>
          <t>CN</t>
        </is>
      </c>
      <c r="N509" s="203" t="inlineStr">
        <is>
          <t>https://www.gov.cn/zhengce/zhengceku/2020-06/12/content_5518982.htm</t>
        </is>
      </c>
    </row>
    <row r="510">
      <c r="B510" s="198" t="inlineStr">
        <is>
          <t>PF2101</t>
        </is>
      </c>
      <c r="C510" s="208" t="n">
        <v>2021</v>
      </c>
      <c r="D510" s="210" t="inlineStr">
        <is>
          <t>国家综合立体交通网规划纲要</t>
        </is>
      </c>
      <c r="E510" s="210" t="inlineStr">
        <is>
          <t>Outline of National integrated Three-Dimensional Transportation Network Plan</t>
        </is>
      </c>
      <c r="F510" s="209" t="inlineStr">
        <is>
          <t>Communist Party of China Central Committee; State Council</t>
        </is>
      </c>
      <c r="G510" s="209" t="inlineStr">
        <is>
          <t>国家规划纲要</t>
        </is>
      </c>
      <c r="H510" s="210" t="inlineStr">
        <is>
          <t>Economy planning incl. climate</t>
        </is>
      </c>
      <c r="I510" s="211" t="inlineStr">
        <is>
          <t>B.4</t>
        </is>
      </c>
      <c r="J510" s="211" t="inlineStr">
        <is>
          <t>-</t>
        </is>
      </c>
      <c r="K510" s="211" t="inlineStr">
        <is>
          <t>NO-TAR</t>
        </is>
      </c>
      <c r="L510" s="209" t="inlineStr">
        <is>
          <t>HTM</t>
        </is>
      </c>
      <c r="M510" s="209" t="inlineStr">
        <is>
          <t>CN</t>
        </is>
      </c>
      <c r="N510" s="203" t="inlineStr">
        <is>
          <t>https://www.gov.cn/zhengce/2021-02/24/content_5588654.htm</t>
        </is>
      </c>
    </row>
    <row r="511">
      <c r="B511" s="198" t="inlineStr">
        <is>
          <t>PF2102</t>
        </is>
      </c>
      <c r="C511" s="208" t="n">
        <v>2021</v>
      </c>
      <c r="D511" s="210" t="inlineStr">
        <is>
          <t>电机能效提升计划（2021-2023年）</t>
        </is>
      </c>
      <c r="E511" s="210" t="inlineStr">
        <is>
          <t>Electric Motor Efficiency Improvement Plan (2021-2023)</t>
        </is>
      </c>
      <c r="F511" s="209" t="inlineStr">
        <is>
          <t>Ministry of Industry and Information Technology; General Administration of Market Supervision</t>
        </is>
      </c>
      <c r="G511" s="209" t="inlineStr">
        <is>
          <t>计划</t>
        </is>
      </c>
      <c r="H511" s="210" t="inlineStr">
        <is>
          <t>Mitigation-enabling</t>
        </is>
      </c>
      <c r="I511" s="211" t="inlineStr">
        <is>
          <t>C.1</t>
        </is>
      </c>
      <c r="J511" s="211" t="inlineStr">
        <is>
          <t>2021-2023</t>
        </is>
      </c>
      <c r="K511" s="211" t="inlineStr">
        <is>
          <t>NO-TAR</t>
        </is>
      </c>
      <c r="L511" s="209" t="inlineStr">
        <is>
          <t>PDF</t>
        </is>
      </c>
      <c r="M511" s="209" t="inlineStr">
        <is>
          <t>CN</t>
        </is>
      </c>
      <c r="N511" s="203" t="inlineStr">
        <is>
          <t>https://www.miit.gov.cn/jgsj/jns/gzdt/art/2021/art_09b9a0f43de9496abff73b1954831e37.html</t>
        </is>
      </c>
    </row>
    <row r="512">
      <c r="B512" s="198" t="inlineStr">
        <is>
          <t>PF2103</t>
        </is>
      </c>
      <c r="C512" s="208" t="n">
        <v>2021</v>
      </c>
      <c r="D512" s="210" t="inlineStr">
        <is>
          <t>生态保护和修复支撑体系重大工程建设规划（2021-2035年）</t>
        </is>
      </c>
      <c r="E512" s="210" t="inlineStr">
        <is>
          <t>Construction Plan for Major Ecological Protection and Restoration Support System Projects (2021–2035)</t>
        </is>
      </c>
      <c r="F512" s="209" t="inlineStr">
        <is>
          <t>National Development and Reform Commission; Ministry of Science and Technology; Ministry of Natural Resources; Ministry of Ecology and Environment; Ministry of Water Resources; Ministry of Agriculture and Rural Affairs; Ministry of Emergency Management; China Meteorological Administration; National Forestry and Grassland Administration</t>
        </is>
      </c>
      <c r="G512" s="209" t="inlineStr">
        <is>
          <t>建设规划</t>
        </is>
      </c>
      <c r="H512" s="210" t="inlineStr">
        <is>
          <t>Mitigation-enabling</t>
        </is>
      </c>
      <c r="I512" s="211" t="inlineStr">
        <is>
          <t>B.5, D.3</t>
        </is>
      </c>
      <c r="J512" s="211" t="inlineStr">
        <is>
          <t>-</t>
        </is>
      </c>
      <c r="K512" s="211" t="inlineStr">
        <is>
          <t>TAR</t>
        </is>
      </c>
      <c r="L512" s="209" t="inlineStr">
        <is>
          <t>PDF</t>
        </is>
      </c>
      <c r="M512" s="209" t="inlineStr">
        <is>
          <t>CN</t>
        </is>
      </c>
      <c r="N512" s="203" t="inlineStr">
        <is>
          <t>https://www.ndrc.gov.cn/xxgk/zcfb/ghwb/202112/t20211222_1308922.html?code=&amp;state=123</t>
        </is>
      </c>
    </row>
    <row r="513">
      <c r="B513" s="198" t="inlineStr">
        <is>
          <t>PF2501</t>
        </is>
      </c>
      <c r="C513" s="208" t="n">
        <v>2025</v>
      </c>
      <c r="D513" s="210" t="inlineStr">
        <is>
          <t xml:space="preserve">2025年数字化绿色化协同转型发展工作要点 </t>
        </is>
      </c>
      <c r="E513" s="210" t="inlineStr">
        <is>
          <t>Key Points for Coordinated Digital and Green Transformation in 2025</t>
        </is>
      </c>
      <c r="F513" s="209" t="inlineStr">
        <is>
          <t>Central Cyberspace Affairs Commission</t>
        </is>
      </c>
      <c r="G513" s="209" t="inlineStr">
        <is>
          <t>发展工作要点</t>
        </is>
      </c>
      <c r="H513" s="210" t="inlineStr">
        <is>
          <t>Explicit mitigation</t>
        </is>
      </c>
      <c r="I513" s="211" t="inlineStr">
        <is>
          <t>C.1</t>
        </is>
      </c>
      <c r="J513" s="211" t="n">
        <v>2025</v>
      </c>
      <c r="K513" s="211" t="inlineStr">
        <is>
          <t>NO-TAR</t>
        </is>
      </c>
      <c r="L513" s="209" t="inlineStr">
        <is>
          <t>HTM</t>
        </is>
      </c>
      <c r="M513" s="209" t="inlineStr">
        <is>
          <t>CN</t>
        </is>
      </c>
      <c r="N513" s="203" t="inlineStr">
        <is>
          <t>https://www.cac.gov.cn/2025-04/25/c_1747290376047340.htm</t>
        </is>
      </c>
    </row>
    <row r="515">
      <c r="C515" s="192" t="n"/>
    </row>
    <row r="516">
      <c r="C516" s="227" t="n"/>
    </row>
    <row r="517">
      <c r="F517" s="171" t="n"/>
    </row>
    <row r="518">
      <c r="F518" s="171" t="n"/>
    </row>
    <row r="519">
      <c r="F519" s="171" t="n"/>
    </row>
    <row r="520">
      <c r="F520" s="171" t="n"/>
    </row>
    <row r="521">
      <c r="F521" s="171" t="n"/>
    </row>
    <row r="522">
      <c r="F522" s="171" t="n"/>
    </row>
    <row r="523">
      <c r="E523" s="171" t="n"/>
    </row>
    <row r="525">
      <c r="I525" s="173" t="n"/>
    </row>
    <row r="526">
      <c r="I526" s="173" t="n"/>
    </row>
    <row r="527">
      <c r="I527" s="173" t="n"/>
    </row>
    <row r="528">
      <c r="I528" s="173" t="n"/>
    </row>
    <row r="529">
      <c r="I529" s="173" t="n"/>
    </row>
    <row r="530">
      <c r="I530" s="173" t="n"/>
    </row>
  </sheetData>
  <hyperlinks>
    <hyperlink xmlns:r="http://schemas.openxmlformats.org/officeDocument/2006/relationships" ref="N9" r:id="rId1"/>
    <hyperlink xmlns:r="http://schemas.openxmlformats.org/officeDocument/2006/relationships" ref="N10" r:id="rId2"/>
    <hyperlink xmlns:r="http://schemas.openxmlformats.org/officeDocument/2006/relationships" ref="N11" r:id="rId3"/>
    <hyperlink xmlns:r="http://schemas.openxmlformats.org/officeDocument/2006/relationships" ref="N12" r:id="rId4"/>
    <hyperlink xmlns:r="http://schemas.openxmlformats.org/officeDocument/2006/relationships" ref="N13" r:id="rId5"/>
    <hyperlink xmlns:r="http://schemas.openxmlformats.org/officeDocument/2006/relationships" ref="N15" r:id="rId6"/>
    <hyperlink xmlns:r="http://schemas.openxmlformats.org/officeDocument/2006/relationships" ref="N16" r:id="rId7"/>
    <hyperlink xmlns:r="http://schemas.openxmlformats.org/officeDocument/2006/relationships" ref="N17" r:id="rId8"/>
    <hyperlink xmlns:r="http://schemas.openxmlformats.org/officeDocument/2006/relationships" ref="N18" r:id="rId9"/>
    <hyperlink xmlns:r="http://schemas.openxmlformats.org/officeDocument/2006/relationships" ref="N19" r:id="rId10"/>
    <hyperlink xmlns:r="http://schemas.openxmlformats.org/officeDocument/2006/relationships" ref="N20" r:id="rId11"/>
    <hyperlink xmlns:r="http://schemas.openxmlformats.org/officeDocument/2006/relationships" ref="N21" r:id="rId12"/>
    <hyperlink xmlns:r="http://schemas.openxmlformats.org/officeDocument/2006/relationships" ref="N23" r:id="rId13"/>
    <hyperlink xmlns:r="http://schemas.openxmlformats.org/officeDocument/2006/relationships" ref="N24" r:id="rId14"/>
    <hyperlink xmlns:r="http://schemas.openxmlformats.org/officeDocument/2006/relationships" ref="N25" r:id="rId15"/>
    <hyperlink xmlns:r="http://schemas.openxmlformats.org/officeDocument/2006/relationships" ref="N27" r:id="rId16"/>
    <hyperlink xmlns:r="http://schemas.openxmlformats.org/officeDocument/2006/relationships" ref="N28" r:id="rId17"/>
    <hyperlink xmlns:r="http://schemas.openxmlformats.org/officeDocument/2006/relationships" ref="N29" r:id="rId18"/>
    <hyperlink xmlns:r="http://schemas.openxmlformats.org/officeDocument/2006/relationships" ref="N30" r:id="rId19"/>
    <hyperlink xmlns:r="http://schemas.openxmlformats.org/officeDocument/2006/relationships" ref="N31" r:id="rId20"/>
    <hyperlink xmlns:r="http://schemas.openxmlformats.org/officeDocument/2006/relationships" ref="N32" r:id="rId21"/>
    <hyperlink xmlns:r="http://schemas.openxmlformats.org/officeDocument/2006/relationships" ref="N33" r:id="rId22"/>
    <hyperlink xmlns:r="http://schemas.openxmlformats.org/officeDocument/2006/relationships" ref="N34" r:id="rId23"/>
    <hyperlink xmlns:r="http://schemas.openxmlformats.org/officeDocument/2006/relationships" ref="N35" r:id="rId24"/>
    <hyperlink xmlns:r="http://schemas.openxmlformats.org/officeDocument/2006/relationships" ref="N36" r:id="rId25"/>
    <hyperlink xmlns:r="http://schemas.openxmlformats.org/officeDocument/2006/relationships" ref="N37" r:id="rId26"/>
    <hyperlink xmlns:r="http://schemas.openxmlformats.org/officeDocument/2006/relationships" ref="N38" r:id="rId27"/>
    <hyperlink xmlns:r="http://schemas.openxmlformats.org/officeDocument/2006/relationships" ref="N40" r:id="rId28"/>
    <hyperlink xmlns:r="http://schemas.openxmlformats.org/officeDocument/2006/relationships" ref="N41" r:id="rId29"/>
    <hyperlink xmlns:r="http://schemas.openxmlformats.org/officeDocument/2006/relationships" ref="N42" r:id="rId30"/>
    <hyperlink xmlns:r="http://schemas.openxmlformats.org/officeDocument/2006/relationships" ref="N43" r:id="rId31"/>
    <hyperlink xmlns:r="http://schemas.openxmlformats.org/officeDocument/2006/relationships" ref="N44" r:id="rId32"/>
    <hyperlink xmlns:r="http://schemas.openxmlformats.org/officeDocument/2006/relationships" ref="N45" r:id="rId33"/>
    <hyperlink xmlns:r="http://schemas.openxmlformats.org/officeDocument/2006/relationships" ref="N46" r:id="rId34"/>
    <hyperlink xmlns:r="http://schemas.openxmlformats.org/officeDocument/2006/relationships" ref="N47" r:id="rId35"/>
    <hyperlink xmlns:r="http://schemas.openxmlformats.org/officeDocument/2006/relationships" ref="N48" r:id="rId36"/>
    <hyperlink xmlns:r="http://schemas.openxmlformats.org/officeDocument/2006/relationships" ref="N49" r:id="rId37"/>
    <hyperlink xmlns:r="http://schemas.openxmlformats.org/officeDocument/2006/relationships" ref="N50" r:id="rId38"/>
    <hyperlink xmlns:r="http://schemas.openxmlformats.org/officeDocument/2006/relationships" ref="N51" r:id="rId39"/>
    <hyperlink xmlns:r="http://schemas.openxmlformats.org/officeDocument/2006/relationships" ref="N52" r:id="rId40"/>
    <hyperlink xmlns:r="http://schemas.openxmlformats.org/officeDocument/2006/relationships" ref="N53" r:id="rId41"/>
    <hyperlink xmlns:r="http://schemas.openxmlformats.org/officeDocument/2006/relationships" ref="N54" r:id="rId42"/>
    <hyperlink xmlns:r="http://schemas.openxmlformats.org/officeDocument/2006/relationships" ref="N55" r:id="rId43"/>
    <hyperlink xmlns:r="http://schemas.openxmlformats.org/officeDocument/2006/relationships" ref="N56" r:id="rId44"/>
    <hyperlink xmlns:r="http://schemas.openxmlformats.org/officeDocument/2006/relationships" ref="N58" r:id="rId45"/>
    <hyperlink xmlns:r="http://schemas.openxmlformats.org/officeDocument/2006/relationships" ref="N59" r:id="rId46"/>
    <hyperlink xmlns:r="http://schemas.openxmlformats.org/officeDocument/2006/relationships" ref="N60" r:id="rId47"/>
    <hyperlink xmlns:r="http://schemas.openxmlformats.org/officeDocument/2006/relationships" ref="N61" r:id="rId48"/>
    <hyperlink xmlns:r="http://schemas.openxmlformats.org/officeDocument/2006/relationships" ref="N62" r:id="rId49"/>
    <hyperlink xmlns:r="http://schemas.openxmlformats.org/officeDocument/2006/relationships" ref="N64" r:id="rId50"/>
    <hyperlink xmlns:r="http://schemas.openxmlformats.org/officeDocument/2006/relationships" ref="N65" r:id="rId51"/>
    <hyperlink xmlns:r="http://schemas.openxmlformats.org/officeDocument/2006/relationships" ref="N66" r:id="rId52"/>
    <hyperlink xmlns:r="http://schemas.openxmlformats.org/officeDocument/2006/relationships" ref="N67" r:id="rId53"/>
    <hyperlink xmlns:r="http://schemas.openxmlformats.org/officeDocument/2006/relationships" ref="N68" r:id="rId54"/>
    <hyperlink xmlns:r="http://schemas.openxmlformats.org/officeDocument/2006/relationships" ref="N69" r:id="rId55"/>
    <hyperlink xmlns:r="http://schemas.openxmlformats.org/officeDocument/2006/relationships" ref="N70" r:id="rId56"/>
    <hyperlink xmlns:r="http://schemas.openxmlformats.org/officeDocument/2006/relationships" ref="N71" r:id="rId57"/>
    <hyperlink xmlns:r="http://schemas.openxmlformats.org/officeDocument/2006/relationships" ref="N72" r:id="rId58"/>
    <hyperlink xmlns:r="http://schemas.openxmlformats.org/officeDocument/2006/relationships" ref="N73" r:id="rId59"/>
    <hyperlink xmlns:r="http://schemas.openxmlformats.org/officeDocument/2006/relationships" ref="N74" r:id="rId60"/>
    <hyperlink xmlns:r="http://schemas.openxmlformats.org/officeDocument/2006/relationships" ref="N75" r:id="rId61"/>
    <hyperlink xmlns:r="http://schemas.openxmlformats.org/officeDocument/2006/relationships" ref="N76" r:id="rId62"/>
    <hyperlink xmlns:r="http://schemas.openxmlformats.org/officeDocument/2006/relationships" ref="N77" r:id="rId63"/>
    <hyperlink xmlns:r="http://schemas.openxmlformats.org/officeDocument/2006/relationships" ref="N78" r:id="rId64"/>
    <hyperlink xmlns:r="http://schemas.openxmlformats.org/officeDocument/2006/relationships" ref="N79" r:id="rId65"/>
    <hyperlink xmlns:r="http://schemas.openxmlformats.org/officeDocument/2006/relationships" ref="N80" r:id="rId66"/>
    <hyperlink xmlns:r="http://schemas.openxmlformats.org/officeDocument/2006/relationships" ref="N81" r:id="rId67"/>
    <hyperlink xmlns:r="http://schemas.openxmlformats.org/officeDocument/2006/relationships" ref="N82" r:id="rId68"/>
    <hyperlink xmlns:r="http://schemas.openxmlformats.org/officeDocument/2006/relationships" ref="N83" r:id="rId69"/>
    <hyperlink xmlns:r="http://schemas.openxmlformats.org/officeDocument/2006/relationships" ref="N84" r:id="rId70"/>
    <hyperlink xmlns:r="http://schemas.openxmlformats.org/officeDocument/2006/relationships" ref="N85" r:id="rId71"/>
    <hyperlink xmlns:r="http://schemas.openxmlformats.org/officeDocument/2006/relationships" ref="N86" r:id="rId72"/>
    <hyperlink xmlns:r="http://schemas.openxmlformats.org/officeDocument/2006/relationships" ref="N87" r:id="rId73"/>
    <hyperlink xmlns:r="http://schemas.openxmlformats.org/officeDocument/2006/relationships" ref="N88" r:id="rId74"/>
    <hyperlink xmlns:r="http://schemas.openxmlformats.org/officeDocument/2006/relationships" ref="N89" r:id="rId75"/>
    <hyperlink xmlns:r="http://schemas.openxmlformats.org/officeDocument/2006/relationships" ref="N90" r:id="rId76"/>
    <hyperlink xmlns:r="http://schemas.openxmlformats.org/officeDocument/2006/relationships" ref="N91" r:id="rId77"/>
    <hyperlink xmlns:r="http://schemas.openxmlformats.org/officeDocument/2006/relationships" ref="N92" r:id="rId78"/>
    <hyperlink xmlns:r="http://schemas.openxmlformats.org/officeDocument/2006/relationships" ref="N94" r:id="rId79"/>
    <hyperlink xmlns:r="http://schemas.openxmlformats.org/officeDocument/2006/relationships" ref="N95" r:id="rId80"/>
    <hyperlink xmlns:r="http://schemas.openxmlformats.org/officeDocument/2006/relationships" ref="N96" r:id="rId81"/>
    <hyperlink xmlns:r="http://schemas.openxmlformats.org/officeDocument/2006/relationships" ref="N97" r:id="rId82"/>
    <hyperlink xmlns:r="http://schemas.openxmlformats.org/officeDocument/2006/relationships" ref="N98" r:id="rId83"/>
    <hyperlink xmlns:r="http://schemas.openxmlformats.org/officeDocument/2006/relationships" ref="N99" r:id="rId84"/>
    <hyperlink xmlns:r="http://schemas.openxmlformats.org/officeDocument/2006/relationships" ref="N100" r:id="rId85"/>
    <hyperlink xmlns:r="http://schemas.openxmlformats.org/officeDocument/2006/relationships" ref="N101" r:id="rId86"/>
    <hyperlink xmlns:r="http://schemas.openxmlformats.org/officeDocument/2006/relationships" ref="N102" r:id="rId87"/>
    <hyperlink xmlns:r="http://schemas.openxmlformats.org/officeDocument/2006/relationships" ref="N104" r:id="rId88"/>
    <hyperlink xmlns:r="http://schemas.openxmlformats.org/officeDocument/2006/relationships" ref="N105" r:id="rId89"/>
    <hyperlink xmlns:r="http://schemas.openxmlformats.org/officeDocument/2006/relationships" ref="N106" r:id="rId90"/>
    <hyperlink xmlns:r="http://schemas.openxmlformats.org/officeDocument/2006/relationships" ref="N107" r:id="rId91"/>
    <hyperlink xmlns:r="http://schemas.openxmlformats.org/officeDocument/2006/relationships" ref="N108" r:id="rId92"/>
    <hyperlink xmlns:r="http://schemas.openxmlformats.org/officeDocument/2006/relationships" ref="N109" r:id="rId93"/>
    <hyperlink xmlns:r="http://schemas.openxmlformats.org/officeDocument/2006/relationships" ref="N110" r:id="rId94"/>
    <hyperlink xmlns:r="http://schemas.openxmlformats.org/officeDocument/2006/relationships" ref="N111" r:id="rId95"/>
    <hyperlink xmlns:r="http://schemas.openxmlformats.org/officeDocument/2006/relationships" ref="N112" r:id="rId96"/>
    <hyperlink xmlns:r="http://schemas.openxmlformats.org/officeDocument/2006/relationships" ref="N113" r:id="rId97"/>
    <hyperlink xmlns:r="http://schemas.openxmlformats.org/officeDocument/2006/relationships" ref="N114" r:id="rId98"/>
    <hyperlink xmlns:r="http://schemas.openxmlformats.org/officeDocument/2006/relationships" ref="N115" r:id="rId99"/>
    <hyperlink xmlns:r="http://schemas.openxmlformats.org/officeDocument/2006/relationships" ref="N116" r:id="rId100"/>
    <hyperlink xmlns:r="http://schemas.openxmlformats.org/officeDocument/2006/relationships" ref="N117" r:id="rId101"/>
    <hyperlink xmlns:r="http://schemas.openxmlformats.org/officeDocument/2006/relationships" ref="N118" r:id="rId102"/>
    <hyperlink xmlns:r="http://schemas.openxmlformats.org/officeDocument/2006/relationships" ref="N119" r:id="rId103"/>
    <hyperlink xmlns:r="http://schemas.openxmlformats.org/officeDocument/2006/relationships" ref="N120" r:id="rId104"/>
    <hyperlink xmlns:r="http://schemas.openxmlformats.org/officeDocument/2006/relationships" ref="N121" r:id="rId105"/>
    <hyperlink xmlns:r="http://schemas.openxmlformats.org/officeDocument/2006/relationships" ref="N122" r:id="rId106"/>
    <hyperlink xmlns:r="http://schemas.openxmlformats.org/officeDocument/2006/relationships" ref="N123" r:id="rId107"/>
    <hyperlink xmlns:r="http://schemas.openxmlformats.org/officeDocument/2006/relationships" ref="N124" r:id="rId108"/>
    <hyperlink xmlns:r="http://schemas.openxmlformats.org/officeDocument/2006/relationships" ref="N125" r:id="rId109"/>
    <hyperlink xmlns:r="http://schemas.openxmlformats.org/officeDocument/2006/relationships" ref="N126" r:id="rId110"/>
    <hyperlink xmlns:r="http://schemas.openxmlformats.org/officeDocument/2006/relationships" ref="N127" r:id="rId111"/>
    <hyperlink xmlns:r="http://schemas.openxmlformats.org/officeDocument/2006/relationships" ref="N128" r:id="rId112"/>
    <hyperlink xmlns:r="http://schemas.openxmlformats.org/officeDocument/2006/relationships" ref="N129" r:id="rId113"/>
    <hyperlink xmlns:r="http://schemas.openxmlformats.org/officeDocument/2006/relationships" ref="N130" r:id="rId114"/>
    <hyperlink xmlns:r="http://schemas.openxmlformats.org/officeDocument/2006/relationships" ref="N131" r:id="rId115"/>
    <hyperlink xmlns:r="http://schemas.openxmlformats.org/officeDocument/2006/relationships" ref="N132" r:id="rId116"/>
    <hyperlink xmlns:r="http://schemas.openxmlformats.org/officeDocument/2006/relationships" ref="N133" r:id="rId117"/>
    <hyperlink xmlns:r="http://schemas.openxmlformats.org/officeDocument/2006/relationships" ref="N134" r:id="rId118"/>
    <hyperlink xmlns:r="http://schemas.openxmlformats.org/officeDocument/2006/relationships" ref="N135" r:id="rId119"/>
    <hyperlink xmlns:r="http://schemas.openxmlformats.org/officeDocument/2006/relationships" ref="N136" r:id="rId120"/>
    <hyperlink xmlns:r="http://schemas.openxmlformats.org/officeDocument/2006/relationships" ref="N137" r:id="rId121"/>
    <hyperlink xmlns:r="http://schemas.openxmlformats.org/officeDocument/2006/relationships" ref="N138" r:id="rId122"/>
    <hyperlink xmlns:r="http://schemas.openxmlformats.org/officeDocument/2006/relationships" ref="N139" r:id="rId123"/>
    <hyperlink xmlns:r="http://schemas.openxmlformats.org/officeDocument/2006/relationships" ref="N140" r:id="rId124"/>
    <hyperlink xmlns:r="http://schemas.openxmlformats.org/officeDocument/2006/relationships" ref="N141" r:id="rId125"/>
    <hyperlink xmlns:r="http://schemas.openxmlformats.org/officeDocument/2006/relationships" ref="N143" r:id="rId126"/>
    <hyperlink xmlns:r="http://schemas.openxmlformats.org/officeDocument/2006/relationships" ref="N144" r:id="rId127"/>
    <hyperlink xmlns:r="http://schemas.openxmlformats.org/officeDocument/2006/relationships" ref="N145" r:id="rId128"/>
    <hyperlink xmlns:r="http://schemas.openxmlformats.org/officeDocument/2006/relationships" ref="N146" r:id="rId129"/>
    <hyperlink xmlns:r="http://schemas.openxmlformats.org/officeDocument/2006/relationships" ref="N147" r:id="rId130"/>
    <hyperlink xmlns:r="http://schemas.openxmlformats.org/officeDocument/2006/relationships" ref="N148" r:id="rId131"/>
    <hyperlink xmlns:r="http://schemas.openxmlformats.org/officeDocument/2006/relationships" ref="N149" r:id="rId132"/>
    <hyperlink xmlns:r="http://schemas.openxmlformats.org/officeDocument/2006/relationships" ref="N150" r:id="rId133"/>
    <hyperlink xmlns:r="http://schemas.openxmlformats.org/officeDocument/2006/relationships" ref="N151" r:id="rId134"/>
    <hyperlink xmlns:r="http://schemas.openxmlformats.org/officeDocument/2006/relationships" ref="N152" r:id="rId135"/>
    <hyperlink xmlns:r="http://schemas.openxmlformats.org/officeDocument/2006/relationships" ref="N153" r:id="rId136"/>
    <hyperlink xmlns:r="http://schemas.openxmlformats.org/officeDocument/2006/relationships" ref="N154" r:id="rId137"/>
    <hyperlink xmlns:r="http://schemas.openxmlformats.org/officeDocument/2006/relationships" ref="N155" r:id="rId138"/>
    <hyperlink xmlns:r="http://schemas.openxmlformats.org/officeDocument/2006/relationships" ref="N156" r:id="rId139"/>
    <hyperlink xmlns:r="http://schemas.openxmlformats.org/officeDocument/2006/relationships" ref="N157" r:id="rId140"/>
    <hyperlink xmlns:r="http://schemas.openxmlformats.org/officeDocument/2006/relationships" ref="N158" r:id="rId141"/>
    <hyperlink xmlns:r="http://schemas.openxmlformats.org/officeDocument/2006/relationships" ref="N159" r:id="rId142"/>
    <hyperlink xmlns:r="http://schemas.openxmlformats.org/officeDocument/2006/relationships" ref="N160" r:id="rId143"/>
    <hyperlink xmlns:r="http://schemas.openxmlformats.org/officeDocument/2006/relationships" ref="N161" r:id="rId144"/>
    <hyperlink xmlns:r="http://schemas.openxmlformats.org/officeDocument/2006/relationships" ref="N162" r:id="rId145"/>
    <hyperlink xmlns:r="http://schemas.openxmlformats.org/officeDocument/2006/relationships" ref="N163" r:id="rId146"/>
    <hyperlink xmlns:r="http://schemas.openxmlformats.org/officeDocument/2006/relationships" ref="N164" r:id="rId147"/>
    <hyperlink xmlns:r="http://schemas.openxmlformats.org/officeDocument/2006/relationships" ref="N165" r:id="rId148"/>
    <hyperlink xmlns:r="http://schemas.openxmlformats.org/officeDocument/2006/relationships" ref="N166" r:id="rId149"/>
    <hyperlink xmlns:r="http://schemas.openxmlformats.org/officeDocument/2006/relationships" ref="N167" r:id="rId150"/>
    <hyperlink xmlns:r="http://schemas.openxmlformats.org/officeDocument/2006/relationships" ref="N168" r:id="rId151"/>
    <hyperlink xmlns:r="http://schemas.openxmlformats.org/officeDocument/2006/relationships" ref="N169" r:id="rId152"/>
    <hyperlink xmlns:r="http://schemas.openxmlformats.org/officeDocument/2006/relationships" ref="N170" r:id="rId153"/>
    <hyperlink xmlns:r="http://schemas.openxmlformats.org/officeDocument/2006/relationships" ref="N171" r:id="rId154"/>
    <hyperlink xmlns:r="http://schemas.openxmlformats.org/officeDocument/2006/relationships" ref="N172" r:id="rId155"/>
    <hyperlink xmlns:r="http://schemas.openxmlformats.org/officeDocument/2006/relationships" ref="N174" r:id="rId156"/>
    <hyperlink xmlns:r="http://schemas.openxmlformats.org/officeDocument/2006/relationships" ref="N176" r:id="rId157"/>
    <hyperlink xmlns:r="http://schemas.openxmlformats.org/officeDocument/2006/relationships" ref="N177" r:id="rId158"/>
    <hyperlink xmlns:r="http://schemas.openxmlformats.org/officeDocument/2006/relationships" ref="N178" r:id="rId159"/>
    <hyperlink xmlns:r="http://schemas.openxmlformats.org/officeDocument/2006/relationships" ref="N179" r:id="rId160"/>
    <hyperlink xmlns:r="http://schemas.openxmlformats.org/officeDocument/2006/relationships" ref="N180" r:id="rId161"/>
    <hyperlink xmlns:r="http://schemas.openxmlformats.org/officeDocument/2006/relationships" ref="N181" r:id="rId162"/>
    <hyperlink xmlns:r="http://schemas.openxmlformats.org/officeDocument/2006/relationships" ref="N182" r:id="rId163"/>
    <hyperlink xmlns:r="http://schemas.openxmlformats.org/officeDocument/2006/relationships" ref="N184" r:id="rId164"/>
    <hyperlink xmlns:r="http://schemas.openxmlformats.org/officeDocument/2006/relationships" ref="N185" r:id="rId165"/>
    <hyperlink xmlns:r="http://schemas.openxmlformats.org/officeDocument/2006/relationships" ref="N186" r:id="rId166"/>
    <hyperlink xmlns:r="http://schemas.openxmlformats.org/officeDocument/2006/relationships" ref="N187" r:id="rId167"/>
    <hyperlink xmlns:r="http://schemas.openxmlformats.org/officeDocument/2006/relationships" ref="N188" r:id="rId168"/>
    <hyperlink xmlns:r="http://schemas.openxmlformats.org/officeDocument/2006/relationships" ref="N189" r:id="rId169"/>
    <hyperlink xmlns:r="http://schemas.openxmlformats.org/officeDocument/2006/relationships" ref="N190" r:id="rId170"/>
    <hyperlink xmlns:r="http://schemas.openxmlformats.org/officeDocument/2006/relationships" ref="N191" r:id="rId171"/>
    <hyperlink xmlns:r="http://schemas.openxmlformats.org/officeDocument/2006/relationships" ref="N192" r:id="rId172"/>
    <hyperlink xmlns:r="http://schemas.openxmlformats.org/officeDocument/2006/relationships" ref="N193" r:id="rId173"/>
    <hyperlink xmlns:r="http://schemas.openxmlformats.org/officeDocument/2006/relationships" ref="N195" r:id="rId174"/>
    <hyperlink xmlns:r="http://schemas.openxmlformats.org/officeDocument/2006/relationships" ref="N196" r:id="rId175"/>
    <hyperlink xmlns:r="http://schemas.openxmlformats.org/officeDocument/2006/relationships" ref="N197" r:id="rId176"/>
    <hyperlink xmlns:r="http://schemas.openxmlformats.org/officeDocument/2006/relationships" ref="N198" r:id="rId177"/>
    <hyperlink xmlns:r="http://schemas.openxmlformats.org/officeDocument/2006/relationships" ref="N200" r:id="rId178"/>
    <hyperlink xmlns:r="http://schemas.openxmlformats.org/officeDocument/2006/relationships" ref="N201" r:id="rId179"/>
    <hyperlink xmlns:r="http://schemas.openxmlformats.org/officeDocument/2006/relationships" ref="N202" r:id="rId180"/>
    <hyperlink xmlns:r="http://schemas.openxmlformats.org/officeDocument/2006/relationships" ref="N203" r:id="rId181"/>
    <hyperlink xmlns:r="http://schemas.openxmlformats.org/officeDocument/2006/relationships" ref="N204" r:id="rId182"/>
    <hyperlink xmlns:r="http://schemas.openxmlformats.org/officeDocument/2006/relationships" ref="N205" r:id="rId183"/>
    <hyperlink xmlns:r="http://schemas.openxmlformats.org/officeDocument/2006/relationships" ref="N206" r:id="rId184"/>
    <hyperlink xmlns:r="http://schemas.openxmlformats.org/officeDocument/2006/relationships" ref="N207" r:id="rId185"/>
    <hyperlink xmlns:r="http://schemas.openxmlformats.org/officeDocument/2006/relationships" ref="N208" r:id="rId186"/>
    <hyperlink xmlns:r="http://schemas.openxmlformats.org/officeDocument/2006/relationships" ref="N209" r:id="rId187"/>
    <hyperlink xmlns:r="http://schemas.openxmlformats.org/officeDocument/2006/relationships" ref="N210" r:id="rId188"/>
    <hyperlink xmlns:r="http://schemas.openxmlformats.org/officeDocument/2006/relationships" ref="N211" r:id="rId189"/>
    <hyperlink xmlns:r="http://schemas.openxmlformats.org/officeDocument/2006/relationships" ref="N212" r:id="rId190"/>
    <hyperlink xmlns:r="http://schemas.openxmlformats.org/officeDocument/2006/relationships" ref="N213" r:id="rId191"/>
    <hyperlink xmlns:r="http://schemas.openxmlformats.org/officeDocument/2006/relationships" ref="N214" r:id="rId192"/>
    <hyperlink xmlns:r="http://schemas.openxmlformats.org/officeDocument/2006/relationships" ref="N215" r:id="rId193"/>
    <hyperlink xmlns:r="http://schemas.openxmlformats.org/officeDocument/2006/relationships" ref="N216" r:id="rId194"/>
    <hyperlink xmlns:r="http://schemas.openxmlformats.org/officeDocument/2006/relationships" ref="N217" r:id="rId195"/>
    <hyperlink xmlns:r="http://schemas.openxmlformats.org/officeDocument/2006/relationships" ref="N218" r:id="rId196"/>
    <hyperlink xmlns:r="http://schemas.openxmlformats.org/officeDocument/2006/relationships" ref="N219" r:id="rId197"/>
    <hyperlink xmlns:r="http://schemas.openxmlformats.org/officeDocument/2006/relationships" ref="N220" r:id="rId198"/>
    <hyperlink xmlns:r="http://schemas.openxmlformats.org/officeDocument/2006/relationships" ref="N221" r:id="rId199"/>
    <hyperlink xmlns:r="http://schemas.openxmlformats.org/officeDocument/2006/relationships" ref="N222" r:id="rId200"/>
    <hyperlink xmlns:r="http://schemas.openxmlformats.org/officeDocument/2006/relationships" ref="N223" r:id="rId201"/>
    <hyperlink xmlns:r="http://schemas.openxmlformats.org/officeDocument/2006/relationships" ref="N224" r:id="rId202"/>
    <hyperlink xmlns:r="http://schemas.openxmlformats.org/officeDocument/2006/relationships" ref="N225" r:id="rId203"/>
    <hyperlink xmlns:r="http://schemas.openxmlformats.org/officeDocument/2006/relationships" ref="N226" r:id="rId204"/>
    <hyperlink xmlns:r="http://schemas.openxmlformats.org/officeDocument/2006/relationships" ref="N227" r:id="rId205"/>
    <hyperlink xmlns:r="http://schemas.openxmlformats.org/officeDocument/2006/relationships" ref="N228" r:id="rId206"/>
    <hyperlink xmlns:r="http://schemas.openxmlformats.org/officeDocument/2006/relationships" ref="N229" r:id="rId207"/>
    <hyperlink xmlns:r="http://schemas.openxmlformats.org/officeDocument/2006/relationships" ref="N230" r:id="rId208"/>
    <hyperlink xmlns:r="http://schemas.openxmlformats.org/officeDocument/2006/relationships" ref="N231" r:id="rId209"/>
    <hyperlink xmlns:r="http://schemas.openxmlformats.org/officeDocument/2006/relationships" ref="N232" r:id="rId210"/>
    <hyperlink xmlns:r="http://schemas.openxmlformats.org/officeDocument/2006/relationships" ref="N233" r:id="rId211"/>
    <hyperlink xmlns:r="http://schemas.openxmlformats.org/officeDocument/2006/relationships" ref="N234" r:id="rId212"/>
    <hyperlink xmlns:r="http://schemas.openxmlformats.org/officeDocument/2006/relationships" ref="N235" r:id="rId213"/>
    <hyperlink xmlns:r="http://schemas.openxmlformats.org/officeDocument/2006/relationships" ref="N236" r:id="rId214"/>
    <hyperlink xmlns:r="http://schemas.openxmlformats.org/officeDocument/2006/relationships" ref="N237" r:id="rId215"/>
    <hyperlink xmlns:r="http://schemas.openxmlformats.org/officeDocument/2006/relationships" ref="N238" r:id="rId216"/>
    <hyperlink xmlns:r="http://schemas.openxmlformats.org/officeDocument/2006/relationships" ref="N239" r:id="rId217"/>
    <hyperlink xmlns:r="http://schemas.openxmlformats.org/officeDocument/2006/relationships" ref="N240" r:id="rId218"/>
    <hyperlink xmlns:r="http://schemas.openxmlformats.org/officeDocument/2006/relationships" ref="N241" r:id="rId219"/>
    <hyperlink xmlns:r="http://schemas.openxmlformats.org/officeDocument/2006/relationships" ref="N242" r:id="rId220"/>
    <hyperlink xmlns:r="http://schemas.openxmlformats.org/officeDocument/2006/relationships" ref="N243" r:id="rId221"/>
    <hyperlink xmlns:r="http://schemas.openxmlformats.org/officeDocument/2006/relationships" ref="N244" r:id="rId222"/>
    <hyperlink xmlns:r="http://schemas.openxmlformats.org/officeDocument/2006/relationships" ref="N245" r:id="rId223"/>
    <hyperlink xmlns:r="http://schemas.openxmlformats.org/officeDocument/2006/relationships" ref="N246" r:id="rId224"/>
    <hyperlink xmlns:r="http://schemas.openxmlformats.org/officeDocument/2006/relationships" ref="N247" r:id="rId225"/>
    <hyperlink xmlns:r="http://schemas.openxmlformats.org/officeDocument/2006/relationships" ref="N248" r:id="rId226"/>
    <hyperlink xmlns:r="http://schemas.openxmlformats.org/officeDocument/2006/relationships" ref="N249" r:id="rId227"/>
    <hyperlink xmlns:r="http://schemas.openxmlformats.org/officeDocument/2006/relationships" ref="N250" r:id="rId228"/>
    <hyperlink xmlns:r="http://schemas.openxmlformats.org/officeDocument/2006/relationships" ref="N251" r:id="rId229"/>
    <hyperlink xmlns:r="http://schemas.openxmlformats.org/officeDocument/2006/relationships" ref="N252" r:id="rId230"/>
    <hyperlink xmlns:r="http://schemas.openxmlformats.org/officeDocument/2006/relationships" ref="N254" r:id="rId231"/>
    <hyperlink xmlns:r="http://schemas.openxmlformats.org/officeDocument/2006/relationships" ref="N255" r:id="rId232"/>
    <hyperlink xmlns:r="http://schemas.openxmlformats.org/officeDocument/2006/relationships" ref="N256" r:id="rId233"/>
    <hyperlink xmlns:r="http://schemas.openxmlformats.org/officeDocument/2006/relationships" ref="N258" r:id="rId234"/>
    <hyperlink xmlns:r="http://schemas.openxmlformats.org/officeDocument/2006/relationships" ref="N259" r:id="rId235"/>
    <hyperlink xmlns:r="http://schemas.openxmlformats.org/officeDocument/2006/relationships" ref="N260" r:id="rId236"/>
    <hyperlink xmlns:r="http://schemas.openxmlformats.org/officeDocument/2006/relationships" ref="N261" r:id="rId237"/>
    <hyperlink xmlns:r="http://schemas.openxmlformats.org/officeDocument/2006/relationships" ref="N262" r:id="rId238"/>
    <hyperlink xmlns:r="http://schemas.openxmlformats.org/officeDocument/2006/relationships" ref="N263" r:id="rId239"/>
    <hyperlink xmlns:r="http://schemas.openxmlformats.org/officeDocument/2006/relationships" ref="N264" r:id="rId240"/>
    <hyperlink xmlns:r="http://schemas.openxmlformats.org/officeDocument/2006/relationships" ref="N265" r:id="rId241"/>
    <hyperlink xmlns:r="http://schemas.openxmlformats.org/officeDocument/2006/relationships" ref="N267" r:id="rId242"/>
    <hyperlink xmlns:r="http://schemas.openxmlformats.org/officeDocument/2006/relationships" ref="N268" r:id="rId243"/>
    <hyperlink xmlns:r="http://schemas.openxmlformats.org/officeDocument/2006/relationships" ref="N269" r:id="rId244"/>
    <hyperlink xmlns:r="http://schemas.openxmlformats.org/officeDocument/2006/relationships" ref="N270" r:id="rId245"/>
    <hyperlink xmlns:r="http://schemas.openxmlformats.org/officeDocument/2006/relationships" ref="N271" r:id="rId246"/>
    <hyperlink xmlns:r="http://schemas.openxmlformats.org/officeDocument/2006/relationships" ref="N272" r:id="rId247"/>
    <hyperlink xmlns:r="http://schemas.openxmlformats.org/officeDocument/2006/relationships" ref="N273" r:id="rId248"/>
    <hyperlink xmlns:r="http://schemas.openxmlformats.org/officeDocument/2006/relationships" ref="N274" r:id="rId249"/>
    <hyperlink xmlns:r="http://schemas.openxmlformats.org/officeDocument/2006/relationships" ref="N275" r:id="rId250"/>
    <hyperlink xmlns:r="http://schemas.openxmlformats.org/officeDocument/2006/relationships" ref="N276" r:id="rId251"/>
    <hyperlink xmlns:r="http://schemas.openxmlformats.org/officeDocument/2006/relationships" ref="N277" r:id="rId252"/>
    <hyperlink xmlns:r="http://schemas.openxmlformats.org/officeDocument/2006/relationships" ref="N278" r:id="rId253"/>
    <hyperlink xmlns:r="http://schemas.openxmlformats.org/officeDocument/2006/relationships" ref="N279" r:id="rId254"/>
    <hyperlink xmlns:r="http://schemas.openxmlformats.org/officeDocument/2006/relationships" ref="N280" r:id="rId255"/>
    <hyperlink xmlns:r="http://schemas.openxmlformats.org/officeDocument/2006/relationships" ref="N281" r:id="rId256"/>
    <hyperlink xmlns:r="http://schemas.openxmlformats.org/officeDocument/2006/relationships" ref="N282" r:id="rId257"/>
    <hyperlink xmlns:r="http://schemas.openxmlformats.org/officeDocument/2006/relationships" ref="N283" r:id="rId258"/>
    <hyperlink xmlns:r="http://schemas.openxmlformats.org/officeDocument/2006/relationships" ref="N284" r:id="rId259"/>
    <hyperlink xmlns:r="http://schemas.openxmlformats.org/officeDocument/2006/relationships" ref="N285" r:id="rId260"/>
    <hyperlink xmlns:r="http://schemas.openxmlformats.org/officeDocument/2006/relationships" ref="N286" r:id="rId261"/>
    <hyperlink xmlns:r="http://schemas.openxmlformats.org/officeDocument/2006/relationships" ref="N287" r:id="rId262"/>
    <hyperlink xmlns:r="http://schemas.openxmlformats.org/officeDocument/2006/relationships" ref="N288" r:id="rId263"/>
    <hyperlink xmlns:r="http://schemas.openxmlformats.org/officeDocument/2006/relationships" ref="N289" r:id="rId264"/>
    <hyperlink xmlns:r="http://schemas.openxmlformats.org/officeDocument/2006/relationships" ref="N290" r:id="rId265"/>
    <hyperlink xmlns:r="http://schemas.openxmlformats.org/officeDocument/2006/relationships" ref="N291" r:id="rId266"/>
    <hyperlink xmlns:r="http://schemas.openxmlformats.org/officeDocument/2006/relationships" ref="N292" r:id="rId267"/>
    <hyperlink xmlns:r="http://schemas.openxmlformats.org/officeDocument/2006/relationships" ref="N293" r:id="rId268"/>
    <hyperlink xmlns:r="http://schemas.openxmlformats.org/officeDocument/2006/relationships" ref="N294" r:id="rId269"/>
    <hyperlink xmlns:r="http://schemas.openxmlformats.org/officeDocument/2006/relationships" ref="N295" r:id="rId270"/>
    <hyperlink xmlns:r="http://schemas.openxmlformats.org/officeDocument/2006/relationships" ref="N296" r:id="rId271"/>
    <hyperlink xmlns:r="http://schemas.openxmlformats.org/officeDocument/2006/relationships" ref="N297" r:id="rId272"/>
    <hyperlink xmlns:r="http://schemas.openxmlformats.org/officeDocument/2006/relationships" ref="N298" r:id="rId273"/>
    <hyperlink xmlns:r="http://schemas.openxmlformats.org/officeDocument/2006/relationships" ref="N299" r:id="rId274"/>
    <hyperlink xmlns:r="http://schemas.openxmlformats.org/officeDocument/2006/relationships" ref="N300" r:id="rId275"/>
    <hyperlink xmlns:r="http://schemas.openxmlformats.org/officeDocument/2006/relationships" ref="N301" r:id="rId276"/>
    <hyperlink xmlns:r="http://schemas.openxmlformats.org/officeDocument/2006/relationships" ref="N302" r:id="rId277"/>
    <hyperlink xmlns:r="http://schemas.openxmlformats.org/officeDocument/2006/relationships" ref="N303" r:id="rId278"/>
    <hyperlink xmlns:r="http://schemas.openxmlformats.org/officeDocument/2006/relationships" ref="N305" r:id="rId279"/>
    <hyperlink xmlns:r="http://schemas.openxmlformats.org/officeDocument/2006/relationships" ref="N306" r:id="rId280"/>
    <hyperlink xmlns:r="http://schemas.openxmlformats.org/officeDocument/2006/relationships" ref="N307" r:id="rId281"/>
    <hyperlink xmlns:r="http://schemas.openxmlformats.org/officeDocument/2006/relationships" ref="N308" r:id="rId282"/>
    <hyperlink xmlns:r="http://schemas.openxmlformats.org/officeDocument/2006/relationships" ref="N309" r:id="rId283"/>
    <hyperlink xmlns:r="http://schemas.openxmlformats.org/officeDocument/2006/relationships" ref="N310" r:id="rId284"/>
    <hyperlink xmlns:r="http://schemas.openxmlformats.org/officeDocument/2006/relationships" ref="N311" r:id="rId285"/>
    <hyperlink xmlns:r="http://schemas.openxmlformats.org/officeDocument/2006/relationships" ref="N314" r:id="rId286"/>
    <hyperlink xmlns:r="http://schemas.openxmlformats.org/officeDocument/2006/relationships" ref="N315" r:id="rId287"/>
    <hyperlink xmlns:r="http://schemas.openxmlformats.org/officeDocument/2006/relationships" ref="N316" r:id="rId288"/>
    <hyperlink xmlns:r="http://schemas.openxmlformats.org/officeDocument/2006/relationships" ref="N317" r:id="rId289"/>
    <hyperlink xmlns:r="http://schemas.openxmlformats.org/officeDocument/2006/relationships" ref="N318" r:id="rId290"/>
    <hyperlink xmlns:r="http://schemas.openxmlformats.org/officeDocument/2006/relationships" ref="N319" r:id="rId291"/>
    <hyperlink xmlns:r="http://schemas.openxmlformats.org/officeDocument/2006/relationships" ref="N320" r:id="rId292"/>
    <hyperlink xmlns:r="http://schemas.openxmlformats.org/officeDocument/2006/relationships" ref="N321" r:id="rId293"/>
    <hyperlink xmlns:r="http://schemas.openxmlformats.org/officeDocument/2006/relationships" ref="N322" r:id="rId294"/>
    <hyperlink xmlns:r="http://schemas.openxmlformats.org/officeDocument/2006/relationships" ref="N323" r:id="rId295"/>
    <hyperlink xmlns:r="http://schemas.openxmlformats.org/officeDocument/2006/relationships" ref="N324" r:id="rId296"/>
    <hyperlink xmlns:r="http://schemas.openxmlformats.org/officeDocument/2006/relationships" ref="N325" r:id="rId297"/>
    <hyperlink xmlns:r="http://schemas.openxmlformats.org/officeDocument/2006/relationships" ref="N326" r:id="rId298"/>
    <hyperlink xmlns:r="http://schemas.openxmlformats.org/officeDocument/2006/relationships" ref="N327" r:id="rId299"/>
    <hyperlink xmlns:r="http://schemas.openxmlformats.org/officeDocument/2006/relationships" ref="N328" r:id="rId300"/>
    <hyperlink xmlns:r="http://schemas.openxmlformats.org/officeDocument/2006/relationships" ref="N329" r:id="rId301"/>
    <hyperlink xmlns:r="http://schemas.openxmlformats.org/officeDocument/2006/relationships" ref="N330" r:id="rId302"/>
    <hyperlink xmlns:r="http://schemas.openxmlformats.org/officeDocument/2006/relationships" ref="N331" r:id="rId303"/>
    <hyperlink xmlns:r="http://schemas.openxmlformats.org/officeDocument/2006/relationships" ref="N332" r:id="rId304"/>
    <hyperlink xmlns:r="http://schemas.openxmlformats.org/officeDocument/2006/relationships" ref="N333" r:id="rId305"/>
    <hyperlink xmlns:r="http://schemas.openxmlformats.org/officeDocument/2006/relationships" ref="N334" r:id="rId306"/>
    <hyperlink xmlns:r="http://schemas.openxmlformats.org/officeDocument/2006/relationships" ref="N335" r:id="rId307"/>
    <hyperlink xmlns:r="http://schemas.openxmlformats.org/officeDocument/2006/relationships" ref="N336" r:id="rId308"/>
    <hyperlink xmlns:r="http://schemas.openxmlformats.org/officeDocument/2006/relationships" ref="N337" r:id="rId309"/>
    <hyperlink xmlns:r="http://schemas.openxmlformats.org/officeDocument/2006/relationships" ref="N338" r:id="rId310"/>
    <hyperlink xmlns:r="http://schemas.openxmlformats.org/officeDocument/2006/relationships" ref="N339" r:id="rId311"/>
    <hyperlink xmlns:r="http://schemas.openxmlformats.org/officeDocument/2006/relationships" ref="N340" r:id="rId312"/>
    <hyperlink xmlns:r="http://schemas.openxmlformats.org/officeDocument/2006/relationships" ref="N341" r:id="rId313"/>
    <hyperlink xmlns:r="http://schemas.openxmlformats.org/officeDocument/2006/relationships" ref="N342" r:id="rId314"/>
    <hyperlink xmlns:r="http://schemas.openxmlformats.org/officeDocument/2006/relationships" ref="N343" r:id="rId315"/>
    <hyperlink xmlns:r="http://schemas.openxmlformats.org/officeDocument/2006/relationships" ref="N344" r:id="rId316"/>
    <hyperlink xmlns:r="http://schemas.openxmlformats.org/officeDocument/2006/relationships" ref="N345" r:id="rId317"/>
    <hyperlink xmlns:r="http://schemas.openxmlformats.org/officeDocument/2006/relationships" ref="N346" r:id="rId318"/>
    <hyperlink xmlns:r="http://schemas.openxmlformats.org/officeDocument/2006/relationships" ref="N347" r:id="rId319"/>
    <hyperlink xmlns:r="http://schemas.openxmlformats.org/officeDocument/2006/relationships" ref="N348" r:id="rId320"/>
    <hyperlink xmlns:r="http://schemas.openxmlformats.org/officeDocument/2006/relationships" ref="N349" r:id="rId321"/>
    <hyperlink xmlns:r="http://schemas.openxmlformats.org/officeDocument/2006/relationships" ref="N350" r:id="rId322"/>
    <hyperlink xmlns:r="http://schemas.openxmlformats.org/officeDocument/2006/relationships" ref="N351" r:id="rId323"/>
    <hyperlink xmlns:r="http://schemas.openxmlformats.org/officeDocument/2006/relationships" ref="N352" r:id="rId324"/>
    <hyperlink xmlns:r="http://schemas.openxmlformats.org/officeDocument/2006/relationships" ref="N353" r:id="rId325"/>
    <hyperlink xmlns:r="http://schemas.openxmlformats.org/officeDocument/2006/relationships" ref="N354" r:id="rId326"/>
    <hyperlink xmlns:r="http://schemas.openxmlformats.org/officeDocument/2006/relationships" ref="N355" r:id="rId327"/>
    <hyperlink xmlns:r="http://schemas.openxmlformats.org/officeDocument/2006/relationships" ref="N356" r:id="rId328"/>
    <hyperlink xmlns:r="http://schemas.openxmlformats.org/officeDocument/2006/relationships" ref="N357" r:id="rId329"/>
    <hyperlink xmlns:r="http://schemas.openxmlformats.org/officeDocument/2006/relationships" ref="N358" r:id="rId330"/>
    <hyperlink xmlns:r="http://schemas.openxmlformats.org/officeDocument/2006/relationships" ref="N359" r:id="rId331"/>
    <hyperlink xmlns:r="http://schemas.openxmlformats.org/officeDocument/2006/relationships" ref="N360" r:id="rId332"/>
    <hyperlink xmlns:r="http://schemas.openxmlformats.org/officeDocument/2006/relationships" ref="N361" r:id="rId333"/>
    <hyperlink xmlns:r="http://schemas.openxmlformats.org/officeDocument/2006/relationships" ref="N362" r:id="rId334"/>
    <hyperlink xmlns:r="http://schemas.openxmlformats.org/officeDocument/2006/relationships" ref="N363" r:id="rId335"/>
    <hyperlink xmlns:r="http://schemas.openxmlformats.org/officeDocument/2006/relationships" ref="N364" r:id="rId336"/>
    <hyperlink xmlns:r="http://schemas.openxmlformats.org/officeDocument/2006/relationships" ref="N365" r:id="rId337"/>
    <hyperlink xmlns:r="http://schemas.openxmlformats.org/officeDocument/2006/relationships" ref="N366" r:id="rId338"/>
    <hyperlink xmlns:r="http://schemas.openxmlformats.org/officeDocument/2006/relationships" ref="N367" r:id="rId339"/>
    <hyperlink xmlns:r="http://schemas.openxmlformats.org/officeDocument/2006/relationships" ref="N368" r:id="rId340"/>
    <hyperlink xmlns:r="http://schemas.openxmlformats.org/officeDocument/2006/relationships" ref="N369" r:id="rId341"/>
    <hyperlink xmlns:r="http://schemas.openxmlformats.org/officeDocument/2006/relationships" ref="N370" r:id="rId342"/>
    <hyperlink xmlns:r="http://schemas.openxmlformats.org/officeDocument/2006/relationships" ref="N371" r:id="rId343"/>
    <hyperlink xmlns:r="http://schemas.openxmlformats.org/officeDocument/2006/relationships" ref="N372" r:id="rId344"/>
    <hyperlink xmlns:r="http://schemas.openxmlformats.org/officeDocument/2006/relationships" ref="N373" r:id="rId345"/>
    <hyperlink xmlns:r="http://schemas.openxmlformats.org/officeDocument/2006/relationships" ref="N374" r:id="rId346"/>
    <hyperlink xmlns:r="http://schemas.openxmlformats.org/officeDocument/2006/relationships" ref="N375" r:id="rId347"/>
    <hyperlink xmlns:r="http://schemas.openxmlformats.org/officeDocument/2006/relationships" ref="N376" r:id="rId348"/>
    <hyperlink xmlns:r="http://schemas.openxmlformats.org/officeDocument/2006/relationships" ref="N377" r:id="rId349"/>
    <hyperlink xmlns:r="http://schemas.openxmlformats.org/officeDocument/2006/relationships" ref="N378" r:id="rId350"/>
    <hyperlink xmlns:r="http://schemas.openxmlformats.org/officeDocument/2006/relationships" ref="N379" r:id="rId351"/>
    <hyperlink xmlns:r="http://schemas.openxmlformats.org/officeDocument/2006/relationships" ref="N380" r:id="rId352"/>
    <hyperlink xmlns:r="http://schemas.openxmlformats.org/officeDocument/2006/relationships" ref="N381" r:id="rId353"/>
    <hyperlink xmlns:r="http://schemas.openxmlformats.org/officeDocument/2006/relationships" ref="N382" r:id="rId354"/>
    <hyperlink xmlns:r="http://schemas.openxmlformats.org/officeDocument/2006/relationships" ref="N384" r:id="rId355"/>
    <hyperlink xmlns:r="http://schemas.openxmlformats.org/officeDocument/2006/relationships" ref="N385" r:id="rId356"/>
    <hyperlink xmlns:r="http://schemas.openxmlformats.org/officeDocument/2006/relationships" ref="N386" r:id="rId357"/>
    <hyperlink xmlns:r="http://schemas.openxmlformats.org/officeDocument/2006/relationships" ref="N387" r:id="rId358"/>
    <hyperlink xmlns:r="http://schemas.openxmlformats.org/officeDocument/2006/relationships" ref="N388" r:id="rId359"/>
    <hyperlink xmlns:r="http://schemas.openxmlformats.org/officeDocument/2006/relationships" ref="N389" r:id="rId360"/>
    <hyperlink xmlns:r="http://schemas.openxmlformats.org/officeDocument/2006/relationships" ref="N390" r:id="rId361"/>
    <hyperlink xmlns:r="http://schemas.openxmlformats.org/officeDocument/2006/relationships" ref="N391" r:id="rId362"/>
    <hyperlink xmlns:r="http://schemas.openxmlformats.org/officeDocument/2006/relationships" ref="N392" r:id="rId363"/>
    <hyperlink xmlns:r="http://schemas.openxmlformats.org/officeDocument/2006/relationships" ref="N393" r:id="rId364"/>
    <hyperlink xmlns:r="http://schemas.openxmlformats.org/officeDocument/2006/relationships" ref="N394" r:id="rId365"/>
    <hyperlink xmlns:r="http://schemas.openxmlformats.org/officeDocument/2006/relationships" ref="N395" r:id="rId366"/>
    <hyperlink xmlns:r="http://schemas.openxmlformats.org/officeDocument/2006/relationships" ref="N396" r:id="rId367"/>
    <hyperlink xmlns:r="http://schemas.openxmlformats.org/officeDocument/2006/relationships" ref="N397" r:id="rId368"/>
    <hyperlink xmlns:r="http://schemas.openxmlformats.org/officeDocument/2006/relationships" ref="N398" r:id="rId369"/>
    <hyperlink xmlns:r="http://schemas.openxmlformats.org/officeDocument/2006/relationships" ref="N399" r:id="rId370"/>
    <hyperlink xmlns:r="http://schemas.openxmlformats.org/officeDocument/2006/relationships" ref="N400" r:id="rId371"/>
    <hyperlink xmlns:r="http://schemas.openxmlformats.org/officeDocument/2006/relationships" ref="N401" r:id="rId372"/>
    <hyperlink xmlns:r="http://schemas.openxmlformats.org/officeDocument/2006/relationships" ref="N402" r:id="rId373"/>
    <hyperlink xmlns:r="http://schemas.openxmlformats.org/officeDocument/2006/relationships" ref="N403" r:id="rId374"/>
    <hyperlink xmlns:r="http://schemas.openxmlformats.org/officeDocument/2006/relationships" ref="N404" r:id="rId375"/>
    <hyperlink xmlns:r="http://schemas.openxmlformats.org/officeDocument/2006/relationships" ref="N405" r:id="rId376"/>
    <hyperlink xmlns:r="http://schemas.openxmlformats.org/officeDocument/2006/relationships" ref="N406" r:id="rId377"/>
    <hyperlink xmlns:r="http://schemas.openxmlformats.org/officeDocument/2006/relationships" ref="N407" r:id="rId378"/>
    <hyperlink xmlns:r="http://schemas.openxmlformats.org/officeDocument/2006/relationships" ref="N408" r:id="rId379"/>
    <hyperlink xmlns:r="http://schemas.openxmlformats.org/officeDocument/2006/relationships" ref="N409" r:id="rId380"/>
    <hyperlink xmlns:r="http://schemas.openxmlformats.org/officeDocument/2006/relationships" ref="N410" r:id="rId381"/>
    <hyperlink xmlns:r="http://schemas.openxmlformats.org/officeDocument/2006/relationships" ref="N411" r:id="rId382"/>
    <hyperlink xmlns:r="http://schemas.openxmlformats.org/officeDocument/2006/relationships" ref="N412" r:id="rId383"/>
    <hyperlink xmlns:r="http://schemas.openxmlformats.org/officeDocument/2006/relationships" ref="N413" r:id="rId384"/>
    <hyperlink xmlns:r="http://schemas.openxmlformats.org/officeDocument/2006/relationships" ref="N414" r:id="rId385"/>
    <hyperlink xmlns:r="http://schemas.openxmlformats.org/officeDocument/2006/relationships" ref="N415" r:id="rId386"/>
    <hyperlink xmlns:r="http://schemas.openxmlformats.org/officeDocument/2006/relationships" ref="N416" r:id="rId387"/>
    <hyperlink xmlns:r="http://schemas.openxmlformats.org/officeDocument/2006/relationships" ref="N417" r:id="rId388"/>
    <hyperlink xmlns:r="http://schemas.openxmlformats.org/officeDocument/2006/relationships" ref="N418" r:id="rId389"/>
    <hyperlink xmlns:r="http://schemas.openxmlformats.org/officeDocument/2006/relationships" ref="N419" r:id="rId390"/>
    <hyperlink xmlns:r="http://schemas.openxmlformats.org/officeDocument/2006/relationships" ref="N420" r:id="rId391"/>
    <hyperlink xmlns:r="http://schemas.openxmlformats.org/officeDocument/2006/relationships" ref="N421" r:id="rId392"/>
    <hyperlink xmlns:r="http://schemas.openxmlformats.org/officeDocument/2006/relationships" ref="N422" r:id="rId393"/>
    <hyperlink xmlns:r="http://schemas.openxmlformats.org/officeDocument/2006/relationships" ref="N423" r:id="rId394"/>
    <hyperlink xmlns:r="http://schemas.openxmlformats.org/officeDocument/2006/relationships" ref="N424" r:id="rId395"/>
    <hyperlink xmlns:r="http://schemas.openxmlformats.org/officeDocument/2006/relationships" ref="N425" r:id="rId396"/>
    <hyperlink xmlns:r="http://schemas.openxmlformats.org/officeDocument/2006/relationships" ref="N426" r:id="rId397"/>
    <hyperlink xmlns:r="http://schemas.openxmlformats.org/officeDocument/2006/relationships" ref="N427" r:id="rId398"/>
    <hyperlink xmlns:r="http://schemas.openxmlformats.org/officeDocument/2006/relationships" ref="N428" r:id="rId399"/>
    <hyperlink xmlns:r="http://schemas.openxmlformats.org/officeDocument/2006/relationships" ref="N429" r:id="rId400"/>
    <hyperlink xmlns:r="http://schemas.openxmlformats.org/officeDocument/2006/relationships" ref="N430" r:id="rId401"/>
    <hyperlink xmlns:r="http://schemas.openxmlformats.org/officeDocument/2006/relationships" ref="N431" r:id="rId402"/>
    <hyperlink xmlns:r="http://schemas.openxmlformats.org/officeDocument/2006/relationships" ref="N432" r:id="rId403"/>
    <hyperlink xmlns:r="http://schemas.openxmlformats.org/officeDocument/2006/relationships" ref="N433" r:id="rId404"/>
    <hyperlink xmlns:r="http://schemas.openxmlformats.org/officeDocument/2006/relationships" ref="N434" r:id="rId405"/>
    <hyperlink xmlns:r="http://schemas.openxmlformats.org/officeDocument/2006/relationships" ref="N435" r:id="rId406"/>
    <hyperlink xmlns:r="http://schemas.openxmlformats.org/officeDocument/2006/relationships" ref="N436" r:id="rId407"/>
    <hyperlink xmlns:r="http://schemas.openxmlformats.org/officeDocument/2006/relationships" ref="N437" r:id="rId408"/>
    <hyperlink xmlns:r="http://schemas.openxmlformats.org/officeDocument/2006/relationships" ref="N438" r:id="rId409"/>
    <hyperlink xmlns:r="http://schemas.openxmlformats.org/officeDocument/2006/relationships" ref="N439" r:id="rId410"/>
    <hyperlink xmlns:r="http://schemas.openxmlformats.org/officeDocument/2006/relationships" ref="N440" r:id="rId411"/>
    <hyperlink xmlns:r="http://schemas.openxmlformats.org/officeDocument/2006/relationships" ref="N442" r:id="rId412"/>
    <hyperlink xmlns:r="http://schemas.openxmlformats.org/officeDocument/2006/relationships" ref="N443" r:id="rId413"/>
    <hyperlink xmlns:r="http://schemas.openxmlformats.org/officeDocument/2006/relationships" ref="N444" r:id="rId414"/>
    <hyperlink xmlns:r="http://schemas.openxmlformats.org/officeDocument/2006/relationships" ref="N445" r:id="rId415"/>
    <hyperlink xmlns:r="http://schemas.openxmlformats.org/officeDocument/2006/relationships" ref="N446" r:id="rId416"/>
    <hyperlink xmlns:r="http://schemas.openxmlformats.org/officeDocument/2006/relationships" ref="N447" r:id="rId417"/>
    <hyperlink xmlns:r="http://schemas.openxmlformats.org/officeDocument/2006/relationships" ref="N448" r:id="rId418"/>
    <hyperlink xmlns:r="http://schemas.openxmlformats.org/officeDocument/2006/relationships" ref="N450" r:id="rId419"/>
    <hyperlink xmlns:r="http://schemas.openxmlformats.org/officeDocument/2006/relationships" ref="N451" r:id="rId420"/>
    <hyperlink xmlns:r="http://schemas.openxmlformats.org/officeDocument/2006/relationships" ref="N452" r:id="rId421"/>
    <hyperlink xmlns:r="http://schemas.openxmlformats.org/officeDocument/2006/relationships" ref="N453" r:id="rId422"/>
    <hyperlink xmlns:r="http://schemas.openxmlformats.org/officeDocument/2006/relationships" ref="N454" r:id="rId423"/>
    <hyperlink xmlns:r="http://schemas.openxmlformats.org/officeDocument/2006/relationships" ref="N455" r:id="rId424"/>
    <hyperlink xmlns:r="http://schemas.openxmlformats.org/officeDocument/2006/relationships" ref="N456" r:id="rId425"/>
    <hyperlink xmlns:r="http://schemas.openxmlformats.org/officeDocument/2006/relationships" ref="N457" r:id="rId426"/>
    <hyperlink xmlns:r="http://schemas.openxmlformats.org/officeDocument/2006/relationships" ref="N458" r:id="rId427"/>
    <hyperlink xmlns:r="http://schemas.openxmlformats.org/officeDocument/2006/relationships" ref="N459" r:id="rId428"/>
    <hyperlink xmlns:r="http://schemas.openxmlformats.org/officeDocument/2006/relationships" ref="N460" r:id="rId429"/>
    <hyperlink xmlns:r="http://schemas.openxmlformats.org/officeDocument/2006/relationships" ref="N461" r:id="rId430"/>
    <hyperlink xmlns:r="http://schemas.openxmlformats.org/officeDocument/2006/relationships" ref="N462" r:id="rId431"/>
    <hyperlink xmlns:r="http://schemas.openxmlformats.org/officeDocument/2006/relationships" ref="N463" r:id="rId432"/>
    <hyperlink xmlns:r="http://schemas.openxmlformats.org/officeDocument/2006/relationships" ref="N464" r:id="rId433"/>
    <hyperlink xmlns:r="http://schemas.openxmlformats.org/officeDocument/2006/relationships" ref="N465" r:id="rId434"/>
    <hyperlink xmlns:r="http://schemas.openxmlformats.org/officeDocument/2006/relationships" ref="N466" r:id="rId435"/>
    <hyperlink xmlns:r="http://schemas.openxmlformats.org/officeDocument/2006/relationships" ref="N467" r:id="rId436"/>
    <hyperlink xmlns:r="http://schemas.openxmlformats.org/officeDocument/2006/relationships" ref="N469" r:id="rId437"/>
    <hyperlink xmlns:r="http://schemas.openxmlformats.org/officeDocument/2006/relationships" ref="N470" r:id="rId438"/>
    <hyperlink xmlns:r="http://schemas.openxmlformats.org/officeDocument/2006/relationships" ref="N471" r:id="rId439"/>
    <hyperlink xmlns:r="http://schemas.openxmlformats.org/officeDocument/2006/relationships" ref="N472" r:id="rId440"/>
    <hyperlink xmlns:r="http://schemas.openxmlformats.org/officeDocument/2006/relationships" ref="N473" r:id="rId441"/>
    <hyperlink xmlns:r="http://schemas.openxmlformats.org/officeDocument/2006/relationships" ref="N474" r:id="rId442"/>
    <hyperlink xmlns:r="http://schemas.openxmlformats.org/officeDocument/2006/relationships" ref="N476" r:id="rId443"/>
    <hyperlink xmlns:r="http://schemas.openxmlformats.org/officeDocument/2006/relationships" ref="N477" r:id="rId444"/>
    <hyperlink xmlns:r="http://schemas.openxmlformats.org/officeDocument/2006/relationships" ref="N478" r:id="rId445"/>
    <hyperlink xmlns:r="http://schemas.openxmlformats.org/officeDocument/2006/relationships" ref="N479" r:id="rId446"/>
    <hyperlink xmlns:r="http://schemas.openxmlformats.org/officeDocument/2006/relationships" ref="N480" r:id="rId447"/>
    <hyperlink xmlns:r="http://schemas.openxmlformats.org/officeDocument/2006/relationships" ref="N481" r:id="rId448"/>
    <hyperlink xmlns:r="http://schemas.openxmlformats.org/officeDocument/2006/relationships" ref="N482" r:id="rId449"/>
    <hyperlink xmlns:r="http://schemas.openxmlformats.org/officeDocument/2006/relationships" ref="N483" r:id="rId450"/>
    <hyperlink xmlns:r="http://schemas.openxmlformats.org/officeDocument/2006/relationships" ref="N484" r:id="rId451"/>
    <hyperlink xmlns:r="http://schemas.openxmlformats.org/officeDocument/2006/relationships" ref="N485" r:id="rId452"/>
    <hyperlink xmlns:r="http://schemas.openxmlformats.org/officeDocument/2006/relationships" ref="N486" r:id="rId453"/>
  </hyperlinks>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Florian</dc:creator>
  <dcterms:created xmlns:dcterms="http://purl.org/dc/terms/" xmlns:xsi="http://www.w3.org/2001/XMLSchema-instance" xsi:type="dcterms:W3CDTF">2026-06-09T18:33:51Z</dcterms:created>
  <dcterms:modified xmlns:dcterms="http://purl.org/dc/terms/" xmlns:xsi="http://www.w3.org/2001/XMLSchema-instance" xsi:type="dcterms:W3CDTF">2026-09-08T01:22:53Z</dcterms:modified>
  <cp:lastModifiedBy>Florian Wengel</cp:lastModifiedBy>
  <cp:revision>4</cp:revision>
</cp:coreProperties>
</file>

<file path=docProps/custom.xml><?xml version="1.0" encoding="utf-8"?>
<Properties xmlns="http://schemas.openxmlformats.org/officeDocument/2006/custom-properties">
  <property name="MSIP_Label_b98fac97-8d33-4425-95a4-f76d2cce012e_Enabled" fmtid="{D5CDD505-2E9C-101B-9397-08002B2CF9AE}" pid="2">
    <vt:lpwstr xmlns:vt="http://schemas.openxmlformats.org/officeDocument/2006/docPropsVTypes">true</vt:lpwstr>
  </property>
  <property name="MSIP_Label_b98fac97-8d33-4425-95a4-f76d2cce012e_SetDate" fmtid="{D5CDD505-2E9C-101B-9397-08002B2CF9AE}" pid="3">
    <vt:lpwstr xmlns:vt="http://schemas.openxmlformats.org/officeDocument/2006/docPropsVTypes">2026-06-09T18:44:36Z</vt:lpwstr>
  </property>
  <property name="MSIP_Label_b98fac97-8d33-4425-95a4-f76d2cce012e_Method" fmtid="{D5CDD505-2E9C-101B-9397-08002B2CF9AE}" pid="4">
    <vt:lpwstr xmlns:vt="http://schemas.openxmlformats.org/officeDocument/2006/docPropsVTypes">Standard</vt:lpwstr>
  </property>
  <property name="MSIP_Label_b98fac97-8d33-4425-95a4-f76d2cce012e_Name" fmtid="{D5CDD505-2E9C-101B-9397-08002B2CF9AE}" pid="5">
    <vt:lpwstr xmlns:vt="http://schemas.openxmlformats.org/officeDocument/2006/docPropsVTypes">defa4170-0d19-0005-0004-bc88714345d2</vt:lpwstr>
  </property>
  <property name="MSIP_Label_b98fac97-8d33-4425-95a4-f76d2cce012e_SiteId" fmtid="{D5CDD505-2E9C-101B-9397-08002B2CF9AE}" pid="6">
    <vt:lpwstr xmlns:vt="http://schemas.openxmlformats.org/officeDocument/2006/docPropsVTypes">674dd0a1-ae62-42c7-a39f-69ee199537a8</vt:lpwstr>
  </property>
  <property name="MSIP_Label_b98fac97-8d33-4425-95a4-f76d2cce012e_ActionId" fmtid="{D5CDD505-2E9C-101B-9397-08002B2CF9AE}" pid="7">
    <vt:lpwstr xmlns:vt="http://schemas.openxmlformats.org/officeDocument/2006/docPropsVTypes">9830d81d-e3ea-4605-8083-3e0f9b975e98</vt:lpwstr>
  </property>
  <property name="MSIP_Label_b98fac97-8d33-4425-95a4-f76d2cce012e_ContentBits" fmtid="{D5CDD505-2E9C-101B-9397-08002B2CF9AE}" pid="8">
    <vt:lpwstr xmlns:vt="http://schemas.openxmlformats.org/officeDocument/2006/docPropsVTypes">0</vt:lpwstr>
  </property>
  <property name="MSIP_Label_b98fac97-8d33-4425-95a4-f76d2cce012e_Tag" fmtid="{D5CDD505-2E9C-101B-9397-08002B2CF9AE}" pid="9">
    <vt:lpwstr xmlns:vt="http://schemas.openxmlformats.org/officeDocument/2006/docPropsVTypes">10, 3, 0, 1</vt:lpwstr>
  </property>
</Properties>
</file>